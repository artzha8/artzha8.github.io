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hurzhang/Desktop/"/>
    </mc:Choice>
  </mc:AlternateContent>
  <xr:revisionPtr revIDLastSave="0" documentId="13_ncr:1_{D349D998-C32F-D147-8F0F-CA955EAC3319}" xr6:coauthVersionLast="47" xr6:coauthVersionMax="47" xr10:uidLastSave="{00000000-0000-0000-0000-000000000000}"/>
  <bookViews>
    <workbookView xWindow="0" yWindow="0" windowWidth="33600" windowHeight="21000" activeTab="3" xr2:uid="{19579CC2-B055-1C4B-8779-8522159DCBAF}"/>
  </bookViews>
  <sheets>
    <sheet name="Apple Historical Data" sheetId="1" r:id="rId1"/>
    <sheet name="Parameters" sheetId="2" r:id="rId2"/>
    <sheet name="Simulations | Acc. Wealth" sheetId="7" r:id="rId3"/>
    <sheet name="Utility Function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7" l="1"/>
  <c r="F8" i="2"/>
  <c r="F7" i="2"/>
  <c r="F4" i="2"/>
  <c r="F3" i="2"/>
  <c r="F2" i="2"/>
  <c r="C2" i="2"/>
  <c r="C16" i="6"/>
  <c r="C22" i="6"/>
  <c r="C13" i="6"/>
  <c r="C12" i="6"/>
  <c r="C8" i="6"/>
  <c r="C9" i="6"/>
  <c r="C14" i="6" l="1"/>
  <c r="H1" i="6"/>
  <c r="C3" i="2"/>
  <c r="F9" i="2" l="1"/>
  <c r="C15" i="6"/>
  <c r="C21" i="6" s="1"/>
  <c r="C20" i="6"/>
  <c r="C19" i="6"/>
  <c r="H19" i="7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EG19" i="7" s="1"/>
  <c r="EH19" i="7" s="1"/>
  <c r="EI19" i="7" s="1"/>
  <c r="EJ19" i="7" s="1"/>
  <c r="EK19" i="7" s="1"/>
  <c r="EL19" i="7" s="1"/>
  <c r="EM19" i="7" s="1"/>
  <c r="EN19" i="7" s="1"/>
  <c r="EO19" i="7" s="1"/>
  <c r="EP19" i="7" s="1"/>
  <c r="EQ19" i="7" s="1"/>
  <c r="ER19" i="7" s="1"/>
  <c r="ES19" i="7" s="1"/>
  <c r="ET19" i="7" s="1"/>
  <c r="EU19" i="7" s="1"/>
  <c r="EV19" i="7" s="1"/>
  <c r="EW19" i="7" s="1"/>
  <c r="EX19" i="7" s="1"/>
  <c r="EY19" i="7" s="1"/>
  <c r="EZ19" i="7" s="1"/>
  <c r="FA19" i="7" s="1"/>
  <c r="FB19" i="7" s="1"/>
  <c r="FC19" i="7" s="1"/>
  <c r="FD19" i="7" s="1"/>
  <c r="FE19" i="7" s="1"/>
  <c r="FF19" i="7" s="1"/>
  <c r="FG19" i="7" s="1"/>
  <c r="FH19" i="7" s="1"/>
  <c r="FI19" i="7" s="1"/>
  <c r="FJ19" i="7" s="1"/>
  <c r="FK19" i="7" s="1"/>
  <c r="FL19" i="7" s="1"/>
  <c r="FM19" i="7" s="1"/>
  <c r="FN19" i="7" s="1"/>
  <c r="FO19" i="7" s="1"/>
  <c r="FP19" i="7" s="1"/>
  <c r="FQ19" i="7" s="1"/>
  <c r="FR19" i="7" s="1"/>
  <c r="FS19" i="7" s="1"/>
  <c r="FT19" i="7" s="1"/>
  <c r="FU19" i="7" s="1"/>
  <c r="FV19" i="7" s="1"/>
  <c r="FW19" i="7" s="1"/>
  <c r="FX19" i="7" s="1"/>
  <c r="FY19" i="7" s="1"/>
  <c r="FZ19" i="7" s="1"/>
  <c r="GA19" i="7" s="1"/>
  <c r="GB19" i="7" s="1"/>
  <c r="GC19" i="7" s="1"/>
  <c r="GD19" i="7" s="1"/>
  <c r="GE19" i="7" s="1"/>
  <c r="GF19" i="7" s="1"/>
  <c r="GG19" i="7" s="1"/>
  <c r="GH19" i="7" s="1"/>
  <c r="GI19" i="7" s="1"/>
  <c r="GJ19" i="7" s="1"/>
  <c r="GK19" i="7" s="1"/>
  <c r="GL19" i="7" s="1"/>
  <c r="GM19" i="7" s="1"/>
  <c r="GN19" i="7" s="1"/>
  <c r="GO19" i="7" s="1"/>
  <c r="GP19" i="7" s="1"/>
  <c r="GQ19" i="7" s="1"/>
  <c r="GR19" i="7" s="1"/>
  <c r="GS19" i="7" s="1"/>
  <c r="GT19" i="7" s="1"/>
  <c r="GU19" i="7" s="1"/>
  <c r="GV19" i="7" s="1"/>
  <c r="GW19" i="7" s="1"/>
  <c r="GX19" i="7" s="1"/>
  <c r="GY19" i="7" s="1"/>
  <c r="GZ19" i="7" s="1"/>
  <c r="HA19" i="7" s="1"/>
  <c r="HB19" i="7" s="1"/>
  <c r="HC19" i="7" s="1"/>
  <c r="HD19" i="7" s="1"/>
  <c r="HE19" i="7" s="1"/>
  <c r="HF19" i="7" s="1"/>
  <c r="HG19" i="7" s="1"/>
  <c r="HH19" i="7" s="1"/>
  <c r="HI19" i="7" s="1"/>
  <c r="HJ19" i="7" s="1"/>
  <c r="HK19" i="7" s="1"/>
  <c r="HL19" i="7" s="1"/>
  <c r="HM19" i="7" s="1"/>
  <c r="HN19" i="7" s="1"/>
  <c r="HO19" i="7" s="1"/>
  <c r="HP19" i="7" s="1"/>
  <c r="HQ19" i="7" s="1"/>
  <c r="HR19" i="7" s="1"/>
  <c r="HS19" i="7" s="1"/>
  <c r="HT19" i="7" s="1"/>
  <c r="HU19" i="7" s="1"/>
  <c r="HV19" i="7" s="1"/>
  <c r="HW19" i="7" s="1"/>
  <c r="HX19" i="7" s="1"/>
  <c r="HY19" i="7" s="1"/>
  <c r="HZ19" i="7" s="1"/>
  <c r="IA19" i="7" s="1"/>
  <c r="IB19" i="7" s="1"/>
  <c r="IC19" i="7" s="1"/>
  <c r="ID19" i="7" s="1"/>
  <c r="IE19" i="7" s="1"/>
  <c r="IF19" i="7" s="1"/>
  <c r="IG19" i="7" s="1"/>
  <c r="IH19" i="7" s="1"/>
  <c r="II19" i="7" s="1"/>
  <c r="IJ19" i="7" s="1"/>
  <c r="IK19" i="7" s="1"/>
  <c r="IL19" i="7" s="1"/>
  <c r="IM19" i="7" s="1"/>
  <c r="IN19" i="7" s="1"/>
  <c r="IO19" i="7" s="1"/>
  <c r="IP19" i="7" s="1"/>
  <c r="IQ19" i="7" s="1"/>
  <c r="IR19" i="7" s="1"/>
  <c r="IS19" i="7" s="1"/>
  <c r="IT19" i="7" s="1"/>
  <c r="IU19" i="7" s="1"/>
  <c r="IV19" i="7" s="1"/>
  <c r="IW19" i="7" s="1"/>
  <c r="IX19" i="7" s="1"/>
  <c r="IY19" i="7" s="1"/>
  <c r="IZ19" i="7" s="1"/>
  <c r="JA19" i="7" s="1"/>
  <c r="JB19" i="7" s="1"/>
  <c r="JC19" i="7" s="1"/>
  <c r="JD19" i="7" s="1"/>
  <c r="JE19" i="7" s="1"/>
  <c r="JF19" i="7" s="1"/>
  <c r="JG19" i="7" s="1"/>
  <c r="JH19" i="7" s="1"/>
  <c r="JI19" i="7" s="1"/>
  <c r="JJ19" i="7" s="1"/>
  <c r="JK19" i="7" s="1"/>
  <c r="JL19" i="7" s="1"/>
  <c r="JM19" i="7" s="1"/>
  <c r="JN19" i="7" s="1"/>
  <c r="JO19" i="7" s="1"/>
  <c r="JP19" i="7" s="1"/>
  <c r="JQ19" i="7" s="1"/>
  <c r="JR19" i="7" s="1"/>
  <c r="JS19" i="7" s="1"/>
  <c r="JT19" i="7" s="1"/>
  <c r="JU19" i="7" s="1"/>
  <c r="JV19" i="7" s="1"/>
  <c r="JW19" i="7" s="1"/>
  <c r="JX19" i="7" s="1"/>
  <c r="JY19" i="7" s="1"/>
  <c r="JZ19" i="7" s="1"/>
  <c r="KA19" i="7" s="1"/>
  <c r="KB19" i="7" s="1"/>
  <c r="KC19" i="7" s="1"/>
  <c r="KD19" i="7" s="1"/>
  <c r="KE19" i="7" s="1"/>
  <c r="KF19" i="7" s="1"/>
  <c r="KG19" i="7" s="1"/>
  <c r="KH19" i="7" s="1"/>
  <c r="KI19" i="7" s="1"/>
  <c r="KJ19" i="7" s="1"/>
  <c r="KK19" i="7" s="1"/>
  <c r="KL19" i="7" s="1"/>
  <c r="KM19" i="7" s="1"/>
  <c r="KN19" i="7" s="1"/>
  <c r="KO19" i="7" s="1"/>
  <c r="KP19" i="7" s="1"/>
  <c r="KQ19" i="7" s="1"/>
  <c r="KR19" i="7" s="1"/>
  <c r="KS19" i="7" s="1"/>
  <c r="KT19" i="7" s="1"/>
  <c r="KU19" i="7" s="1"/>
  <c r="KV19" i="7" s="1"/>
  <c r="KW19" i="7" s="1"/>
  <c r="KX19" i="7" s="1"/>
  <c r="KY19" i="7" s="1"/>
  <c r="KZ19" i="7" s="1"/>
  <c r="LA19" i="7" s="1"/>
  <c r="LB19" i="7" s="1"/>
  <c r="LC19" i="7" s="1"/>
  <c r="LD19" i="7" s="1"/>
  <c r="LE19" i="7" s="1"/>
  <c r="LF19" i="7" s="1"/>
  <c r="LG19" i="7" s="1"/>
  <c r="LH19" i="7" s="1"/>
  <c r="LI19" i="7" s="1"/>
  <c r="LJ19" i="7" s="1"/>
  <c r="LK19" i="7" s="1"/>
  <c r="LL19" i="7" s="1"/>
  <c r="LM19" i="7" s="1"/>
  <c r="LN19" i="7" s="1"/>
  <c r="LO19" i="7" s="1"/>
  <c r="LP19" i="7" s="1"/>
  <c r="LQ19" i="7" s="1"/>
  <c r="LR19" i="7" s="1"/>
  <c r="LS19" i="7" s="1"/>
  <c r="LT19" i="7" s="1"/>
  <c r="LU19" i="7" s="1"/>
  <c r="LV19" i="7" s="1"/>
  <c r="LW19" i="7" s="1"/>
  <c r="LX19" i="7" s="1"/>
  <c r="LY19" i="7" s="1"/>
  <c r="LZ19" i="7" s="1"/>
  <c r="MA19" i="7" s="1"/>
  <c r="MB19" i="7" s="1"/>
  <c r="MC19" i="7" s="1"/>
  <c r="MD19" i="7" s="1"/>
  <c r="ME19" i="7" s="1"/>
  <c r="MF19" i="7" s="1"/>
  <c r="MG19" i="7" s="1"/>
  <c r="MH19" i="7" s="1"/>
  <c r="MI19" i="7" s="1"/>
  <c r="MJ19" i="7" s="1"/>
  <c r="MK19" i="7" s="1"/>
  <c r="ML19" i="7" s="1"/>
  <c r="MM19" i="7" s="1"/>
  <c r="MN19" i="7" s="1"/>
  <c r="MO19" i="7" s="1"/>
  <c r="MP19" i="7" s="1"/>
  <c r="MQ19" i="7" s="1"/>
  <c r="MR19" i="7" s="1"/>
  <c r="MS19" i="7" s="1"/>
  <c r="MT19" i="7" s="1"/>
  <c r="MU19" i="7" s="1"/>
  <c r="MV19" i="7" s="1"/>
  <c r="MW19" i="7" s="1"/>
  <c r="MX19" i="7" s="1"/>
  <c r="MY19" i="7" s="1"/>
  <c r="MZ19" i="7" s="1"/>
  <c r="NA19" i="7" s="1"/>
  <c r="NB19" i="7" s="1"/>
  <c r="NC19" i="7" s="1"/>
  <c r="ND19" i="7" s="1"/>
  <c r="NE19" i="7" s="1"/>
  <c r="NF19" i="7" s="1"/>
  <c r="NG19" i="7" s="1"/>
  <c r="NH19" i="7" s="1"/>
  <c r="NI19" i="7" s="1"/>
  <c r="NJ19" i="7" s="1"/>
  <c r="NK19" i="7" s="1"/>
  <c r="NL19" i="7" s="1"/>
  <c r="NM19" i="7" s="1"/>
  <c r="NN19" i="7" s="1"/>
  <c r="NO19" i="7" s="1"/>
  <c r="NP19" i="7" s="1"/>
  <c r="NQ19" i="7" s="1"/>
  <c r="NR19" i="7" s="1"/>
  <c r="NS19" i="7" s="1"/>
  <c r="NT19" i="7" s="1"/>
  <c r="NU19" i="7" s="1"/>
  <c r="NV19" i="7" s="1"/>
  <c r="NW19" i="7" s="1"/>
  <c r="NX19" i="7" s="1"/>
  <c r="NY19" i="7" s="1"/>
  <c r="NZ19" i="7" s="1"/>
  <c r="OA19" i="7" s="1"/>
  <c r="OB19" i="7" s="1"/>
  <c r="OC19" i="7" s="1"/>
  <c r="OD19" i="7" s="1"/>
  <c r="OE19" i="7" s="1"/>
  <c r="OF19" i="7" s="1"/>
  <c r="OG19" i="7" s="1"/>
  <c r="OH19" i="7" s="1"/>
  <c r="OI19" i="7" s="1"/>
  <c r="OJ19" i="7" s="1"/>
  <c r="OK19" i="7" s="1"/>
  <c r="OL19" i="7" s="1"/>
  <c r="OM19" i="7" s="1"/>
  <c r="ON19" i="7" s="1"/>
  <c r="OO19" i="7" s="1"/>
  <c r="OP19" i="7" s="1"/>
  <c r="OQ19" i="7" s="1"/>
  <c r="OR19" i="7" s="1"/>
  <c r="OS19" i="7" s="1"/>
  <c r="OT19" i="7" s="1"/>
  <c r="OU19" i="7" s="1"/>
  <c r="OV19" i="7" s="1"/>
  <c r="OW19" i="7" s="1"/>
  <c r="OX19" i="7" s="1"/>
  <c r="OY19" i="7" s="1"/>
  <c r="OZ19" i="7" s="1"/>
  <c r="PA19" i="7" s="1"/>
  <c r="PB19" i="7" s="1"/>
  <c r="PC19" i="7" s="1"/>
  <c r="PD19" i="7" s="1"/>
  <c r="PE19" i="7" s="1"/>
  <c r="PF19" i="7" s="1"/>
  <c r="PG19" i="7" s="1"/>
  <c r="PH19" i="7" s="1"/>
  <c r="PI19" i="7" s="1"/>
  <c r="PJ19" i="7" s="1"/>
  <c r="PK19" i="7" s="1"/>
  <c r="PL19" i="7" s="1"/>
  <c r="PM19" i="7" s="1"/>
  <c r="PN19" i="7" s="1"/>
  <c r="PO19" i="7" s="1"/>
  <c r="PP19" i="7" s="1"/>
  <c r="PQ19" i="7" s="1"/>
  <c r="PR19" i="7" s="1"/>
  <c r="PS19" i="7" s="1"/>
  <c r="PT19" i="7" s="1"/>
  <c r="PU19" i="7" s="1"/>
  <c r="PV19" i="7" s="1"/>
  <c r="PW19" i="7" s="1"/>
  <c r="PX19" i="7" s="1"/>
  <c r="PY19" i="7" s="1"/>
  <c r="PZ19" i="7" s="1"/>
  <c r="QA19" i="7" s="1"/>
  <c r="QB19" i="7" s="1"/>
  <c r="QC19" i="7" s="1"/>
  <c r="QD19" i="7" s="1"/>
  <c r="QE19" i="7" s="1"/>
  <c r="QF19" i="7" s="1"/>
  <c r="QG19" i="7" s="1"/>
  <c r="QH19" i="7" s="1"/>
  <c r="QI19" i="7" s="1"/>
  <c r="QJ19" i="7" s="1"/>
  <c r="QK19" i="7" s="1"/>
  <c r="QL19" i="7" s="1"/>
  <c r="QM19" i="7" s="1"/>
  <c r="QN19" i="7" s="1"/>
  <c r="QO19" i="7" s="1"/>
  <c r="QP19" i="7" s="1"/>
  <c r="QQ19" i="7" s="1"/>
  <c r="QR19" i="7" s="1"/>
  <c r="QS19" i="7" s="1"/>
  <c r="QT19" i="7" s="1"/>
  <c r="QU19" i="7" s="1"/>
  <c r="QV19" i="7" s="1"/>
  <c r="QW19" i="7" s="1"/>
  <c r="QX19" i="7" s="1"/>
  <c r="QY19" i="7" s="1"/>
  <c r="QZ19" i="7" s="1"/>
  <c r="RA19" i="7" s="1"/>
  <c r="RB19" i="7" s="1"/>
  <c r="RC19" i="7" s="1"/>
  <c r="RD19" i="7" s="1"/>
  <c r="RE19" i="7" s="1"/>
  <c r="RF19" i="7" s="1"/>
  <c r="RG19" i="7" s="1"/>
  <c r="RH19" i="7" s="1"/>
  <c r="RI19" i="7" s="1"/>
  <c r="RJ19" i="7" s="1"/>
  <c r="RK19" i="7" s="1"/>
  <c r="RL19" i="7" s="1"/>
  <c r="RM19" i="7" s="1"/>
  <c r="RN19" i="7" s="1"/>
  <c r="RO19" i="7" s="1"/>
  <c r="RP19" i="7" s="1"/>
  <c r="RQ19" i="7" s="1"/>
  <c r="RR19" i="7" s="1"/>
  <c r="RS19" i="7" s="1"/>
  <c r="RT19" i="7" s="1"/>
  <c r="RU19" i="7" s="1"/>
  <c r="RV19" i="7" s="1"/>
  <c r="RW19" i="7" s="1"/>
  <c r="RX19" i="7" s="1"/>
  <c r="RY19" i="7" s="1"/>
  <c r="RZ19" i="7" s="1"/>
  <c r="SA19" i="7" s="1"/>
  <c r="SB19" i="7" s="1"/>
  <c r="SC19" i="7" s="1"/>
  <c r="SD19" i="7" s="1"/>
  <c r="SE19" i="7" s="1"/>
  <c r="SF19" i="7" s="1"/>
  <c r="SG19" i="7" s="1"/>
  <c r="SH19" i="7" s="1"/>
  <c r="SI19" i="7" s="1"/>
  <c r="SJ19" i="7" s="1"/>
  <c r="SK19" i="7" s="1"/>
  <c r="SL19" i="7" s="1"/>
  <c r="SM19" i="7" s="1"/>
  <c r="SN19" i="7" s="1"/>
  <c r="SO19" i="7" s="1"/>
  <c r="SP19" i="7" s="1"/>
  <c r="SQ19" i="7" s="1"/>
  <c r="SR19" i="7" s="1"/>
  <c r="SS19" i="7" s="1"/>
  <c r="ST19" i="7" s="1"/>
  <c r="SU19" i="7" s="1"/>
  <c r="SV19" i="7" s="1"/>
  <c r="SW19" i="7" s="1"/>
  <c r="SX19" i="7" s="1"/>
  <c r="SY19" i="7" s="1"/>
  <c r="SZ19" i="7" s="1"/>
  <c r="TA19" i="7" s="1"/>
  <c r="TB19" i="7" s="1"/>
  <c r="TC19" i="7" s="1"/>
  <c r="TD19" i="7" s="1"/>
  <c r="TE19" i="7" s="1"/>
  <c r="TF19" i="7" s="1"/>
  <c r="TG19" i="7" s="1"/>
  <c r="TH19" i="7" s="1"/>
  <c r="TI19" i="7" s="1"/>
  <c r="TJ19" i="7" s="1"/>
  <c r="TK19" i="7" s="1"/>
  <c r="TL19" i="7" s="1"/>
  <c r="TM19" i="7" s="1"/>
  <c r="TN19" i="7" s="1"/>
  <c r="TO19" i="7" s="1"/>
  <c r="TP19" i="7" s="1"/>
  <c r="TQ19" i="7" s="1"/>
  <c r="TR19" i="7" s="1"/>
  <c r="TS19" i="7" s="1"/>
  <c r="TT19" i="7" s="1"/>
  <c r="TU19" i="7" s="1"/>
  <c r="TV19" i="7" s="1"/>
  <c r="TW19" i="7" s="1"/>
  <c r="TX19" i="7" s="1"/>
  <c r="TY19" i="7" s="1"/>
  <c r="TZ19" i="7" s="1"/>
  <c r="UA19" i="7" s="1"/>
  <c r="UB19" i="7" s="1"/>
  <c r="UC19" i="7" s="1"/>
  <c r="UD19" i="7" s="1"/>
  <c r="UE19" i="7" s="1"/>
  <c r="UF19" i="7" s="1"/>
  <c r="UG19" i="7" s="1"/>
  <c r="UH19" i="7" s="1"/>
  <c r="UI19" i="7" s="1"/>
  <c r="UJ19" i="7" s="1"/>
  <c r="UK19" i="7" s="1"/>
  <c r="UL19" i="7" s="1"/>
  <c r="UM19" i="7" s="1"/>
  <c r="UN19" i="7" s="1"/>
  <c r="UO19" i="7" s="1"/>
  <c r="UP19" i="7" s="1"/>
  <c r="UQ19" i="7" s="1"/>
  <c r="UR19" i="7" s="1"/>
  <c r="US19" i="7" s="1"/>
  <c r="UT19" i="7" s="1"/>
  <c r="UU19" i="7" s="1"/>
  <c r="UV19" i="7" s="1"/>
  <c r="UW19" i="7" s="1"/>
  <c r="UX19" i="7" s="1"/>
  <c r="UY19" i="7" s="1"/>
  <c r="UZ19" i="7" s="1"/>
  <c r="VA19" i="7" s="1"/>
  <c r="VB19" i="7" s="1"/>
  <c r="VC19" i="7" s="1"/>
  <c r="VD19" i="7" s="1"/>
  <c r="VE19" i="7" s="1"/>
  <c r="VF19" i="7" s="1"/>
  <c r="VG19" i="7" s="1"/>
  <c r="VH19" i="7" s="1"/>
  <c r="VI19" i="7" s="1"/>
  <c r="VJ19" i="7" s="1"/>
  <c r="VK19" i="7" s="1"/>
  <c r="VL19" i="7" s="1"/>
  <c r="VM19" i="7" s="1"/>
  <c r="VN19" i="7" s="1"/>
  <c r="VO19" i="7" s="1"/>
  <c r="VP19" i="7" s="1"/>
  <c r="VQ19" i="7" s="1"/>
  <c r="VR19" i="7" s="1"/>
  <c r="VS19" i="7" s="1"/>
  <c r="VT19" i="7" s="1"/>
  <c r="VU19" i="7" s="1"/>
  <c r="VV19" i="7" s="1"/>
  <c r="VW19" i="7" s="1"/>
  <c r="VX19" i="7" s="1"/>
  <c r="VY19" i="7" s="1"/>
  <c r="VZ19" i="7" s="1"/>
  <c r="WA19" i="7" s="1"/>
  <c r="WB19" i="7" s="1"/>
  <c r="WC19" i="7" s="1"/>
  <c r="WD19" i="7" s="1"/>
  <c r="WE19" i="7" s="1"/>
  <c r="WF19" i="7" s="1"/>
  <c r="WG19" i="7" s="1"/>
  <c r="WH19" i="7" s="1"/>
  <c r="WI19" i="7" s="1"/>
  <c r="WJ19" i="7" s="1"/>
  <c r="WK19" i="7" s="1"/>
  <c r="WL19" i="7" s="1"/>
  <c r="WM19" i="7" s="1"/>
  <c r="WN19" i="7" s="1"/>
  <c r="WO19" i="7" s="1"/>
  <c r="WP19" i="7" s="1"/>
  <c r="WQ19" i="7" s="1"/>
  <c r="WR19" i="7" s="1"/>
  <c r="WS19" i="7" s="1"/>
  <c r="WT19" i="7" s="1"/>
  <c r="WU19" i="7" s="1"/>
  <c r="WV19" i="7" s="1"/>
  <c r="WW19" i="7" s="1"/>
  <c r="WX19" i="7" s="1"/>
  <c r="WY19" i="7" s="1"/>
  <c r="WZ19" i="7" s="1"/>
  <c r="XA19" i="7" s="1"/>
  <c r="XB19" i="7" s="1"/>
  <c r="XC19" i="7" s="1"/>
  <c r="XD19" i="7" s="1"/>
  <c r="XE19" i="7" s="1"/>
  <c r="XF19" i="7" s="1"/>
  <c r="XG19" i="7" s="1"/>
  <c r="XH19" i="7" s="1"/>
  <c r="XI19" i="7" s="1"/>
  <c r="XJ19" i="7" s="1"/>
  <c r="XK19" i="7" s="1"/>
  <c r="XL19" i="7" s="1"/>
  <c r="XM19" i="7" s="1"/>
  <c r="XN19" i="7" s="1"/>
  <c r="XO19" i="7" s="1"/>
  <c r="XP19" i="7" s="1"/>
  <c r="XQ19" i="7" s="1"/>
  <c r="XR19" i="7" s="1"/>
  <c r="XS19" i="7" s="1"/>
  <c r="XT19" i="7" s="1"/>
  <c r="XU19" i="7" s="1"/>
  <c r="XV19" i="7" s="1"/>
  <c r="XW19" i="7" s="1"/>
  <c r="XX19" i="7" s="1"/>
  <c r="XY19" i="7" s="1"/>
  <c r="XZ19" i="7" s="1"/>
  <c r="YA19" i="7" s="1"/>
  <c r="YB19" i="7" s="1"/>
  <c r="YC19" i="7" s="1"/>
  <c r="YD19" i="7" s="1"/>
  <c r="YE19" i="7" s="1"/>
  <c r="YF19" i="7" s="1"/>
  <c r="YG19" i="7" s="1"/>
  <c r="YH19" i="7" s="1"/>
  <c r="YI19" i="7" s="1"/>
  <c r="YJ19" i="7" s="1"/>
  <c r="YK19" i="7" s="1"/>
  <c r="YL19" i="7" s="1"/>
  <c r="YM19" i="7" s="1"/>
  <c r="YN19" i="7" s="1"/>
  <c r="YO19" i="7" s="1"/>
  <c r="YP19" i="7" s="1"/>
  <c r="YQ19" i="7" s="1"/>
  <c r="YR19" i="7" s="1"/>
  <c r="YS19" i="7" s="1"/>
  <c r="YT19" i="7" s="1"/>
  <c r="YU19" i="7" s="1"/>
  <c r="YV19" i="7" s="1"/>
  <c r="YW19" i="7" s="1"/>
  <c r="YX19" i="7" s="1"/>
  <c r="YY19" i="7" s="1"/>
  <c r="YZ19" i="7" s="1"/>
  <c r="ZA19" i="7" s="1"/>
  <c r="ZB19" i="7" s="1"/>
  <c r="ZC19" i="7" s="1"/>
  <c r="ZD19" i="7" s="1"/>
  <c r="ZE19" i="7" s="1"/>
  <c r="ZF19" i="7" s="1"/>
  <c r="ZG19" i="7" s="1"/>
  <c r="ZH19" i="7" s="1"/>
  <c r="ZI19" i="7" s="1"/>
  <c r="ZJ19" i="7" s="1"/>
  <c r="ZK19" i="7" s="1"/>
  <c r="ZL19" i="7" s="1"/>
  <c r="ZM19" i="7" s="1"/>
  <c r="ZN19" i="7" s="1"/>
  <c r="ZO19" i="7" s="1"/>
  <c r="ZP19" i="7" s="1"/>
  <c r="ZQ19" i="7" s="1"/>
  <c r="ZR19" i="7" s="1"/>
  <c r="ZS19" i="7" s="1"/>
  <c r="ZT19" i="7" s="1"/>
  <c r="ZU19" i="7" s="1"/>
  <c r="ZV19" i="7" s="1"/>
  <c r="ZW19" i="7" s="1"/>
  <c r="ZX19" i="7" s="1"/>
  <c r="ZY19" i="7" s="1"/>
  <c r="ZZ19" i="7" s="1"/>
  <c r="AAA19" i="7" s="1"/>
  <c r="AAB19" i="7" s="1"/>
  <c r="AAC19" i="7" s="1"/>
  <c r="AAD19" i="7" s="1"/>
  <c r="AAE19" i="7" s="1"/>
  <c r="AAF19" i="7" s="1"/>
  <c r="AAG19" i="7" s="1"/>
  <c r="AAH19" i="7" s="1"/>
  <c r="AAI19" i="7" s="1"/>
  <c r="AAJ19" i="7" s="1"/>
  <c r="AAK19" i="7" s="1"/>
  <c r="AAL19" i="7" s="1"/>
  <c r="AAM19" i="7" s="1"/>
  <c r="AAN19" i="7" s="1"/>
  <c r="AAO19" i="7" s="1"/>
  <c r="AAP19" i="7" s="1"/>
  <c r="AAQ19" i="7" s="1"/>
  <c r="AAR19" i="7" s="1"/>
  <c r="AAS19" i="7" s="1"/>
  <c r="AAT19" i="7" s="1"/>
  <c r="AAU19" i="7" s="1"/>
  <c r="AAV19" i="7" s="1"/>
  <c r="AAW19" i="7" s="1"/>
  <c r="AAX19" i="7" s="1"/>
  <c r="AAY19" i="7" s="1"/>
  <c r="AAZ19" i="7" s="1"/>
  <c r="ABA19" i="7" s="1"/>
  <c r="ABB19" i="7" s="1"/>
  <c r="ABC19" i="7" s="1"/>
  <c r="ABD19" i="7" s="1"/>
  <c r="ABE19" i="7" s="1"/>
  <c r="ABF19" i="7" s="1"/>
  <c r="ABG19" i="7" s="1"/>
  <c r="ABH19" i="7" s="1"/>
  <c r="ABI19" i="7" s="1"/>
  <c r="ABJ19" i="7" s="1"/>
  <c r="ABK19" i="7" s="1"/>
  <c r="ABL19" i="7" s="1"/>
  <c r="ABM19" i="7" s="1"/>
  <c r="ABN19" i="7" s="1"/>
  <c r="ABO19" i="7" s="1"/>
  <c r="ABP19" i="7" s="1"/>
  <c r="ABQ19" i="7" s="1"/>
  <c r="ABR19" i="7" s="1"/>
  <c r="ABS19" i="7" s="1"/>
  <c r="ABT19" i="7" s="1"/>
  <c r="ABU19" i="7" s="1"/>
  <c r="ABV19" i="7" s="1"/>
  <c r="ABW19" i="7" s="1"/>
  <c r="ABX19" i="7" s="1"/>
  <c r="ABY19" i="7" s="1"/>
  <c r="ABZ19" i="7" s="1"/>
  <c r="ACA19" i="7" s="1"/>
  <c r="ACB19" i="7" s="1"/>
  <c r="ACC19" i="7" s="1"/>
  <c r="ACD19" i="7" s="1"/>
  <c r="ACE19" i="7" s="1"/>
  <c r="ACF19" i="7" s="1"/>
  <c r="ACG19" i="7" s="1"/>
  <c r="ACH19" i="7" s="1"/>
  <c r="ACI19" i="7" s="1"/>
  <c r="ACJ19" i="7" s="1"/>
  <c r="ACK19" i="7" s="1"/>
  <c r="ACL19" i="7" s="1"/>
  <c r="ACM19" i="7" s="1"/>
  <c r="ACN19" i="7" s="1"/>
  <c r="ACO19" i="7" s="1"/>
  <c r="ACP19" i="7" s="1"/>
  <c r="ACQ19" i="7" s="1"/>
  <c r="ACR19" i="7" s="1"/>
  <c r="ACS19" i="7" s="1"/>
  <c r="ACT19" i="7" s="1"/>
  <c r="ACU19" i="7" s="1"/>
  <c r="ACV19" i="7" s="1"/>
  <c r="ACW19" i="7" s="1"/>
  <c r="ACX19" i="7" s="1"/>
  <c r="ACY19" i="7" s="1"/>
  <c r="ACZ19" i="7" s="1"/>
  <c r="ADA19" i="7" s="1"/>
  <c r="ADB19" i="7" s="1"/>
  <c r="ADC19" i="7" s="1"/>
  <c r="ADD19" i="7" s="1"/>
  <c r="ADE19" i="7" s="1"/>
  <c r="ADF19" i="7" s="1"/>
  <c r="ADG19" i="7" s="1"/>
  <c r="ADH19" i="7" s="1"/>
  <c r="ADI19" i="7" s="1"/>
  <c r="ADJ19" i="7" s="1"/>
  <c r="ADK19" i="7" s="1"/>
  <c r="ADL19" i="7" s="1"/>
  <c r="ADM19" i="7" s="1"/>
  <c r="ADN19" i="7" s="1"/>
  <c r="ADO19" i="7" s="1"/>
  <c r="ADP19" i="7" s="1"/>
  <c r="ADQ19" i="7" s="1"/>
  <c r="ADR19" i="7" s="1"/>
  <c r="ADS19" i="7" s="1"/>
  <c r="ADT19" i="7" s="1"/>
  <c r="ADU19" i="7" s="1"/>
  <c r="ADV19" i="7" s="1"/>
  <c r="ADW19" i="7" s="1"/>
  <c r="ADX19" i="7" s="1"/>
  <c r="ADY19" i="7" s="1"/>
  <c r="ADZ19" i="7" s="1"/>
  <c r="AEA19" i="7" s="1"/>
  <c r="AEB19" i="7" s="1"/>
  <c r="AEC19" i="7" s="1"/>
  <c r="AED19" i="7" s="1"/>
  <c r="AEE19" i="7" s="1"/>
  <c r="AEF19" i="7" s="1"/>
  <c r="AEG19" i="7" s="1"/>
  <c r="AEH19" i="7" s="1"/>
  <c r="AEI19" i="7" s="1"/>
  <c r="AEJ19" i="7" s="1"/>
  <c r="AEK19" i="7" s="1"/>
  <c r="AEL19" i="7" s="1"/>
  <c r="AEM19" i="7" s="1"/>
  <c r="AEN19" i="7" s="1"/>
  <c r="AEO19" i="7" s="1"/>
  <c r="AEP19" i="7" s="1"/>
  <c r="AEQ19" i="7" s="1"/>
  <c r="AER19" i="7" s="1"/>
  <c r="AES19" i="7" s="1"/>
  <c r="AET19" i="7" s="1"/>
  <c r="AEU19" i="7" s="1"/>
  <c r="AEV19" i="7" s="1"/>
  <c r="AEW19" i="7" s="1"/>
  <c r="AEX19" i="7" s="1"/>
  <c r="AEY19" i="7" s="1"/>
  <c r="AEZ19" i="7" s="1"/>
  <c r="AFA19" i="7" s="1"/>
  <c r="AFB19" i="7" s="1"/>
  <c r="AFC19" i="7" s="1"/>
  <c r="AFD19" i="7" s="1"/>
  <c r="AFE19" i="7" s="1"/>
  <c r="AFF19" i="7" s="1"/>
  <c r="AFG19" i="7" s="1"/>
  <c r="AFH19" i="7" s="1"/>
  <c r="AFI19" i="7" s="1"/>
  <c r="AFJ19" i="7" s="1"/>
  <c r="AFK19" i="7" s="1"/>
  <c r="AFL19" i="7" s="1"/>
  <c r="AFM19" i="7" s="1"/>
  <c r="AFN19" i="7" s="1"/>
  <c r="AFO19" i="7" s="1"/>
  <c r="AFP19" i="7" s="1"/>
  <c r="AFQ19" i="7" s="1"/>
  <c r="AFR19" i="7" s="1"/>
  <c r="AFS19" i="7" s="1"/>
  <c r="AFT19" i="7" s="1"/>
  <c r="AFU19" i="7" s="1"/>
  <c r="AFV19" i="7" s="1"/>
  <c r="AFW19" i="7" s="1"/>
  <c r="AFX19" i="7" s="1"/>
  <c r="AFY19" i="7" s="1"/>
  <c r="AFZ19" i="7" s="1"/>
  <c r="AGA19" i="7" s="1"/>
  <c r="AGB19" i="7" s="1"/>
  <c r="AGC19" i="7" s="1"/>
  <c r="AGD19" i="7" s="1"/>
  <c r="AGE19" i="7" s="1"/>
  <c r="AGF19" i="7" s="1"/>
  <c r="AGG19" i="7" s="1"/>
  <c r="AGH19" i="7" s="1"/>
  <c r="AGI19" i="7" s="1"/>
  <c r="AGJ19" i="7" s="1"/>
  <c r="AGK19" i="7" s="1"/>
  <c r="AGL19" i="7" s="1"/>
  <c r="AGM19" i="7" s="1"/>
  <c r="AGN19" i="7" s="1"/>
  <c r="AGO19" i="7" s="1"/>
  <c r="AGP19" i="7" s="1"/>
  <c r="AGQ19" i="7" s="1"/>
  <c r="AGR19" i="7" s="1"/>
  <c r="AGS19" i="7" s="1"/>
  <c r="AGT19" i="7" s="1"/>
  <c r="AGU19" i="7" s="1"/>
  <c r="AGV19" i="7" s="1"/>
  <c r="AGW19" i="7" s="1"/>
  <c r="AGX19" i="7" s="1"/>
  <c r="AGY19" i="7" s="1"/>
  <c r="AGZ19" i="7" s="1"/>
  <c r="AHA19" i="7" s="1"/>
  <c r="AHB19" i="7" s="1"/>
  <c r="AHC19" i="7" s="1"/>
  <c r="AHD19" i="7" s="1"/>
  <c r="AHE19" i="7" s="1"/>
  <c r="AHF19" i="7" s="1"/>
  <c r="AHG19" i="7" s="1"/>
  <c r="AHH19" i="7" s="1"/>
  <c r="AHI19" i="7" s="1"/>
  <c r="AHJ19" i="7" s="1"/>
  <c r="AHK19" i="7" s="1"/>
  <c r="AHL19" i="7" s="1"/>
  <c r="AHM19" i="7" s="1"/>
  <c r="AHN19" i="7" s="1"/>
  <c r="AHO19" i="7" s="1"/>
  <c r="AHP19" i="7" s="1"/>
  <c r="AHQ19" i="7" s="1"/>
  <c r="AHR19" i="7" s="1"/>
  <c r="AHS19" i="7" s="1"/>
  <c r="AHT19" i="7" s="1"/>
  <c r="AHU19" i="7" s="1"/>
  <c r="AHV19" i="7" s="1"/>
  <c r="AHW19" i="7" s="1"/>
  <c r="AHX19" i="7" s="1"/>
  <c r="AHY19" i="7" s="1"/>
  <c r="AHZ19" i="7" s="1"/>
  <c r="AIA19" i="7" s="1"/>
  <c r="AIB19" i="7" s="1"/>
  <c r="AIC19" i="7" s="1"/>
  <c r="AID19" i="7" s="1"/>
  <c r="AIE19" i="7" s="1"/>
  <c r="AIF19" i="7" s="1"/>
  <c r="AIG19" i="7" s="1"/>
  <c r="AIH19" i="7" s="1"/>
  <c r="AII19" i="7" s="1"/>
  <c r="AIJ19" i="7" s="1"/>
  <c r="AIK19" i="7" s="1"/>
  <c r="AIL19" i="7" s="1"/>
  <c r="AIM19" i="7" s="1"/>
  <c r="AIN19" i="7" s="1"/>
  <c r="AIO19" i="7" s="1"/>
  <c r="AIP19" i="7" s="1"/>
  <c r="AIQ19" i="7" s="1"/>
  <c r="AIR19" i="7" s="1"/>
  <c r="AIS19" i="7" s="1"/>
  <c r="AIT19" i="7" s="1"/>
  <c r="AIU19" i="7" s="1"/>
  <c r="AIV19" i="7" s="1"/>
  <c r="AIW19" i="7" s="1"/>
  <c r="AIX19" i="7" s="1"/>
  <c r="AIY19" i="7" s="1"/>
  <c r="AIZ19" i="7" s="1"/>
  <c r="AJA19" i="7" s="1"/>
  <c r="AJB19" i="7" s="1"/>
  <c r="AJC19" i="7" s="1"/>
  <c r="AJD19" i="7" s="1"/>
  <c r="AJE19" i="7" s="1"/>
  <c r="AJF19" i="7" s="1"/>
  <c r="AJG19" i="7" s="1"/>
  <c r="AJH19" i="7" s="1"/>
  <c r="AJI19" i="7" s="1"/>
  <c r="AJJ19" i="7" s="1"/>
  <c r="AJK19" i="7" s="1"/>
  <c r="AJL19" i="7" s="1"/>
  <c r="AJM19" i="7" s="1"/>
  <c r="AJN19" i="7" s="1"/>
  <c r="AJO19" i="7" s="1"/>
  <c r="AJP19" i="7" s="1"/>
  <c r="AJQ19" i="7" s="1"/>
  <c r="AJR19" i="7" s="1"/>
  <c r="AJS19" i="7" s="1"/>
  <c r="AJT19" i="7" s="1"/>
  <c r="AJU19" i="7" s="1"/>
  <c r="AJV19" i="7" s="1"/>
  <c r="AJW19" i="7" s="1"/>
  <c r="AJX19" i="7" s="1"/>
  <c r="AJY19" i="7" s="1"/>
  <c r="AJZ19" i="7" s="1"/>
  <c r="AKA19" i="7" s="1"/>
  <c r="AKB19" i="7" s="1"/>
  <c r="AKC19" i="7" s="1"/>
  <c r="AKD19" i="7" s="1"/>
  <c r="AKE19" i="7" s="1"/>
  <c r="AKF19" i="7" s="1"/>
  <c r="AKG19" i="7" s="1"/>
  <c r="AKH19" i="7" s="1"/>
  <c r="AKI19" i="7" s="1"/>
  <c r="AKJ19" i="7" s="1"/>
  <c r="AKK19" i="7" s="1"/>
  <c r="AKL19" i="7" s="1"/>
  <c r="AKM19" i="7" s="1"/>
  <c r="AKN19" i="7" s="1"/>
  <c r="AKO19" i="7" s="1"/>
  <c r="AKP19" i="7" s="1"/>
  <c r="AKQ19" i="7" s="1"/>
  <c r="AKR19" i="7" s="1"/>
  <c r="AKS19" i="7" s="1"/>
  <c r="AKT19" i="7" s="1"/>
  <c r="AKU19" i="7" s="1"/>
  <c r="AKV19" i="7" s="1"/>
  <c r="AKW19" i="7" s="1"/>
  <c r="AKX19" i="7" s="1"/>
  <c r="AKY19" i="7" s="1"/>
  <c r="AKZ19" i="7" s="1"/>
  <c r="ALA19" i="7" s="1"/>
  <c r="ALB19" i="7" s="1"/>
  <c r="ALC19" i="7" s="1"/>
  <c r="ALD19" i="7" s="1"/>
  <c r="ALE19" i="7" s="1"/>
  <c r="ALF19" i="7" s="1"/>
  <c r="ALG19" i="7" s="1"/>
  <c r="ALH19" i="7" s="1"/>
  <c r="ALI19" i="7" s="1"/>
  <c r="ALJ19" i="7" s="1"/>
  <c r="ALK19" i="7" s="1"/>
  <c r="ALL19" i="7" s="1"/>
  <c r="ALM19" i="7" s="1"/>
  <c r="ALN19" i="7" s="1"/>
  <c r="ALO19" i="7" s="1"/>
  <c r="ALP19" i="7" s="1"/>
  <c r="ALQ19" i="7" s="1"/>
  <c r="ALR19" i="7" s="1"/>
  <c r="F20" i="7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H18" i="7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EG18" i="7" s="1"/>
  <c r="EH18" i="7" s="1"/>
  <c r="EI18" i="7" s="1"/>
  <c r="EJ18" i="7" s="1"/>
  <c r="EK18" i="7" s="1"/>
  <c r="EL18" i="7" s="1"/>
  <c r="EM18" i="7" s="1"/>
  <c r="EN18" i="7" s="1"/>
  <c r="EO18" i="7" s="1"/>
  <c r="EP18" i="7" s="1"/>
  <c r="EQ18" i="7" s="1"/>
  <c r="ER18" i="7" s="1"/>
  <c r="ES18" i="7" s="1"/>
  <c r="ET18" i="7" s="1"/>
  <c r="EU18" i="7" s="1"/>
  <c r="EV18" i="7" s="1"/>
  <c r="EW18" i="7" s="1"/>
  <c r="EX18" i="7" s="1"/>
  <c r="EY18" i="7" s="1"/>
  <c r="EZ18" i="7" s="1"/>
  <c r="FA18" i="7" s="1"/>
  <c r="FB18" i="7" s="1"/>
  <c r="FC18" i="7" s="1"/>
  <c r="FD18" i="7" s="1"/>
  <c r="FE18" i="7" s="1"/>
  <c r="FF18" i="7" s="1"/>
  <c r="FG18" i="7" s="1"/>
  <c r="FH18" i="7" s="1"/>
  <c r="FI18" i="7" s="1"/>
  <c r="FJ18" i="7" s="1"/>
  <c r="FK18" i="7" s="1"/>
  <c r="FL18" i="7" s="1"/>
  <c r="FM18" i="7" s="1"/>
  <c r="FN18" i="7" s="1"/>
  <c r="FO18" i="7" s="1"/>
  <c r="FP18" i="7" s="1"/>
  <c r="FQ18" i="7" s="1"/>
  <c r="FR18" i="7" s="1"/>
  <c r="FS18" i="7" s="1"/>
  <c r="FT18" i="7" s="1"/>
  <c r="FU18" i="7" s="1"/>
  <c r="FV18" i="7" s="1"/>
  <c r="FW18" i="7" s="1"/>
  <c r="FX18" i="7" s="1"/>
  <c r="FY18" i="7" s="1"/>
  <c r="FZ18" i="7" s="1"/>
  <c r="GA18" i="7" s="1"/>
  <c r="GB18" i="7" s="1"/>
  <c r="GC18" i="7" s="1"/>
  <c r="GD18" i="7" s="1"/>
  <c r="GE18" i="7" s="1"/>
  <c r="GF18" i="7" s="1"/>
  <c r="GG18" i="7" s="1"/>
  <c r="GH18" i="7" s="1"/>
  <c r="GI18" i="7" s="1"/>
  <c r="GJ18" i="7" s="1"/>
  <c r="GK18" i="7" s="1"/>
  <c r="GL18" i="7" s="1"/>
  <c r="GM18" i="7" s="1"/>
  <c r="GN18" i="7" s="1"/>
  <c r="GO18" i="7" s="1"/>
  <c r="GP18" i="7" s="1"/>
  <c r="GQ18" i="7" s="1"/>
  <c r="GR18" i="7" s="1"/>
  <c r="GS18" i="7" s="1"/>
  <c r="GT18" i="7" s="1"/>
  <c r="GU18" i="7" s="1"/>
  <c r="GV18" i="7" s="1"/>
  <c r="GW18" i="7" s="1"/>
  <c r="GX18" i="7" s="1"/>
  <c r="GY18" i="7" s="1"/>
  <c r="GZ18" i="7" s="1"/>
  <c r="HA18" i="7" s="1"/>
  <c r="HB18" i="7" s="1"/>
  <c r="HC18" i="7" s="1"/>
  <c r="HD18" i="7" s="1"/>
  <c r="HE18" i="7" s="1"/>
  <c r="HF18" i="7" s="1"/>
  <c r="HG18" i="7" s="1"/>
  <c r="HH18" i="7" s="1"/>
  <c r="HI18" i="7" s="1"/>
  <c r="HJ18" i="7" s="1"/>
  <c r="HK18" i="7" s="1"/>
  <c r="HL18" i="7" s="1"/>
  <c r="HM18" i="7" s="1"/>
  <c r="HN18" i="7" s="1"/>
  <c r="HO18" i="7" s="1"/>
  <c r="HP18" i="7" s="1"/>
  <c r="HQ18" i="7" s="1"/>
  <c r="HR18" i="7" s="1"/>
  <c r="HS18" i="7" s="1"/>
  <c r="HT18" i="7" s="1"/>
  <c r="HU18" i="7" s="1"/>
  <c r="HV18" i="7" s="1"/>
  <c r="HW18" i="7" s="1"/>
  <c r="HX18" i="7" s="1"/>
  <c r="HY18" i="7" s="1"/>
  <c r="HZ18" i="7" s="1"/>
  <c r="IA18" i="7" s="1"/>
  <c r="IB18" i="7" s="1"/>
  <c r="IC18" i="7" s="1"/>
  <c r="ID18" i="7" s="1"/>
  <c r="IE18" i="7" s="1"/>
  <c r="IF18" i="7" s="1"/>
  <c r="IG18" i="7" s="1"/>
  <c r="IH18" i="7" s="1"/>
  <c r="II18" i="7" s="1"/>
  <c r="IJ18" i="7" s="1"/>
  <c r="IK18" i="7" s="1"/>
  <c r="IL18" i="7" s="1"/>
  <c r="IM18" i="7" s="1"/>
  <c r="IN18" i="7" s="1"/>
  <c r="IO18" i="7" s="1"/>
  <c r="IP18" i="7" s="1"/>
  <c r="IQ18" i="7" s="1"/>
  <c r="IR18" i="7" s="1"/>
  <c r="IS18" i="7" s="1"/>
  <c r="IT18" i="7" s="1"/>
  <c r="IU18" i="7" s="1"/>
  <c r="IV18" i="7" s="1"/>
  <c r="IW18" i="7" s="1"/>
  <c r="IX18" i="7" s="1"/>
  <c r="IY18" i="7" s="1"/>
  <c r="IZ18" i="7" s="1"/>
  <c r="JA18" i="7" s="1"/>
  <c r="JB18" i="7" s="1"/>
  <c r="JC18" i="7" s="1"/>
  <c r="JD18" i="7" s="1"/>
  <c r="JE18" i="7" s="1"/>
  <c r="JF18" i="7" s="1"/>
  <c r="JG18" i="7" s="1"/>
  <c r="JH18" i="7" s="1"/>
  <c r="JI18" i="7" s="1"/>
  <c r="JJ18" i="7" s="1"/>
  <c r="JK18" i="7" s="1"/>
  <c r="JL18" i="7" s="1"/>
  <c r="JM18" i="7" s="1"/>
  <c r="JN18" i="7" s="1"/>
  <c r="JO18" i="7" s="1"/>
  <c r="JP18" i="7" s="1"/>
  <c r="JQ18" i="7" s="1"/>
  <c r="JR18" i="7" s="1"/>
  <c r="JS18" i="7" s="1"/>
  <c r="JT18" i="7" s="1"/>
  <c r="JU18" i="7" s="1"/>
  <c r="JV18" i="7" s="1"/>
  <c r="JW18" i="7" s="1"/>
  <c r="JX18" i="7" s="1"/>
  <c r="JY18" i="7" s="1"/>
  <c r="JZ18" i="7" s="1"/>
  <c r="KA18" i="7" s="1"/>
  <c r="KB18" i="7" s="1"/>
  <c r="KC18" i="7" s="1"/>
  <c r="KD18" i="7" s="1"/>
  <c r="KE18" i="7" s="1"/>
  <c r="KF18" i="7" s="1"/>
  <c r="KG18" i="7" s="1"/>
  <c r="KH18" i="7" s="1"/>
  <c r="KI18" i="7" s="1"/>
  <c r="KJ18" i="7" s="1"/>
  <c r="KK18" i="7" s="1"/>
  <c r="KL18" i="7" s="1"/>
  <c r="KM18" i="7" s="1"/>
  <c r="KN18" i="7" s="1"/>
  <c r="KO18" i="7" s="1"/>
  <c r="KP18" i="7" s="1"/>
  <c r="KQ18" i="7" s="1"/>
  <c r="KR18" i="7" s="1"/>
  <c r="KS18" i="7" s="1"/>
  <c r="KT18" i="7" s="1"/>
  <c r="KU18" i="7" s="1"/>
  <c r="KV18" i="7" s="1"/>
  <c r="KW18" i="7" s="1"/>
  <c r="KX18" i="7" s="1"/>
  <c r="KY18" i="7" s="1"/>
  <c r="KZ18" i="7" s="1"/>
  <c r="LA18" i="7" s="1"/>
  <c r="LB18" i="7" s="1"/>
  <c r="LC18" i="7" s="1"/>
  <c r="LD18" i="7" s="1"/>
  <c r="LE18" i="7" s="1"/>
  <c r="LF18" i="7" s="1"/>
  <c r="LG18" i="7" s="1"/>
  <c r="LH18" i="7" s="1"/>
  <c r="LI18" i="7" s="1"/>
  <c r="LJ18" i="7" s="1"/>
  <c r="LK18" i="7" s="1"/>
  <c r="LL18" i="7" s="1"/>
  <c r="LM18" i="7" s="1"/>
  <c r="LN18" i="7" s="1"/>
  <c r="LO18" i="7" s="1"/>
  <c r="LP18" i="7" s="1"/>
  <c r="LQ18" i="7" s="1"/>
  <c r="LR18" i="7" s="1"/>
  <c r="LS18" i="7" s="1"/>
  <c r="LT18" i="7" s="1"/>
  <c r="LU18" i="7" s="1"/>
  <c r="LV18" i="7" s="1"/>
  <c r="LW18" i="7" s="1"/>
  <c r="LX18" i="7" s="1"/>
  <c r="LY18" i="7" s="1"/>
  <c r="LZ18" i="7" s="1"/>
  <c r="MA18" i="7" s="1"/>
  <c r="MB18" i="7" s="1"/>
  <c r="MC18" i="7" s="1"/>
  <c r="MD18" i="7" s="1"/>
  <c r="ME18" i="7" s="1"/>
  <c r="MF18" i="7" s="1"/>
  <c r="MG18" i="7" s="1"/>
  <c r="MH18" i="7" s="1"/>
  <c r="MI18" i="7" s="1"/>
  <c r="MJ18" i="7" s="1"/>
  <c r="MK18" i="7" s="1"/>
  <c r="ML18" i="7" s="1"/>
  <c r="MM18" i="7" s="1"/>
  <c r="MN18" i="7" s="1"/>
  <c r="MO18" i="7" s="1"/>
  <c r="MP18" i="7" s="1"/>
  <c r="MQ18" i="7" s="1"/>
  <c r="MR18" i="7" s="1"/>
  <c r="MS18" i="7" s="1"/>
  <c r="MT18" i="7" s="1"/>
  <c r="MU18" i="7" s="1"/>
  <c r="MV18" i="7" s="1"/>
  <c r="MW18" i="7" s="1"/>
  <c r="MX18" i="7" s="1"/>
  <c r="MY18" i="7" s="1"/>
  <c r="MZ18" i="7" s="1"/>
  <c r="NA18" i="7" s="1"/>
  <c r="NB18" i="7" s="1"/>
  <c r="NC18" i="7" s="1"/>
  <c r="ND18" i="7" s="1"/>
  <c r="NE18" i="7" s="1"/>
  <c r="NF18" i="7" s="1"/>
  <c r="NG18" i="7" s="1"/>
  <c r="NH18" i="7" s="1"/>
  <c r="NI18" i="7" s="1"/>
  <c r="NJ18" i="7" s="1"/>
  <c r="NK18" i="7" s="1"/>
  <c r="NL18" i="7" s="1"/>
  <c r="NM18" i="7" s="1"/>
  <c r="NN18" i="7" s="1"/>
  <c r="NO18" i="7" s="1"/>
  <c r="NP18" i="7" s="1"/>
  <c r="NQ18" i="7" s="1"/>
  <c r="NR18" i="7" s="1"/>
  <c r="NS18" i="7" s="1"/>
  <c r="NT18" i="7" s="1"/>
  <c r="NU18" i="7" s="1"/>
  <c r="NV18" i="7" s="1"/>
  <c r="NW18" i="7" s="1"/>
  <c r="NX18" i="7" s="1"/>
  <c r="NY18" i="7" s="1"/>
  <c r="NZ18" i="7" s="1"/>
  <c r="OA18" i="7" s="1"/>
  <c r="OB18" i="7" s="1"/>
  <c r="OC18" i="7" s="1"/>
  <c r="OD18" i="7" s="1"/>
  <c r="OE18" i="7" s="1"/>
  <c r="OF18" i="7" s="1"/>
  <c r="OG18" i="7" s="1"/>
  <c r="OH18" i="7" s="1"/>
  <c r="OI18" i="7" s="1"/>
  <c r="OJ18" i="7" s="1"/>
  <c r="OK18" i="7" s="1"/>
  <c r="OL18" i="7" s="1"/>
  <c r="OM18" i="7" s="1"/>
  <c r="ON18" i="7" s="1"/>
  <c r="OO18" i="7" s="1"/>
  <c r="OP18" i="7" s="1"/>
  <c r="OQ18" i="7" s="1"/>
  <c r="OR18" i="7" s="1"/>
  <c r="OS18" i="7" s="1"/>
  <c r="OT18" i="7" s="1"/>
  <c r="OU18" i="7" s="1"/>
  <c r="OV18" i="7" s="1"/>
  <c r="OW18" i="7" s="1"/>
  <c r="OX18" i="7" s="1"/>
  <c r="OY18" i="7" s="1"/>
  <c r="OZ18" i="7" s="1"/>
  <c r="PA18" i="7" s="1"/>
  <c r="PB18" i="7" s="1"/>
  <c r="PC18" i="7" s="1"/>
  <c r="PD18" i="7" s="1"/>
  <c r="PE18" i="7" s="1"/>
  <c r="PF18" i="7" s="1"/>
  <c r="PG18" i="7" s="1"/>
  <c r="PH18" i="7" s="1"/>
  <c r="PI18" i="7" s="1"/>
  <c r="PJ18" i="7" s="1"/>
  <c r="PK18" i="7" s="1"/>
  <c r="PL18" i="7" s="1"/>
  <c r="PM18" i="7" s="1"/>
  <c r="PN18" i="7" s="1"/>
  <c r="PO18" i="7" s="1"/>
  <c r="PP18" i="7" s="1"/>
  <c r="PQ18" i="7" s="1"/>
  <c r="PR18" i="7" s="1"/>
  <c r="PS18" i="7" s="1"/>
  <c r="PT18" i="7" s="1"/>
  <c r="PU18" i="7" s="1"/>
  <c r="PV18" i="7" s="1"/>
  <c r="PW18" i="7" s="1"/>
  <c r="PX18" i="7" s="1"/>
  <c r="PY18" i="7" s="1"/>
  <c r="PZ18" i="7" s="1"/>
  <c r="QA18" i="7" s="1"/>
  <c r="QB18" i="7" s="1"/>
  <c r="QC18" i="7" s="1"/>
  <c r="QD18" i="7" s="1"/>
  <c r="QE18" i="7" s="1"/>
  <c r="QF18" i="7" s="1"/>
  <c r="QG18" i="7" s="1"/>
  <c r="QH18" i="7" s="1"/>
  <c r="QI18" i="7" s="1"/>
  <c r="QJ18" i="7" s="1"/>
  <c r="QK18" i="7" s="1"/>
  <c r="QL18" i="7" s="1"/>
  <c r="QM18" i="7" s="1"/>
  <c r="QN18" i="7" s="1"/>
  <c r="QO18" i="7" s="1"/>
  <c r="QP18" i="7" s="1"/>
  <c r="QQ18" i="7" s="1"/>
  <c r="QR18" i="7" s="1"/>
  <c r="QS18" i="7" s="1"/>
  <c r="QT18" i="7" s="1"/>
  <c r="QU18" i="7" s="1"/>
  <c r="QV18" i="7" s="1"/>
  <c r="QW18" i="7" s="1"/>
  <c r="QX18" i="7" s="1"/>
  <c r="QY18" i="7" s="1"/>
  <c r="QZ18" i="7" s="1"/>
  <c r="RA18" i="7" s="1"/>
  <c r="RB18" i="7" s="1"/>
  <c r="RC18" i="7" s="1"/>
  <c r="RD18" i="7" s="1"/>
  <c r="RE18" i="7" s="1"/>
  <c r="RF18" i="7" s="1"/>
  <c r="RG18" i="7" s="1"/>
  <c r="RH18" i="7" s="1"/>
  <c r="RI18" i="7" s="1"/>
  <c r="RJ18" i="7" s="1"/>
  <c r="RK18" i="7" s="1"/>
  <c r="RL18" i="7" s="1"/>
  <c r="RM18" i="7" s="1"/>
  <c r="RN18" i="7" s="1"/>
  <c r="RO18" i="7" s="1"/>
  <c r="RP18" i="7" s="1"/>
  <c r="RQ18" i="7" s="1"/>
  <c r="RR18" i="7" s="1"/>
  <c r="RS18" i="7" s="1"/>
  <c r="RT18" i="7" s="1"/>
  <c r="RU18" i="7" s="1"/>
  <c r="RV18" i="7" s="1"/>
  <c r="RW18" i="7" s="1"/>
  <c r="RX18" i="7" s="1"/>
  <c r="RY18" i="7" s="1"/>
  <c r="RZ18" i="7" s="1"/>
  <c r="SA18" i="7" s="1"/>
  <c r="SB18" i="7" s="1"/>
  <c r="SC18" i="7" s="1"/>
  <c r="SD18" i="7" s="1"/>
  <c r="SE18" i="7" s="1"/>
  <c r="SF18" i="7" s="1"/>
  <c r="SG18" i="7" s="1"/>
  <c r="SH18" i="7" s="1"/>
  <c r="SI18" i="7" s="1"/>
  <c r="SJ18" i="7" s="1"/>
  <c r="SK18" i="7" s="1"/>
  <c r="SL18" i="7" s="1"/>
  <c r="SM18" i="7" s="1"/>
  <c r="SN18" i="7" s="1"/>
  <c r="SO18" i="7" s="1"/>
  <c r="SP18" i="7" s="1"/>
  <c r="SQ18" i="7" s="1"/>
  <c r="SR18" i="7" s="1"/>
  <c r="SS18" i="7" s="1"/>
  <c r="ST18" i="7" s="1"/>
  <c r="SU18" i="7" s="1"/>
  <c r="SV18" i="7" s="1"/>
  <c r="SW18" i="7" s="1"/>
  <c r="SX18" i="7" s="1"/>
  <c r="SY18" i="7" s="1"/>
  <c r="SZ18" i="7" s="1"/>
  <c r="TA18" i="7" s="1"/>
  <c r="TB18" i="7" s="1"/>
  <c r="TC18" i="7" s="1"/>
  <c r="TD18" i="7" s="1"/>
  <c r="TE18" i="7" s="1"/>
  <c r="TF18" i="7" s="1"/>
  <c r="TG18" i="7" s="1"/>
  <c r="TH18" i="7" s="1"/>
  <c r="TI18" i="7" s="1"/>
  <c r="TJ18" i="7" s="1"/>
  <c r="TK18" i="7" s="1"/>
  <c r="TL18" i="7" s="1"/>
  <c r="TM18" i="7" s="1"/>
  <c r="TN18" i="7" s="1"/>
  <c r="TO18" i="7" s="1"/>
  <c r="TP18" i="7" s="1"/>
  <c r="TQ18" i="7" s="1"/>
  <c r="TR18" i="7" s="1"/>
  <c r="TS18" i="7" s="1"/>
  <c r="TT18" i="7" s="1"/>
  <c r="TU18" i="7" s="1"/>
  <c r="TV18" i="7" s="1"/>
  <c r="TW18" i="7" s="1"/>
  <c r="TX18" i="7" s="1"/>
  <c r="TY18" i="7" s="1"/>
  <c r="TZ18" i="7" s="1"/>
  <c r="UA18" i="7" s="1"/>
  <c r="UB18" i="7" s="1"/>
  <c r="UC18" i="7" s="1"/>
  <c r="UD18" i="7" s="1"/>
  <c r="UE18" i="7" s="1"/>
  <c r="UF18" i="7" s="1"/>
  <c r="UG18" i="7" s="1"/>
  <c r="UH18" i="7" s="1"/>
  <c r="UI18" i="7" s="1"/>
  <c r="UJ18" i="7" s="1"/>
  <c r="UK18" i="7" s="1"/>
  <c r="UL18" i="7" s="1"/>
  <c r="UM18" i="7" s="1"/>
  <c r="UN18" i="7" s="1"/>
  <c r="UO18" i="7" s="1"/>
  <c r="UP18" i="7" s="1"/>
  <c r="UQ18" i="7" s="1"/>
  <c r="UR18" i="7" s="1"/>
  <c r="US18" i="7" s="1"/>
  <c r="UT18" i="7" s="1"/>
  <c r="UU18" i="7" s="1"/>
  <c r="UV18" i="7" s="1"/>
  <c r="UW18" i="7" s="1"/>
  <c r="UX18" i="7" s="1"/>
  <c r="UY18" i="7" s="1"/>
  <c r="UZ18" i="7" s="1"/>
  <c r="VA18" i="7" s="1"/>
  <c r="VB18" i="7" s="1"/>
  <c r="VC18" i="7" s="1"/>
  <c r="VD18" i="7" s="1"/>
  <c r="VE18" i="7" s="1"/>
  <c r="VF18" i="7" s="1"/>
  <c r="VG18" i="7" s="1"/>
  <c r="VH18" i="7" s="1"/>
  <c r="VI18" i="7" s="1"/>
  <c r="VJ18" i="7" s="1"/>
  <c r="VK18" i="7" s="1"/>
  <c r="VL18" i="7" s="1"/>
  <c r="VM18" i="7" s="1"/>
  <c r="VN18" i="7" s="1"/>
  <c r="VO18" i="7" s="1"/>
  <c r="VP18" i="7" s="1"/>
  <c r="VQ18" i="7" s="1"/>
  <c r="VR18" i="7" s="1"/>
  <c r="VS18" i="7" s="1"/>
  <c r="VT18" i="7" s="1"/>
  <c r="VU18" i="7" s="1"/>
  <c r="VV18" i="7" s="1"/>
  <c r="VW18" i="7" s="1"/>
  <c r="VX18" i="7" s="1"/>
  <c r="VY18" i="7" s="1"/>
  <c r="VZ18" i="7" s="1"/>
  <c r="WA18" i="7" s="1"/>
  <c r="WB18" i="7" s="1"/>
  <c r="WC18" i="7" s="1"/>
  <c r="WD18" i="7" s="1"/>
  <c r="WE18" i="7" s="1"/>
  <c r="WF18" i="7" s="1"/>
  <c r="WG18" i="7" s="1"/>
  <c r="WH18" i="7" s="1"/>
  <c r="WI18" i="7" s="1"/>
  <c r="WJ18" i="7" s="1"/>
  <c r="WK18" i="7" s="1"/>
  <c r="WL18" i="7" s="1"/>
  <c r="WM18" i="7" s="1"/>
  <c r="WN18" i="7" s="1"/>
  <c r="WO18" i="7" s="1"/>
  <c r="WP18" i="7" s="1"/>
  <c r="WQ18" i="7" s="1"/>
  <c r="WR18" i="7" s="1"/>
  <c r="WS18" i="7" s="1"/>
  <c r="WT18" i="7" s="1"/>
  <c r="WU18" i="7" s="1"/>
  <c r="WV18" i="7" s="1"/>
  <c r="WW18" i="7" s="1"/>
  <c r="WX18" i="7" s="1"/>
  <c r="WY18" i="7" s="1"/>
  <c r="WZ18" i="7" s="1"/>
  <c r="XA18" i="7" s="1"/>
  <c r="XB18" i="7" s="1"/>
  <c r="XC18" i="7" s="1"/>
  <c r="XD18" i="7" s="1"/>
  <c r="XE18" i="7" s="1"/>
  <c r="XF18" i="7" s="1"/>
  <c r="XG18" i="7" s="1"/>
  <c r="XH18" i="7" s="1"/>
  <c r="XI18" i="7" s="1"/>
  <c r="XJ18" i="7" s="1"/>
  <c r="XK18" i="7" s="1"/>
  <c r="XL18" i="7" s="1"/>
  <c r="XM18" i="7" s="1"/>
  <c r="XN18" i="7" s="1"/>
  <c r="XO18" i="7" s="1"/>
  <c r="XP18" i="7" s="1"/>
  <c r="XQ18" i="7" s="1"/>
  <c r="XR18" i="7" s="1"/>
  <c r="XS18" i="7" s="1"/>
  <c r="XT18" i="7" s="1"/>
  <c r="XU18" i="7" s="1"/>
  <c r="XV18" i="7" s="1"/>
  <c r="XW18" i="7" s="1"/>
  <c r="XX18" i="7" s="1"/>
  <c r="XY18" i="7" s="1"/>
  <c r="XZ18" i="7" s="1"/>
  <c r="YA18" i="7" s="1"/>
  <c r="YB18" i="7" s="1"/>
  <c r="YC18" i="7" s="1"/>
  <c r="YD18" i="7" s="1"/>
  <c r="YE18" i="7" s="1"/>
  <c r="YF18" i="7" s="1"/>
  <c r="YG18" i="7" s="1"/>
  <c r="YH18" i="7" s="1"/>
  <c r="YI18" i="7" s="1"/>
  <c r="YJ18" i="7" s="1"/>
  <c r="YK18" i="7" s="1"/>
  <c r="YL18" i="7" s="1"/>
  <c r="YM18" i="7" s="1"/>
  <c r="YN18" i="7" s="1"/>
  <c r="YO18" i="7" s="1"/>
  <c r="YP18" i="7" s="1"/>
  <c r="YQ18" i="7" s="1"/>
  <c r="YR18" i="7" s="1"/>
  <c r="YS18" i="7" s="1"/>
  <c r="YT18" i="7" s="1"/>
  <c r="YU18" i="7" s="1"/>
  <c r="YV18" i="7" s="1"/>
  <c r="YW18" i="7" s="1"/>
  <c r="YX18" i="7" s="1"/>
  <c r="YY18" i="7" s="1"/>
  <c r="YZ18" i="7" s="1"/>
  <c r="ZA18" i="7" s="1"/>
  <c r="ZB18" i="7" s="1"/>
  <c r="ZC18" i="7" s="1"/>
  <c r="ZD18" i="7" s="1"/>
  <c r="ZE18" i="7" s="1"/>
  <c r="ZF18" i="7" s="1"/>
  <c r="ZG18" i="7" s="1"/>
  <c r="ZH18" i="7" s="1"/>
  <c r="ZI18" i="7" s="1"/>
  <c r="ZJ18" i="7" s="1"/>
  <c r="ZK18" i="7" s="1"/>
  <c r="ZL18" i="7" s="1"/>
  <c r="ZM18" i="7" s="1"/>
  <c r="ZN18" i="7" s="1"/>
  <c r="ZO18" i="7" s="1"/>
  <c r="ZP18" i="7" s="1"/>
  <c r="ZQ18" i="7" s="1"/>
  <c r="ZR18" i="7" s="1"/>
  <c r="ZS18" i="7" s="1"/>
  <c r="ZT18" i="7" s="1"/>
  <c r="ZU18" i="7" s="1"/>
  <c r="ZV18" i="7" s="1"/>
  <c r="ZW18" i="7" s="1"/>
  <c r="ZX18" i="7" s="1"/>
  <c r="ZY18" i="7" s="1"/>
  <c r="ZZ18" i="7" s="1"/>
  <c r="AAA18" i="7" s="1"/>
  <c r="AAB18" i="7" s="1"/>
  <c r="AAC18" i="7" s="1"/>
  <c r="AAD18" i="7" s="1"/>
  <c r="AAE18" i="7" s="1"/>
  <c r="AAF18" i="7" s="1"/>
  <c r="AAG18" i="7" s="1"/>
  <c r="AAH18" i="7" s="1"/>
  <c r="AAI18" i="7" s="1"/>
  <c r="AAJ18" i="7" s="1"/>
  <c r="AAK18" i="7" s="1"/>
  <c r="AAL18" i="7" s="1"/>
  <c r="AAM18" i="7" s="1"/>
  <c r="AAN18" i="7" s="1"/>
  <c r="AAO18" i="7" s="1"/>
  <c r="AAP18" i="7" s="1"/>
  <c r="AAQ18" i="7" s="1"/>
  <c r="AAR18" i="7" s="1"/>
  <c r="AAS18" i="7" s="1"/>
  <c r="AAT18" i="7" s="1"/>
  <c r="AAU18" i="7" s="1"/>
  <c r="AAV18" i="7" s="1"/>
  <c r="AAW18" i="7" s="1"/>
  <c r="AAX18" i="7" s="1"/>
  <c r="AAY18" i="7" s="1"/>
  <c r="AAZ18" i="7" s="1"/>
  <c r="ABA18" i="7" s="1"/>
  <c r="ABB18" i="7" s="1"/>
  <c r="ABC18" i="7" s="1"/>
  <c r="ABD18" i="7" s="1"/>
  <c r="ABE18" i="7" s="1"/>
  <c r="ABF18" i="7" s="1"/>
  <c r="ABG18" i="7" s="1"/>
  <c r="ABH18" i="7" s="1"/>
  <c r="ABI18" i="7" s="1"/>
  <c r="ABJ18" i="7" s="1"/>
  <c r="ABK18" i="7" s="1"/>
  <c r="ABL18" i="7" s="1"/>
  <c r="ABM18" i="7" s="1"/>
  <c r="ABN18" i="7" s="1"/>
  <c r="ABO18" i="7" s="1"/>
  <c r="ABP18" i="7" s="1"/>
  <c r="ABQ18" i="7" s="1"/>
  <c r="ABR18" i="7" s="1"/>
  <c r="ABS18" i="7" s="1"/>
  <c r="ABT18" i="7" s="1"/>
  <c r="ABU18" i="7" s="1"/>
  <c r="ABV18" i="7" s="1"/>
  <c r="ABW18" i="7" s="1"/>
  <c r="ABX18" i="7" s="1"/>
  <c r="ABY18" i="7" s="1"/>
  <c r="ABZ18" i="7" s="1"/>
  <c r="ACA18" i="7" s="1"/>
  <c r="ACB18" i="7" s="1"/>
  <c r="ACC18" i="7" s="1"/>
  <c r="ACD18" i="7" s="1"/>
  <c r="ACE18" i="7" s="1"/>
  <c r="ACF18" i="7" s="1"/>
  <c r="ACG18" i="7" s="1"/>
  <c r="ACH18" i="7" s="1"/>
  <c r="ACI18" i="7" s="1"/>
  <c r="ACJ18" i="7" s="1"/>
  <c r="ACK18" i="7" s="1"/>
  <c r="ACL18" i="7" s="1"/>
  <c r="ACM18" i="7" s="1"/>
  <c r="ACN18" i="7" s="1"/>
  <c r="ACO18" i="7" s="1"/>
  <c r="ACP18" i="7" s="1"/>
  <c r="ACQ18" i="7" s="1"/>
  <c r="ACR18" i="7" s="1"/>
  <c r="ACS18" i="7" s="1"/>
  <c r="ACT18" i="7" s="1"/>
  <c r="ACU18" i="7" s="1"/>
  <c r="ACV18" i="7" s="1"/>
  <c r="ACW18" i="7" s="1"/>
  <c r="ACX18" i="7" s="1"/>
  <c r="ACY18" i="7" s="1"/>
  <c r="ACZ18" i="7" s="1"/>
  <c r="ADA18" i="7" s="1"/>
  <c r="ADB18" i="7" s="1"/>
  <c r="ADC18" i="7" s="1"/>
  <c r="ADD18" i="7" s="1"/>
  <c r="ADE18" i="7" s="1"/>
  <c r="ADF18" i="7" s="1"/>
  <c r="ADG18" i="7" s="1"/>
  <c r="ADH18" i="7" s="1"/>
  <c r="ADI18" i="7" s="1"/>
  <c r="ADJ18" i="7" s="1"/>
  <c r="ADK18" i="7" s="1"/>
  <c r="ADL18" i="7" s="1"/>
  <c r="ADM18" i="7" s="1"/>
  <c r="ADN18" i="7" s="1"/>
  <c r="ADO18" i="7" s="1"/>
  <c r="ADP18" i="7" s="1"/>
  <c r="ADQ18" i="7" s="1"/>
  <c r="ADR18" i="7" s="1"/>
  <c r="ADS18" i="7" s="1"/>
  <c r="ADT18" i="7" s="1"/>
  <c r="ADU18" i="7" s="1"/>
  <c r="ADV18" i="7" s="1"/>
  <c r="ADW18" i="7" s="1"/>
  <c r="ADX18" i="7" s="1"/>
  <c r="ADY18" i="7" s="1"/>
  <c r="ADZ18" i="7" s="1"/>
  <c r="AEA18" i="7" s="1"/>
  <c r="AEB18" i="7" s="1"/>
  <c r="AEC18" i="7" s="1"/>
  <c r="AED18" i="7" s="1"/>
  <c r="AEE18" i="7" s="1"/>
  <c r="AEF18" i="7" s="1"/>
  <c r="AEG18" i="7" s="1"/>
  <c r="AEH18" i="7" s="1"/>
  <c r="AEI18" i="7" s="1"/>
  <c r="AEJ18" i="7" s="1"/>
  <c r="AEK18" i="7" s="1"/>
  <c r="AEL18" i="7" s="1"/>
  <c r="AEM18" i="7" s="1"/>
  <c r="AEN18" i="7" s="1"/>
  <c r="AEO18" i="7" s="1"/>
  <c r="AEP18" i="7" s="1"/>
  <c r="AEQ18" i="7" s="1"/>
  <c r="AER18" i="7" s="1"/>
  <c r="AES18" i="7" s="1"/>
  <c r="AET18" i="7" s="1"/>
  <c r="AEU18" i="7" s="1"/>
  <c r="AEV18" i="7" s="1"/>
  <c r="AEW18" i="7" s="1"/>
  <c r="AEX18" i="7" s="1"/>
  <c r="AEY18" i="7" s="1"/>
  <c r="AEZ18" i="7" s="1"/>
  <c r="AFA18" i="7" s="1"/>
  <c r="AFB18" i="7" s="1"/>
  <c r="AFC18" i="7" s="1"/>
  <c r="AFD18" i="7" s="1"/>
  <c r="AFE18" i="7" s="1"/>
  <c r="AFF18" i="7" s="1"/>
  <c r="AFG18" i="7" s="1"/>
  <c r="AFH18" i="7" s="1"/>
  <c r="AFI18" i="7" s="1"/>
  <c r="AFJ18" i="7" s="1"/>
  <c r="AFK18" i="7" s="1"/>
  <c r="AFL18" i="7" s="1"/>
  <c r="AFM18" i="7" s="1"/>
  <c r="AFN18" i="7" s="1"/>
  <c r="AFO18" i="7" s="1"/>
  <c r="AFP18" i="7" s="1"/>
  <c r="AFQ18" i="7" s="1"/>
  <c r="AFR18" i="7" s="1"/>
  <c r="AFS18" i="7" s="1"/>
  <c r="AFT18" i="7" s="1"/>
  <c r="AFU18" i="7" s="1"/>
  <c r="AFV18" i="7" s="1"/>
  <c r="AFW18" i="7" s="1"/>
  <c r="AFX18" i="7" s="1"/>
  <c r="AFY18" i="7" s="1"/>
  <c r="AFZ18" i="7" s="1"/>
  <c r="AGA18" i="7" s="1"/>
  <c r="AGB18" i="7" s="1"/>
  <c r="AGC18" i="7" s="1"/>
  <c r="AGD18" i="7" s="1"/>
  <c r="AGE18" i="7" s="1"/>
  <c r="AGF18" i="7" s="1"/>
  <c r="AGG18" i="7" s="1"/>
  <c r="AGH18" i="7" s="1"/>
  <c r="AGI18" i="7" s="1"/>
  <c r="AGJ18" i="7" s="1"/>
  <c r="AGK18" i="7" s="1"/>
  <c r="AGL18" i="7" s="1"/>
  <c r="AGM18" i="7" s="1"/>
  <c r="AGN18" i="7" s="1"/>
  <c r="AGO18" i="7" s="1"/>
  <c r="AGP18" i="7" s="1"/>
  <c r="AGQ18" i="7" s="1"/>
  <c r="AGR18" i="7" s="1"/>
  <c r="AGS18" i="7" s="1"/>
  <c r="AGT18" i="7" s="1"/>
  <c r="AGU18" i="7" s="1"/>
  <c r="AGV18" i="7" s="1"/>
  <c r="AGW18" i="7" s="1"/>
  <c r="AGX18" i="7" s="1"/>
  <c r="AGY18" i="7" s="1"/>
  <c r="AGZ18" i="7" s="1"/>
  <c r="AHA18" i="7" s="1"/>
  <c r="AHB18" i="7" s="1"/>
  <c r="AHC18" i="7" s="1"/>
  <c r="AHD18" i="7" s="1"/>
  <c r="AHE18" i="7" s="1"/>
  <c r="AHF18" i="7" s="1"/>
  <c r="AHG18" i="7" s="1"/>
  <c r="AHH18" i="7" s="1"/>
  <c r="AHI18" i="7" s="1"/>
  <c r="AHJ18" i="7" s="1"/>
  <c r="AHK18" i="7" s="1"/>
  <c r="AHL18" i="7" s="1"/>
  <c r="AHM18" i="7" s="1"/>
  <c r="AHN18" i="7" s="1"/>
  <c r="AHO18" i="7" s="1"/>
  <c r="AHP18" i="7" s="1"/>
  <c r="AHQ18" i="7" s="1"/>
  <c r="AHR18" i="7" s="1"/>
  <c r="AHS18" i="7" s="1"/>
  <c r="AHT18" i="7" s="1"/>
  <c r="AHU18" i="7" s="1"/>
  <c r="AHV18" i="7" s="1"/>
  <c r="AHW18" i="7" s="1"/>
  <c r="AHX18" i="7" s="1"/>
  <c r="AHY18" i="7" s="1"/>
  <c r="AHZ18" i="7" s="1"/>
  <c r="AIA18" i="7" s="1"/>
  <c r="AIB18" i="7" s="1"/>
  <c r="AIC18" i="7" s="1"/>
  <c r="AID18" i="7" s="1"/>
  <c r="AIE18" i="7" s="1"/>
  <c r="AIF18" i="7" s="1"/>
  <c r="AIG18" i="7" s="1"/>
  <c r="AIH18" i="7" s="1"/>
  <c r="AII18" i="7" s="1"/>
  <c r="AIJ18" i="7" s="1"/>
  <c r="AIK18" i="7" s="1"/>
  <c r="AIL18" i="7" s="1"/>
  <c r="AIM18" i="7" s="1"/>
  <c r="AIN18" i="7" s="1"/>
  <c r="AIO18" i="7" s="1"/>
  <c r="AIP18" i="7" s="1"/>
  <c r="AIQ18" i="7" s="1"/>
  <c r="AIR18" i="7" s="1"/>
  <c r="AIS18" i="7" s="1"/>
  <c r="AIT18" i="7" s="1"/>
  <c r="AIU18" i="7" s="1"/>
  <c r="AIV18" i="7" s="1"/>
  <c r="AIW18" i="7" s="1"/>
  <c r="AIX18" i="7" s="1"/>
  <c r="AIY18" i="7" s="1"/>
  <c r="AIZ18" i="7" s="1"/>
  <c r="AJA18" i="7" s="1"/>
  <c r="AJB18" i="7" s="1"/>
  <c r="AJC18" i="7" s="1"/>
  <c r="AJD18" i="7" s="1"/>
  <c r="AJE18" i="7" s="1"/>
  <c r="AJF18" i="7" s="1"/>
  <c r="AJG18" i="7" s="1"/>
  <c r="AJH18" i="7" s="1"/>
  <c r="AJI18" i="7" s="1"/>
  <c r="AJJ18" i="7" s="1"/>
  <c r="AJK18" i="7" s="1"/>
  <c r="AJL18" i="7" s="1"/>
  <c r="AJM18" i="7" s="1"/>
  <c r="AJN18" i="7" s="1"/>
  <c r="AJO18" i="7" s="1"/>
  <c r="AJP18" i="7" s="1"/>
  <c r="AJQ18" i="7" s="1"/>
  <c r="AJR18" i="7" s="1"/>
  <c r="AJS18" i="7" s="1"/>
  <c r="AJT18" i="7" s="1"/>
  <c r="AJU18" i="7" s="1"/>
  <c r="AJV18" i="7" s="1"/>
  <c r="AJW18" i="7" s="1"/>
  <c r="AJX18" i="7" s="1"/>
  <c r="AJY18" i="7" s="1"/>
  <c r="AJZ18" i="7" s="1"/>
  <c r="AKA18" i="7" s="1"/>
  <c r="AKB18" i="7" s="1"/>
  <c r="AKC18" i="7" s="1"/>
  <c r="AKD18" i="7" s="1"/>
  <c r="AKE18" i="7" s="1"/>
  <c r="AKF18" i="7" s="1"/>
  <c r="AKG18" i="7" s="1"/>
  <c r="AKH18" i="7" s="1"/>
  <c r="AKI18" i="7" s="1"/>
  <c r="AKJ18" i="7" s="1"/>
  <c r="AKK18" i="7" s="1"/>
  <c r="AKL18" i="7" s="1"/>
  <c r="AKM18" i="7" s="1"/>
  <c r="AKN18" i="7" s="1"/>
  <c r="AKO18" i="7" s="1"/>
  <c r="AKP18" i="7" s="1"/>
  <c r="AKQ18" i="7" s="1"/>
  <c r="AKR18" i="7" s="1"/>
  <c r="AKS18" i="7" s="1"/>
  <c r="AKT18" i="7" s="1"/>
  <c r="AKU18" i="7" s="1"/>
  <c r="AKV18" i="7" s="1"/>
  <c r="AKW18" i="7" s="1"/>
  <c r="AKX18" i="7" s="1"/>
  <c r="AKY18" i="7" s="1"/>
  <c r="AKZ18" i="7" s="1"/>
  <c r="ALA18" i="7" s="1"/>
  <c r="F6" i="7"/>
  <c r="F7" i="7" s="1"/>
  <c r="F8" i="7" s="1"/>
  <c r="F9" i="7" s="1"/>
  <c r="F10" i="7" s="1"/>
  <c r="F11" i="7" s="1"/>
  <c r="F12" i="7" s="1"/>
  <c r="F13" i="7" s="1"/>
  <c r="F14" i="7" s="1"/>
  <c r="F15" i="7" s="1"/>
  <c r="H3" i="7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V3" i="7" s="1"/>
  <c r="AW3" i="7" s="1"/>
  <c r="AX3" i="7" s="1"/>
  <c r="AY3" i="7" s="1"/>
  <c r="AZ3" i="7" s="1"/>
  <c r="BA3" i="7" s="1"/>
  <c r="BB3" i="7" s="1"/>
  <c r="BC3" i="7" s="1"/>
  <c r="BD3" i="7" s="1"/>
  <c r="BE3" i="7" s="1"/>
  <c r="BF3" i="7" s="1"/>
  <c r="BG3" i="7" s="1"/>
  <c r="BH3" i="7" s="1"/>
  <c r="BI3" i="7" s="1"/>
  <c r="BJ3" i="7" s="1"/>
  <c r="BK3" i="7" s="1"/>
  <c r="BL3" i="7" s="1"/>
  <c r="BM3" i="7" s="1"/>
  <c r="BN3" i="7" s="1"/>
  <c r="BO3" i="7" s="1"/>
  <c r="BP3" i="7" s="1"/>
  <c r="BQ3" i="7" s="1"/>
  <c r="BR3" i="7" s="1"/>
  <c r="BS3" i="7" s="1"/>
  <c r="BT3" i="7" s="1"/>
  <c r="BU3" i="7" s="1"/>
  <c r="BV3" i="7" s="1"/>
  <c r="BW3" i="7" s="1"/>
  <c r="BX3" i="7" s="1"/>
  <c r="BY3" i="7" s="1"/>
  <c r="BZ3" i="7" s="1"/>
  <c r="CA3" i="7" s="1"/>
  <c r="CB3" i="7" s="1"/>
  <c r="CC3" i="7" s="1"/>
  <c r="CD3" i="7" s="1"/>
  <c r="CE3" i="7" s="1"/>
  <c r="CF3" i="7" s="1"/>
  <c r="CG3" i="7" s="1"/>
  <c r="CH3" i="7" s="1"/>
  <c r="CI3" i="7" s="1"/>
  <c r="CJ3" i="7" s="1"/>
  <c r="CK3" i="7" s="1"/>
  <c r="CL3" i="7" s="1"/>
  <c r="CM3" i="7" s="1"/>
  <c r="CN3" i="7" s="1"/>
  <c r="CO3" i="7" s="1"/>
  <c r="CP3" i="7" s="1"/>
  <c r="CQ3" i="7" s="1"/>
  <c r="CR3" i="7" s="1"/>
  <c r="CS3" i="7" s="1"/>
  <c r="CT3" i="7" s="1"/>
  <c r="CU3" i="7" s="1"/>
  <c r="CV3" i="7" s="1"/>
  <c r="CW3" i="7" s="1"/>
  <c r="CX3" i="7" s="1"/>
  <c r="CY3" i="7" s="1"/>
  <c r="CZ3" i="7" s="1"/>
  <c r="DA3" i="7" s="1"/>
  <c r="DB3" i="7" s="1"/>
  <c r="DC3" i="7" s="1"/>
  <c r="DD3" i="7" s="1"/>
  <c r="DE3" i="7" s="1"/>
  <c r="DF3" i="7" s="1"/>
  <c r="DG3" i="7" s="1"/>
  <c r="DH3" i="7" s="1"/>
  <c r="DI3" i="7" s="1"/>
  <c r="DJ3" i="7" s="1"/>
  <c r="DK3" i="7" s="1"/>
  <c r="DL3" i="7" s="1"/>
  <c r="DM3" i="7" s="1"/>
  <c r="DN3" i="7" s="1"/>
  <c r="DO3" i="7" s="1"/>
  <c r="DP3" i="7" s="1"/>
  <c r="DQ3" i="7" s="1"/>
  <c r="DR3" i="7" s="1"/>
  <c r="DS3" i="7" s="1"/>
  <c r="DT3" i="7" s="1"/>
  <c r="DU3" i="7" s="1"/>
  <c r="DV3" i="7" s="1"/>
  <c r="DW3" i="7" s="1"/>
  <c r="DX3" i="7" s="1"/>
  <c r="DY3" i="7" s="1"/>
  <c r="DZ3" i="7" s="1"/>
  <c r="EA3" i="7" s="1"/>
  <c r="EB3" i="7" s="1"/>
  <c r="EC3" i="7" s="1"/>
  <c r="ED3" i="7" s="1"/>
  <c r="EE3" i="7" s="1"/>
  <c r="EF3" i="7" s="1"/>
  <c r="EG3" i="7" s="1"/>
  <c r="EH3" i="7" s="1"/>
  <c r="EI3" i="7" s="1"/>
  <c r="EJ3" i="7" s="1"/>
  <c r="EK3" i="7" s="1"/>
  <c r="EL3" i="7" s="1"/>
  <c r="EM3" i="7" s="1"/>
  <c r="EN3" i="7" s="1"/>
  <c r="EO3" i="7" s="1"/>
  <c r="EP3" i="7" s="1"/>
  <c r="EQ3" i="7" s="1"/>
  <c r="ER3" i="7" s="1"/>
  <c r="ES3" i="7" s="1"/>
  <c r="ET3" i="7" s="1"/>
  <c r="EU3" i="7" s="1"/>
  <c r="EV3" i="7" s="1"/>
  <c r="EW3" i="7" s="1"/>
  <c r="EX3" i="7" s="1"/>
  <c r="EY3" i="7" s="1"/>
  <c r="EZ3" i="7" s="1"/>
  <c r="FA3" i="7" s="1"/>
  <c r="FB3" i="7" s="1"/>
  <c r="FC3" i="7" s="1"/>
  <c r="FD3" i="7" s="1"/>
  <c r="FE3" i="7" s="1"/>
  <c r="FF3" i="7" s="1"/>
  <c r="FG3" i="7" s="1"/>
  <c r="FH3" i="7" s="1"/>
  <c r="FI3" i="7" s="1"/>
  <c r="FJ3" i="7" s="1"/>
  <c r="FK3" i="7" s="1"/>
  <c r="FL3" i="7" s="1"/>
  <c r="FM3" i="7" s="1"/>
  <c r="FN3" i="7" s="1"/>
  <c r="FO3" i="7" s="1"/>
  <c r="FP3" i="7" s="1"/>
  <c r="FQ3" i="7" s="1"/>
  <c r="FR3" i="7" s="1"/>
  <c r="FS3" i="7" s="1"/>
  <c r="FT3" i="7" s="1"/>
  <c r="FU3" i="7" s="1"/>
  <c r="FV3" i="7" s="1"/>
  <c r="FW3" i="7" s="1"/>
  <c r="FX3" i="7" s="1"/>
  <c r="FY3" i="7" s="1"/>
  <c r="FZ3" i="7" s="1"/>
  <c r="GA3" i="7" s="1"/>
  <c r="GB3" i="7" s="1"/>
  <c r="GC3" i="7" s="1"/>
  <c r="GD3" i="7" s="1"/>
  <c r="GE3" i="7" s="1"/>
  <c r="GF3" i="7" s="1"/>
  <c r="GG3" i="7" s="1"/>
  <c r="GH3" i="7" s="1"/>
  <c r="GI3" i="7" s="1"/>
  <c r="GJ3" i="7" s="1"/>
  <c r="GK3" i="7" s="1"/>
  <c r="GL3" i="7" s="1"/>
  <c r="GM3" i="7" s="1"/>
  <c r="GN3" i="7" s="1"/>
  <c r="GO3" i="7" s="1"/>
  <c r="GP3" i="7" s="1"/>
  <c r="GQ3" i="7" s="1"/>
  <c r="GR3" i="7" s="1"/>
  <c r="GS3" i="7" s="1"/>
  <c r="GT3" i="7" s="1"/>
  <c r="GU3" i="7" s="1"/>
  <c r="GV3" i="7" s="1"/>
  <c r="GW3" i="7" s="1"/>
  <c r="GX3" i="7" s="1"/>
  <c r="GY3" i="7" s="1"/>
  <c r="GZ3" i="7" s="1"/>
  <c r="HA3" i="7" s="1"/>
  <c r="HB3" i="7" s="1"/>
  <c r="HC3" i="7" s="1"/>
  <c r="HD3" i="7" s="1"/>
  <c r="HE3" i="7" s="1"/>
  <c r="HF3" i="7" s="1"/>
  <c r="HG3" i="7" s="1"/>
  <c r="HH3" i="7" s="1"/>
  <c r="HI3" i="7" s="1"/>
  <c r="HJ3" i="7" s="1"/>
  <c r="HK3" i="7" s="1"/>
  <c r="HL3" i="7" s="1"/>
  <c r="HM3" i="7" s="1"/>
  <c r="HN3" i="7" s="1"/>
  <c r="HO3" i="7" s="1"/>
  <c r="HP3" i="7" s="1"/>
  <c r="HQ3" i="7" s="1"/>
  <c r="HR3" i="7" s="1"/>
  <c r="HS3" i="7" s="1"/>
  <c r="HT3" i="7" s="1"/>
  <c r="HU3" i="7" s="1"/>
  <c r="HV3" i="7" s="1"/>
  <c r="HW3" i="7" s="1"/>
  <c r="HX3" i="7" s="1"/>
  <c r="HY3" i="7" s="1"/>
  <c r="HZ3" i="7" s="1"/>
  <c r="IA3" i="7" s="1"/>
  <c r="IB3" i="7" s="1"/>
  <c r="IC3" i="7" s="1"/>
  <c r="ID3" i="7" s="1"/>
  <c r="IE3" i="7" s="1"/>
  <c r="IF3" i="7" s="1"/>
  <c r="IG3" i="7" s="1"/>
  <c r="IH3" i="7" s="1"/>
  <c r="II3" i="7" s="1"/>
  <c r="IJ3" i="7" s="1"/>
  <c r="IK3" i="7" s="1"/>
  <c r="IL3" i="7" s="1"/>
  <c r="IM3" i="7" s="1"/>
  <c r="IN3" i="7" s="1"/>
  <c r="IO3" i="7" s="1"/>
  <c r="IP3" i="7" s="1"/>
  <c r="IQ3" i="7" s="1"/>
  <c r="IR3" i="7" s="1"/>
  <c r="IS3" i="7" s="1"/>
  <c r="IT3" i="7" s="1"/>
  <c r="IU3" i="7" s="1"/>
  <c r="IV3" i="7" s="1"/>
  <c r="IW3" i="7" s="1"/>
  <c r="IX3" i="7" s="1"/>
  <c r="IY3" i="7" s="1"/>
  <c r="IZ3" i="7" s="1"/>
  <c r="JA3" i="7" s="1"/>
  <c r="JB3" i="7" s="1"/>
  <c r="JC3" i="7" s="1"/>
  <c r="JD3" i="7" s="1"/>
  <c r="JE3" i="7" s="1"/>
  <c r="JF3" i="7" s="1"/>
  <c r="JG3" i="7" s="1"/>
  <c r="JH3" i="7" s="1"/>
  <c r="JI3" i="7" s="1"/>
  <c r="JJ3" i="7" s="1"/>
  <c r="JK3" i="7" s="1"/>
  <c r="JL3" i="7" s="1"/>
  <c r="JM3" i="7" s="1"/>
  <c r="JN3" i="7" s="1"/>
  <c r="JO3" i="7" s="1"/>
  <c r="JP3" i="7" s="1"/>
  <c r="JQ3" i="7" s="1"/>
  <c r="JR3" i="7" s="1"/>
  <c r="JS3" i="7" s="1"/>
  <c r="JT3" i="7" s="1"/>
  <c r="JU3" i="7" s="1"/>
  <c r="JV3" i="7" s="1"/>
  <c r="JW3" i="7" s="1"/>
  <c r="JX3" i="7" s="1"/>
  <c r="JY3" i="7" s="1"/>
  <c r="JZ3" i="7" s="1"/>
  <c r="KA3" i="7" s="1"/>
  <c r="KB3" i="7" s="1"/>
  <c r="KC3" i="7" s="1"/>
  <c r="KD3" i="7" s="1"/>
  <c r="KE3" i="7" s="1"/>
  <c r="KF3" i="7" s="1"/>
  <c r="KG3" i="7" s="1"/>
  <c r="KH3" i="7" s="1"/>
  <c r="KI3" i="7" s="1"/>
  <c r="KJ3" i="7" s="1"/>
  <c r="KK3" i="7" s="1"/>
  <c r="KL3" i="7" s="1"/>
  <c r="KM3" i="7" s="1"/>
  <c r="KN3" i="7" s="1"/>
  <c r="KO3" i="7" s="1"/>
  <c r="KP3" i="7" s="1"/>
  <c r="KQ3" i="7" s="1"/>
  <c r="KR3" i="7" s="1"/>
  <c r="KS3" i="7" s="1"/>
  <c r="KT3" i="7" s="1"/>
  <c r="KU3" i="7" s="1"/>
  <c r="KV3" i="7" s="1"/>
  <c r="KW3" i="7" s="1"/>
  <c r="KX3" i="7" s="1"/>
  <c r="KY3" i="7" s="1"/>
  <c r="KZ3" i="7" s="1"/>
  <c r="LA3" i="7" s="1"/>
  <c r="LB3" i="7" s="1"/>
  <c r="LC3" i="7" s="1"/>
  <c r="LD3" i="7" s="1"/>
  <c r="LE3" i="7" s="1"/>
  <c r="LF3" i="7" s="1"/>
  <c r="LG3" i="7" s="1"/>
  <c r="LH3" i="7" s="1"/>
  <c r="LI3" i="7" s="1"/>
  <c r="LJ3" i="7" s="1"/>
  <c r="LK3" i="7" s="1"/>
  <c r="LL3" i="7" s="1"/>
  <c r="LM3" i="7" s="1"/>
  <c r="LN3" i="7" s="1"/>
  <c r="LO3" i="7" s="1"/>
  <c r="LP3" i="7" s="1"/>
  <c r="LQ3" i="7" s="1"/>
  <c r="LR3" i="7" s="1"/>
  <c r="LS3" i="7" s="1"/>
  <c r="LT3" i="7" s="1"/>
  <c r="LU3" i="7" s="1"/>
  <c r="LV3" i="7" s="1"/>
  <c r="LW3" i="7" s="1"/>
  <c r="LX3" i="7" s="1"/>
  <c r="LY3" i="7" s="1"/>
  <c r="LZ3" i="7" s="1"/>
  <c r="MA3" i="7" s="1"/>
  <c r="MB3" i="7" s="1"/>
  <c r="MC3" i="7" s="1"/>
  <c r="MD3" i="7" s="1"/>
  <c r="ME3" i="7" s="1"/>
  <c r="MF3" i="7" s="1"/>
  <c r="MG3" i="7" s="1"/>
  <c r="MH3" i="7" s="1"/>
  <c r="MI3" i="7" s="1"/>
  <c r="MJ3" i="7" s="1"/>
  <c r="MK3" i="7" s="1"/>
  <c r="ML3" i="7" s="1"/>
  <c r="MM3" i="7" s="1"/>
  <c r="MN3" i="7" s="1"/>
  <c r="MO3" i="7" s="1"/>
  <c r="MP3" i="7" s="1"/>
  <c r="MQ3" i="7" s="1"/>
  <c r="MR3" i="7" s="1"/>
  <c r="MS3" i="7" s="1"/>
  <c r="MT3" i="7" s="1"/>
  <c r="MU3" i="7" s="1"/>
  <c r="MV3" i="7" s="1"/>
  <c r="MW3" i="7" s="1"/>
  <c r="MX3" i="7" s="1"/>
  <c r="MY3" i="7" s="1"/>
  <c r="MZ3" i="7" s="1"/>
  <c r="NA3" i="7" s="1"/>
  <c r="NB3" i="7" s="1"/>
  <c r="NC3" i="7" s="1"/>
  <c r="ND3" i="7" s="1"/>
  <c r="NE3" i="7" s="1"/>
  <c r="NF3" i="7" s="1"/>
  <c r="NG3" i="7" s="1"/>
  <c r="NH3" i="7" s="1"/>
  <c r="NI3" i="7" s="1"/>
  <c r="NJ3" i="7" s="1"/>
  <c r="NK3" i="7" s="1"/>
  <c r="NL3" i="7" s="1"/>
  <c r="NM3" i="7" s="1"/>
  <c r="NN3" i="7" s="1"/>
  <c r="NO3" i="7" s="1"/>
  <c r="NP3" i="7" s="1"/>
  <c r="NQ3" i="7" s="1"/>
  <c r="NR3" i="7" s="1"/>
  <c r="NS3" i="7" s="1"/>
  <c r="NT3" i="7" s="1"/>
  <c r="NU3" i="7" s="1"/>
  <c r="NV3" i="7" s="1"/>
  <c r="NW3" i="7" s="1"/>
  <c r="NX3" i="7" s="1"/>
  <c r="NY3" i="7" s="1"/>
  <c r="NZ3" i="7" s="1"/>
  <c r="OA3" i="7" s="1"/>
  <c r="OB3" i="7" s="1"/>
  <c r="OC3" i="7" s="1"/>
  <c r="OD3" i="7" s="1"/>
  <c r="OE3" i="7" s="1"/>
  <c r="OF3" i="7" s="1"/>
  <c r="OG3" i="7" s="1"/>
  <c r="OH3" i="7" s="1"/>
  <c r="OI3" i="7" s="1"/>
  <c r="OJ3" i="7" s="1"/>
  <c r="OK3" i="7" s="1"/>
  <c r="OL3" i="7" s="1"/>
  <c r="OM3" i="7" s="1"/>
  <c r="ON3" i="7" s="1"/>
  <c r="OO3" i="7" s="1"/>
  <c r="OP3" i="7" s="1"/>
  <c r="OQ3" i="7" s="1"/>
  <c r="OR3" i="7" s="1"/>
  <c r="OS3" i="7" s="1"/>
  <c r="OT3" i="7" s="1"/>
  <c r="OU3" i="7" s="1"/>
  <c r="OV3" i="7" s="1"/>
  <c r="OW3" i="7" s="1"/>
  <c r="OX3" i="7" s="1"/>
  <c r="OY3" i="7" s="1"/>
  <c r="OZ3" i="7" s="1"/>
  <c r="PA3" i="7" s="1"/>
  <c r="PB3" i="7" s="1"/>
  <c r="PC3" i="7" s="1"/>
  <c r="PD3" i="7" s="1"/>
  <c r="PE3" i="7" s="1"/>
  <c r="PF3" i="7" s="1"/>
  <c r="PG3" i="7" s="1"/>
  <c r="PH3" i="7" s="1"/>
  <c r="PI3" i="7" s="1"/>
  <c r="PJ3" i="7" s="1"/>
  <c r="PK3" i="7" s="1"/>
  <c r="PL3" i="7" s="1"/>
  <c r="PM3" i="7" s="1"/>
  <c r="PN3" i="7" s="1"/>
  <c r="PO3" i="7" s="1"/>
  <c r="PP3" i="7" s="1"/>
  <c r="PQ3" i="7" s="1"/>
  <c r="PR3" i="7" s="1"/>
  <c r="PS3" i="7" s="1"/>
  <c r="PT3" i="7" s="1"/>
  <c r="PU3" i="7" s="1"/>
  <c r="PV3" i="7" s="1"/>
  <c r="PW3" i="7" s="1"/>
  <c r="PX3" i="7" s="1"/>
  <c r="PY3" i="7" s="1"/>
  <c r="PZ3" i="7" s="1"/>
  <c r="QA3" i="7" s="1"/>
  <c r="QB3" i="7" s="1"/>
  <c r="QC3" i="7" s="1"/>
  <c r="QD3" i="7" s="1"/>
  <c r="QE3" i="7" s="1"/>
  <c r="QF3" i="7" s="1"/>
  <c r="QG3" i="7" s="1"/>
  <c r="QH3" i="7" s="1"/>
  <c r="QI3" i="7" s="1"/>
  <c r="QJ3" i="7" s="1"/>
  <c r="QK3" i="7" s="1"/>
  <c r="QL3" i="7" s="1"/>
  <c r="QM3" i="7" s="1"/>
  <c r="QN3" i="7" s="1"/>
  <c r="QO3" i="7" s="1"/>
  <c r="QP3" i="7" s="1"/>
  <c r="QQ3" i="7" s="1"/>
  <c r="QR3" i="7" s="1"/>
  <c r="QS3" i="7" s="1"/>
  <c r="QT3" i="7" s="1"/>
  <c r="QU3" i="7" s="1"/>
  <c r="QV3" i="7" s="1"/>
  <c r="QW3" i="7" s="1"/>
  <c r="QX3" i="7" s="1"/>
  <c r="QY3" i="7" s="1"/>
  <c r="QZ3" i="7" s="1"/>
  <c r="RA3" i="7" s="1"/>
  <c r="RB3" i="7" s="1"/>
  <c r="RC3" i="7" s="1"/>
  <c r="RD3" i="7" s="1"/>
  <c r="RE3" i="7" s="1"/>
  <c r="RF3" i="7" s="1"/>
  <c r="RG3" i="7" s="1"/>
  <c r="RH3" i="7" s="1"/>
  <c r="RI3" i="7" s="1"/>
  <c r="RJ3" i="7" s="1"/>
  <c r="RK3" i="7" s="1"/>
  <c r="RL3" i="7" s="1"/>
  <c r="RM3" i="7" s="1"/>
  <c r="RN3" i="7" s="1"/>
  <c r="RO3" i="7" s="1"/>
  <c r="RP3" i="7" s="1"/>
  <c r="RQ3" i="7" s="1"/>
  <c r="RR3" i="7" s="1"/>
  <c r="RS3" i="7" s="1"/>
  <c r="RT3" i="7" s="1"/>
  <c r="RU3" i="7" s="1"/>
  <c r="RV3" i="7" s="1"/>
  <c r="RW3" i="7" s="1"/>
  <c r="RX3" i="7" s="1"/>
  <c r="RY3" i="7" s="1"/>
  <c r="RZ3" i="7" s="1"/>
  <c r="SA3" i="7" s="1"/>
  <c r="SB3" i="7" s="1"/>
  <c r="SC3" i="7" s="1"/>
  <c r="SD3" i="7" s="1"/>
  <c r="SE3" i="7" s="1"/>
  <c r="SF3" i="7" s="1"/>
  <c r="SG3" i="7" s="1"/>
  <c r="SH3" i="7" s="1"/>
  <c r="SI3" i="7" s="1"/>
  <c r="SJ3" i="7" s="1"/>
  <c r="SK3" i="7" s="1"/>
  <c r="SL3" i="7" s="1"/>
  <c r="SM3" i="7" s="1"/>
  <c r="SN3" i="7" s="1"/>
  <c r="SO3" i="7" s="1"/>
  <c r="SP3" i="7" s="1"/>
  <c r="SQ3" i="7" s="1"/>
  <c r="SR3" i="7" s="1"/>
  <c r="SS3" i="7" s="1"/>
  <c r="ST3" i="7" s="1"/>
  <c r="SU3" i="7" s="1"/>
  <c r="SV3" i="7" s="1"/>
  <c r="SW3" i="7" s="1"/>
  <c r="SX3" i="7" s="1"/>
  <c r="SY3" i="7" s="1"/>
  <c r="SZ3" i="7" s="1"/>
  <c r="TA3" i="7" s="1"/>
  <c r="TB3" i="7" s="1"/>
  <c r="TC3" i="7" s="1"/>
  <c r="TD3" i="7" s="1"/>
  <c r="TE3" i="7" s="1"/>
  <c r="TF3" i="7" s="1"/>
  <c r="TG3" i="7" s="1"/>
  <c r="TH3" i="7" s="1"/>
  <c r="TI3" i="7" s="1"/>
  <c r="TJ3" i="7" s="1"/>
  <c r="TK3" i="7" s="1"/>
  <c r="TL3" i="7" s="1"/>
  <c r="TM3" i="7" s="1"/>
  <c r="TN3" i="7" s="1"/>
  <c r="TO3" i="7" s="1"/>
  <c r="TP3" i="7" s="1"/>
  <c r="TQ3" i="7" s="1"/>
  <c r="TR3" i="7" s="1"/>
  <c r="TS3" i="7" s="1"/>
  <c r="TT3" i="7" s="1"/>
  <c r="TU3" i="7" s="1"/>
  <c r="TV3" i="7" s="1"/>
  <c r="TW3" i="7" s="1"/>
  <c r="TX3" i="7" s="1"/>
  <c r="TY3" i="7" s="1"/>
  <c r="TZ3" i="7" s="1"/>
  <c r="UA3" i="7" s="1"/>
  <c r="UB3" i="7" s="1"/>
  <c r="UC3" i="7" s="1"/>
  <c r="UD3" i="7" s="1"/>
  <c r="UE3" i="7" s="1"/>
  <c r="UF3" i="7" s="1"/>
  <c r="UG3" i="7" s="1"/>
  <c r="UH3" i="7" s="1"/>
  <c r="UI3" i="7" s="1"/>
  <c r="UJ3" i="7" s="1"/>
  <c r="UK3" i="7" s="1"/>
  <c r="UL3" i="7" s="1"/>
  <c r="UM3" i="7" s="1"/>
  <c r="UN3" i="7" s="1"/>
  <c r="UO3" i="7" s="1"/>
  <c r="UP3" i="7" s="1"/>
  <c r="UQ3" i="7" s="1"/>
  <c r="UR3" i="7" s="1"/>
  <c r="US3" i="7" s="1"/>
  <c r="UT3" i="7" s="1"/>
  <c r="UU3" i="7" s="1"/>
  <c r="UV3" i="7" s="1"/>
  <c r="UW3" i="7" s="1"/>
  <c r="UX3" i="7" s="1"/>
  <c r="UY3" i="7" s="1"/>
  <c r="UZ3" i="7" s="1"/>
  <c r="VA3" i="7" s="1"/>
  <c r="VB3" i="7" s="1"/>
  <c r="VC3" i="7" s="1"/>
  <c r="VD3" i="7" s="1"/>
  <c r="VE3" i="7" s="1"/>
  <c r="VF3" i="7" s="1"/>
  <c r="VG3" i="7" s="1"/>
  <c r="VH3" i="7" s="1"/>
  <c r="VI3" i="7" s="1"/>
  <c r="VJ3" i="7" s="1"/>
  <c r="VK3" i="7" s="1"/>
  <c r="VL3" i="7" s="1"/>
  <c r="VM3" i="7" s="1"/>
  <c r="VN3" i="7" s="1"/>
  <c r="VO3" i="7" s="1"/>
  <c r="VP3" i="7" s="1"/>
  <c r="VQ3" i="7" s="1"/>
  <c r="VR3" i="7" s="1"/>
  <c r="VS3" i="7" s="1"/>
  <c r="VT3" i="7" s="1"/>
  <c r="VU3" i="7" s="1"/>
  <c r="VV3" i="7" s="1"/>
  <c r="VW3" i="7" s="1"/>
  <c r="VX3" i="7" s="1"/>
  <c r="VY3" i="7" s="1"/>
  <c r="VZ3" i="7" s="1"/>
  <c r="WA3" i="7" s="1"/>
  <c r="WB3" i="7" s="1"/>
  <c r="WC3" i="7" s="1"/>
  <c r="WD3" i="7" s="1"/>
  <c r="WE3" i="7" s="1"/>
  <c r="WF3" i="7" s="1"/>
  <c r="WG3" i="7" s="1"/>
  <c r="WH3" i="7" s="1"/>
  <c r="WI3" i="7" s="1"/>
  <c r="WJ3" i="7" s="1"/>
  <c r="WK3" i="7" s="1"/>
  <c r="WL3" i="7" s="1"/>
  <c r="WM3" i="7" s="1"/>
  <c r="WN3" i="7" s="1"/>
  <c r="WO3" i="7" s="1"/>
  <c r="WP3" i="7" s="1"/>
  <c r="WQ3" i="7" s="1"/>
  <c r="WR3" i="7" s="1"/>
  <c r="WS3" i="7" s="1"/>
  <c r="WT3" i="7" s="1"/>
  <c r="WU3" i="7" s="1"/>
  <c r="WV3" i="7" s="1"/>
  <c r="WW3" i="7" s="1"/>
  <c r="WX3" i="7" s="1"/>
  <c r="WY3" i="7" s="1"/>
  <c r="WZ3" i="7" s="1"/>
  <c r="XA3" i="7" s="1"/>
  <c r="XB3" i="7" s="1"/>
  <c r="XC3" i="7" s="1"/>
  <c r="XD3" i="7" s="1"/>
  <c r="XE3" i="7" s="1"/>
  <c r="XF3" i="7" s="1"/>
  <c r="XG3" i="7" s="1"/>
  <c r="XH3" i="7" s="1"/>
  <c r="XI3" i="7" s="1"/>
  <c r="XJ3" i="7" s="1"/>
  <c r="XK3" i="7" s="1"/>
  <c r="XL3" i="7" s="1"/>
  <c r="XM3" i="7" s="1"/>
  <c r="XN3" i="7" s="1"/>
  <c r="XO3" i="7" s="1"/>
  <c r="XP3" i="7" s="1"/>
  <c r="XQ3" i="7" s="1"/>
  <c r="XR3" i="7" s="1"/>
  <c r="XS3" i="7" s="1"/>
  <c r="XT3" i="7" s="1"/>
  <c r="XU3" i="7" s="1"/>
  <c r="XV3" i="7" s="1"/>
  <c r="XW3" i="7" s="1"/>
  <c r="XX3" i="7" s="1"/>
  <c r="XY3" i="7" s="1"/>
  <c r="XZ3" i="7" s="1"/>
  <c r="YA3" i="7" s="1"/>
  <c r="YB3" i="7" s="1"/>
  <c r="YC3" i="7" s="1"/>
  <c r="YD3" i="7" s="1"/>
  <c r="YE3" i="7" s="1"/>
  <c r="YF3" i="7" s="1"/>
  <c r="YG3" i="7" s="1"/>
  <c r="YH3" i="7" s="1"/>
  <c r="YI3" i="7" s="1"/>
  <c r="YJ3" i="7" s="1"/>
  <c r="YK3" i="7" s="1"/>
  <c r="YL3" i="7" s="1"/>
  <c r="YM3" i="7" s="1"/>
  <c r="YN3" i="7" s="1"/>
  <c r="YO3" i="7" s="1"/>
  <c r="YP3" i="7" s="1"/>
  <c r="YQ3" i="7" s="1"/>
  <c r="YR3" i="7" s="1"/>
  <c r="YS3" i="7" s="1"/>
  <c r="YT3" i="7" s="1"/>
  <c r="YU3" i="7" s="1"/>
  <c r="YV3" i="7" s="1"/>
  <c r="YW3" i="7" s="1"/>
  <c r="YX3" i="7" s="1"/>
  <c r="YY3" i="7" s="1"/>
  <c r="YZ3" i="7" s="1"/>
  <c r="ZA3" i="7" s="1"/>
  <c r="ZB3" i="7" s="1"/>
  <c r="ZC3" i="7" s="1"/>
  <c r="ZD3" i="7" s="1"/>
  <c r="ZE3" i="7" s="1"/>
  <c r="ZF3" i="7" s="1"/>
  <c r="ZG3" i="7" s="1"/>
  <c r="ZH3" i="7" s="1"/>
  <c r="ZI3" i="7" s="1"/>
  <c r="ZJ3" i="7" s="1"/>
  <c r="ZK3" i="7" s="1"/>
  <c r="ZL3" i="7" s="1"/>
  <c r="ZM3" i="7" s="1"/>
  <c r="ZN3" i="7" s="1"/>
  <c r="ZO3" i="7" s="1"/>
  <c r="ZP3" i="7" s="1"/>
  <c r="ZQ3" i="7" s="1"/>
  <c r="ZR3" i="7" s="1"/>
  <c r="ZS3" i="7" s="1"/>
  <c r="ZT3" i="7" s="1"/>
  <c r="ZU3" i="7" s="1"/>
  <c r="ZV3" i="7" s="1"/>
  <c r="ZW3" i="7" s="1"/>
  <c r="ZX3" i="7" s="1"/>
  <c r="ZY3" i="7" s="1"/>
  <c r="ZZ3" i="7" s="1"/>
  <c r="AAA3" i="7" s="1"/>
  <c r="AAB3" i="7" s="1"/>
  <c r="AAC3" i="7" s="1"/>
  <c r="AAD3" i="7" s="1"/>
  <c r="AAE3" i="7" s="1"/>
  <c r="AAF3" i="7" s="1"/>
  <c r="AAG3" i="7" s="1"/>
  <c r="AAH3" i="7" s="1"/>
  <c r="AAI3" i="7" s="1"/>
  <c r="AAJ3" i="7" s="1"/>
  <c r="AAK3" i="7" s="1"/>
  <c r="AAL3" i="7" s="1"/>
  <c r="AAM3" i="7" s="1"/>
  <c r="AAN3" i="7" s="1"/>
  <c r="AAO3" i="7" s="1"/>
  <c r="AAP3" i="7" s="1"/>
  <c r="AAQ3" i="7" s="1"/>
  <c r="AAR3" i="7" s="1"/>
  <c r="AAS3" i="7" s="1"/>
  <c r="AAT3" i="7" s="1"/>
  <c r="AAU3" i="7" s="1"/>
  <c r="AAV3" i="7" s="1"/>
  <c r="AAW3" i="7" s="1"/>
  <c r="AAX3" i="7" s="1"/>
  <c r="AAY3" i="7" s="1"/>
  <c r="AAZ3" i="7" s="1"/>
  <c r="ABA3" i="7" s="1"/>
  <c r="ABB3" i="7" s="1"/>
  <c r="ABC3" i="7" s="1"/>
  <c r="ABD3" i="7" s="1"/>
  <c r="ABE3" i="7" s="1"/>
  <c r="ABF3" i="7" s="1"/>
  <c r="ABG3" i="7" s="1"/>
  <c r="ABH3" i="7" s="1"/>
  <c r="ABI3" i="7" s="1"/>
  <c r="ABJ3" i="7" s="1"/>
  <c r="ABK3" i="7" s="1"/>
  <c r="ABL3" i="7" s="1"/>
  <c r="ABM3" i="7" s="1"/>
  <c r="ABN3" i="7" s="1"/>
  <c r="ABO3" i="7" s="1"/>
  <c r="ABP3" i="7" s="1"/>
  <c r="ABQ3" i="7" s="1"/>
  <c r="ABR3" i="7" s="1"/>
  <c r="ABS3" i="7" s="1"/>
  <c r="ABT3" i="7" s="1"/>
  <c r="ABU3" i="7" s="1"/>
  <c r="ABV3" i="7" s="1"/>
  <c r="ABW3" i="7" s="1"/>
  <c r="ABX3" i="7" s="1"/>
  <c r="ABY3" i="7" s="1"/>
  <c r="ABZ3" i="7" s="1"/>
  <c r="ACA3" i="7" s="1"/>
  <c r="ACB3" i="7" s="1"/>
  <c r="ACC3" i="7" s="1"/>
  <c r="ACD3" i="7" s="1"/>
  <c r="ACE3" i="7" s="1"/>
  <c r="ACF3" i="7" s="1"/>
  <c r="ACG3" i="7" s="1"/>
  <c r="ACH3" i="7" s="1"/>
  <c r="ACI3" i="7" s="1"/>
  <c r="ACJ3" i="7" s="1"/>
  <c r="ACK3" i="7" s="1"/>
  <c r="ACL3" i="7" s="1"/>
  <c r="ACM3" i="7" s="1"/>
  <c r="ACN3" i="7" s="1"/>
  <c r="ACO3" i="7" s="1"/>
  <c r="ACP3" i="7" s="1"/>
  <c r="ACQ3" i="7" s="1"/>
  <c r="ACR3" i="7" s="1"/>
  <c r="ACS3" i="7" s="1"/>
  <c r="ACT3" i="7" s="1"/>
  <c r="ACU3" i="7" s="1"/>
  <c r="ACV3" i="7" s="1"/>
  <c r="ACW3" i="7" s="1"/>
  <c r="ACX3" i="7" s="1"/>
  <c r="ACY3" i="7" s="1"/>
  <c r="ACZ3" i="7" s="1"/>
  <c r="ADA3" i="7" s="1"/>
  <c r="ADB3" i="7" s="1"/>
  <c r="ADC3" i="7" s="1"/>
  <c r="ADD3" i="7" s="1"/>
  <c r="ADE3" i="7" s="1"/>
  <c r="ADF3" i="7" s="1"/>
  <c r="ADG3" i="7" s="1"/>
  <c r="ADH3" i="7" s="1"/>
  <c r="ADI3" i="7" s="1"/>
  <c r="ADJ3" i="7" s="1"/>
  <c r="ADK3" i="7" s="1"/>
  <c r="ADL3" i="7" s="1"/>
  <c r="ADM3" i="7" s="1"/>
  <c r="ADN3" i="7" s="1"/>
  <c r="ADO3" i="7" s="1"/>
  <c r="ADP3" i="7" s="1"/>
  <c r="ADQ3" i="7" s="1"/>
  <c r="ADR3" i="7" s="1"/>
  <c r="ADS3" i="7" s="1"/>
  <c r="ADT3" i="7" s="1"/>
  <c r="ADU3" i="7" s="1"/>
  <c r="ADV3" i="7" s="1"/>
  <c r="ADW3" i="7" s="1"/>
  <c r="ADX3" i="7" s="1"/>
  <c r="ADY3" i="7" s="1"/>
  <c r="ADZ3" i="7" s="1"/>
  <c r="AEA3" i="7" s="1"/>
  <c r="AEB3" i="7" s="1"/>
  <c r="AEC3" i="7" s="1"/>
  <c r="AED3" i="7" s="1"/>
  <c r="AEE3" i="7" s="1"/>
  <c r="AEF3" i="7" s="1"/>
  <c r="AEG3" i="7" s="1"/>
  <c r="AEH3" i="7" s="1"/>
  <c r="AEI3" i="7" s="1"/>
  <c r="AEJ3" i="7" s="1"/>
  <c r="AEK3" i="7" s="1"/>
  <c r="AEL3" i="7" s="1"/>
  <c r="AEM3" i="7" s="1"/>
  <c r="AEN3" i="7" s="1"/>
  <c r="AEO3" i="7" s="1"/>
  <c r="AEP3" i="7" s="1"/>
  <c r="AEQ3" i="7" s="1"/>
  <c r="AER3" i="7" s="1"/>
  <c r="AES3" i="7" s="1"/>
  <c r="AET3" i="7" s="1"/>
  <c r="AEU3" i="7" s="1"/>
  <c r="AEV3" i="7" s="1"/>
  <c r="AEW3" i="7" s="1"/>
  <c r="AEX3" i="7" s="1"/>
  <c r="AEY3" i="7" s="1"/>
  <c r="AEZ3" i="7" s="1"/>
  <c r="AFA3" i="7" s="1"/>
  <c r="AFB3" i="7" s="1"/>
  <c r="AFC3" i="7" s="1"/>
  <c r="AFD3" i="7" s="1"/>
  <c r="AFE3" i="7" s="1"/>
  <c r="AFF3" i="7" s="1"/>
  <c r="AFG3" i="7" s="1"/>
  <c r="AFH3" i="7" s="1"/>
  <c r="AFI3" i="7" s="1"/>
  <c r="AFJ3" i="7" s="1"/>
  <c r="AFK3" i="7" s="1"/>
  <c r="AFL3" i="7" s="1"/>
  <c r="AFM3" i="7" s="1"/>
  <c r="AFN3" i="7" s="1"/>
  <c r="AFO3" i="7" s="1"/>
  <c r="AFP3" i="7" s="1"/>
  <c r="AFQ3" i="7" s="1"/>
  <c r="AFR3" i="7" s="1"/>
  <c r="AFS3" i="7" s="1"/>
  <c r="AFT3" i="7" s="1"/>
  <c r="AFU3" i="7" s="1"/>
  <c r="AFV3" i="7" s="1"/>
  <c r="AFW3" i="7" s="1"/>
  <c r="AFX3" i="7" s="1"/>
  <c r="AFY3" i="7" s="1"/>
  <c r="AFZ3" i="7" s="1"/>
  <c r="AGA3" i="7" s="1"/>
  <c r="AGB3" i="7" s="1"/>
  <c r="AGC3" i="7" s="1"/>
  <c r="AGD3" i="7" s="1"/>
  <c r="AGE3" i="7" s="1"/>
  <c r="AGF3" i="7" s="1"/>
  <c r="AGG3" i="7" s="1"/>
  <c r="AGH3" i="7" s="1"/>
  <c r="AGI3" i="7" s="1"/>
  <c r="AGJ3" i="7" s="1"/>
  <c r="AGK3" i="7" s="1"/>
  <c r="AGL3" i="7" s="1"/>
  <c r="AGM3" i="7" s="1"/>
  <c r="AGN3" i="7" s="1"/>
  <c r="AGO3" i="7" s="1"/>
  <c r="AGP3" i="7" s="1"/>
  <c r="AGQ3" i="7" s="1"/>
  <c r="AGR3" i="7" s="1"/>
  <c r="AGS3" i="7" s="1"/>
  <c r="AGT3" i="7" s="1"/>
  <c r="AGU3" i="7" s="1"/>
  <c r="AGV3" i="7" s="1"/>
  <c r="AGW3" i="7" s="1"/>
  <c r="AGX3" i="7" s="1"/>
  <c r="AGY3" i="7" s="1"/>
  <c r="AGZ3" i="7" s="1"/>
  <c r="AHA3" i="7" s="1"/>
  <c r="AHB3" i="7" s="1"/>
  <c r="AHC3" i="7" s="1"/>
  <c r="AHD3" i="7" s="1"/>
  <c r="AHE3" i="7" s="1"/>
  <c r="AHF3" i="7" s="1"/>
  <c r="AHG3" i="7" s="1"/>
  <c r="AHH3" i="7" s="1"/>
  <c r="AHI3" i="7" s="1"/>
  <c r="AHJ3" i="7" s="1"/>
  <c r="AHK3" i="7" s="1"/>
  <c r="AHL3" i="7" s="1"/>
  <c r="AHM3" i="7" s="1"/>
  <c r="AHN3" i="7" s="1"/>
  <c r="AHO3" i="7" s="1"/>
  <c r="AHP3" i="7" s="1"/>
  <c r="AHQ3" i="7" s="1"/>
  <c r="AHR3" i="7" s="1"/>
  <c r="AHS3" i="7" s="1"/>
  <c r="AHT3" i="7" s="1"/>
  <c r="AHU3" i="7" s="1"/>
  <c r="AHV3" i="7" s="1"/>
  <c r="AHW3" i="7" s="1"/>
  <c r="AHX3" i="7" s="1"/>
  <c r="AHY3" i="7" s="1"/>
  <c r="AHZ3" i="7" s="1"/>
  <c r="AIA3" i="7" s="1"/>
  <c r="AIB3" i="7" s="1"/>
  <c r="AIC3" i="7" s="1"/>
  <c r="AID3" i="7" s="1"/>
  <c r="AIE3" i="7" s="1"/>
  <c r="AIF3" i="7" s="1"/>
  <c r="AIG3" i="7" s="1"/>
  <c r="AIH3" i="7" s="1"/>
  <c r="AII3" i="7" s="1"/>
  <c r="AIJ3" i="7" s="1"/>
  <c r="AIK3" i="7" s="1"/>
  <c r="AIL3" i="7" s="1"/>
  <c r="AIM3" i="7" s="1"/>
  <c r="AIN3" i="7" s="1"/>
  <c r="AIO3" i="7" s="1"/>
  <c r="AIP3" i="7" s="1"/>
  <c r="AIQ3" i="7" s="1"/>
  <c r="AIR3" i="7" s="1"/>
  <c r="AIS3" i="7" s="1"/>
  <c r="AIT3" i="7" s="1"/>
  <c r="AIU3" i="7" s="1"/>
  <c r="AIV3" i="7" s="1"/>
  <c r="AIW3" i="7" s="1"/>
  <c r="AIX3" i="7" s="1"/>
  <c r="AIY3" i="7" s="1"/>
  <c r="AIZ3" i="7" s="1"/>
  <c r="AJA3" i="7" s="1"/>
  <c r="AJB3" i="7" s="1"/>
  <c r="AJC3" i="7" s="1"/>
  <c r="AJD3" i="7" s="1"/>
  <c r="AJE3" i="7" s="1"/>
  <c r="AJF3" i="7" s="1"/>
  <c r="AJG3" i="7" s="1"/>
  <c r="AJH3" i="7" s="1"/>
  <c r="AJI3" i="7" s="1"/>
  <c r="AJJ3" i="7" s="1"/>
  <c r="AJK3" i="7" s="1"/>
  <c r="AJL3" i="7" s="1"/>
  <c r="AJM3" i="7" s="1"/>
  <c r="AJN3" i="7" s="1"/>
  <c r="AJO3" i="7" s="1"/>
  <c r="AJP3" i="7" s="1"/>
  <c r="AJQ3" i="7" s="1"/>
  <c r="AJR3" i="7" s="1"/>
  <c r="AJS3" i="7" s="1"/>
  <c r="AJT3" i="7" s="1"/>
  <c r="AJU3" i="7" s="1"/>
  <c r="AJV3" i="7" s="1"/>
  <c r="AJW3" i="7" s="1"/>
  <c r="AJX3" i="7" s="1"/>
  <c r="AJY3" i="7" s="1"/>
  <c r="AJZ3" i="7" s="1"/>
  <c r="AKA3" i="7" s="1"/>
  <c r="AKB3" i="7" s="1"/>
  <c r="AKC3" i="7" s="1"/>
  <c r="AKD3" i="7" s="1"/>
  <c r="AKE3" i="7" s="1"/>
  <c r="AKF3" i="7" s="1"/>
  <c r="AKG3" i="7" s="1"/>
  <c r="AKH3" i="7" s="1"/>
  <c r="AKI3" i="7" s="1"/>
  <c r="AKJ3" i="7" s="1"/>
  <c r="AKK3" i="7" s="1"/>
  <c r="AKL3" i="7" s="1"/>
  <c r="AKM3" i="7" s="1"/>
  <c r="AKN3" i="7" s="1"/>
  <c r="AKO3" i="7" s="1"/>
  <c r="AKP3" i="7" s="1"/>
  <c r="AKQ3" i="7" s="1"/>
  <c r="AKR3" i="7" s="1"/>
  <c r="AKS3" i="7" s="1"/>
  <c r="AKT3" i="7" s="1"/>
  <c r="AKU3" i="7" s="1"/>
  <c r="AKV3" i="7" s="1"/>
  <c r="AKW3" i="7" s="1"/>
  <c r="AKX3" i="7" s="1"/>
  <c r="AKY3" i="7" s="1"/>
  <c r="AKZ3" i="7" s="1"/>
  <c r="ALA3" i="7" s="1"/>
  <c r="ALB3" i="7" s="1"/>
  <c r="ALC3" i="7" s="1"/>
  <c r="ALD3" i="7" s="1"/>
  <c r="ALE3" i="7" s="1"/>
  <c r="ALF3" i="7" s="1"/>
  <c r="ALG3" i="7" s="1"/>
  <c r="ALH3" i="7" s="1"/>
  <c r="ALI3" i="7" s="1"/>
  <c r="ALJ3" i="7" s="1"/>
  <c r="ALK3" i="7" s="1"/>
  <c r="ALL3" i="7" s="1"/>
  <c r="ALM3" i="7" s="1"/>
  <c r="ALN3" i="7" s="1"/>
  <c r="ALO3" i="7" s="1"/>
  <c r="ALP3" i="7" s="1"/>
  <c r="ALQ3" i="7" s="1"/>
  <c r="ALR3" i="7" s="1"/>
  <c r="ALB18" i="7" l="1"/>
  <c r="ALC18" i="7" s="1"/>
  <c r="ALD18" i="7" s="1"/>
  <c r="ALE18" i="7" s="1"/>
  <c r="ALF18" i="7" s="1"/>
  <c r="ALG18" i="7" s="1"/>
  <c r="ALH18" i="7" s="1"/>
  <c r="ALI18" i="7" s="1"/>
  <c r="ALJ18" i="7" s="1"/>
  <c r="ALK18" i="7" s="1"/>
  <c r="ALL18" i="7" s="1"/>
  <c r="ALM18" i="7" s="1"/>
  <c r="ALN18" i="7" s="1"/>
  <c r="ALO18" i="7" s="1"/>
  <c r="ALP18" i="7" s="1"/>
  <c r="ALQ18" i="7" s="1"/>
  <c r="ALR18" i="7" s="1"/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8" i="7" l="1"/>
  <c r="C3" i="7"/>
  <c r="C4" i="7"/>
  <c r="C5" i="7" s="1"/>
  <c r="C9" i="7" l="1"/>
  <c r="G4" i="7" s="1"/>
  <c r="G20" i="7" s="1"/>
  <c r="AFF15" i="7"/>
  <c r="VX15" i="7"/>
  <c r="MA15" i="7"/>
  <c r="NF15" i="7"/>
  <c r="ALA15" i="7"/>
  <c r="ACJ15" i="7"/>
  <c r="TE15" i="7"/>
  <c r="MM4" i="7"/>
  <c r="MM20" i="7" s="1"/>
  <c r="GB4" i="7"/>
  <c r="GB20" i="7" s="1"/>
  <c r="GC4" i="7"/>
  <c r="GC20" i="7" s="1"/>
  <c r="FZ4" i="7"/>
  <c r="FZ20" i="7" s="1"/>
  <c r="JY15" i="7"/>
  <c r="EI15" i="7"/>
  <c r="AJF15" i="7"/>
  <c r="AAM15" i="7"/>
  <c r="QP15" i="7"/>
  <c r="HF15" i="7"/>
  <c r="RS4" i="7"/>
  <c r="RS20" i="7" s="1"/>
  <c r="LH4" i="7"/>
  <c r="LH20" i="7" s="1"/>
  <c r="LI4" i="7"/>
  <c r="LI20" i="7" s="1"/>
  <c r="TD15" i="7"/>
  <c r="JG15" i="7"/>
  <c r="ER15" i="7"/>
  <c r="AIP15" i="7"/>
  <c r="ZU15" i="7"/>
  <c r="PX15" i="7"/>
  <c r="GN15" i="7"/>
  <c r="ADJ15" i="7"/>
  <c r="TU15" i="7"/>
  <c r="JX15" i="7"/>
  <c r="FM15" i="7"/>
  <c r="AEG15" i="7"/>
  <c r="UV15" i="7"/>
  <c r="LL15" i="7"/>
  <c r="PW4" i="7"/>
  <c r="PW20" i="7" s="1"/>
  <c r="JL4" i="7"/>
  <c r="JL20" i="7" s="1"/>
  <c r="JM4" i="7"/>
  <c r="JM20" i="7" s="1"/>
  <c r="XJ15" i="7"/>
  <c r="NM15" i="7"/>
  <c r="EQ15" i="7"/>
  <c r="CZ15" i="7"/>
  <c r="ADQ15" i="7"/>
  <c r="UC15" i="7"/>
  <c r="KT15" i="7"/>
  <c r="FU15" i="7"/>
  <c r="AEN15" i="7"/>
  <c r="AFO15" i="7"/>
  <c r="WH15" i="7"/>
  <c r="MK15" i="7"/>
  <c r="AKU15" i="7"/>
  <c r="EE4" i="7"/>
  <c r="EE20" i="7" s="1"/>
  <c r="XW4" i="7"/>
  <c r="XW20" i="7" s="1"/>
  <c r="RL4" i="7"/>
  <c r="RL20" i="7" s="1"/>
  <c r="RM4" i="7"/>
  <c r="RM20" i="7" s="1"/>
  <c r="ACS15" i="7"/>
  <c r="TB15" i="7"/>
  <c r="UG15" i="7"/>
  <c r="KJ15" i="7"/>
  <c r="AIN15" i="7"/>
  <c r="AAF15" i="7"/>
  <c r="JK4" i="7"/>
  <c r="JK20" i="7" s="1"/>
  <c r="G10" i="7"/>
  <c r="ADH15" i="7"/>
  <c r="AEI15" i="7"/>
  <c r="UX15" i="7"/>
  <c r="LA15" i="7"/>
  <c r="DH4" i="7"/>
  <c r="DH20" i="7" s="1"/>
  <c r="CP4" i="7"/>
  <c r="CP20" i="7" s="1"/>
  <c r="QH4" i="7"/>
  <c r="QH20" i="7" s="1"/>
  <c r="I5" i="7"/>
  <c r="ABY4" i="7"/>
  <c r="ABY20" i="7" s="1"/>
  <c r="UZ4" i="7"/>
  <c r="UZ20" i="7" s="1"/>
  <c r="QD4" i="7"/>
  <c r="QD20" i="7" s="1"/>
  <c r="AJY4" i="7"/>
  <c r="AJY20" i="7" s="1"/>
  <c r="PM4" i="7"/>
  <c r="PM20" i="7" s="1"/>
  <c r="GF5" i="7"/>
  <c r="H4" i="7"/>
  <c r="H20" i="7" s="1"/>
  <c r="TA4" i="7"/>
  <c r="TA20" i="7" s="1"/>
  <c r="MH4" i="7"/>
  <c r="MH20" i="7" s="1"/>
  <c r="AJP4" i="7"/>
  <c r="AJP20" i="7" s="1"/>
  <c r="ZU4" i="7"/>
  <c r="ZU20" i="7" s="1"/>
  <c r="SH4" i="7"/>
  <c r="SH20" i="7" s="1"/>
  <c r="MC4" i="7"/>
  <c r="MC20" i="7" s="1"/>
  <c r="AHC4" i="7"/>
  <c r="AHC20" i="7" s="1"/>
  <c r="HB4" i="7"/>
  <c r="HB20" i="7" s="1"/>
  <c r="AAE15" i="7"/>
  <c r="QH15" i="7"/>
  <c r="GK15" i="7"/>
  <c r="HP15" i="7"/>
  <c r="AGC15" i="7"/>
  <c r="WX15" i="7"/>
  <c r="NO15" i="7"/>
  <c r="OY4" i="7"/>
  <c r="OY20" i="7" s="1"/>
  <c r="IN4" i="7"/>
  <c r="IN20" i="7" s="1"/>
  <c r="IO4" i="7"/>
  <c r="IO20" i="7" s="1"/>
  <c r="IL4" i="7"/>
  <c r="IL20" i="7" s="1"/>
  <c r="G9" i="7"/>
  <c r="AB15" i="7"/>
  <c r="AEH15" i="7"/>
  <c r="UW15" i="7"/>
  <c r="KZ15" i="7"/>
  <c r="AM4" i="7"/>
  <c r="AM20" i="7" s="1"/>
  <c r="UE4" i="7"/>
  <c r="UE20" i="7" s="1"/>
  <c r="NT4" i="7"/>
  <c r="NT20" i="7" s="1"/>
  <c r="NU4" i="7"/>
  <c r="NU20" i="7" s="1"/>
  <c r="NN15" i="7"/>
  <c r="ALH15" i="7"/>
  <c r="AP15" i="7"/>
  <c r="ADR15" i="7"/>
  <c r="UD15" i="7"/>
  <c r="KG15" i="7"/>
  <c r="AU4" i="7"/>
  <c r="AU20" i="7" s="1"/>
  <c r="YB15" i="7"/>
  <c r="OE15" i="7"/>
  <c r="EH15" i="7"/>
  <c r="AHZ15" i="7"/>
  <c r="ZB15" i="7"/>
  <c r="PE15" i="7"/>
  <c r="FV15" i="7"/>
  <c r="SI4" i="7"/>
  <c r="SI20" i="7" s="1"/>
  <c r="LX4" i="7"/>
  <c r="LX20" i="7" s="1"/>
  <c r="LY4" i="7"/>
  <c r="LY20" i="7" s="1"/>
  <c r="RT15" i="7"/>
  <c r="HV15" i="7"/>
  <c r="EJ15" i="7"/>
  <c r="AHJ15" i="7"/>
  <c r="YJ15" i="7"/>
  <c r="OM15" i="7"/>
  <c r="EK15" i="7"/>
  <c r="AIG15" i="7"/>
  <c r="ZJ15" i="7"/>
  <c r="AAO15" i="7"/>
  <c r="QR15" i="7"/>
  <c r="GU15" i="7"/>
  <c r="AFW15" i="7"/>
  <c r="GQ4" i="7"/>
  <c r="GQ20" i="7" s="1"/>
  <c r="AF4" i="7"/>
  <c r="AF20" i="7" s="1"/>
  <c r="AG4" i="7"/>
  <c r="AG20" i="7" s="1"/>
  <c r="AGL15" i="7"/>
  <c r="XI15" i="7"/>
  <c r="NL15" i="7"/>
  <c r="OP15" i="7"/>
  <c r="CN15" i="7"/>
  <c r="ADP15" i="7"/>
  <c r="UP15" i="7"/>
  <c r="LW4" i="7"/>
  <c r="LW20" i="7" s="1"/>
  <c r="AHA15" i="7"/>
  <c r="XZ15" i="7"/>
  <c r="ZE15" i="7"/>
  <c r="PH15" i="7"/>
  <c r="FD15" i="7"/>
  <c r="IF4" i="7"/>
  <c r="IF20" i="7" s="1"/>
  <c r="FJ4" i="7"/>
  <c r="FJ20" i="7" s="1"/>
  <c r="TV4" i="7"/>
  <c r="TV20" i="7" s="1"/>
  <c r="BW4" i="7"/>
  <c r="BW20" i="7" s="1"/>
  <c r="AEK4" i="7"/>
  <c r="AEK20" i="7" s="1"/>
  <c r="UO15" i="7"/>
  <c r="KR15" i="7"/>
  <c r="DZ15" i="7"/>
  <c r="AJV15" i="7"/>
  <c r="ABE15" i="7"/>
  <c r="RH15" i="7"/>
  <c r="HY15" i="7"/>
  <c r="RK4" i="7"/>
  <c r="RK20" i="7" s="1"/>
  <c r="KZ4" i="7"/>
  <c r="KZ20" i="7" s="1"/>
  <c r="LA4" i="7"/>
  <c r="LA20" i="7" s="1"/>
  <c r="KX4" i="7"/>
  <c r="KX20" i="7" s="1"/>
  <c r="AGZ15" i="7"/>
  <c r="AIA15" i="7"/>
  <c r="ZD15" i="7"/>
  <c r="PF15" i="7"/>
  <c r="ET15" i="7"/>
  <c r="CY4" i="7"/>
  <c r="CY20" i="7" s="1"/>
  <c r="WQ4" i="7"/>
  <c r="WQ20" i="7" s="1"/>
  <c r="QF4" i="7"/>
  <c r="QF20" i="7" s="1"/>
  <c r="QG4" i="7"/>
  <c r="QG20" i="7" s="1"/>
  <c r="HX15" i="7"/>
  <c r="AGJ15" i="7"/>
  <c r="AHK15" i="7"/>
  <c r="YK15" i="7"/>
  <c r="ON15" i="7"/>
  <c r="BO15" i="7"/>
  <c r="DG4" i="7"/>
  <c r="DG20" i="7" s="1"/>
  <c r="SL15" i="7"/>
  <c r="IO15" i="7"/>
  <c r="FA15" i="7"/>
  <c r="ADB15" i="7"/>
  <c r="TL15" i="7"/>
  <c r="JO15" i="7"/>
  <c r="BC4" i="7"/>
  <c r="BC20" i="7" s="1"/>
  <c r="UU4" i="7"/>
  <c r="UU20" i="7" s="1"/>
  <c r="OJ4" i="7"/>
  <c r="OJ20" i="7" s="1"/>
  <c r="OK4" i="7"/>
  <c r="OK20" i="7" s="1"/>
  <c r="MC15" i="7"/>
  <c r="AKB15" i="7"/>
  <c r="ALC15" i="7"/>
  <c r="ACL15" i="7"/>
  <c r="ST15" i="7"/>
  <c r="IW15" i="7"/>
  <c r="BK4" i="7"/>
  <c r="BK20" i="7" s="1"/>
  <c r="ADI15" i="7"/>
  <c r="TT15" i="7"/>
  <c r="UY15" i="7"/>
  <c r="LB15" i="7"/>
  <c r="AJD15" i="7"/>
  <c r="AAX15" i="7"/>
  <c r="JC4" i="7"/>
  <c r="JC20" i="7" s="1"/>
  <c r="CR4" i="7"/>
  <c r="CR20" i="7" s="1"/>
  <c r="CS4" i="7"/>
  <c r="CS20" i="7" s="1"/>
  <c r="ABN15" i="7"/>
  <c r="RR15" i="7"/>
  <c r="HU15" i="7"/>
  <c r="IZ15" i="7"/>
  <c r="AHI15" i="7"/>
  <c r="YI15" i="7"/>
  <c r="OZ15" i="7"/>
  <c r="AKT15" i="7"/>
  <c r="ACC15" i="7"/>
  <c r="SJ15" i="7"/>
  <c r="TN15" i="7"/>
  <c r="JQ15" i="7"/>
  <c r="AHX15" i="7"/>
  <c r="ND4" i="7"/>
  <c r="ND20" i="7" s="1"/>
  <c r="ID4" i="7"/>
  <c r="ID20" i="7" s="1"/>
  <c r="WR4" i="7"/>
  <c r="WR20" i="7" s="1"/>
  <c r="GU4" i="7"/>
  <c r="GU20" i="7" s="1"/>
  <c r="AGW4" i="7"/>
  <c r="AGW20" i="7" s="1"/>
  <c r="AAL4" i="7"/>
  <c r="AAL20" i="7" s="1"/>
  <c r="ABM15" i="7"/>
  <c r="RQ15" i="7"/>
  <c r="SV15" i="7"/>
  <c r="IY15" i="7"/>
  <c r="AHH15" i="7"/>
  <c r="YV15" i="7"/>
  <c r="KA4" i="7"/>
  <c r="KA20" i="7" s="1"/>
  <c r="DP4" i="7"/>
  <c r="DP20" i="7" s="1"/>
  <c r="DQ4" i="7"/>
  <c r="DQ20" i="7" s="1"/>
  <c r="DN4" i="7"/>
  <c r="DN20" i="7" s="1"/>
  <c r="PP15" i="7"/>
  <c r="FR15" i="7"/>
  <c r="GW15" i="7"/>
  <c r="AFM15" i="7"/>
  <c r="WF15" i="7"/>
  <c r="MW15" i="7"/>
  <c r="PG4" i="7"/>
  <c r="PG20" i="7" s="1"/>
  <c r="IV4" i="7"/>
  <c r="IV20" i="7" s="1"/>
  <c r="IW4" i="7"/>
  <c r="IW20" i="7" s="1"/>
  <c r="YT15" i="7"/>
  <c r="OW15" i="7"/>
  <c r="GE15" i="7"/>
  <c r="AEW15" i="7"/>
  <c r="VN15" i="7"/>
  <c r="MD15" i="7"/>
  <c r="AIH15" i="7"/>
  <c r="ZL15" i="7"/>
  <c r="PN15" i="7"/>
  <c r="LC15" i="7"/>
  <c r="AJE15" i="7"/>
  <c r="AAL15" i="7"/>
  <c r="RB15" i="7"/>
  <c r="NK4" i="7"/>
  <c r="NK20" i="7" s="1"/>
  <c r="GZ4" i="7"/>
  <c r="GZ20" i="7" s="1"/>
  <c r="HA4" i="7"/>
  <c r="HA20" i="7" s="1"/>
  <c r="ACT15" i="7"/>
  <c r="TC15" i="7"/>
  <c r="JF15" i="7"/>
  <c r="KK15" i="7"/>
  <c r="AIO15" i="7"/>
  <c r="ZT15" i="7"/>
  <c r="QJ15" i="7"/>
  <c r="LK15" i="7"/>
  <c r="AJL15" i="7"/>
  <c r="AKM15" i="7"/>
  <c r="ABV15" i="7"/>
  <c r="SB15" i="7"/>
  <c r="ID15" i="7"/>
  <c r="BS4" i="7"/>
  <c r="BS20" i="7" s="1"/>
  <c r="VK4" i="7"/>
  <c r="VK20" i="7" s="1"/>
  <c r="OZ4" i="7"/>
  <c r="OZ20" i="7" s="1"/>
  <c r="PA4" i="7"/>
  <c r="PA20" i="7" s="1"/>
  <c r="AHQ15" i="7"/>
  <c r="YR15" i="7"/>
  <c r="ZW15" i="7"/>
  <c r="PZ15" i="7"/>
  <c r="GC15" i="7"/>
  <c r="AFG15" i="7"/>
  <c r="GY4" i="7"/>
  <c r="GY20" i="7" s="1"/>
  <c r="JZ15" i="7"/>
  <c r="AIF15" i="7"/>
  <c r="AJG15" i="7"/>
  <c r="AAN15" i="7"/>
  <c r="QQ15" i="7"/>
  <c r="YM4" i="7"/>
  <c r="YM20" i="7" s="1"/>
  <c r="SC4" i="7"/>
  <c r="SC20" i="7" s="1"/>
  <c r="LR4" i="7"/>
  <c r="LR20" i="7" s="1"/>
  <c r="AJH4" i="7"/>
  <c r="AJH20" i="7" s="1"/>
  <c r="ZM4" i="7"/>
  <c r="ZM20" i="7" s="1"/>
  <c r="RW4" i="7"/>
  <c r="RW20" i="7" s="1"/>
  <c r="OX15" i="7"/>
  <c r="N15" i="7"/>
  <c r="VO15" i="7"/>
  <c r="AE4" i="7"/>
  <c r="AE20" i="7" s="1"/>
  <c r="NL4" i="7"/>
  <c r="NL20" i="7" s="1"/>
  <c r="NJ4" i="7"/>
  <c r="NJ20" i="7" s="1"/>
  <c r="ADC15" i="7"/>
  <c r="JP15" i="7"/>
  <c r="FK4" i="7"/>
  <c r="FK20" i="7" s="1"/>
  <c r="SR4" i="7"/>
  <c r="SR20" i="7" s="1"/>
  <c r="AKC15" i="7"/>
  <c r="ACM15" i="7"/>
  <c r="IX15" i="7"/>
  <c r="FS4" i="7"/>
  <c r="FS20" i="7" s="1"/>
  <c r="AKR15" i="7"/>
  <c r="XS15" i="7"/>
  <c r="G12" i="7"/>
  <c r="XG4" i="7"/>
  <c r="XG20" i="7" s="1"/>
  <c r="QW4" i="7"/>
  <c r="QW20" i="7" s="1"/>
  <c r="AFD15" i="7"/>
  <c r="XA15" i="7"/>
  <c r="ALK15" i="7"/>
  <c r="YA15" i="7"/>
  <c r="PI15" i="7"/>
  <c r="AEF15" i="7"/>
  <c r="LO4" i="7"/>
  <c r="LO20" i="7" s="1"/>
  <c r="FE4" i="7"/>
  <c r="FE20" i="7" s="1"/>
  <c r="MB15" i="7"/>
  <c r="ALB15" i="7"/>
  <c r="SS15" i="7"/>
  <c r="AFV15" i="7"/>
  <c r="MS15" i="7"/>
  <c r="ALQ15" i="7"/>
  <c r="SB4" i="7"/>
  <c r="SB20" i="7" s="1"/>
  <c r="ZL4" i="7"/>
  <c r="ZL20" i="7" s="1"/>
  <c r="AJI4" i="7"/>
  <c r="AJI20" i="7" s="1"/>
  <c r="GO4" i="7"/>
  <c r="GO20" i="7" s="1"/>
  <c r="AGS4" i="7"/>
  <c r="AGS20" i="7" s="1"/>
  <c r="WC4" i="7"/>
  <c r="WC20" i="7" s="1"/>
  <c r="KU4" i="7"/>
  <c r="KU20" i="7" s="1"/>
  <c r="OB4" i="7"/>
  <c r="OB20" i="7" s="1"/>
  <c r="LN4" i="7"/>
  <c r="LN20" i="7" s="1"/>
  <c r="JH15" i="7"/>
  <c r="AIQ15" i="7"/>
  <c r="PY15" i="7"/>
  <c r="CQ4" i="7"/>
  <c r="CQ20" i="7" s="1"/>
  <c r="PX4" i="7"/>
  <c r="PX20" i="7" s="1"/>
  <c r="AFU15" i="7"/>
  <c r="XT15" i="7"/>
  <c r="ALP15" i="7"/>
  <c r="HW4" i="7"/>
  <c r="HW20" i="7" s="1"/>
  <c r="BM4" i="7"/>
  <c r="BM20" i="7" s="1"/>
  <c r="AFE15" i="7"/>
  <c r="XB15" i="7"/>
  <c r="AKZ15" i="7"/>
  <c r="IE4" i="7"/>
  <c r="IE20" i="7" s="1"/>
  <c r="AFT15" i="7"/>
  <c r="SC15" i="7"/>
  <c r="AHC15" i="7"/>
  <c r="P4" i="7"/>
  <c r="P20" i="7" s="1"/>
  <c r="N4" i="7"/>
  <c r="N20" i="7" s="1"/>
  <c r="AAC15" i="7"/>
  <c r="RJ15" i="7"/>
  <c r="AGM15" i="7"/>
  <c r="SK15" i="7"/>
  <c r="JR15" i="7"/>
  <c r="ZA15" i="7"/>
  <c r="OA4" i="7"/>
  <c r="OA20" i="7" s="1"/>
  <c r="HQ4" i="7"/>
  <c r="HQ20" i="7" s="1"/>
  <c r="GL15" i="7"/>
  <c r="AGD15" i="7"/>
  <c r="NB15" i="7"/>
  <c r="AAW15" i="7"/>
  <c r="HC15" i="7"/>
  <c r="AGS15" i="7"/>
  <c r="DI4" i="7"/>
  <c r="DI20" i="7" s="1"/>
  <c r="ABX4" i="7"/>
  <c r="ABX20" i="7" s="1"/>
  <c r="DT4" i="7"/>
  <c r="DT20" i="7" s="1"/>
  <c r="LM4" i="7"/>
  <c r="LM20" i="7" s="1"/>
  <c r="AI5" i="7"/>
  <c r="AAI4" i="7"/>
  <c r="AAI20" i="7" s="1"/>
  <c r="TJ4" i="7"/>
  <c r="TJ20" i="7" s="1"/>
  <c r="I4" i="7"/>
  <c r="I20" i="7" s="1"/>
  <c r="OH4" i="7"/>
  <c r="OH20" i="7" s="1"/>
  <c r="AER4" i="7"/>
  <c r="AER20" i="7" s="1"/>
  <c r="XB4" i="7"/>
  <c r="XB20" i="7" s="1"/>
  <c r="VI4" i="7"/>
  <c r="VI20" i="7" s="1"/>
  <c r="UD4" i="7"/>
  <c r="UD20" i="7" s="1"/>
  <c r="DC5" i="7"/>
  <c r="AEV4" i="7"/>
  <c r="AEV20" i="7" s="1"/>
  <c r="UB4" i="7"/>
  <c r="UB20" i="7" s="1"/>
  <c r="JT4" i="7"/>
  <c r="JT20" i="7" s="1"/>
  <c r="GH4" i="7"/>
  <c r="GH20" i="7" s="1"/>
  <c r="UO4" i="7"/>
  <c r="UO20" i="7" s="1"/>
  <c r="DC4" i="7"/>
  <c r="DC20" i="7" s="1"/>
  <c r="AFA4" i="7"/>
  <c r="AFA20" i="7" s="1"/>
  <c r="YN4" i="7"/>
  <c r="YN20" i="7" s="1"/>
  <c r="UN4" i="7"/>
  <c r="UN20" i="7" s="1"/>
  <c r="AY5" i="7"/>
  <c r="XE4" i="7"/>
  <c r="XE20" i="7" s="1"/>
  <c r="DK4" i="7"/>
  <c r="DK20" i="7" s="1"/>
  <c r="AN4" i="7"/>
  <c r="AN20" i="7" s="1"/>
  <c r="AD4" i="7"/>
  <c r="AD20" i="7" s="1"/>
  <c r="NN4" i="7"/>
  <c r="NN20" i="7" s="1"/>
  <c r="AKF4" i="7"/>
  <c r="AKF20" i="7" s="1"/>
  <c r="TX15" i="7"/>
  <c r="AW4" i="7"/>
  <c r="AW20" i="7" s="1"/>
  <c r="ML4" i="7"/>
  <c r="ML20" i="7" s="1"/>
  <c r="AAR4" i="7"/>
  <c r="AAR20" i="7" s="1"/>
  <c r="OE4" i="7"/>
  <c r="OE20" i="7" s="1"/>
  <c r="BT4" i="7"/>
  <c r="BT20" i="7" s="1"/>
  <c r="AT4" i="7"/>
  <c r="AT20" i="7" s="1"/>
  <c r="OT4" i="7"/>
  <c r="OT20" i="7" s="1"/>
  <c r="AKV4" i="7"/>
  <c r="AKV20" i="7" s="1"/>
  <c r="ABA4" i="7"/>
  <c r="ABA20" i="7" s="1"/>
  <c r="TY4" i="7"/>
  <c r="TY20" i="7" s="1"/>
  <c r="OO4" i="7"/>
  <c r="OO20" i="7" s="1"/>
  <c r="AIU4" i="7"/>
  <c r="AIU20" i="7" s="1"/>
  <c r="LZ4" i="7"/>
  <c r="LZ20" i="7" s="1"/>
  <c r="FH5" i="7"/>
  <c r="RZ15" i="7"/>
  <c r="RD4" i="7"/>
  <c r="RD20" i="7" s="1"/>
  <c r="KH4" i="7"/>
  <c r="KH20" i="7" s="1"/>
  <c r="YT4" i="7"/>
  <c r="YT20" i="7" s="1"/>
  <c r="KM4" i="7"/>
  <c r="KM20" i="7" s="1"/>
  <c r="YE4" i="7"/>
  <c r="YE20" i="7" s="1"/>
  <c r="RU4" i="7"/>
  <c r="RU20" i="7" s="1"/>
  <c r="ALI15" i="7"/>
  <c r="ADS15" i="7"/>
  <c r="KH15" i="7"/>
  <c r="FC4" i="7"/>
  <c r="FC20" i="7" s="1"/>
  <c r="SJ4" i="7"/>
  <c r="SJ20" i="7" s="1"/>
  <c r="AAV15" i="7"/>
  <c r="SD15" i="7"/>
  <c r="AGR15" i="7"/>
  <c r="KI4" i="7"/>
  <c r="KI20" i="7" s="1"/>
  <c r="DY4" i="7"/>
  <c r="DY20" i="7" s="1"/>
  <c r="AAD15" i="7"/>
  <c r="RL15" i="7"/>
  <c r="AGB15" i="7"/>
  <c r="KQ4" i="7"/>
  <c r="KQ20" i="7" s="1"/>
  <c r="AAU15" i="7"/>
  <c r="ML15" i="7"/>
  <c r="ACE15" i="7"/>
  <c r="CB4" i="7"/>
  <c r="CB20" i="7" s="1"/>
  <c r="BZ4" i="7"/>
  <c r="BZ20" i="7" s="1"/>
  <c r="UL15" i="7"/>
  <c r="LT15" i="7"/>
  <c r="ABO15" i="7"/>
  <c r="MT15" i="7"/>
  <c r="ALR15" i="7"/>
  <c r="TK15" i="7"/>
  <c r="QM4" i="7"/>
  <c r="QM20" i="7" s="1"/>
  <c r="KC4" i="7"/>
  <c r="KC20" i="7" s="1"/>
  <c r="AIV15" i="7"/>
  <c r="ABF15" i="7"/>
  <c r="HL15" i="7"/>
  <c r="VG15" i="7"/>
  <c r="DQ15" i="7"/>
  <c r="ABU15" i="7"/>
  <c r="IG4" i="7"/>
  <c r="IG20" i="7" s="1"/>
  <c r="AEJ4" i="7"/>
  <c r="AEJ20" i="7" s="1"/>
  <c r="IR4" i="7"/>
  <c r="IR20" i="7" s="1"/>
  <c r="TU4" i="7"/>
  <c r="TU20" i="7" s="1"/>
  <c r="CU5" i="7"/>
  <c r="AEH4" i="7"/>
  <c r="AEH20" i="7" s="1"/>
  <c r="AJO15" i="7"/>
  <c r="EG4" i="7"/>
  <c r="EG20" i="7" s="1"/>
  <c r="XH15" i="7"/>
  <c r="OO15" i="7"/>
  <c r="AEA15" i="7"/>
  <c r="BD4" i="7"/>
  <c r="BD20" i="7" s="1"/>
  <c r="BB4" i="7"/>
  <c r="BB20" i="7" s="1"/>
  <c r="LI15" i="7"/>
  <c r="AKK15" i="7"/>
  <c r="SM15" i="7"/>
  <c r="GJ4" i="7"/>
  <c r="GJ20" i="7" s="1"/>
  <c r="ADZ15" i="7"/>
  <c r="KP15" i="7"/>
  <c r="AJU15" i="7"/>
  <c r="RU15" i="7"/>
  <c r="AEO15" i="7"/>
  <c r="QS15" i="7"/>
  <c r="AFL15" i="7"/>
  <c r="KY4" i="7"/>
  <c r="KY20" i="7" s="1"/>
  <c r="EO4" i="7"/>
  <c r="EO20" i="7" s="1"/>
  <c r="YS15" i="7"/>
  <c r="QA15" i="7"/>
  <c r="AEV15" i="7"/>
  <c r="LG4" i="7"/>
  <c r="LG20" i="7" s="1"/>
  <c r="ES15" i="7"/>
  <c r="XR15" i="7"/>
  <c r="BA15" i="7"/>
  <c r="MN4" i="7"/>
  <c r="MN20" i="7" s="1"/>
  <c r="EB15" i="7"/>
  <c r="AEY15" i="7"/>
  <c r="LS15" i="7"/>
  <c r="EM4" i="7"/>
  <c r="EM20" i="7" s="1"/>
  <c r="FT15" i="7"/>
  <c r="AFN15" i="7"/>
  <c r="TO4" i="7"/>
  <c r="TO20" i="7" s="1"/>
  <c r="GT4" i="7"/>
  <c r="GT20" i="7" s="1"/>
  <c r="WS4" i="7"/>
  <c r="WS20" i="7" s="1"/>
  <c r="BQ4" i="7"/>
  <c r="BQ20" i="7" s="1"/>
  <c r="ACT4" i="7"/>
  <c r="ACT20" i="7" s="1"/>
  <c r="FV4" i="7"/>
  <c r="FV20" i="7" s="1"/>
  <c r="AY4" i="7"/>
  <c r="AY20" i="7" s="1"/>
  <c r="JD4" i="7"/>
  <c r="JD20" i="7" s="1"/>
  <c r="IT4" i="7"/>
  <c r="IT20" i="7" s="1"/>
  <c r="AGK15" i="7"/>
  <c r="BZ15" i="7"/>
  <c r="BE4" i="7"/>
  <c r="BE20" i="7" s="1"/>
  <c r="MN15" i="7"/>
  <c r="MU4" i="7"/>
  <c r="MU20" i="7" s="1"/>
  <c r="UN15" i="7"/>
  <c r="ABD15" i="7"/>
  <c r="VE15" i="7"/>
  <c r="WS15" i="7"/>
  <c r="AHR15" i="7"/>
  <c r="GD15" i="7"/>
  <c r="HD15" i="7"/>
  <c r="NU15" i="7"/>
  <c r="MO4" i="7"/>
  <c r="MO20" i="7" s="1"/>
  <c r="VP15" i="7"/>
  <c r="PQ15" i="7"/>
  <c r="WG15" i="7"/>
  <c r="AGV4" i="7"/>
  <c r="AGV20" i="7" s="1"/>
  <c r="BY4" i="7"/>
  <c r="BY20" i="7" s="1"/>
  <c r="AHZ4" i="7"/>
  <c r="AHZ20" i="7" s="1"/>
  <c r="JE4" i="7"/>
  <c r="JE20" i="7" s="1"/>
  <c r="XA4" i="7"/>
  <c r="XA20" i="7" s="1"/>
  <c r="QT4" i="7"/>
  <c r="QT20" i="7" s="1"/>
  <c r="OF4" i="7"/>
  <c r="OF20" i="7" s="1"/>
  <c r="DE4" i="7"/>
  <c r="DE20" i="7" s="1"/>
  <c r="IA5" i="7"/>
  <c r="BP5" i="7"/>
  <c r="QE4" i="7"/>
  <c r="QE20" i="7" s="1"/>
  <c r="OS4" i="7"/>
  <c r="OS20" i="7" s="1"/>
  <c r="MX4" i="7"/>
  <c r="MX20" i="7" s="1"/>
  <c r="Y5" i="7"/>
  <c r="AHM4" i="7"/>
  <c r="AHM20" i="7" s="1"/>
  <c r="ADN4" i="7"/>
  <c r="ADN20" i="7" s="1"/>
  <c r="VJ4" i="7"/>
  <c r="VJ20" i="7" s="1"/>
  <c r="KU5" i="7"/>
  <c r="BX5" i="7"/>
  <c r="QU4" i="7"/>
  <c r="QU20" i="7" s="1"/>
  <c r="PI4" i="7"/>
  <c r="PI20" i="7" s="1"/>
  <c r="RR4" i="7"/>
  <c r="RR20" i="7" s="1"/>
  <c r="DS4" i="7"/>
  <c r="DS20" i="7" s="1"/>
  <c r="WA4" i="7"/>
  <c r="WA20" i="7" s="1"/>
  <c r="AL4" i="7"/>
  <c r="AL20" i="7" s="1"/>
  <c r="SF4" i="7"/>
  <c r="SF20" i="7" s="1"/>
  <c r="EI4" i="7"/>
  <c r="EI20" i="7" s="1"/>
  <c r="WY4" i="7"/>
  <c r="WY20" i="7" s="1"/>
  <c r="EL4" i="7"/>
  <c r="EL20" i="7" s="1"/>
  <c r="VP4" i="7"/>
  <c r="VP20" i="7" s="1"/>
  <c r="JW4" i="7"/>
  <c r="JW20" i="7" s="1"/>
  <c r="BX4" i="7"/>
  <c r="BX20" i="7" s="1"/>
  <c r="U4" i="7"/>
  <c r="U20" i="7" s="1"/>
  <c r="ABG4" i="7"/>
  <c r="ABG20" i="7" s="1"/>
  <c r="CD4" i="7"/>
  <c r="CD20" i="7" s="1"/>
  <c r="HT5" i="7"/>
  <c r="NS4" i="7"/>
  <c r="NS20" i="7" s="1"/>
  <c r="MG4" i="7"/>
  <c r="MG20" i="7" s="1"/>
  <c r="KL4" i="7"/>
  <c r="KL20" i="7" s="1"/>
  <c r="ALD4" i="7"/>
  <c r="ALD20" i="7" s="1"/>
  <c r="OI4" i="7"/>
  <c r="OI20" i="7" s="1"/>
  <c r="MW4" i="7"/>
  <c r="MW20" i="7" s="1"/>
  <c r="LB4" i="7"/>
  <c r="LB20" i="7" s="1"/>
  <c r="AIZ4" i="7"/>
  <c r="AIZ20" i="7" s="1"/>
  <c r="AAK4" i="7"/>
  <c r="AAK20" i="7" s="1"/>
  <c r="NI4" i="7"/>
  <c r="NI20" i="7" s="1"/>
  <c r="JN4" i="7"/>
  <c r="JN20" i="7" s="1"/>
  <c r="AGJ4" i="7"/>
  <c r="AGJ20" i="7" s="1"/>
  <c r="WM4" i="7"/>
  <c r="WM20" i="7" s="1"/>
  <c r="LF5" i="7"/>
  <c r="QY4" i="7"/>
  <c r="QY20" i="7" s="1"/>
  <c r="PV5" i="7"/>
  <c r="AFO4" i="7"/>
  <c r="AFO20" i="7" s="1"/>
  <c r="UE5" i="7"/>
  <c r="AAS4" i="7"/>
  <c r="AAS20" i="7" s="1"/>
  <c r="NY4" i="7"/>
  <c r="NY20" i="7" s="1"/>
  <c r="KT4" i="7"/>
  <c r="KT20" i="7" s="1"/>
  <c r="AGU4" i="7"/>
  <c r="AGU20" i="7" s="1"/>
  <c r="WZ4" i="7"/>
  <c r="WZ20" i="7" s="1"/>
  <c r="LO5" i="7"/>
  <c r="SW4" i="7"/>
  <c r="SW20" i="7" s="1"/>
  <c r="QD5" i="7"/>
  <c r="AGL4" i="7"/>
  <c r="AGL20" i="7" s="1"/>
  <c r="UM5" i="7"/>
  <c r="AAP4" i="7"/>
  <c r="AAP20" i="7" s="1"/>
  <c r="MJ4" i="7"/>
  <c r="MJ20" i="7" s="1"/>
  <c r="ABU4" i="7"/>
  <c r="ABU20" i="7" s="1"/>
  <c r="AR5" i="7"/>
  <c r="DM5" i="7"/>
  <c r="ADY4" i="7"/>
  <c r="ADY20" i="7" s="1"/>
  <c r="TM5" i="7"/>
  <c r="AO5" i="7"/>
  <c r="XV5" i="7"/>
  <c r="HO5" i="7"/>
  <c r="ACE5" i="7"/>
  <c r="PK4" i="7"/>
  <c r="PK20" i="7" s="1"/>
  <c r="AEG4" i="7"/>
  <c r="AEG20" i="7" s="1"/>
  <c r="CF5" i="7"/>
  <c r="EC5" i="7"/>
  <c r="AFM4" i="7"/>
  <c r="AFM20" i="7" s="1"/>
  <c r="UC5" i="7"/>
  <c r="BN5" i="7"/>
  <c r="YL5" i="7"/>
  <c r="IM5" i="7"/>
  <c r="ACU5" i="7"/>
  <c r="PV4" i="7"/>
  <c r="PV20" i="7" s="1"/>
  <c r="AEU4" i="7"/>
  <c r="AEU20" i="7" s="1"/>
  <c r="ADU4" i="7"/>
  <c r="ADU20" i="7" s="1"/>
  <c r="TC4" i="7"/>
  <c r="TC20" i="7" s="1"/>
  <c r="US4" i="7"/>
  <c r="US20" i="7" s="1"/>
  <c r="ACP4" i="7"/>
  <c r="ACP20" i="7" s="1"/>
  <c r="EY5" i="7"/>
  <c r="IB5" i="7"/>
  <c r="L5" i="7"/>
  <c r="GL5" i="7"/>
  <c r="LZ5" i="7"/>
  <c r="AM5" i="7"/>
  <c r="AJD4" i="7"/>
  <c r="AJD20" i="7" s="1"/>
  <c r="AIU5" i="7"/>
  <c r="QE6" i="7"/>
  <c r="PQ5" i="7"/>
  <c r="DH6" i="7"/>
  <c r="NE5" i="7"/>
  <c r="S4" i="7"/>
  <c r="S20" i="7" s="1"/>
  <c r="X5" i="7"/>
  <c r="GZ5" i="7"/>
  <c r="GZ21" i="7" s="1"/>
  <c r="MJ5" i="7"/>
  <c r="AX5" i="7"/>
  <c r="AKK4" i="7"/>
  <c r="AKK20" i="7" s="1"/>
  <c r="AJD5" i="7"/>
  <c r="QM6" i="7"/>
  <c r="QG5" i="7"/>
  <c r="DP6" i="7"/>
  <c r="DS15" i="7"/>
  <c r="LR15" i="7"/>
  <c r="NM4" i="7"/>
  <c r="NM20" i="7" s="1"/>
  <c r="TM15" i="7"/>
  <c r="ZC4" i="7"/>
  <c r="ZC20" i="7" s="1"/>
  <c r="ABL15" i="7"/>
  <c r="AHS15" i="7"/>
  <c r="AGU15" i="7"/>
  <c r="DO4" i="7"/>
  <c r="DO20" i="7" s="1"/>
  <c r="GM15" i="7"/>
  <c r="ND15" i="7"/>
  <c r="OD15" i="7"/>
  <c r="VH15" i="7"/>
  <c r="VY15" i="7"/>
  <c r="ACK15" i="7"/>
  <c r="WP15" i="7"/>
  <c r="GT15" i="7"/>
  <c r="LS4" i="7"/>
  <c r="LS20" i="7" s="1"/>
  <c r="LU4" i="7"/>
  <c r="LU20" i="7" s="1"/>
  <c r="ALA4" i="7"/>
  <c r="ALA20" i="7" s="1"/>
  <c r="OC4" i="7"/>
  <c r="OC20" i="7" s="1"/>
  <c r="ZT4" i="7"/>
  <c r="ZT20" i="7" s="1"/>
  <c r="UG4" i="7"/>
  <c r="UG20" i="7" s="1"/>
  <c r="YD4" i="7"/>
  <c r="YD20" i="7" s="1"/>
  <c r="NA4" i="7"/>
  <c r="NA20" i="7" s="1"/>
  <c r="KM5" i="7"/>
  <c r="KM21" i="7" s="1"/>
  <c r="EB5" i="7"/>
  <c r="VC4" i="7"/>
  <c r="VC20" i="7" s="1"/>
  <c r="V4" i="7"/>
  <c r="V20" i="7" s="1"/>
  <c r="RG4" i="7"/>
  <c r="RG20" i="7" s="1"/>
  <c r="IA4" i="7"/>
  <c r="IA20" i="7" s="1"/>
  <c r="AB4" i="7"/>
  <c r="AB20" i="7" s="1"/>
  <c r="AFZ4" i="7"/>
  <c r="AFZ20" i="7" s="1"/>
  <c r="ZW4" i="7"/>
  <c r="ZW20" i="7" s="1"/>
  <c r="NG5" i="7"/>
  <c r="EJ5" i="7"/>
  <c r="VS4" i="7"/>
  <c r="VS20" i="7" s="1"/>
  <c r="DV4" i="7"/>
  <c r="DV20" i="7" s="1"/>
  <c r="UX4" i="7"/>
  <c r="UX20" i="7" s="1"/>
  <c r="IQ4" i="7"/>
  <c r="IQ20" i="7" s="1"/>
  <c r="AV4" i="7"/>
  <c r="AV20" i="7" s="1"/>
  <c r="ED4" i="7"/>
  <c r="ED20" i="7" s="1"/>
  <c r="VG4" i="7"/>
  <c r="VG20" i="7" s="1"/>
  <c r="JG4" i="7"/>
  <c r="JG20" i="7" s="1"/>
  <c r="GR4" i="7"/>
  <c r="GR20" i="7" s="1"/>
  <c r="HF4" i="7"/>
  <c r="HF20" i="7" s="1"/>
  <c r="YK4" i="7"/>
  <c r="YK20" i="7" s="1"/>
  <c r="OU4" i="7"/>
  <c r="OU20" i="7" s="1"/>
  <c r="GV4" i="7"/>
  <c r="GV20" i="7" s="1"/>
  <c r="ES4" i="7"/>
  <c r="ES20" i="7" s="1"/>
  <c r="AFF4" i="7"/>
  <c r="AFF20" i="7" s="1"/>
  <c r="UA4" i="7"/>
  <c r="UA20" i="7" s="1"/>
  <c r="HC4" i="7"/>
  <c r="HC20" i="7" s="1"/>
  <c r="SQ4" i="7"/>
  <c r="SQ20" i="7" s="1"/>
  <c r="RE4" i="7"/>
  <c r="RE20" i="7" s="1"/>
  <c r="PF4" i="7"/>
  <c r="PF20" i="7" s="1"/>
  <c r="AQ4" i="7"/>
  <c r="AQ20" i="7" s="1"/>
  <c r="TG4" i="7"/>
  <c r="TG20" i="7" s="1"/>
  <c r="CH4" i="7"/>
  <c r="CH20" i="7" s="1"/>
  <c r="PT4" i="7"/>
  <c r="PT20" i="7" s="1"/>
  <c r="ALL4" i="7"/>
  <c r="ALL20" i="7" s="1"/>
  <c r="AFI4" i="7"/>
  <c r="AFI20" i="7" s="1"/>
  <c r="UW4" i="7"/>
  <c r="UW20" i="7" s="1"/>
  <c r="XR4" i="7"/>
  <c r="XR20" i="7" s="1"/>
  <c r="AKA4" i="7"/>
  <c r="AKA20" i="7" s="1"/>
  <c r="CF4" i="7"/>
  <c r="CF20" i="7" s="1"/>
  <c r="NY5" i="7"/>
  <c r="AAU4" i="7"/>
  <c r="AAU20" i="7" s="1"/>
  <c r="SH5" i="7"/>
  <c r="SH21" i="7" s="1"/>
  <c r="AKW4" i="7"/>
  <c r="AKW20" i="7" s="1"/>
  <c r="WQ5" i="7"/>
  <c r="AFQ4" i="7"/>
  <c r="AFQ20" i="7" s="1"/>
  <c r="VF4" i="7"/>
  <c r="VF20" i="7" s="1"/>
  <c r="YH4" i="7"/>
  <c r="YH20" i="7" s="1"/>
  <c r="AKJ4" i="7"/>
  <c r="AKJ20" i="7" s="1"/>
  <c r="ER4" i="7"/>
  <c r="ER20" i="7" s="1"/>
  <c r="OG5" i="7"/>
  <c r="ABO4" i="7"/>
  <c r="ABO20" i="7" s="1"/>
  <c r="SP5" i="7"/>
  <c r="ALM4" i="7"/>
  <c r="ALM20" i="7" s="1"/>
  <c r="WY5" i="7"/>
  <c r="AGY4" i="7"/>
  <c r="AGY20" i="7" s="1"/>
  <c r="UH4" i="7"/>
  <c r="UH20" i="7" s="1"/>
  <c r="AJE4" i="7"/>
  <c r="AJE20" i="7" s="1"/>
  <c r="FP5" i="7"/>
  <c r="FY5" i="7"/>
  <c r="AHP15" i="7"/>
  <c r="GB15" i="7"/>
  <c r="PY4" i="7"/>
  <c r="PY20" i="7" s="1"/>
  <c r="NW15" i="7"/>
  <c r="BL4" i="7"/>
  <c r="BL20" i="7" s="1"/>
  <c r="VW15" i="7"/>
  <c r="ACU15" i="7"/>
  <c r="ABW15" i="7"/>
  <c r="GA4" i="7"/>
  <c r="GA20" i="7" s="1"/>
  <c r="AIW15" i="7"/>
  <c r="HM15" i="7"/>
  <c r="IN15" i="7"/>
  <c r="PR15" i="7"/>
  <c r="QI15" i="7"/>
  <c r="WZ15" i="7"/>
  <c r="QZ15" i="7"/>
  <c r="CI4" i="7"/>
  <c r="CI20" i="7" s="1"/>
  <c r="QI4" i="7"/>
  <c r="QI20" i="7" s="1"/>
  <c r="TZ4" i="7"/>
  <c r="TZ20" i="7" s="1"/>
  <c r="BH5" i="7"/>
  <c r="CX4" i="7"/>
  <c r="CX20" i="7" s="1"/>
  <c r="ACF4" i="7"/>
  <c r="ACF20" i="7" s="1"/>
  <c r="ACG4" i="7"/>
  <c r="ACG20" i="7" s="1"/>
  <c r="AAT4" i="7"/>
  <c r="AAT20" i="7" s="1"/>
  <c r="UR4" i="7"/>
  <c r="UR20" i="7" s="1"/>
  <c r="MY5" i="7"/>
  <c r="GN5" i="7"/>
  <c r="X4" i="7"/>
  <c r="X20" i="7" s="1"/>
  <c r="DF4" i="7"/>
  <c r="DF20" i="7" s="1"/>
  <c r="XJ4" i="7"/>
  <c r="XJ20" i="7" s="1"/>
  <c r="MY4" i="7"/>
  <c r="MY20" i="7" s="1"/>
  <c r="EZ4" i="7"/>
  <c r="EZ20" i="7" s="1"/>
  <c r="CW4" i="7"/>
  <c r="CW20" i="7" s="1"/>
  <c r="ADS4" i="7"/>
  <c r="ADS20" i="7" s="1"/>
  <c r="IH4" i="7"/>
  <c r="IH20" i="7" s="1"/>
  <c r="GV5" i="7"/>
  <c r="FL4" i="7"/>
  <c r="FL20" i="7" s="1"/>
  <c r="GP4" i="7"/>
  <c r="GP20" i="7" s="1"/>
  <c r="XS4" i="7"/>
  <c r="XS20" i="7" s="1"/>
  <c r="NO4" i="7"/>
  <c r="NO20" i="7" s="1"/>
  <c r="FT4" i="7"/>
  <c r="FT20" i="7" s="1"/>
  <c r="GX4" i="7"/>
  <c r="GX20" i="7" s="1"/>
  <c r="YB4" i="7"/>
  <c r="YB20" i="7" s="1"/>
  <c r="SG4" i="7"/>
  <c r="SG20" i="7" s="1"/>
  <c r="LP4" i="7"/>
  <c r="LP20" i="7" s="1"/>
  <c r="JZ4" i="7"/>
  <c r="JZ20" i="7" s="1"/>
  <c r="AAZ4" i="7"/>
  <c r="AAZ20" i="7" s="1"/>
  <c r="SU4" i="7"/>
  <c r="SU20" i="7" s="1"/>
  <c r="LT4" i="7"/>
  <c r="LT20" i="7" s="1"/>
  <c r="JQ4" i="7"/>
  <c r="JQ20" i="7" s="1"/>
  <c r="ALR4" i="7"/>
  <c r="ALR20" i="7" s="1"/>
  <c r="YX4" i="7"/>
  <c r="YX20" i="7" s="1"/>
  <c r="QP4" i="7"/>
  <c r="QP20" i="7" s="1"/>
  <c r="XO4" i="7"/>
  <c r="XO20" i="7" s="1"/>
  <c r="BR4" i="7"/>
  <c r="BR20" i="7" s="1"/>
  <c r="TD4" i="7"/>
  <c r="TD20" i="7" s="1"/>
  <c r="FO4" i="7"/>
  <c r="FO20" i="7" s="1"/>
  <c r="CZ4" i="7"/>
  <c r="CZ20" i="7" s="1"/>
  <c r="FB4" i="7"/>
  <c r="FB20" i="7" s="1"/>
  <c r="TM4" i="7"/>
  <c r="TM20" i="7" s="1"/>
  <c r="BG4" i="7"/>
  <c r="BG20" i="7" s="1"/>
  <c r="AR4" i="7"/>
  <c r="AR20" i="7" s="1"/>
  <c r="PL4" i="7"/>
  <c r="PL20" i="7" s="1"/>
  <c r="AFU4" i="7"/>
  <c r="AFU20" i="7" s="1"/>
  <c r="AK5" i="7"/>
  <c r="UC4" i="7"/>
  <c r="UC20" i="7" s="1"/>
  <c r="QK5" i="7"/>
  <c r="AHA4" i="7"/>
  <c r="AHA20" i="7" s="1"/>
  <c r="UT5" i="7"/>
  <c r="CQ5" i="7"/>
  <c r="ZC5" i="7"/>
  <c r="ZC21" i="7" s="1"/>
  <c r="BH4" i="7"/>
  <c r="BH20" i="7" s="1"/>
  <c r="QK4" i="7"/>
  <c r="QK20" i="7" s="1"/>
  <c r="AGI4" i="7"/>
  <c r="AGI20" i="7" s="1"/>
  <c r="AS5" i="7"/>
  <c r="VN4" i="7"/>
  <c r="VN20" i="7" s="1"/>
  <c r="QS5" i="7"/>
  <c r="AHS4" i="7"/>
  <c r="AHS20" i="7" s="1"/>
  <c r="VB5" i="7"/>
  <c r="DB5" i="7"/>
  <c r="ZK5" i="7"/>
  <c r="K5" i="7"/>
  <c r="ZV4" i="7"/>
  <c r="ZV20" i="7" s="1"/>
  <c r="CE5" i="7"/>
  <c r="II4" i="7"/>
  <c r="II20" i="7" s="1"/>
  <c r="ACR15" i="7"/>
  <c r="AIY15" i="7"/>
  <c r="SK4" i="7"/>
  <c r="SK20" i="7" s="1"/>
  <c r="IG15" i="7"/>
  <c r="DX4" i="7"/>
  <c r="DX20" i="7" s="1"/>
  <c r="QG15" i="7"/>
  <c r="XK15" i="7"/>
  <c r="WJ15" i="7"/>
  <c r="IM4" i="7"/>
  <c r="IM20" i="7" s="1"/>
  <c r="ADY15" i="7"/>
  <c r="AJT15" i="7"/>
  <c r="UF15" i="7"/>
  <c r="YU4" i="7"/>
  <c r="YU20" i="7" s="1"/>
  <c r="QY15" i="7"/>
  <c r="YC15" i="7"/>
  <c r="AIX15" i="7"/>
  <c r="HN15" i="7"/>
  <c r="AJM15" i="7"/>
  <c r="AKJ15" i="7"/>
  <c r="CC4" i="7"/>
  <c r="CC20" i="7" s="1"/>
  <c r="VQ15" i="7"/>
  <c r="IU4" i="7"/>
  <c r="IU20" i="7" s="1"/>
  <c r="ADA15" i="7"/>
  <c r="KB4" i="7"/>
  <c r="KB20" i="7" s="1"/>
  <c r="AJW15" i="7"/>
  <c r="CA4" i="7"/>
  <c r="CA20" i="7" s="1"/>
  <c r="AKL15" i="7"/>
  <c r="BV4" i="7"/>
  <c r="BV20" i="7" s="1"/>
  <c r="AFJ4" i="7"/>
  <c r="AFJ20" i="7" s="1"/>
  <c r="MQ5" i="7"/>
  <c r="EF4" i="7"/>
  <c r="EF20" i="7" s="1"/>
  <c r="UF4" i="7"/>
  <c r="UF20" i="7" s="1"/>
  <c r="MI4" i="7"/>
  <c r="MI20" i="7" s="1"/>
  <c r="JH4" i="7"/>
  <c r="JH20" i="7" s="1"/>
  <c r="QR4" i="7"/>
  <c r="QR20" i="7" s="1"/>
  <c r="FO5" i="7"/>
  <c r="FO21" i="7" s="1"/>
  <c r="ALJ4" i="7"/>
  <c r="ALJ20" i="7" s="1"/>
  <c r="HG4" i="7"/>
  <c r="HG20" i="7" s="1"/>
  <c r="JU4" i="7"/>
  <c r="JU20" i="7" s="1"/>
  <c r="HZ4" i="7"/>
  <c r="HZ20" i="7" s="1"/>
  <c r="AJX4" i="7"/>
  <c r="AJX20" i="7" s="1"/>
  <c r="ACO4" i="7"/>
  <c r="ACO20" i="7" s="1"/>
  <c r="ABB4" i="7"/>
  <c r="ABB20" i="7" s="1"/>
  <c r="OG4" i="7"/>
  <c r="OG20" i="7" s="1"/>
  <c r="II5" i="7"/>
  <c r="H5" i="7"/>
  <c r="JS4" i="7"/>
  <c r="JS20" i="7" s="1"/>
  <c r="KK4" i="7"/>
  <c r="KK20" i="7" s="1"/>
  <c r="IP4" i="7"/>
  <c r="IP20" i="7" s="1"/>
  <c r="AG5" i="7"/>
  <c r="AG21" i="7" s="1"/>
  <c r="RC4" i="7"/>
  <c r="RC20" i="7" s="1"/>
  <c r="PQ4" i="7"/>
  <c r="PQ20" i="7" s="1"/>
  <c r="OD4" i="7"/>
  <c r="OD20" i="7" s="1"/>
  <c r="K4" i="7"/>
  <c r="K20" i="7" s="1"/>
  <c r="SA4" i="7"/>
  <c r="SA20" i="7" s="1"/>
  <c r="QO4" i="7"/>
  <c r="QO20" i="7" s="1"/>
  <c r="ST4" i="7"/>
  <c r="ST20" i="7" s="1"/>
  <c r="EY4" i="7"/>
  <c r="EY20" i="7" s="1"/>
  <c r="AIK4" i="7"/>
  <c r="AIK20" i="7" s="1"/>
  <c r="AEL4" i="7"/>
  <c r="AEL20" i="7" s="1"/>
  <c r="XD4" i="7"/>
  <c r="XD20" i="7" s="1"/>
  <c r="LS5" i="7"/>
  <c r="CV5" i="7"/>
  <c r="IQ15" i="7"/>
  <c r="HI4" i="7"/>
  <c r="HI20" i="7" s="1"/>
  <c r="FN4" i="7"/>
  <c r="FN20" i="7" s="1"/>
  <c r="AIR4" i="7"/>
  <c r="AIR20" i="7" s="1"/>
  <c r="W4" i="7"/>
  <c r="W20" i="7" s="1"/>
  <c r="HY4" i="7"/>
  <c r="HY20" i="7" s="1"/>
  <c r="GD4" i="7"/>
  <c r="GD20" i="7" s="1"/>
  <c r="AGN4" i="7"/>
  <c r="AGN20" i="7" s="1"/>
  <c r="WJ4" i="7"/>
  <c r="WJ20" i="7" s="1"/>
  <c r="DM4" i="7"/>
  <c r="DM20" i="7" s="1"/>
  <c r="LC5" i="7"/>
  <c r="ABW4" i="7"/>
  <c r="ABW20" i="7" s="1"/>
  <c r="QC4" i="7"/>
  <c r="QC20" i="7" s="1"/>
  <c r="IJ5" i="7"/>
  <c r="ACS5" i="7"/>
  <c r="NJ5" i="7"/>
  <c r="ZB4" i="7"/>
  <c r="ZB20" i="7" s="1"/>
  <c r="RS5" i="7"/>
  <c r="NW4" i="7"/>
  <c r="NW20" i="7" s="1"/>
  <c r="EC4" i="7"/>
  <c r="EC20" i="7" s="1"/>
  <c r="LK5" i="7"/>
  <c r="ACK4" i="7"/>
  <c r="ACK20" i="7" s="1"/>
  <c r="RB4" i="7"/>
  <c r="RB20" i="7" s="1"/>
  <c r="IT5" i="7"/>
  <c r="AC4" i="7"/>
  <c r="AC20" i="7" s="1"/>
  <c r="NR5" i="7"/>
  <c r="AAE4" i="7"/>
  <c r="AAE20" i="7" s="1"/>
  <c r="SA5" i="7"/>
  <c r="QB4" i="7"/>
  <c r="QB20" i="7" s="1"/>
  <c r="CN4" i="7"/>
  <c r="CN20" i="7" s="1"/>
  <c r="SL4" i="7"/>
  <c r="SL20" i="7" s="1"/>
  <c r="AHF4" i="7"/>
  <c r="AHF20" i="7" s="1"/>
  <c r="BA5" i="7"/>
  <c r="YL15" i="7"/>
  <c r="WO15" i="7"/>
  <c r="SU15" i="7"/>
  <c r="EN4" i="7"/>
  <c r="EN20" i="7" s="1"/>
  <c r="GI4" i="7"/>
  <c r="GI20" i="7" s="1"/>
  <c r="HP4" i="7"/>
  <c r="HP20" i="7" s="1"/>
  <c r="O4" i="7"/>
  <c r="O20" i="7" s="1"/>
  <c r="NZ4" i="7"/>
  <c r="NZ20" i="7" s="1"/>
  <c r="KE5" i="7"/>
  <c r="QS4" i="7"/>
  <c r="QS20" i="7" s="1"/>
  <c r="EJ4" i="7"/>
  <c r="EJ20" i="7" s="1"/>
  <c r="AQ5" i="7"/>
  <c r="AEQ15" i="7"/>
  <c r="DB4" i="7"/>
  <c r="DB20" i="7" s="1"/>
  <c r="AAC4" i="7"/>
  <c r="AAC20" i="7" s="1"/>
  <c r="EK4" i="7"/>
  <c r="EK20" i="7" s="1"/>
  <c r="AIV4" i="7"/>
  <c r="AIV20" i="7" s="1"/>
  <c r="FM4" i="7"/>
  <c r="FM20" i="7" s="1"/>
  <c r="AHT4" i="7"/>
  <c r="AHT20" i="7" s="1"/>
  <c r="KS4" i="7"/>
  <c r="KS20" i="7" s="1"/>
  <c r="AKN4" i="7"/>
  <c r="AKN20" i="7" s="1"/>
  <c r="LQ4" i="7"/>
  <c r="LQ20" i="7" s="1"/>
  <c r="AA4" i="7"/>
  <c r="AA20" i="7" s="1"/>
  <c r="ABZ4" i="7"/>
  <c r="ABZ20" i="7" s="1"/>
  <c r="JG5" i="7"/>
  <c r="JG21" i="7" s="1"/>
  <c r="AIM4" i="7"/>
  <c r="AIM20" i="7" s="1"/>
  <c r="AP4" i="7"/>
  <c r="AP20" i="7" s="1"/>
  <c r="MJ15" i="7"/>
  <c r="BF4" i="7"/>
  <c r="BF20" i="7" s="1"/>
  <c r="TN4" i="7"/>
  <c r="TN20" i="7" s="1"/>
  <c r="GE5" i="7"/>
  <c r="GN4" i="7"/>
  <c r="GN20" i="7" s="1"/>
  <c r="AAG5" i="7"/>
  <c r="MP4" i="7"/>
  <c r="MP20" i="7" s="1"/>
  <c r="AIY5" i="7"/>
  <c r="GM5" i="7"/>
  <c r="HT4" i="7"/>
  <c r="HT20" i="7" s="1"/>
  <c r="AAO5" i="7"/>
  <c r="PB4" i="7"/>
  <c r="PB20" i="7" s="1"/>
  <c r="AJG5" i="7"/>
  <c r="M4" i="7"/>
  <c r="M20" i="7" s="1"/>
  <c r="AKS4" i="7"/>
  <c r="AKS20" i="7" s="1"/>
  <c r="BM5" i="7"/>
  <c r="AAW5" i="7"/>
  <c r="NZ5" i="7"/>
  <c r="AHB4" i="7"/>
  <c r="AHB20" i="7" s="1"/>
  <c r="XG5" i="7"/>
  <c r="FP4" i="7"/>
  <c r="FP20" i="7" s="1"/>
  <c r="AKZ4" i="7"/>
  <c r="AKZ20" i="7" s="1"/>
  <c r="OM4" i="7"/>
  <c r="OM20" i="7" s="1"/>
  <c r="LL4" i="7"/>
  <c r="LL20" i="7" s="1"/>
  <c r="JU5" i="7"/>
  <c r="WV4" i="7"/>
  <c r="WV20" i="7" s="1"/>
  <c r="TN5" i="7"/>
  <c r="TN21" i="7" s="1"/>
  <c r="EO5" i="7"/>
  <c r="AFG5" i="7"/>
  <c r="ABR4" i="7"/>
  <c r="ABR20" i="7" s="1"/>
  <c r="IY5" i="7"/>
  <c r="XC4" i="7"/>
  <c r="XC20" i="7" s="1"/>
  <c r="EQ5" i="7"/>
  <c r="RI4" i="7"/>
  <c r="RI20" i="7" s="1"/>
  <c r="Z5" i="7"/>
  <c r="AAM4" i="7"/>
  <c r="AAM20" i="7" s="1"/>
  <c r="NI5" i="7"/>
  <c r="WP5" i="7"/>
  <c r="AFW5" i="7"/>
  <c r="QZ5" i="7"/>
  <c r="ADE5" i="7"/>
  <c r="NS6" i="7"/>
  <c r="UN5" i="7"/>
  <c r="IF6" i="7"/>
  <c r="AAL5" i="7"/>
  <c r="HM5" i="7"/>
  <c r="ACK5" i="7"/>
  <c r="AKG4" i="7"/>
  <c r="AKG20" i="7" s="1"/>
  <c r="AIF4" i="7"/>
  <c r="AIF20" i="7" s="1"/>
  <c r="GC5" i="7"/>
  <c r="BS6" i="7"/>
  <c r="XW6" i="7"/>
  <c r="AFR5" i="7"/>
  <c r="ACB4" i="7"/>
  <c r="ACB20" i="7" s="1"/>
  <c r="AHD5" i="7"/>
  <c r="IX4" i="7"/>
  <c r="IX20" i="7" s="1"/>
  <c r="AJ4" i="7"/>
  <c r="AJ20" i="7" s="1"/>
  <c r="YS5" i="7"/>
  <c r="AH4" i="7"/>
  <c r="AH20" i="7" s="1"/>
  <c r="AHK5" i="7"/>
  <c r="PD5" i="7"/>
  <c r="WK5" i="7"/>
  <c r="GY6" i="7"/>
  <c r="WE4" i="7"/>
  <c r="WE20" i="7" s="1"/>
  <c r="AGA5" i="7"/>
  <c r="GG4" i="7"/>
  <c r="GG20" i="7" s="1"/>
  <c r="PS4" i="7"/>
  <c r="PS20" i="7" s="1"/>
  <c r="VE4" i="7"/>
  <c r="VE20" i="7" s="1"/>
  <c r="MK4" i="7"/>
  <c r="MK20" i="7" s="1"/>
  <c r="AEA4" i="7"/>
  <c r="AEA20" i="7" s="1"/>
  <c r="VD4" i="7"/>
  <c r="VD20" i="7" s="1"/>
  <c r="SF5" i="7"/>
  <c r="ABI5" i="7"/>
  <c r="KA6" i="7"/>
  <c r="ALO4" i="7"/>
  <c r="ALO20" i="7" s="1"/>
  <c r="AJN5" i="7"/>
  <c r="AGR4" i="7"/>
  <c r="AGR20" i="7" s="1"/>
  <c r="SN4" i="7"/>
  <c r="SN20" i="7" s="1"/>
  <c r="DY5" i="7"/>
  <c r="KF5" i="7"/>
  <c r="OY5" i="7"/>
  <c r="DD4" i="7"/>
  <c r="DD20" i="7" s="1"/>
  <c r="KF4" i="7"/>
  <c r="KF20" i="7" s="1"/>
  <c r="ABE5" i="7"/>
  <c r="SX4" i="7"/>
  <c r="SX20" i="7" s="1"/>
  <c r="BO4" i="7"/>
  <c r="BO20" i="7" s="1"/>
  <c r="HL5" i="7"/>
  <c r="ALG4" i="7"/>
  <c r="ALG20" i="7" s="1"/>
  <c r="GA5" i="7"/>
  <c r="GA21" i="7" s="1"/>
  <c r="LQ5" i="7"/>
  <c r="W5" i="7"/>
  <c r="TD5" i="7"/>
  <c r="KY6" i="7"/>
  <c r="AKM5" i="7"/>
  <c r="ADP5" i="7"/>
  <c r="NV4" i="7"/>
  <c r="NV20" i="7" s="1"/>
  <c r="AFF5" i="7"/>
  <c r="ABZ5" i="7"/>
  <c r="VR6" i="7"/>
  <c r="AAC5" i="7"/>
  <c r="AAC21" i="7" s="1"/>
  <c r="VA6" i="7"/>
  <c r="AEL5" i="7"/>
  <c r="WV6" i="7"/>
  <c r="AE5" i="7"/>
  <c r="RC6" i="7"/>
  <c r="EF6" i="7"/>
  <c r="AHV5" i="7"/>
  <c r="AHK4" i="7"/>
  <c r="AHK20" i="7" s="1"/>
  <c r="AIK5" i="7"/>
  <c r="AIO5" i="7"/>
  <c r="YW6" i="7"/>
  <c r="AHF5" i="7"/>
  <c r="AEX15" i="7"/>
  <c r="ABT15" i="7"/>
  <c r="NE15" i="7"/>
  <c r="QV4" i="7"/>
  <c r="QV20" i="7" s="1"/>
  <c r="EZ15" i="7"/>
  <c r="KS15" i="7"/>
  <c r="LJ15" i="7"/>
  <c r="TX4" i="7"/>
  <c r="TX20" i="7" s="1"/>
  <c r="DT5" i="7"/>
  <c r="AHD4" i="7"/>
  <c r="AHD20" i="7" s="1"/>
  <c r="ADF4" i="7"/>
  <c r="ADF20" i="7" s="1"/>
  <c r="QL4" i="7"/>
  <c r="QL20" i="7" s="1"/>
  <c r="EV4" i="7"/>
  <c r="EV20" i="7" s="1"/>
  <c r="AAB4" i="7"/>
  <c r="AAB20" i="7" s="1"/>
  <c r="JX4" i="7"/>
  <c r="JX20" i="7" s="1"/>
  <c r="AHO4" i="7"/>
  <c r="AHO20" i="7" s="1"/>
  <c r="NG4" i="7"/>
  <c r="NG20" i="7" s="1"/>
  <c r="JJ4" i="7"/>
  <c r="JJ20" i="7" s="1"/>
  <c r="RV4" i="7"/>
  <c r="RV20" i="7" s="1"/>
  <c r="JR4" i="7"/>
  <c r="JR20" i="7" s="1"/>
  <c r="VH4" i="7"/>
  <c r="VH20" i="7" s="1"/>
  <c r="MT4" i="7"/>
  <c r="MT20" i="7" s="1"/>
  <c r="VQ4" i="7"/>
  <c r="VQ20" i="7" s="1"/>
  <c r="SP4" i="7"/>
  <c r="SP20" i="7" s="1"/>
  <c r="ACU4" i="7"/>
  <c r="ACU20" i="7" s="1"/>
  <c r="CJ4" i="7"/>
  <c r="CJ20" i="7" s="1"/>
  <c r="VY4" i="7"/>
  <c r="VY20" i="7" s="1"/>
  <c r="HX4" i="7"/>
  <c r="HX20" i="7" s="1"/>
  <c r="WH4" i="7"/>
  <c r="WH20" i="7" s="1"/>
  <c r="KN4" i="7"/>
  <c r="KN20" i="7" s="1"/>
  <c r="R5" i="7"/>
  <c r="ACE4" i="7"/>
  <c r="ACE20" i="7" s="1"/>
  <c r="M5" i="7"/>
  <c r="GP5" i="7"/>
  <c r="LD4" i="7"/>
  <c r="LD20" i="7" s="1"/>
  <c r="AA5" i="7"/>
  <c r="AA21" i="7" s="1"/>
  <c r="ADB4" i="7"/>
  <c r="ADB20" i="7" s="1"/>
  <c r="AC5" i="7"/>
  <c r="HA5" i="7"/>
  <c r="DJ5" i="7"/>
  <c r="HC5" i="7"/>
  <c r="IK5" i="7"/>
  <c r="FL5" i="7"/>
  <c r="CO4" i="7"/>
  <c r="CO20" i="7" s="1"/>
  <c r="QL5" i="7"/>
  <c r="N5" i="7"/>
  <c r="ZS5" i="7"/>
  <c r="WB4" i="7"/>
  <c r="WB20" i="7" s="1"/>
  <c r="DS5" i="7"/>
  <c r="YI4" i="7"/>
  <c r="YI20" i="7" s="1"/>
  <c r="TT4" i="7"/>
  <c r="TT20" i="7" s="1"/>
  <c r="MP5" i="7"/>
  <c r="ADZ4" i="7"/>
  <c r="ADZ20" i="7" s="1"/>
  <c r="VZ5" i="7"/>
  <c r="LH5" i="7"/>
  <c r="AHS5" i="7"/>
  <c r="AGP4" i="7"/>
  <c r="AGP20" i="7" s="1"/>
  <c r="AX4" i="7"/>
  <c r="AX20" i="7" s="1"/>
  <c r="ACH4" i="7"/>
  <c r="ACH20" i="7" s="1"/>
  <c r="JO5" i="7"/>
  <c r="XL4" i="7"/>
  <c r="XL20" i="7" s="1"/>
  <c r="JW5" i="7"/>
  <c r="AJG4" i="7"/>
  <c r="AJG20" i="7" s="1"/>
  <c r="SG5" i="7"/>
  <c r="ABN5" i="7"/>
  <c r="IY4" i="7"/>
  <c r="IY20" i="7" s="1"/>
  <c r="TL5" i="7"/>
  <c r="AFZ5" i="7"/>
  <c r="SQ6" i="7"/>
  <c r="YJ5" i="7"/>
  <c r="KR6" i="7"/>
  <c r="ADY5" i="7"/>
  <c r="PD4" i="7"/>
  <c r="PD20" i="7" s="1"/>
  <c r="AAA4" i="7"/>
  <c r="AAA20" i="7" s="1"/>
  <c r="GB5" i="7"/>
  <c r="FK5" i="7"/>
  <c r="MK5" i="7"/>
  <c r="MK21" i="7" s="1"/>
  <c r="EE6" i="7"/>
  <c r="TK4" i="7"/>
  <c r="TK20" i="7" s="1"/>
  <c r="AIM5" i="7"/>
  <c r="AH5" i="7"/>
  <c r="AJX5" i="7"/>
  <c r="AFB4" i="7"/>
  <c r="AFB20" i="7" s="1"/>
  <c r="TB4" i="7"/>
  <c r="TB20" i="7" s="1"/>
  <c r="FA4" i="7"/>
  <c r="FA20" i="7" s="1"/>
  <c r="ABS4" i="7"/>
  <c r="ABS20" i="7" s="1"/>
  <c r="RZ4" i="7"/>
  <c r="RZ20" i="7" s="1"/>
  <c r="ZV15" i="7"/>
  <c r="AII15" i="7"/>
  <c r="DJ15" i="7"/>
  <c r="Q4" i="7"/>
  <c r="Q20" i="7" s="1"/>
  <c r="AGT15" i="7"/>
  <c r="ADX15" i="7"/>
  <c r="FL15" i="7"/>
  <c r="NP4" i="7"/>
  <c r="NP20" i="7" s="1"/>
  <c r="EU4" i="7"/>
  <c r="EU20" i="7" s="1"/>
  <c r="Q5" i="7"/>
  <c r="AFR4" i="7"/>
  <c r="AFR20" i="7" s="1"/>
  <c r="WO4" i="7"/>
  <c r="WO20" i="7" s="1"/>
  <c r="OR4" i="7"/>
  <c r="OR20" i="7" s="1"/>
  <c r="ACN4" i="7"/>
  <c r="ACN20" i="7" s="1"/>
  <c r="OV4" i="7"/>
  <c r="OV20" i="7" s="1"/>
  <c r="AKQ4" i="7"/>
  <c r="AKQ20" i="7" s="1"/>
  <c r="UT4" i="7"/>
  <c r="UT20" i="7" s="1"/>
  <c r="MD4" i="7"/>
  <c r="MD20" i="7" s="1"/>
  <c r="UY4" i="7"/>
  <c r="UY20" i="7" s="1"/>
  <c r="J4" i="7"/>
  <c r="J20" i="7" s="1"/>
  <c r="XQ15" i="7"/>
  <c r="Z4" i="7"/>
  <c r="Z20" i="7" s="1"/>
  <c r="YL4" i="7"/>
  <c r="YL20" i="7" s="1"/>
  <c r="VO4" i="7"/>
  <c r="VO20" i="7" s="1"/>
  <c r="AGT4" i="7"/>
  <c r="AGT20" i="7" s="1"/>
  <c r="HH4" i="7"/>
  <c r="HH20" i="7" s="1"/>
  <c r="ABH4" i="7"/>
  <c r="ABH20" i="7" s="1"/>
  <c r="MV4" i="7"/>
  <c r="MV20" i="7" s="1"/>
  <c r="ZD4" i="7"/>
  <c r="ZD20" i="7" s="1"/>
  <c r="TF4" i="7"/>
  <c r="TF20" i="7" s="1"/>
  <c r="ER5" i="7"/>
  <c r="ER21" i="7" s="1"/>
  <c r="AIG4" i="7"/>
  <c r="AIG20" i="7" s="1"/>
  <c r="DO5" i="7"/>
  <c r="JX5" i="7"/>
  <c r="TP4" i="7"/>
  <c r="TP20" i="7" s="1"/>
  <c r="EZ5" i="7"/>
  <c r="AIY4" i="7"/>
  <c r="AIY20" i="7" s="1"/>
  <c r="DZ5" i="7"/>
  <c r="KG5" i="7"/>
  <c r="HI5" i="7"/>
  <c r="MA5" i="7"/>
  <c r="IZ4" i="7"/>
  <c r="IZ20" i="7" s="1"/>
  <c r="JC5" i="7"/>
  <c r="UI4" i="7"/>
  <c r="UI20" i="7" s="1"/>
  <c r="SX5" i="7"/>
  <c r="DP5" i="7"/>
  <c r="AEQ5" i="7"/>
  <c r="ABJ4" i="7"/>
  <c r="ABJ20" i="7" s="1"/>
  <c r="IQ5" i="7"/>
  <c r="ADX4" i="7"/>
  <c r="ADX20" i="7" s="1"/>
  <c r="YR4" i="7"/>
  <c r="YR20" i="7" s="1"/>
  <c r="PE5" i="7"/>
  <c r="AJS4" i="7"/>
  <c r="AJS20" i="7" s="1"/>
  <c r="AAX5" i="7"/>
  <c r="OA5" i="7"/>
  <c r="EA4" i="7"/>
  <c r="EA20" i="7" s="1"/>
  <c r="JA4" i="7"/>
  <c r="JA20" i="7" s="1"/>
  <c r="TI4" i="7"/>
  <c r="TI20" i="7" s="1"/>
  <c r="AK4" i="7"/>
  <c r="AK20" i="7" s="1"/>
  <c r="DJ4" i="7"/>
  <c r="DJ20" i="7" s="1"/>
  <c r="BA4" i="7"/>
  <c r="BA20" i="7" s="1"/>
  <c r="EP4" i="7"/>
  <c r="EP20" i="7" s="1"/>
  <c r="CG5" i="7"/>
  <c r="XE5" i="7"/>
  <c r="WW4" i="7"/>
  <c r="WW20" i="7" s="1"/>
  <c r="ZR4" i="7"/>
  <c r="ZR20" i="7" s="1"/>
  <c r="VV4" i="7"/>
  <c r="VV20" i="7" s="1"/>
  <c r="ALJ5" i="7"/>
  <c r="VC6" i="7"/>
  <c r="ACI5" i="7"/>
  <c r="ND6" i="7"/>
  <c r="AAD4" i="7"/>
  <c r="AAD20" i="7" s="1"/>
  <c r="T4" i="7"/>
  <c r="T20" i="7" s="1"/>
  <c r="ALH4" i="7"/>
  <c r="ALH20" i="7" s="1"/>
  <c r="RK5" i="7"/>
  <c r="JK5" i="7"/>
  <c r="RL5" i="7"/>
  <c r="GQ6" i="7"/>
  <c r="AHX4" i="7"/>
  <c r="AHX20" i="7" s="1"/>
  <c r="ALC5" i="7"/>
  <c r="IF5" i="7"/>
  <c r="IF21" i="7" s="1"/>
  <c r="Y6" i="7"/>
  <c r="HK5" i="7"/>
  <c r="JP4" i="7"/>
  <c r="JP20" i="7" s="1"/>
  <c r="ADC4" i="7"/>
  <c r="ADC20" i="7" s="1"/>
  <c r="AD5" i="7"/>
  <c r="HO4" i="7"/>
  <c r="HO20" i="7" s="1"/>
  <c r="ADK15" i="7"/>
  <c r="MV15" i="7"/>
  <c r="OV15" i="7"/>
  <c r="FJ15" i="7"/>
  <c r="FI15" i="7"/>
  <c r="NX15" i="7"/>
  <c r="XU4" i="7"/>
  <c r="XU20" i="7" s="1"/>
  <c r="PO4" i="7"/>
  <c r="PO20" i="7" s="1"/>
  <c r="CM4" i="7"/>
  <c r="CM20" i="7" s="1"/>
  <c r="CG4" i="7"/>
  <c r="CG20" i="7" s="1"/>
  <c r="AAW4" i="7"/>
  <c r="AAW20" i="7" s="1"/>
  <c r="Y4" i="7"/>
  <c r="Y20" i="7" s="1"/>
  <c r="AEZ4" i="7"/>
  <c r="AEZ20" i="7" s="1"/>
  <c r="SV4" i="7"/>
  <c r="SV20" i="7" s="1"/>
  <c r="DK5" i="7"/>
  <c r="ZK4" i="7"/>
  <c r="ZK20" i="7" s="1"/>
  <c r="OX4" i="7"/>
  <c r="OX20" i="7" s="1"/>
  <c r="ACZ15" i="7"/>
  <c r="EH4" i="7"/>
  <c r="EH20" i="7" s="1"/>
  <c r="OG15" i="7"/>
  <c r="TW4" i="7"/>
  <c r="TW20" i="7" s="1"/>
  <c r="GK4" i="7"/>
  <c r="GK20" i="7" s="1"/>
  <c r="HE15" i="7"/>
  <c r="AGE15" i="7"/>
  <c r="AHY15" i="7"/>
  <c r="FB15" i="7"/>
  <c r="IH15" i="7"/>
  <c r="ACX4" i="7"/>
  <c r="ACX20" i="7" s="1"/>
  <c r="UM4" i="7"/>
  <c r="UM20" i="7" s="1"/>
  <c r="HK4" i="7"/>
  <c r="HK20" i="7" s="1"/>
  <c r="HE4" i="7"/>
  <c r="HE20" i="7" s="1"/>
  <c r="AIL4" i="7"/>
  <c r="AIL20" i="7" s="1"/>
  <c r="EW4" i="7"/>
  <c r="EW20" i="7" s="1"/>
  <c r="AHL4" i="7"/>
  <c r="AHL20" i="7" s="1"/>
  <c r="VR4" i="7"/>
  <c r="VR20" i="7" s="1"/>
  <c r="WI4" i="7"/>
  <c r="WI20" i="7" s="1"/>
  <c r="SS4" i="7"/>
  <c r="SS20" i="7" s="1"/>
  <c r="GV15" i="7"/>
  <c r="ABG15" i="7"/>
  <c r="KB15" i="7"/>
  <c r="RI15" i="7"/>
  <c r="OQ4" i="7"/>
  <c r="OQ20" i="7" s="1"/>
  <c r="YS4" i="7"/>
  <c r="YS20" i="7" s="1"/>
  <c r="FR4" i="7"/>
  <c r="FR20" i="7" s="1"/>
  <c r="AES4" i="7"/>
  <c r="AES20" i="7" s="1"/>
  <c r="ZI4" i="7"/>
  <c r="ZI20" i="7" s="1"/>
  <c r="CE4" i="7"/>
  <c r="CE20" i="7" s="1"/>
  <c r="JB4" i="7"/>
  <c r="JB20" i="7" s="1"/>
  <c r="RH4" i="7"/>
  <c r="RH20" i="7" s="1"/>
  <c r="HU4" i="7"/>
  <c r="HU20" i="7" s="1"/>
  <c r="RN4" i="7"/>
  <c r="RN20" i="7" s="1"/>
  <c r="KJ4" i="7"/>
  <c r="KJ20" i="7" s="1"/>
  <c r="AAJ4" i="7"/>
  <c r="AAJ20" i="7" s="1"/>
  <c r="KR4" i="7"/>
  <c r="KR20" i="7" s="1"/>
  <c r="ADD4" i="7"/>
  <c r="ADD20" i="7" s="1"/>
  <c r="QN4" i="7"/>
  <c r="QN20" i="7" s="1"/>
  <c r="ACB15" i="7"/>
  <c r="LU15" i="7"/>
  <c r="IF15" i="7"/>
  <c r="DW4" i="7"/>
  <c r="DW20" i="7" s="1"/>
  <c r="FD4" i="7"/>
  <c r="FD20" i="7" s="1"/>
  <c r="JI15" i="7"/>
  <c r="LF4" i="7"/>
  <c r="LF20" i="7" s="1"/>
  <c r="HS5" i="7"/>
  <c r="HJ4" i="7"/>
  <c r="HJ20" i="7" s="1"/>
  <c r="L4" i="7"/>
  <c r="L20" i="7" s="1"/>
  <c r="AKH4" i="7"/>
  <c r="AKH20" i="7" s="1"/>
  <c r="YY4" i="7"/>
  <c r="YY20" i="7" s="1"/>
  <c r="OP4" i="7"/>
  <c r="OP20" i="7" s="1"/>
  <c r="XK4" i="7"/>
  <c r="XK20" i="7" s="1"/>
  <c r="RF4" i="7"/>
  <c r="RF20" i="7" s="1"/>
  <c r="AFG4" i="7"/>
  <c r="AFG20" i="7" s="1"/>
  <c r="AO4" i="7"/>
  <c r="AO20" i="7" s="1"/>
  <c r="AFH4" i="7"/>
  <c r="AFH20" i="7" s="1"/>
  <c r="FU4" i="7"/>
  <c r="FU20" i="7" s="1"/>
  <c r="AIB4" i="7"/>
  <c r="AIB20" i="7" s="1"/>
  <c r="GS4" i="7"/>
  <c r="GS20" i="7" s="1"/>
  <c r="AIJ4" i="7"/>
  <c r="AIJ20" i="7" s="1"/>
  <c r="ZN4" i="7"/>
  <c r="ZN20" i="7" s="1"/>
  <c r="GU5" i="7"/>
  <c r="AEW4" i="7"/>
  <c r="AEW20" i="7" s="1"/>
  <c r="NB4" i="7"/>
  <c r="NB20" i="7" s="1"/>
  <c r="VZ4" i="7"/>
  <c r="VZ20" i="7" s="1"/>
  <c r="NR4" i="7"/>
  <c r="NR20" i="7" s="1"/>
  <c r="PU4" i="7"/>
  <c r="PU20" i="7" s="1"/>
  <c r="BG5" i="7"/>
  <c r="HU5" i="7"/>
  <c r="XU5" i="7"/>
  <c r="ACD5" i="7"/>
  <c r="AGM5" i="7"/>
  <c r="BO5" i="7"/>
  <c r="IC5" i="7"/>
  <c r="YC5" i="7"/>
  <c r="ACL5" i="7"/>
  <c r="AGU5" i="7"/>
  <c r="PE4" i="7"/>
  <c r="PE20" i="7" s="1"/>
  <c r="AHG4" i="7"/>
  <c r="AHG20" i="7" s="1"/>
  <c r="AJN4" i="7"/>
  <c r="AJN20" i="7" s="1"/>
  <c r="YK5" i="7"/>
  <c r="YK21" i="7" s="1"/>
  <c r="LG5" i="7"/>
  <c r="AAY4" i="7"/>
  <c r="AAY20" i="7" s="1"/>
  <c r="UU5" i="7"/>
  <c r="UU21" i="7" s="1"/>
  <c r="AHU4" i="7"/>
  <c r="AHU20" i="7" s="1"/>
  <c r="VX4" i="7"/>
  <c r="VX20" i="7" s="1"/>
  <c r="HD5" i="7"/>
  <c r="BP4" i="7"/>
  <c r="BP20" i="7" s="1"/>
  <c r="GK5" i="7"/>
  <c r="HM4" i="7"/>
  <c r="HM20" i="7" s="1"/>
  <c r="RB5" i="7"/>
  <c r="RB21" i="7" s="1"/>
  <c r="AP5" i="7"/>
  <c r="AAI5" i="7"/>
  <c r="WK4" i="7"/>
  <c r="WK20" i="7" s="1"/>
  <c r="EA5" i="7"/>
  <c r="EA21" i="7" s="1"/>
  <c r="QX4" i="7"/>
  <c r="QX20" i="7" s="1"/>
  <c r="P5" i="7"/>
  <c r="IB4" i="7"/>
  <c r="IB20" i="7" s="1"/>
  <c r="AGE4" i="7"/>
  <c r="AGE20" i="7" s="1"/>
  <c r="AKI4" i="7"/>
  <c r="AKI20" i="7" s="1"/>
  <c r="HJ5" i="7"/>
  <c r="RR5" i="7"/>
  <c r="AAY5" i="7"/>
  <c r="ON5" i="7"/>
  <c r="ZH5" i="7"/>
  <c r="LG6" i="7"/>
  <c r="KI5" i="7"/>
  <c r="FT6" i="7"/>
  <c r="WM5" i="7"/>
  <c r="CO5" i="7"/>
  <c r="XM5" i="7"/>
  <c r="XZ4" i="7"/>
  <c r="XZ20" i="7" s="1"/>
  <c r="ABM4" i="7"/>
  <c r="ABM20" i="7" s="1"/>
  <c r="YA4" i="7"/>
  <c r="YA20" i="7" s="1"/>
  <c r="ALR5" i="7"/>
  <c r="ALR21" i="7" s="1"/>
  <c r="VK6" i="7"/>
  <c r="ACW5" i="7"/>
  <c r="BI4" i="7"/>
  <c r="BI20" i="7" s="1"/>
  <c r="AEH5" i="7"/>
  <c r="MG6" i="7"/>
  <c r="DU5" i="7"/>
  <c r="TU5" i="7"/>
  <c r="YD5" i="7"/>
  <c r="VF15" i="7"/>
  <c r="CL4" i="7"/>
  <c r="CL20" i="7" s="1"/>
  <c r="ABK4" i="7"/>
  <c r="ABK20" i="7" s="1"/>
  <c r="AFP4" i="7"/>
  <c r="AFP20" i="7" s="1"/>
  <c r="AFY4" i="7"/>
  <c r="AFY20" i="7" s="1"/>
  <c r="AJ5" i="7"/>
  <c r="AJ21" i="7" s="1"/>
  <c r="AGF4" i="7"/>
  <c r="AGF20" i="7" s="1"/>
  <c r="AEB4" i="7"/>
  <c r="AEB20" i="7" s="1"/>
  <c r="VM4" i="7"/>
  <c r="VM20" i="7" s="1"/>
  <c r="KO5" i="7"/>
  <c r="AED4" i="7"/>
  <c r="AED20" i="7" s="1"/>
  <c r="EX5" i="7"/>
  <c r="PO5" i="7"/>
  <c r="ZJ4" i="7"/>
  <c r="ZJ20" i="7" s="1"/>
  <c r="OO5" i="7"/>
  <c r="AAH5" i="7"/>
  <c r="AJO5" i="7"/>
  <c r="SM4" i="7"/>
  <c r="SM20" i="7" s="1"/>
  <c r="YZ4" i="7"/>
  <c r="YZ20" i="7" s="1"/>
  <c r="JD5" i="7"/>
  <c r="JD21" i="7" s="1"/>
  <c r="SY5" i="7"/>
  <c r="GW4" i="7"/>
  <c r="GW20" i="7" s="1"/>
  <c r="JI4" i="7"/>
  <c r="JI20" i="7" s="1"/>
  <c r="TL4" i="7"/>
  <c r="TL20" i="7" s="1"/>
  <c r="NX4" i="7"/>
  <c r="NX20" i="7" s="1"/>
  <c r="FN5" i="7"/>
  <c r="LR5" i="7"/>
  <c r="PR4" i="7"/>
  <c r="PR20" i="7" s="1"/>
  <c r="ALP4" i="7"/>
  <c r="ALP20" i="7" s="1"/>
  <c r="HX5" i="7"/>
  <c r="ABG5" i="7"/>
  <c r="ZV5" i="7"/>
  <c r="ZV21" i="7" s="1"/>
  <c r="LA5" i="7"/>
  <c r="ST5" i="7"/>
  <c r="JO4" i="7"/>
  <c r="JO20" i="7" s="1"/>
  <c r="IU5" i="7"/>
  <c r="ACD4" i="7"/>
  <c r="ACD20" i="7" s="1"/>
  <c r="AAF4" i="7"/>
  <c r="AAF20" i="7" s="1"/>
  <c r="AJM5" i="7"/>
  <c r="TG6" i="7"/>
  <c r="ZL5" i="7"/>
  <c r="LH6" i="7"/>
  <c r="OL4" i="7"/>
  <c r="OL20" i="7" s="1"/>
  <c r="AGZ4" i="7"/>
  <c r="AGZ20" i="7" s="1"/>
  <c r="JV5" i="7"/>
  <c r="TO5" i="7"/>
  <c r="KL5" i="7"/>
  <c r="TH5" i="7"/>
  <c r="HO6" i="7"/>
  <c r="HF5" i="7"/>
  <c r="CB6" i="7"/>
  <c r="PR5" i="7"/>
  <c r="PR21" i="7" s="1"/>
  <c r="FH4" i="7"/>
  <c r="FH20" i="7" s="1"/>
  <c r="OW4" i="7"/>
  <c r="OW20" i="7" s="1"/>
  <c r="CC5" i="7"/>
  <c r="AKP4" i="7"/>
  <c r="AKP20" i="7" s="1"/>
  <c r="YF4" i="7"/>
  <c r="YF20" i="7" s="1"/>
  <c r="AJB4" i="7"/>
  <c r="AJB20" i="7" s="1"/>
  <c r="KY5" i="7"/>
  <c r="DX5" i="7"/>
  <c r="MR4" i="7"/>
  <c r="MR20" i="7" s="1"/>
  <c r="XY4" i="7"/>
  <c r="XY20" i="7" s="1"/>
  <c r="FC5" i="7"/>
  <c r="FC21" i="7" s="1"/>
  <c r="EL5" i="7"/>
  <c r="KZ5" i="7"/>
  <c r="KV4" i="7"/>
  <c r="KV20" i="7" s="1"/>
  <c r="AKM4" i="7"/>
  <c r="AKM20" i="7" s="1"/>
  <c r="GK6" i="7"/>
  <c r="YH5" i="7"/>
  <c r="UA5" i="7"/>
  <c r="YN6" i="7"/>
  <c r="K6" i="7"/>
  <c r="ACX6" i="7"/>
  <c r="KT6" i="7"/>
  <c r="KC5" i="7"/>
  <c r="HG6" i="7"/>
  <c r="H6" i="7"/>
  <c r="AKV5" i="7"/>
  <c r="AKV21" i="7" s="1"/>
  <c r="KT5" i="7"/>
  <c r="KT21" i="7" s="1"/>
  <c r="DN6" i="7"/>
  <c r="NN6" i="7"/>
  <c r="IN5" i="7"/>
  <c r="SO6" i="7"/>
  <c r="YF5" i="7"/>
  <c r="CD5" i="7"/>
  <c r="RS6" i="7"/>
  <c r="EV6" i="7"/>
  <c r="AIE5" i="7"/>
  <c r="AIT4" i="7"/>
  <c r="AIT20" i="7" s="1"/>
  <c r="AIT5" i="7"/>
  <c r="AJH5" i="7"/>
  <c r="ZE6" i="7"/>
  <c r="AHX5" i="7"/>
  <c r="YO6" i="7"/>
  <c r="OX5" i="7"/>
  <c r="YW5" i="7"/>
  <c r="AFC4" i="7"/>
  <c r="AFC20" i="7" s="1"/>
  <c r="MX5" i="7"/>
  <c r="EU6" i="7"/>
  <c r="ADO5" i="7"/>
  <c r="XL5" i="7"/>
  <c r="LA6" i="7"/>
  <c r="AAT5" i="7"/>
  <c r="QI5" i="7"/>
  <c r="RV6" i="7"/>
  <c r="OB5" i="7"/>
  <c r="HW5" i="7"/>
  <c r="AM6" i="7"/>
  <c r="WZ5" i="7"/>
  <c r="AGM4" i="7"/>
  <c r="AGM20" i="7" s="1"/>
  <c r="PO6" i="7"/>
  <c r="ABJ5" i="7"/>
  <c r="KK6" i="7"/>
  <c r="NW5" i="7"/>
  <c r="LI5" i="7"/>
  <c r="AET6" i="7"/>
  <c r="QW6" i="7"/>
  <c r="AEM5" i="7"/>
  <c r="BU5" i="7"/>
  <c r="ADL6" i="7"/>
  <c r="LL7" i="7"/>
  <c r="YR5" i="7"/>
  <c r="AIN6" i="7"/>
  <c r="PU7" i="7"/>
  <c r="OM6" i="7"/>
  <c r="DF7" i="7"/>
  <c r="WX7" i="7"/>
  <c r="AGF5" i="7"/>
  <c r="RL6" i="7"/>
  <c r="ADW6" i="7"/>
  <c r="LS7" i="7"/>
  <c r="AJQ6" i="7"/>
  <c r="QJ5" i="7"/>
  <c r="I6" i="7"/>
  <c r="N6" i="7"/>
  <c r="ACG6" i="7"/>
  <c r="XD6" i="7"/>
  <c r="JR6" i="7"/>
  <c r="PJ5" i="7"/>
  <c r="RP6" i="7"/>
  <c r="VX6" i="7"/>
  <c r="GV7" i="7"/>
  <c r="AAN7" i="7"/>
  <c r="ADC6" i="7"/>
  <c r="LE7" i="7"/>
  <c r="ALM5" i="7"/>
  <c r="ALA6" i="7"/>
  <c r="SH7" i="7"/>
  <c r="WX4" i="7"/>
  <c r="WX20" i="7" s="1"/>
  <c r="EC6" i="7"/>
  <c r="WJ6" i="7"/>
  <c r="HC7" i="7"/>
  <c r="MF6" i="7"/>
  <c r="IR5" i="7"/>
  <c r="ED6" i="7"/>
  <c r="CM6" i="7"/>
  <c r="AAD5" i="7"/>
  <c r="YG6" i="7"/>
  <c r="DU6" i="7"/>
  <c r="AFM5" i="7"/>
  <c r="AJS6" i="7"/>
  <c r="QZ7" i="7"/>
  <c r="JO6" i="7"/>
  <c r="BQ7" i="7"/>
  <c r="VI7" i="7"/>
  <c r="ZJ6" i="7"/>
  <c r="IT7" i="7"/>
  <c r="XQ5" i="7"/>
  <c r="NV6" i="7"/>
  <c r="AGW5" i="7"/>
  <c r="BJ4" i="7"/>
  <c r="BJ20" i="7" s="1"/>
  <c r="AHE4" i="7"/>
  <c r="AHE20" i="7" s="1"/>
  <c r="ZN15" i="7"/>
  <c r="NC4" i="7"/>
  <c r="NC20" i="7" s="1"/>
  <c r="QJ4" i="7"/>
  <c r="QJ20" i="7" s="1"/>
  <c r="WP4" i="7"/>
  <c r="WP20" i="7" s="1"/>
  <c r="PJ4" i="7"/>
  <c r="PJ20" i="7" s="1"/>
  <c r="GE4" i="7"/>
  <c r="GE20" i="7" s="1"/>
  <c r="CW5" i="7"/>
  <c r="XF5" i="7"/>
  <c r="AAV4" i="7"/>
  <c r="AAV20" i="7" s="1"/>
  <c r="TE5" i="7"/>
  <c r="ABW5" i="7"/>
  <c r="XF4" i="7"/>
  <c r="XF20" i="7" s="1"/>
  <c r="RA5" i="7"/>
  <c r="ACT5" i="7"/>
  <c r="XT4" i="7"/>
  <c r="XT20" i="7" s="1"/>
  <c r="ABV4" i="7"/>
  <c r="ABV20" i="7" s="1"/>
  <c r="AKT4" i="7"/>
  <c r="AKT20" i="7" s="1"/>
  <c r="LY5" i="7"/>
  <c r="VK5" i="7"/>
  <c r="WN4" i="7"/>
  <c r="WN20" i="7" s="1"/>
  <c r="XQ4" i="7"/>
  <c r="XQ20" i="7" s="1"/>
  <c r="KO4" i="7"/>
  <c r="KO20" i="7" s="1"/>
  <c r="ZS4" i="7"/>
  <c r="ZS20" i="7" s="1"/>
  <c r="RC5" i="7"/>
  <c r="QV5" i="7"/>
  <c r="AGQ4" i="7"/>
  <c r="AGQ20" i="7" s="1"/>
  <c r="HG5" i="7"/>
  <c r="NQ5" i="7"/>
  <c r="AGE5" i="7"/>
  <c r="ADN5" i="7"/>
  <c r="UY5" i="7"/>
  <c r="XA5" i="7"/>
  <c r="ADJ4" i="7"/>
  <c r="ADJ20" i="7" s="1"/>
  <c r="OH5" i="7"/>
  <c r="AIX4" i="7"/>
  <c r="AIX20" i="7" s="1"/>
  <c r="ALN4" i="7"/>
  <c r="ALN20" i="7" s="1"/>
  <c r="O6" i="7"/>
  <c r="VS6" i="7"/>
  <c r="ADF5" i="7"/>
  <c r="ADP4" i="7"/>
  <c r="ADP20" i="7" s="1"/>
  <c r="DD5" i="7"/>
  <c r="DN5" i="7"/>
  <c r="PF5" i="7"/>
  <c r="PF21" i="7" s="1"/>
  <c r="YM5" i="7"/>
  <c r="NH5" i="7"/>
  <c r="XJ5" i="7"/>
  <c r="MM6" i="7"/>
  <c r="ND5" i="7"/>
  <c r="EN6" i="7"/>
  <c r="AGO4" i="7"/>
  <c r="AGO20" i="7" s="1"/>
  <c r="VW4" i="7"/>
  <c r="VW20" i="7" s="1"/>
  <c r="AGK4" i="7"/>
  <c r="AGK20" i="7" s="1"/>
  <c r="JN5" i="7"/>
  <c r="TH4" i="7"/>
  <c r="TH20" i="7" s="1"/>
  <c r="XX4" i="7"/>
  <c r="XX20" i="7" s="1"/>
  <c r="FB5" i="7"/>
  <c r="QE5" i="7"/>
  <c r="MZ4" i="7"/>
  <c r="MZ20" i="7" s="1"/>
  <c r="ZH4" i="7"/>
  <c r="ZH20" i="7" s="1"/>
  <c r="AKE4" i="7"/>
  <c r="AKE20" i="7" s="1"/>
  <c r="QU5" i="7"/>
  <c r="UL4" i="7"/>
  <c r="UL20" i="7" s="1"/>
  <c r="UX5" i="7"/>
  <c r="CH5" i="7"/>
  <c r="LU5" i="7"/>
  <c r="JE6" i="7"/>
  <c r="ACG5" i="7"/>
  <c r="AHW5" i="7"/>
  <c r="ABA6" i="7"/>
  <c r="EH6" i="7"/>
  <c r="DL4" i="7"/>
  <c r="DL20" i="7" s="1"/>
  <c r="OK6" i="7"/>
  <c r="PL5" i="7"/>
  <c r="ME6" i="7"/>
  <c r="JD6" i="7"/>
  <c r="BE6" i="7"/>
  <c r="QA5" i="7"/>
  <c r="AIE4" i="7"/>
  <c r="AIE20" i="7" s="1"/>
  <c r="QK6" i="7"/>
  <c r="SZ5" i="7"/>
  <c r="VJ6" i="7"/>
  <c r="AGD4" i="7"/>
  <c r="AGD20" i="7" s="1"/>
  <c r="OZ5" i="7"/>
  <c r="WQ6" i="7"/>
  <c r="JT6" i="7"/>
  <c r="ALD5" i="7"/>
  <c r="EV5" i="7"/>
  <c r="ALI5" i="7"/>
  <c r="BV6" i="7"/>
  <c r="ABQ6" i="7"/>
  <c r="AQ6" i="7"/>
  <c r="ABB6" i="7"/>
  <c r="TG5" i="7"/>
  <c r="TG21" i="7" s="1"/>
  <c r="AFQ5" i="7"/>
  <c r="JQ5" i="7"/>
  <c r="RX5" i="7"/>
  <c r="JS6" i="7"/>
  <c r="AJE5" i="7"/>
  <c r="ACJ5" i="7"/>
  <c r="NU6" i="7"/>
  <c r="AEE5" i="7"/>
  <c r="YZ5" i="7"/>
  <c r="UQ6" i="7"/>
  <c r="XC5" i="7"/>
  <c r="NP5" i="7"/>
  <c r="FK6" i="7"/>
  <c r="CV4" i="7"/>
  <c r="CV20" i="7" s="1"/>
  <c r="KH5" i="7"/>
  <c r="UM6" i="7"/>
  <c r="AF6" i="7"/>
  <c r="XM4" i="7"/>
  <c r="XM20" i="7" s="1"/>
  <c r="AEJ5" i="7"/>
  <c r="ACZ5" i="7"/>
  <c r="IO5" i="7"/>
  <c r="UJ6" i="7"/>
  <c r="AKB5" i="7"/>
  <c r="KR5" i="7"/>
  <c r="KR21" i="7" s="1"/>
  <c r="AGN6" i="7"/>
  <c r="NX7" i="7"/>
  <c r="AKZ5" i="7"/>
  <c r="AKZ6" i="7"/>
  <c r="SG7" i="7"/>
  <c r="TU6" i="7"/>
  <c r="FR7" i="7"/>
  <c r="WG4" i="7"/>
  <c r="WG20" i="7" s="1"/>
  <c r="EB6" i="7"/>
  <c r="NL5" i="7"/>
  <c r="AGV6" i="7"/>
  <c r="OE7" i="7"/>
  <c r="CD7" i="7"/>
  <c r="IE6" i="7"/>
  <c r="FE6" i="7"/>
  <c r="LJ4" i="7"/>
  <c r="LJ20" i="7" s="1"/>
  <c r="AHE6" i="7"/>
  <c r="ABR6" i="7"/>
  <c r="NZ6" i="7"/>
  <c r="YG5" i="7"/>
  <c r="RX4" i="7"/>
  <c r="RX20" i="7" s="1"/>
  <c r="AAG6" i="7"/>
  <c r="JH7" i="7"/>
  <c r="HR5" i="7"/>
  <c r="AGF6" i="7"/>
  <c r="NQ7" i="7"/>
  <c r="HV6" i="7"/>
  <c r="NV15" i="7"/>
  <c r="ADH4" i="7"/>
  <c r="ADH20" i="7" s="1"/>
  <c r="PH4" i="7"/>
  <c r="PH20" i="7" s="1"/>
  <c r="BU4" i="7"/>
  <c r="BU20" i="7" s="1"/>
  <c r="WT4" i="7"/>
  <c r="WT20" i="7" s="1"/>
  <c r="AAX4" i="7"/>
  <c r="AAX20" i="7" s="1"/>
  <c r="TE4" i="7"/>
  <c r="TE20" i="7" s="1"/>
  <c r="LC4" i="7"/>
  <c r="LC20" i="7" s="1"/>
  <c r="FI5" i="7"/>
  <c r="ZR5" i="7"/>
  <c r="AII4" i="7"/>
  <c r="AII20" i="7" s="1"/>
  <c r="VQ5" i="7"/>
  <c r="AEI5" i="7"/>
  <c r="ACY4" i="7"/>
  <c r="ACY20" i="7" s="1"/>
  <c r="VY5" i="7"/>
  <c r="QZ4" i="7"/>
  <c r="QZ20" i="7" s="1"/>
  <c r="ACW4" i="7"/>
  <c r="ACW20" i="7" s="1"/>
  <c r="AJF4" i="7"/>
  <c r="AJF20" i="7" s="1"/>
  <c r="CL5" i="7"/>
  <c r="OP5" i="7"/>
  <c r="OP21" i="7" s="1"/>
  <c r="XW5" i="7"/>
  <c r="ALI4" i="7"/>
  <c r="ALI20" i="7" s="1"/>
  <c r="AFT4" i="7"/>
  <c r="AFT20" i="7" s="1"/>
  <c r="YG4" i="7"/>
  <c r="YG20" i="7" s="1"/>
  <c r="AAQ4" i="7"/>
  <c r="AAQ20" i="7" s="1"/>
  <c r="WA5" i="7"/>
  <c r="WA21" i="7" s="1"/>
  <c r="VL5" i="7"/>
  <c r="DG5" i="7"/>
  <c r="SD5" i="7"/>
  <c r="SO5" i="7"/>
  <c r="LK4" i="7"/>
  <c r="LK20" i="7" s="1"/>
  <c r="AGI5" i="7"/>
  <c r="YX5" i="7"/>
  <c r="AAZ5" i="7"/>
  <c r="ALB4" i="7"/>
  <c r="ALB20" i="7" s="1"/>
  <c r="TF5" i="7"/>
  <c r="BL5" i="7"/>
  <c r="HB5" i="7"/>
  <c r="CA6" i="7"/>
  <c r="YE6" i="7"/>
  <c r="AIV5" i="7"/>
  <c r="BJ5" i="7"/>
  <c r="RO4" i="7"/>
  <c r="RO20" i="7" s="1"/>
  <c r="KN5" i="7"/>
  <c r="UD5" i="7"/>
  <c r="ADK5" i="7"/>
  <c r="PT5" i="7"/>
  <c r="PT21" i="7" s="1"/>
  <c r="AEO5" i="7"/>
  <c r="OY6" i="7"/>
  <c r="SC5" i="7"/>
  <c r="GZ6" i="7"/>
  <c r="AS4" i="7"/>
  <c r="AS20" i="7" s="1"/>
  <c r="SO4" i="7"/>
  <c r="SO20" i="7" s="1"/>
  <c r="DA5" i="7"/>
  <c r="TW5" i="7"/>
  <c r="AHP4" i="7"/>
  <c r="AHP20" i="7" s="1"/>
  <c r="AKD4" i="7"/>
  <c r="AKD20" i="7" s="1"/>
  <c r="LP5" i="7"/>
  <c r="VC5" i="7"/>
  <c r="ACI4" i="7"/>
  <c r="ACI20" i="7" s="1"/>
  <c r="ZZ4" i="7"/>
  <c r="ZZ20" i="7" s="1"/>
  <c r="MH5" i="7"/>
  <c r="VS5" i="7"/>
  <c r="JY4" i="7"/>
  <c r="JY20" i="7" s="1"/>
  <c r="ACV5" i="7"/>
  <c r="PA5" i="7"/>
  <c r="TZ5" i="7"/>
  <c r="LY6" i="7"/>
  <c r="AIB5" i="7"/>
  <c r="AP6" i="7"/>
  <c r="ADM6" i="7"/>
  <c r="ID6" i="7"/>
  <c r="AU5" i="7"/>
  <c r="AU21" i="7" s="1"/>
  <c r="RF6" i="7"/>
  <c r="AI4" i="7"/>
  <c r="AI20" i="7" s="1"/>
  <c r="WA6" i="7"/>
  <c r="LE4" i="7"/>
  <c r="LE20" i="7" s="1"/>
  <c r="DY6" i="7"/>
  <c r="UW5" i="7"/>
  <c r="LD5" i="7"/>
  <c r="TF6" i="7"/>
  <c r="ABB5" i="7"/>
  <c r="YF6" i="7"/>
  <c r="CB5" i="7"/>
  <c r="XX5" i="7"/>
  <c r="ACA4" i="7"/>
  <c r="ACA20" i="7" s="1"/>
  <c r="TQ4" i="7"/>
  <c r="TQ20" i="7" s="1"/>
  <c r="BM6" i="7"/>
  <c r="LM5" i="7"/>
  <c r="BJ6" i="7"/>
  <c r="GE6" i="7"/>
  <c r="AEC6" i="7"/>
  <c r="FG6" i="7"/>
  <c r="ADN6" i="7"/>
  <c r="CY5" i="7"/>
  <c r="ALB5" i="7"/>
  <c r="TY5" i="7"/>
  <c r="ABT4" i="7"/>
  <c r="ABT20" i="7" s="1"/>
  <c r="OQ6" i="7"/>
  <c r="BT6" i="7"/>
  <c r="AGB5" i="7"/>
  <c r="ABF4" i="7"/>
  <c r="ABF20" i="7" s="1"/>
  <c r="AGZ5" i="7"/>
  <c r="AFT5" i="7"/>
  <c r="XL6" i="7"/>
  <c r="AEK5" i="7"/>
  <c r="AEK21" i="7" s="1"/>
  <c r="SN5" i="7"/>
  <c r="KI6" i="7"/>
  <c r="ZI5" i="7"/>
  <c r="ZI21" i="7" s="1"/>
  <c r="UJ5" i="7"/>
  <c r="FX4" i="7"/>
  <c r="FX20" i="7" s="1"/>
  <c r="KB6" i="7"/>
  <c r="FU5" i="7"/>
  <c r="CL6" i="7"/>
  <c r="BG6" i="7"/>
  <c r="WE5" i="7"/>
  <c r="XN6" i="7"/>
  <c r="CO6" i="7"/>
  <c r="ACP5" i="7"/>
  <c r="AJC6" i="7"/>
  <c r="QJ7" i="7"/>
  <c r="HN6" i="7"/>
  <c r="BA7" i="7"/>
  <c r="US7" i="7"/>
  <c r="YI6" i="7"/>
  <c r="ID7" i="7"/>
  <c r="TP5" i="7"/>
  <c r="LZ6" i="7"/>
  <c r="AEB5" i="7"/>
  <c r="AJJ6" i="7"/>
  <c r="QQ7" i="7"/>
  <c r="HB7" i="7"/>
  <c r="ABX5" i="7"/>
  <c r="ABX21" i="7" s="1"/>
  <c r="KS6" i="7"/>
  <c r="PC5" i="7"/>
  <c r="MT5" i="7"/>
  <c r="AFB6" i="7"/>
  <c r="RO6" i="7"/>
  <c r="AFE5" i="7"/>
  <c r="DV5" i="7"/>
  <c r="ADX6" i="7"/>
  <c r="LT7" i="7"/>
  <c r="AAS5" i="7"/>
  <c r="AIV6" i="7"/>
  <c r="QC7" i="7"/>
  <c r="PE6" i="7"/>
  <c r="VZ15" i="7"/>
  <c r="MA4" i="7"/>
  <c r="MA20" i="7" s="1"/>
  <c r="DR4" i="7"/>
  <c r="DR20" i="7" s="1"/>
  <c r="EX4" i="7"/>
  <c r="EX20" i="7" s="1"/>
  <c r="IC4" i="7"/>
  <c r="IC20" i="7" s="1"/>
  <c r="MF4" i="7"/>
  <c r="MF20" i="7" s="1"/>
  <c r="RT4" i="7"/>
  <c r="RT20" i="7" s="1"/>
  <c r="YW4" i="7"/>
  <c r="YW20" i="7" s="1"/>
  <c r="AN5" i="7"/>
  <c r="MS5" i="7"/>
  <c r="FW4" i="7"/>
  <c r="FW20" i="7" s="1"/>
  <c r="HY5" i="7"/>
  <c r="ABI4" i="7"/>
  <c r="ABI20" i="7" s="1"/>
  <c r="SD4" i="7"/>
  <c r="SD20" i="7" s="1"/>
  <c r="ACL4" i="7"/>
  <c r="ACL20" i="7" s="1"/>
  <c r="KP5" i="7"/>
  <c r="AGH4" i="7"/>
  <c r="AGH20" i="7" s="1"/>
  <c r="AIA4" i="7"/>
  <c r="AIA20" i="7" s="1"/>
  <c r="RQ5" i="7"/>
  <c r="CT4" i="7"/>
  <c r="CT20" i="7" s="1"/>
  <c r="YC4" i="7"/>
  <c r="YC20" i="7" s="1"/>
  <c r="ACJ4" i="7"/>
  <c r="ACJ20" i="7" s="1"/>
  <c r="ADI4" i="7"/>
  <c r="ADI20" i="7" s="1"/>
  <c r="VL4" i="7"/>
  <c r="VL20" i="7" s="1"/>
  <c r="ACC5" i="7"/>
  <c r="AHN4" i="7"/>
  <c r="AHN20" i="7" s="1"/>
  <c r="BK6" i="7"/>
  <c r="AFI5" i="7"/>
  <c r="CM5" i="7"/>
  <c r="NA5" i="7"/>
  <c r="MF5" i="7"/>
  <c r="JC6" i="7"/>
  <c r="BD6" i="7"/>
  <c r="CK6" i="7"/>
  <c r="AEP4" i="7"/>
  <c r="AEP20" i="7" s="1"/>
  <c r="HZ5" i="7"/>
  <c r="HZ21" i="7" s="1"/>
  <c r="FV5" i="7"/>
  <c r="NC5" i="7"/>
  <c r="EM6" i="7"/>
  <c r="AJJ4" i="7"/>
  <c r="AJJ20" i="7" s="1"/>
  <c r="ALK5" i="7"/>
  <c r="FG5" i="7"/>
  <c r="FW5" i="7"/>
  <c r="FW21" i="7" s="1"/>
  <c r="JF4" i="7"/>
  <c r="JF20" i="7" s="1"/>
  <c r="ADM4" i="7"/>
  <c r="ADM20" i="7" s="1"/>
  <c r="AJZ4" i="7"/>
  <c r="AJZ20" i="7" s="1"/>
  <c r="ADT4" i="7"/>
  <c r="ADT20" i="7" s="1"/>
  <c r="ABP4" i="7"/>
  <c r="ABP20" i="7" s="1"/>
  <c r="EQ4" i="7"/>
  <c r="EQ20" i="7" s="1"/>
  <c r="HN5" i="7"/>
  <c r="ZF4" i="7"/>
  <c r="ZF20" i="7" s="1"/>
  <c r="BB5" i="7"/>
  <c r="NB5" i="7"/>
  <c r="NF4" i="7"/>
  <c r="NF20" i="7" s="1"/>
  <c r="LX5" i="7"/>
  <c r="VJ5" i="7"/>
  <c r="AHC5" i="7"/>
  <c r="R4" i="7"/>
  <c r="R20" i="7" s="1"/>
  <c r="MB4" i="7"/>
  <c r="MB20" i="7" s="1"/>
  <c r="FM5" i="7"/>
  <c r="QM5" i="7"/>
  <c r="SE4" i="7"/>
  <c r="SE20" i="7" s="1"/>
  <c r="KG4" i="7"/>
  <c r="KG20" i="7" s="1"/>
  <c r="KW4" i="7"/>
  <c r="KW20" i="7" s="1"/>
  <c r="HE5" i="7"/>
  <c r="AJT4" i="7"/>
  <c r="AJT20" i="7" s="1"/>
  <c r="FD5" i="7"/>
  <c r="XO6" i="7"/>
  <c r="AAN4" i="7"/>
  <c r="AAN20" i="7" s="1"/>
  <c r="ABN4" i="7"/>
  <c r="ABN20" i="7" s="1"/>
  <c r="WI5" i="7"/>
  <c r="VW5" i="7"/>
  <c r="EF5" i="7"/>
  <c r="NV5" i="7"/>
  <c r="AZ5" i="7"/>
  <c r="BC5" i="7"/>
  <c r="ACM5" i="7"/>
  <c r="UB5" i="7"/>
  <c r="AGR5" i="7"/>
  <c r="QU6" i="7"/>
  <c r="VM5" i="7"/>
  <c r="IV6" i="7"/>
  <c r="ABQ4" i="7"/>
  <c r="ABQ20" i="7" s="1"/>
  <c r="QQ4" i="7"/>
  <c r="QQ20" i="7" s="1"/>
  <c r="CP5" i="7"/>
  <c r="OQ5" i="7"/>
  <c r="GX5" i="7"/>
  <c r="OJ5" i="7"/>
  <c r="FC6" i="7"/>
  <c r="AAG4" i="7"/>
  <c r="AAG20" i="7" s="1"/>
  <c r="P6" i="7"/>
  <c r="KJ5" i="7"/>
  <c r="FA5" i="7"/>
  <c r="ZY5" i="7"/>
  <c r="AEX4" i="7"/>
  <c r="AEX20" i="7" s="1"/>
  <c r="AEO4" i="7"/>
  <c r="AEO20" i="7" s="1"/>
  <c r="GG5" i="7"/>
  <c r="GG21" i="7" s="1"/>
  <c r="VT4" i="7"/>
  <c r="VT20" i="7" s="1"/>
  <c r="ED5" i="7"/>
  <c r="ED21" i="7" s="1"/>
  <c r="ALF4" i="7"/>
  <c r="ALF20" i="7" s="1"/>
  <c r="GW5" i="7"/>
  <c r="ABU5" i="7"/>
  <c r="AJC4" i="7"/>
  <c r="AJC20" i="7" s="1"/>
  <c r="AGC4" i="7"/>
  <c r="AGC20" i="7" s="1"/>
  <c r="AHW4" i="7"/>
  <c r="AHW20" i="7" s="1"/>
  <c r="UU6" i="7"/>
  <c r="MV6" i="7"/>
  <c r="DQ6" i="7"/>
  <c r="UI5" i="7"/>
  <c r="JS5" i="7"/>
  <c r="SW6" i="7"/>
  <c r="AGN5" i="7"/>
  <c r="AAL6" i="7"/>
  <c r="GU6" i="7"/>
  <c r="ADA4" i="7"/>
  <c r="ADA20" i="7" s="1"/>
  <c r="CI6" i="7"/>
  <c r="AGJ5" i="7"/>
  <c r="AER5" i="7"/>
  <c r="DW5" i="7"/>
  <c r="BB6" i="7"/>
  <c r="JP6" i="7"/>
  <c r="ACQ4" i="7"/>
  <c r="ACQ20" i="7" s="1"/>
  <c r="PT6" i="7"/>
  <c r="PI5" i="7"/>
  <c r="KE4" i="7"/>
  <c r="KE20" i="7" s="1"/>
  <c r="MU6" i="7"/>
  <c r="X6" i="7"/>
  <c r="AFA5" i="7"/>
  <c r="VB4" i="7"/>
  <c r="VB20" i="7" s="1"/>
  <c r="AFY5" i="7"/>
  <c r="ADQ5" i="7"/>
  <c r="WK6" i="7"/>
  <c r="ACA5" i="7"/>
  <c r="VT6" i="7"/>
  <c r="KD5" i="7"/>
  <c r="QF5" i="7"/>
  <c r="XG6" i="7"/>
  <c r="GJ5" i="7"/>
  <c r="W6" i="7"/>
  <c r="VX5" i="7"/>
  <c r="QX5" i="7"/>
  <c r="IG6" i="7"/>
  <c r="WU5" i="7"/>
  <c r="EH5" i="7"/>
  <c r="EH21" i="7" s="1"/>
  <c r="PA6" i="7"/>
  <c r="AT5" i="7"/>
  <c r="ADC5" i="7"/>
  <c r="ADC21" i="7" s="1"/>
  <c r="AHT5" i="7"/>
  <c r="NU5" i="7"/>
  <c r="NU21" i="7" s="1"/>
  <c r="SV5" i="7"/>
  <c r="KQ6" i="7"/>
  <c r="DG6" i="7"/>
  <c r="EO6" i="7"/>
  <c r="BN4" i="7"/>
  <c r="BN20" i="7" s="1"/>
  <c r="AGW6" i="7"/>
  <c r="ABJ6" i="7"/>
  <c r="NP6" i="7"/>
  <c r="XH5" i="7"/>
  <c r="IS4" i="7"/>
  <c r="IS20" i="7" s="1"/>
  <c r="ZS6" i="7"/>
  <c r="IZ7" i="7"/>
  <c r="DQ5" i="7"/>
  <c r="AFW6" i="7"/>
  <c r="NI7" i="7"/>
  <c r="GW6" i="7"/>
  <c r="AT7" i="7"/>
  <c r="UL7" i="7"/>
  <c r="RE5" i="7"/>
  <c r="RE21" i="7" s="1"/>
  <c r="LB6" i="7"/>
  <c r="AAF6" i="7"/>
  <c r="JG7" i="7"/>
  <c r="AEF6" i="7"/>
  <c r="ACO7" i="7"/>
  <c r="AFS5" i="7"/>
  <c r="AGQ5" i="7"/>
  <c r="XC6" i="7"/>
  <c r="TH6" i="7"/>
  <c r="FH6" i="7"/>
  <c r="CT5" i="7"/>
  <c r="OU6" i="7"/>
  <c r="RA6" i="7"/>
  <c r="EJ7" i="7"/>
  <c r="YB7" i="7"/>
  <c r="ZI6" i="7"/>
  <c r="IS7" i="7"/>
  <c r="ZN5" i="7"/>
  <c r="SY4" i="7"/>
  <c r="SY20" i="7" s="1"/>
  <c r="PP4" i="7"/>
  <c r="PP20" i="7" s="1"/>
  <c r="ET4" i="7"/>
  <c r="ET20" i="7" s="1"/>
  <c r="EM5" i="7"/>
  <c r="FQ5" i="7"/>
  <c r="HD4" i="7"/>
  <c r="HD20" i="7" s="1"/>
  <c r="IK4" i="7"/>
  <c r="IK20" i="7" s="1"/>
  <c r="ABM5" i="7"/>
  <c r="AIS4" i="7"/>
  <c r="AIS20" i="7" s="1"/>
  <c r="ZA4" i="7"/>
  <c r="ZA20" i="7" s="1"/>
  <c r="IU6" i="7"/>
  <c r="WX5" i="7"/>
  <c r="GB6" i="7"/>
  <c r="OW5" i="7"/>
  <c r="OW21" i="7" s="1"/>
  <c r="AAJ5" i="7"/>
  <c r="BL6" i="7"/>
  <c r="S5" i="7"/>
  <c r="HR4" i="7"/>
  <c r="HR20" i="7" s="1"/>
  <c r="ADK4" i="7"/>
  <c r="ADK20" i="7" s="1"/>
  <c r="TW6" i="7"/>
  <c r="LX6" i="7"/>
  <c r="KW5" i="7"/>
  <c r="KW21" i="7" s="1"/>
  <c r="ADS5" i="7"/>
  <c r="ADS21" i="7" s="1"/>
  <c r="MG5" i="7"/>
  <c r="AEY5" i="7"/>
  <c r="MZ5" i="7"/>
  <c r="AFO5" i="7"/>
  <c r="AFO21" i="7" s="1"/>
  <c r="BC6" i="7"/>
  <c r="AHM5" i="7"/>
  <c r="AHM21" i="7" s="1"/>
  <c r="AT6" i="7"/>
  <c r="ZG4" i="7"/>
  <c r="ZG20" i="7" s="1"/>
  <c r="XD5" i="7"/>
  <c r="WV5" i="7"/>
  <c r="MM5" i="7"/>
  <c r="MM21" i="7" s="1"/>
  <c r="ACR5" i="7"/>
  <c r="ABI6" i="7"/>
  <c r="ADF6" i="7"/>
  <c r="AKL5" i="7"/>
  <c r="OL5" i="7"/>
  <c r="VH5" i="7"/>
  <c r="NX6" i="7"/>
  <c r="NB6" i="7"/>
  <c r="QR5" i="7"/>
  <c r="PM5" i="7"/>
  <c r="YM6" i="7"/>
  <c r="Q6" i="7"/>
  <c r="V6" i="7"/>
  <c r="ACO6" i="7"/>
  <c r="JP5" i="7"/>
  <c r="AIA5" i="7"/>
  <c r="OK5" i="7"/>
  <c r="OK21" i="7" s="1"/>
  <c r="ZU5" i="7"/>
  <c r="NY6" i="7"/>
  <c r="DU4" i="7"/>
  <c r="DU20" i="7" s="1"/>
  <c r="JN6" i="7"/>
  <c r="VH7" i="7"/>
  <c r="FY7" i="7"/>
  <c r="AFO6" i="7"/>
  <c r="EZ6" i="7"/>
  <c r="KL6" i="7"/>
  <c r="VO7" i="7"/>
  <c r="KJ6" i="7"/>
  <c r="DB6" i="7"/>
  <c r="ZE5" i="7"/>
  <c r="DE6" i="7"/>
  <c r="AJK6" i="7"/>
  <c r="IP6" i="7"/>
  <c r="VA7" i="7"/>
  <c r="BB7" i="7"/>
  <c r="XF7" i="7"/>
  <c r="FA6" i="7"/>
  <c r="AFL5" i="7"/>
  <c r="S7" i="7"/>
  <c r="AEG5" i="7"/>
  <c r="ACZ4" i="7"/>
  <c r="ACZ20" i="7" s="1"/>
  <c r="MB6" i="7"/>
  <c r="OS6" i="7"/>
  <c r="FV6" i="7"/>
  <c r="QP5" i="7"/>
  <c r="XI4" i="7"/>
  <c r="XI20" i="7" s="1"/>
  <c r="AEH6" i="7"/>
  <c r="ON7" i="7"/>
  <c r="QJ6" i="7"/>
  <c r="GO7" i="7"/>
  <c r="ABL5" i="7"/>
  <c r="ALI6" i="7"/>
  <c r="VB7" i="7"/>
  <c r="AJA5" i="7"/>
  <c r="SJ5" i="7"/>
  <c r="AJZ6" i="7"/>
  <c r="DF5" i="7"/>
  <c r="AO6" i="7"/>
  <c r="AL6" i="7"/>
  <c r="ADE6" i="7"/>
  <c r="YX6" i="7"/>
  <c r="LE6" i="7"/>
  <c r="RV5" i="7"/>
  <c r="SH6" i="7"/>
  <c r="XA6" i="7"/>
  <c r="WF4" i="7"/>
  <c r="WF20" i="7" s="1"/>
  <c r="ME5" i="7"/>
  <c r="GP6" i="7"/>
  <c r="DS6" i="7"/>
  <c r="ACB5" i="7"/>
  <c r="YY6" i="7"/>
  <c r="EX6" i="7"/>
  <c r="AIH5" i="7"/>
  <c r="AKI6" i="7"/>
  <c r="RP7" i="7"/>
  <c r="LM6" i="7"/>
  <c r="CG7" i="7"/>
  <c r="VY7" i="7"/>
  <c r="AAI6" i="7"/>
  <c r="JJ7" i="7"/>
  <c r="ABP5" i="7"/>
  <c r="PH6" i="7"/>
  <c r="AJR5" i="7"/>
  <c r="AKP6" i="7"/>
  <c r="YI5" i="7"/>
  <c r="YI21" i="7" s="1"/>
  <c r="CC6" i="7"/>
  <c r="BZ6" i="7"/>
  <c r="AES6" i="7"/>
  <c r="ZN6" i="7"/>
  <c r="MD6" i="7"/>
  <c r="UH5" i="7"/>
  <c r="UH21" i="7" s="1"/>
  <c r="GL4" i="7"/>
  <c r="GL20" i="7" s="1"/>
  <c r="YC6" i="7"/>
  <c r="AID4" i="7"/>
  <c r="AID20" i="7" s="1"/>
  <c r="OE5" i="7"/>
  <c r="IC6" i="7"/>
  <c r="GF6" i="7"/>
  <c r="ADT5" i="7"/>
  <c r="ZO6" i="7"/>
  <c r="FW6" i="7"/>
  <c r="AKY5" i="7"/>
  <c r="AKT5" i="7"/>
  <c r="DI6" i="7"/>
  <c r="CX6" i="7"/>
  <c r="AFQ6" i="7"/>
  <c r="AAD6" i="7"/>
  <c r="NF6" i="7"/>
  <c r="WF5" i="7"/>
  <c r="IJ4" i="7"/>
  <c r="IJ20" i="7" s="1"/>
  <c r="ZH6" i="7"/>
  <c r="WF7" i="7"/>
  <c r="GW7" i="7"/>
  <c r="AGQ6" i="7"/>
  <c r="HZ6" i="7"/>
  <c r="NI6" i="7"/>
  <c r="TK7" i="7"/>
  <c r="SD7" i="7"/>
  <c r="DZ8" i="7"/>
  <c r="XR8" i="7"/>
  <c r="AM7" i="7"/>
  <c r="AGP7" i="7"/>
  <c r="RA4" i="7"/>
  <c r="RA20" i="7" s="1"/>
  <c r="MK7" i="7"/>
  <c r="V7" i="7"/>
  <c r="JH5" i="7"/>
  <c r="YR6" i="7"/>
  <c r="WM7" i="7"/>
  <c r="YG7" i="7"/>
  <c r="GT8" i="7"/>
  <c r="AAL8" i="7"/>
  <c r="GA7" i="7"/>
  <c r="AKY6" i="7"/>
  <c r="NL6" i="7"/>
  <c r="WO7" i="7"/>
  <c r="JZ7" i="7"/>
  <c r="QR6" i="7"/>
  <c r="ALF6" i="7"/>
  <c r="ACN6" i="7"/>
  <c r="AES7" i="7"/>
  <c r="LZ8" i="7"/>
  <c r="AFR8" i="7"/>
  <c r="ALG6" i="7"/>
  <c r="OG6" i="7"/>
  <c r="WW7" i="7"/>
  <c r="KH7" i="7"/>
  <c r="RJ6" i="7"/>
  <c r="ALN6" i="7"/>
  <c r="AB7" i="7"/>
  <c r="RB6" i="7"/>
  <c r="YC7" i="7"/>
  <c r="LN7" i="7"/>
  <c r="AHH4" i="7"/>
  <c r="AHH20" i="7" s="1"/>
  <c r="AI7" i="7"/>
  <c r="FP7" i="7"/>
  <c r="ABG6" i="7"/>
  <c r="AGC5" i="7"/>
  <c r="AGC21" i="7" s="1"/>
  <c r="RB7" i="7"/>
  <c r="ALP5" i="7"/>
  <c r="FW7" i="7"/>
  <c r="AZ7" i="7"/>
  <c r="TD6" i="7"/>
  <c r="RP4" i="7"/>
  <c r="RP20" i="7" s="1"/>
  <c r="ML7" i="7"/>
  <c r="JI5" i="7"/>
  <c r="BG7" i="7"/>
  <c r="BH7" i="7"/>
  <c r="TT6" i="7"/>
  <c r="AEE4" i="7"/>
  <c r="AEE20" i="7" s="1"/>
  <c r="MT7" i="7"/>
  <c r="MD5" i="7"/>
  <c r="BO7" i="7"/>
  <c r="AHD6" i="7"/>
  <c r="AGG7" i="7"/>
  <c r="NN8" i="7"/>
  <c r="AHF8" i="7"/>
  <c r="TO7" i="7"/>
  <c r="AFA7" i="7"/>
  <c r="AFZ8" i="7"/>
  <c r="AJJ7" i="7"/>
  <c r="QQ8" i="7"/>
  <c r="TP7" i="7"/>
  <c r="DT8" i="7"/>
  <c r="AFJ6" i="7"/>
  <c r="VE7" i="7"/>
  <c r="EO8" i="7"/>
  <c r="KB7" i="7"/>
  <c r="SJ8" i="7"/>
  <c r="BQ9" i="7"/>
  <c r="OC7" i="7"/>
  <c r="TM8" i="7"/>
  <c r="CP9" i="7"/>
  <c r="AJI6" i="7"/>
  <c r="MD8" i="7"/>
  <c r="AFN7" i="7"/>
  <c r="AAG8" i="7"/>
  <c r="ADZ5" i="7"/>
  <c r="OS7" i="7"/>
  <c r="AEO7" i="7"/>
  <c r="AEZ6" i="7"/>
  <c r="AKE15" i="7"/>
  <c r="JV4" i="7"/>
  <c r="JV20" i="7" s="1"/>
  <c r="HN4" i="7"/>
  <c r="HN20" i="7" s="1"/>
  <c r="SW5" i="7"/>
  <c r="KX5" i="7"/>
  <c r="WU4" i="7"/>
  <c r="WU20" i="7" s="1"/>
  <c r="RQ4" i="7"/>
  <c r="RQ20" i="7" s="1"/>
  <c r="UJ4" i="7"/>
  <c r="UJ20" i="7" s="1"/>
  <c r="HL4" i="7"/>
  <c r="HL20" i="7" s="1"/>
  <c r="AKU4" i="7"/>
  <c r="AKU20" i="7" s="1"/>
  <c r="AID5" i="7"/>
  <c r="ABV5" i="7"/>
  <c r="IN6" i="7"/>
  <c r="NS5" i="7"/>
  <c r="ADW5" i="7"/>
  <c r="DX6" i="7"/>
  <c r="ES5" i="7"/>
  <c r="BR5" i="7"/>
  <c r="BE5" i="7"/>
  <c r="WI6" i="7"/>
  <c r="PZ4" i="7"/>
  <c r="PZ20" i="7" s="1"/>
  <c r="QC5" i="7"/>
  <c r="AIQ5" i="7"/>
  <c r="RI5" i="7"/>
  <c r="XN4" i="7"/>
  <c r="XN20" i="7" s="1"/>
  <c r="RY5" i="7"/>
  <c r="GM4" i="7"/>
  <c r="GM20" i="7" s="1"/>
  <c r="GA6" i="7"/>
  <c r="AKN5" i="7"/>
  <c r="DF6" i="7"/>
  <c r="GQ5" i="7"/>
  <c r="GQ21" i="7" s="1"/>
  <c r="AKA5" i="7"/>
  <c r="AEF5" i="7"/>
  <c r="UO5" i="7"/>
  <c r="AFP5" i="7"/>
  <c r="AFP21" i="7" s="1"/>
  <c r="ADU6" i="7"/>
  <c r="NH4" i="7"/>
  <c r="NH20" i="7" s="1"/>
  <c r="CY6" i="7"/>
  <c r="UZ5" i="7"/>
  <c r="UZ21" i="7" s="1"/>
  <c r="ZG5" i="7"/>
  <c r="QT6" i="7"/>
  <c r="QC6" i="7"/>
  <c r="SZ4" i="7"/>
  <c r="SZ20" i="7" s="1"/>
  <c r="TV5" i="7"/>
  <c r="AKL4" i="7"/>
  <c r="AKL20" i="7" s="1"/>
  <c r="CS6" i="7"/>
  <c r="CH6" i="7"/>
  <c r="AFA6" i="7"/>
  <c r="TX5" i="7"/>
  <c r="IH5" i="7"/>
  <c r="XK5" i="7"/>
  <c r="AGH5" i="7"/>
  <c r="RW6" i="7"/>
  <c r="AV5" i="7"/>
  <c r="QI6" i="7"/>
  <c r="XT7" i="7"/>
  <c r="IK7" i="7"/>
  <c r="AIG6" i="7"/>
  <c r="MX6" i="7"/>
  <c r="QZ6" i="7"/>
  <c r="AAO4" i="7"/>
  <c r="AAO20" i="7" s="1"/>
  <c r="GH5" i="7"/>
  <c r="LC6" i="7"/>
  <c r="AGO5" i="7"/>
  <c r="HJ6" i="7"/>
  <c r="L7" i="7"/>
  <c r="PR6" i="7"/>
  <c r="XM7" i="7"/>
  <c r="DN7" i="7"/>
  <c r="AEF4" i="7"/>
  <c r="AEF20" i="7" s="1"/>
  <c r="MY6" i="7"/>
  <c r="DK6" i="7"/>
  <c r="CE7" i="7"/>
  <c r="CJ6" i="7"/>
  <c r="TC5" i="7"/>
  <c r="SE6" i="7"/>
  <c r="TQ6" i="7"/>
  <c r="KF6" i="7"/>
  <c r="ZF5" i="7"/>
  <c r="FT5" i="7"/>
  <c r="AHG6" i="7"/>
  <c r="TL7" i="7"/>
  <c r="VM6" i="7"/>
  <c r="JA7" i="7"/>
  <c r="AH6" i="7"/>
  <c r="BJ7" i="7"/>
  <c r="XN7" i="7"/>
  <c r="FZ6" i="7"/>
  <c r="EL6" i="7"/>
  <c r="AA7" i="7"/>
  <c r="SA6" i="7"/>
  <c r="GC6" i="7"/>
  <c r="ACC4" i="7"/>
  <c r="ACC20" i="7" s="1"/>
  <c r="UK4" i="7"/>
  <c r="UK20" i="7" s="1"/>
  <c r="ACH6" i="7"/>
  <c r="PC6" i="7"/>
  <c r="AAE5" i="7"/>
  <c r="ABE4" i="7"/>
  <c r="ABE20" i="7" s="1"/>
  <c r="ABF6" i="7"/>
  <c r="PB5" i="7"/>
  <c r="VV5" i="7"/>
  <c r="OH6" i="7"/>
  <c r="KP6" i="7"/>
  <c r="AIR5" i="7"/>
  <c r="ABK6" i="7"/>
  <c r="IT6" i="7"/>
  <c r="FO6" i="7"/>
  <c r="AJ7" i="7"/>
  <c r="UB7" i="7"/>
  <c r="RU6" i="7"/>
  <c r="ES7" i="7"/>
  <c r="YK7" i="7"/>
  <c r="ADZ6" i="7"/>
  <c r="LV7" i="7"/>
  <c r="AI6" i="7"/>
  <c r="BK5" i="7"/>
  <c r="BK21" i="7" s="1"/>
  <c r="GM6" i="7"/>
  <c r="AQ7" i="7"/>
  <c r="ADO4" i="7"/>
  <c r="ADO20" i="7" s="1"/>
  <c r="HY6" i="7"/>
  <c r="CJ5" i="7"/>
  <c r="AKX4" i="7"/>
  <c r="AKX20" i="7" s="1"/>
  <c r="ADV6" i="7"/>
  <c r="PU6" i="7"/>
  <c r="ACF5" i="7"/>
  <c r="AHJ4" i="7"/>
  <c r="AHJ20" i="7" s="1"/>
  <c r="ACE6" i="7"/>
  <c r="RN5" i="7"/>
  <c r="XI5" i="7"/>
  <c r="PJ6" i="7"/>
  <c r="LR6" i="7"/>
  <c r="AKQ5" i="7"/>
  <c r="ACA6" i="7"/>
  <c r="JV6" i="7"/>
  <c r="HM6" i="7"/>
  <c r="TI5" i="7"/>
  <c r="IW6" i="7"/>
  <c r="IG5" i="7"/>
  <c r="EP5" i="7"/>
  <c r="AEL6" i="7"/>
  <c r="QN6" i="7"/>
  <c r="ADU5" i="7"/>
  <c r="U5" i="7"/>
  <c r="ADB6" i="7"/>
  <c r="ABD7" i="7"/>
  <c r="LU7" i="7"/>
  <c r="ALQ6" i="7"/>
  <c r="T5" i="7"/>
  <c r="T21" i="7" s="1"/>
  <c r="XP6" i="7"/>
  <c r="WE7" i="7"/>
  <c r="XR7" i="7"/>
  <c r="GL8" i="7"/>
  <c r="AAD8" i="7"/>
  <c r="FK7" i="7"/>
  <c r="AJB7" i="7"/>
  <c r="AGY5" i="7"/>
  <c r="RI7" i="7"/>
  <c r="ET7" i="7"/>
  <c r="AJ6" i="7"/>
  <c r="AFU6" i="7"/>
  <c r="NH6" i="7"/>
  <c r="ABQ7" i="7"/>
  <c r="JF8" i="7"/>
  <c r="ACX8" i="7"/>
  <c r="KY7" i="7"/>
  <c r="DL7" i="7"/>
  <c r="XR6" i="7"/>
  <c r="TK5" i="7"/>
  <c r="OX7" i="7"/>
  <c r="ABR5" i="7"/>
  <c r="ABR21" i="7" s="1"/>
  <c r="ABR22" i="7" s="1"/>
  <c r="NE4" i="7"/>
  <c r="NE20" i="7" s="1"/>
  <c r="ADL4" i="7"/>
  <c r="ADL20" i="7" s="1"/>
  <c r="DA4" i="7"/>
  <c r="DA20" i="7" s="1"/>
  <c r="VI5" i="7"/>
  <c r="XN5" i="7"/>
  <c r="AIH4" i="7"/>
  <c r="AIH20" i="7" s="1"/>
  <c r="FQ4" i="7"/>
  <c r="FQ20" i="7" s="1"/>
  <c r="ACM4" i="7"/>
  <c r="ACM20" i="7" s="1"/>
  <c r="ZE4" i="7"/>
  <c r="ZE20" i="7" s="1"/>
  <c r="MR5" i="7"/>
  <c r="AKU5" i="7"/>
  <c r="OV5" i="7"/>
  <c r="KZ6" i="7"/>
  <c r="SQ5" i="7"/>
  <c r="JK6" i="7"/>
  <c r="GJ6" i="7"/>
  <c r="EB4" i="7"/>
  <c r="EB20" i="7" s="1"/>
  <c r="JE5" i="7"/>
  <c r="JE21" i="7" s="1"/>
  <c r="IW5" i="7"/>
  <c r="YU6" i="7"/>
  <c r="DH5" i="7"/>
  <c r="VA5" i="7"/>
  <c r="WL4" i="7"/>
  <c r="WL20" i="7" s="1"/>
  <c r="WG5" i="7"/>
  <c r="AFL4" i="7"/>
  <c r="AFL20" i="7" s="1"/>
  <c r="WW5" i="7"/>
  <c r="WW21" i="7" s="1"/>
  <c r="YQ4" i="7"/>
  <c r="YQ20" i="7" s="1"/>
  <c r="PW6" i="7"/>
  <c r="AW6" i="7"/>
  <c r="AFE4" i="7"/>
  <c r="AFE20" i="7" s="1"/>
  <c r="RT5" i="7"/>
  <c r="CN6" i="7"/>
  <c r="AJV5" i="7"/>
  <c r="ZM5" i="7"/>
  <c r="ALA5" i="7"/>
  <c r="AGG6" i="7"/>
  <c r="CS5" i="7"/>
  <c r="HW6" i="7"/>
  <c r="ZX5" i="7"/>
  <c r="ADD5" i="7"/>
  <c r="TP6" i="7"/>
  <c r="SX6" i="7"/>
  <c r="EE5" i="7"/>
  <c r="YE5" i="7"/>
  <c r="ML5" i="7"/>
  <c r="ML21" i="7" s="1"/>
  <c r="FM6" i="7"/>
  <c r="TR4" i="7"/>
  <c r="TR20" i="7" s="1"/>
  <c r="CU4" i="7"/>
  <c r="CU20" i="7" s="1"/>
  <c r="ABT5" i="7"/>
  <c r="NX5" i="7"/>
  <c r="LE5" i="7"/>
  <c r="ALQ5" i="7"/>
  <c r="WU6" i="7"/>
  <c r="OD5" i="7"/>
  <c r="VH6" i="7"/>
  <c r="AAF7" i="7"/>
  <c r="KW7" i="7"/>
  <c r="AKS6" i="7"/>
  <c r="ST6" i="7"/>
  <c r="VW6" i="7"/>
  <c r="WH6" i="7"/>
  <c r="WB5" i="7"/>
  <c r="RM6" i="7"/>
  <c r="AB6" i="7"/>
  <c r="LF6" i="7"/>
  <c r="BX7" i="7"/>
  <c r="UW6" i="7"/>
  <c r="DR5" i="7"/>
  <c r="FZ7" i="7"/>
  <c r="VP5" i="7"/>
  <c r="SU6" i="7"/>
  <c r="LK6" i="7"/>
  <c r="EQ7" i="7"/>
  <c r="JR5" i="7"/>
  <c r="ABH5" i="7"/>
  <c r="XU6" i="7"/>
  <c r="XM6" i="7"/>
  <c r="OT6" i="7"/>
  <c r="AFX5" i="7"/>
  <c r="PY5" i="7"/>
  <c r="T7" i="7"/>
  <c r="VX7" i="7"/>
  <c r="ZT6" i="7"/>
  <c r="LM7" i="7"/>
  <c r="IX6" i="7"/>
  <c r="DV7" i="7"/>
  <c r="O5" i="7"/>
  <c r="XH4" i="7"/>
  <c r="XH20" i="7" s="1"/>
  <c r="MJ6" i="7"/>
  <c r="CM7" i="7"/>
  <c r="AEP5" i="7"/>
  <c r="LQ6" i="7"/>
  <c r="SU5" i="7"/>
  <c r="QN5" i="7"/>
  <c r="ACR4" i="7"/>
  <c r="ACR20" i="7" s="1"/>
  <c r="SG6" i="7"/>
  <c r="AGP5" i="7"/>
  <c r="QA4" i="7"/>
  <c r="QA20" i="7" s="1"/>
  <c r="AER6" i="7"/>
  <c r="ABK5" i="7"/>
  <c r="ADM5" i="7"/>
  <c r="TY6" i="7"/>
  <c r="QL6" i="7"/>
  <c r="BX6" i="7"/>
  <c r="ACS4" i="7"/>
  <c r="ACS20" i="7" s="1"/>
  <c r="MS6" i="7"/>
  <c r="NJ6" i="7"/>
  <c r="CV7" i="7"/>
  <c r="WN7" i="7"/>
  <c r="WO6" i="7"/>
  <c r="HE7" i="7"/>
  <c r="OM5" i="7"/>
  <c r="AGZ6" i="7"/>
  <c r="OH7" i="7"/>
  <c r="IY6" i="7"/>
  <c r="XS5" i="7"/>
  <c r="OE6" i="7"/>
  <c r="DC7" i="7"/>
  <c r="AHU5" i="7"/>
  <c r="AHU21" i="7" s="1"/>
  <c r="NM6" i="7"/>
  <c r="YA5" i="7"/>
  <c r="WD5" i="7"/>
  <c r="AIP4" i="7"/>
  <c r="AIP20" i="7" s="1"/>
  <c r="SZ6" i="7"/>
  <c r="AHZ5" i="7"/>
  <c r="AJU4" i="7"/>
  <c r="AJU20" i="7" s="1"/>
  <c r="AFM6" i="7"/>
  <c r="ACX5" i="7"/>
  <c r="AEN5" i="7"/>
  <c r="UZ6" i="7"/>
  <c r="RE6" i="7"/>
  <c r="DT6" i="7"/>
  <c r="AIQ4" i="7"/>
  <c r="AIQ20" i="7" s="1"/>
  <c r="NQ6" i="7"/>
  <c r="OX6" i="7"/>
  <c r="AKE5" i="7"/>
  <c r="DZ4" i="7"/>
  <c r="DZ20" i="7" s="1"/>
  <c r="ABA5" i="7"/>
  <c r="ZD5" i="7"/>
  <c r="GR5" i="7"/>
  <c r="TR6" i="7"/>
  <c r="AJK5" i="7"/>
  <c r="HQ5" i="7"/>
  <c r="AGE6" i="7"/>
  <c r="AED5" i="7"/>
  <c r="QS7" i="7"/>
  <c r="ED7" i="7"/>
  <c r="AKI5" i="7"/>
  <c r="AFC6" i="7"/>
  <c r="FJ6" i="7"/>
  <c r="ABH7" i="7"/>
  <c r="IX8" i="7"/>
  <c r="ACP8" i="7"/>
  <c r="KI7" i="7"/>
  <c r="AKQ6" i="7"/>
  <c r="ML6" i="7"/>
  <c r="WG7" i="7"/>
  <c r="JR7" i="7"/>
  <c r="PZ6" i="7"/>
  <c r="AKX6" i="7"/>
  <c r="ABO6" i="7"/>
  <c r="AEK7" i="7"/>
  <c r="LR8" i="7"/>
  <c r="AFJ8" i="7"/>
  <c r="PW7" i="7"/>
  <c r="IJ7" i="7"/>
  <c r="AFE6" i="7"/>
  <c r="EY6" i="7"/>
  <c r="TV7" i="7"/>
  <c r="JA6" i="7"/>
  <c r="LV4" i="7"/>
  <c r="LV20" i="7" s="1"/>
  <c r="AFX4" i="7"/>
  <c r="AFX20" i="7" s="1"/>
  <c r="HV4" i="7"/>
  <c r="HV20" i="7" s="1"/>
  <c r="PG5" i="7"/>
  <c r="ZZ5" i="7"/>
  <c r="EN5" i="7"/>
  <c r="ALK4" i="7"/>
  <c r="ALK20" i="7" s="1"/>
  <c r="AIN4" i="7"/>
  <c r="AIN20" i="7" s="1"/>
  <c r="AEC4" i="7"/>
  <c r="AEC20" i="7" s="1"/>
  <c r="EW5" i="7"/>
  <c r="AV6" i="7"/>
  <c r="RH5" i="7"/>
  <c r="EW6" i="7"/>
  <c r="XO5" i="7"/>
  <c r="XO21" i="7" s="1"/>
  <c r="LW6" i="7"/>
  <c r="FY4" i="7"/>
  <c r="FY20" i="7" s="1"/>
  <c r="PU5" i="7"/>
  <c r="AII5" i="7"/>
  <c r="AII21" i="7" s="1"/>
  <c r="AHJ5" i="7"/>
  <c r="WL5" i="7"/>
  <c r="ZX4" i="7"/>
  <c r="ZX20" i="7" s="1"/>
  <c r="PN5" i="7"/>
  <c r="FX5" i="7"/>
  <c r="QT5" i="7"/>
  <c r="AJQ4" i="7"/>
  <c r="AJQ20" i="7" s="1"/>
  <c r="RJ5" i="7"/>
  <c r="ADG4" i="7"/>
  <c r="ADG20" i="7" s="1"/>
  <c r="XY5" i="7"/>
  <c r="AGB4" i="7"/>
  <c r="AGB20" i="7" s="1"/>
  <c r="FF6" i="7"/>
  <c r="MC6" i="7"/>
  <c r="UA6" i="7"/>
  <c r="YJ4" i="7"/>
  <c r="YJ20" i="7" s="1"/>
  <c r="GS6" i="7"/>
  <c r="VD5" i="7"/>
  <c r="AA6" i="7"/>
  <c r="IV5" i="7"/>
  <c r="IE5" i="7"/>
  <c r="EG6" i="7"/>
  <c r="DV6" i="7"/>
  <c r="AGO6" i="7"/>
  <c r="UV4" i="7"/>
  <c r="UV20" i="7" s="1"/>
  <c r="DO6" i="7"/>
  <c r="ID5" i="7"/>
  <c r="GR6" i="7"/>
  <c r="V5" i="7"/>
  <c r="ALE5" i="7"/>
  <c r="AJZ5" i="7"/>
  <c r="PG6" i="7"/>
  <c r="ACH5" i="7"/>
  <c r="FF5" i="7"/>
  <c r="KO6" i="7"/>
  <c r="AFV5" i="7"/>
  <c r="GV6" i="7"/>
  <c r="ALO6" i="7"/>
  <c r="UP4" i="7"/>
  <c r="UP20" i="7" s="1"/>
  <c r="RJ4" i="7"/>
  <c r="RJ20" i="7" s="1"/>
  <c r="KP4" i="7"/>
  <c r="KP20" i="7" s="1"/>
  <c r="ABO5" i="7"/>
  <c r="AGG4" i="7"/>
  <c r="AGG20" i="7" s="1"/>
  <c r="IL5" i="7"/>
  <c r="IL21" i="7" s="1"/>
  <c r="BQ5" i="7"/>
  <c r="ADE4" i="7"/>
  <c r="ADE20" i="7" s="1"/>
  <c r="AJA4" i="7"/>
  <c r="AJA20" i="7" s="1"/>
  <c r="JB5" i="7"/>
  <c r="AKR4" i="7"/>
  <c r="AKR20" i="7" s="1"/>
  <c r="TT5" i="7"/>
  <c r="TT21" i="7" s="1"/>
  <c r="HI6" i="7"/>
  <c r="JT5" i="7"/>
  <c r="OI6" i="7"/>
  <c r="MI5" i="7"/>
  <c r="US5" i="7"/>
  <c r="ADR4" i="7"/>
  <c r="ADR20" i="7" s="1"/>
  <c r="AKD5" i="7"/>
  <c r="AAK5" i="7"/>
  <c r="DL5" i="7"/>
  <c r="UL5" i="7"/>
  <c r="UL21" i="7" s="1"/>
  <c r="XV4" i="7"/>
  <c r="XV20" i="7" s="1"/>
  <c r="VR5" i="7"/>
  <c r="ZY4" i="7"/>
  <c r="ZY20" i="7" s="1"/>
  <c r="WH5" i="7"/>
  <c r="TS4" i="7"/>
  <c r="TS20" i="7" s="1"/>
  <c r="AEZ5" i="7"/>
  <c r="AEZ21" i="7" s="1"/>
  <c r="CX5" i="7"/>
  <c r="JB6" i="7"/>
  <c r="PK6" i="7"/>
  <c r="ON4" i="7"/>
  <c r="ON20" i="7" s="1"/>
  <c r="GD5" i="7"/>
  <c r="JM6" i="7"/>
  <c r="ACY5" i="7"/>
  <c r="ES6" i="7"/>
  <c r="AJM4" i="7"/>
  <c r="AJM20" i="7" s="1"/>
  <c r="SS5" i="7"/>
  <c r="HA6" i="7"/>
  <c r="AKO4" i="7"/>
  <c r="AKO20" i="7" s="1"/>
  <c r="AFS4" i="7"/>
  <c r="AFS20" i="7" s="1"/>
  <c r="ET5" i="7"/>
  <c r="IM6" i="7"/>
  <c r="SR5" i="7"/>
  <c r="LP6" i="7"/>
  <c r="HV5" i="7"/>
  <c r="DR6" i="7"/>
  <c r="EK5" i="7"/>
  <c r="UE6" i="7"/>
  <c r="AIC5" i="7"/>
  <c r="VN5" i="7"/>
  <c r="RD6" i="7"/>
  <c r="L6" i="7"/>
  <c r="KU6" i="7"/>
  <c r="BP7" i="7"/>
  <c r="MS4" i="7"/>
  <c r="MS20" i="7" s="1"/>
  <c r="BW5" i="7"/>
  <c r="BW21" i="7" s="1"/>
  <c r="ADV4" i="7"/>
  <c r="ADV20" i="7" s="1"/>
  <c r="AEA5" i="7"/>
  <c r="AET4" i="7"/>
  <c r="AET20" i="7" s="1"/>
  <c r="NK5" i="7"/>
  <c r="GO5" i="7"/>
  <c r="AIC4" i="7"/>
  <c r="AIC20" i="7" s="1"/>
  <c r="ADW4" i="7"/>
  <c r="ADW20" i="7" s="1"/>
  <c r="LW5" i="7"/>
  <c r="ABL4" i="7"/>
  <c r="ABL20" i="7" s="1"/>
  <c r="LO6" i="7"/>
  <c r="JU6" i="7"/>
  <c r="MO5" i="7"/>
  <c r="FE5" i="7"/>
  <c r="CN5" i="7"/>
  <c r="ZQ5" i="7"/>
  <c r="AKC4" i="7"/>
  <c r="AKC20" i="7" s="1"/>
  <c r="AE6" i="7"/>
  <c r="ADX5" i="7"/>
  <c r="AFV4" i="7"/>
  <c r="AFV20" i="7" s="1"/>
  <c r="ZJ5" i="7"/>
  <c r="AHQ4" i="7"/>
  <c r="AHQ20" i="7" s="1"/>
  <c r="AAP5" i="7"/>
  <c r="AIW4" i="7"/>
  <c r="AIW20" i="7" s="1"/>
  <c r="ABF5" i="7"/>
  <c r="IS5" i="7"/>
  <c r="CZ6" i="7"/>
  <c r="KB5" i="7"/>
  <c r="NA6" i="7"/>
  <c r="SF6" i="7"/>
  <c r="AEQ4" i="7"/>
  <c r="AEQ20" i="7" s="1"/>
  <c r="RM5" i="7"/>
  <c r="MO6" i="7"/>
  <c r="BF6" i="7"/>
  <c r="IR6" i="7"/>
  <c r="KV5" i="7"/>
  <c r="AAV5" i="7"/>
  <c r="KC6" i="7"/>
  <c r="MN5" i="7"/>
  <c r="JY5" i="7"/>
  <c r="JY21" i="7" s="1"/>
  <c r="QO5" i="7"/>
  <c r="QO21" i="7" s="1"/>
  <c r="NK6" i="7"/>
  <c r="AAU5" i="7"/>
  <c r="AFD4" i="7"/>
  <c r="AFD20" i="7" s="1"/>
  <c r="NO5" i="7"/>
  <c r="HR6" i="7"/>
  <c r="UK5" i="7"/>
  <c r="AZ4" i="7"/>
  <c r="AZ20" i="7" s="1"/>
  <c r="AU6" i="7"/>
  <c r="AFJ5" i="7"/>
  <c r="WT6" i="7"/>
  <c r="ET6" i="7"/>
  <c r="OL6" i="7"/>
  <c r="ME4" i="7"/>
  <c r="ME20" i="7" s="1"/>
  <c r="CK4" i="7"/>
  <c r="CK20" i="7" s="1"/>
  <c r="AHY4" i="7"/>
  <c r="AHY20" i="7" s="1"/>
  <c r="DE5" i="7"/>
  <c r="XP4" i="7"/>
  <c r="XP20" i="7" s="1"/>
  <c r="SI5" i="7"/>
  <c r="ZA5" i="7"/>
  <c r="YV4" i="7"/>
  <c r="YV20" i="7" s="1"/>
  <c r="AJO4" i="7"/>
  <c r="AJO20" i="7" s="1"/>
  <c r="GI6" i="7"/>
  <c r="RZ5" i="7"/>
  <c r="RZ21" i="7" s="1"/>
  <c r="SY6" i="7"/>
  <c r="JL5" i="7"/>
  <c r="JL21" i="7" s="1"/>
  <c r="SB5" i="7"/>
  <c r="QW5" i="7"/>
  <c r="AFK4" i="7"/>
  <c r="AFK20" i="7" s="1"/>
  <c r="ZB5" i="7"/>
  <c r="ZB21" i="7" s="1"/>
  <c r="FG4" i="7"/>
  <c r="FG20" i="7" s="1"/>
  <c r="RK6" i="7"/>
  <c r="JL6" i="7"/>
  <c r="AHR4" i="7"/>
  <c r="AHR20" i="7" s="1"/>
  <c r="YU5" i="7"/>
  <c r="YU21" i="7" s="1"/>
  <c r="YU22" i="7" s="1"/>
  <c r="FZ5" i="7"/>
  <c r="AAA5" i="7"/>
  <c r="GY5" i="7"/>
  <c r="AAQ5" i="7"/>
  <c r="AIL5" i="7"/>
  <c r="YY5" i="7"/>
  <c r="AKS5" i="7"/>
  <c r="AFY6" i="7"/>
  <c r="OC5" i="7"/>
  <c r="NT5" i="7"/>
  <c r="CI5" i="7"/>
  <c r="YV5" i="7"/>
  <c r="WB6" i="7"/>
  <c r="AAT6" i="7"/>
  <c r="AEX5" i="7"/>
  <c r="EG5" i="7"/>
  <c r="QQ5" i="7"/>
  <c r="KD6" i="7"/>
  <c r="JF6" i="7"/>
  <c r="LN5" i="7"/>
  <c r="J5" i="7"/>
  <c r="TO6" i="7"/>
  <c r="AJF5" i="7"/>
  <c r="AJF21" i="7" s="1"/>
  <c r="AJU5" i="7"/>
  <c r="AAC6" i="7"/>
  <c r="AEY4" i="7"/>
  <c r="AEY20" i="7" s="1"/>
  <c r="FF4" i="7"/>
  <c r="FF20" i="7" s="1"/>
  <c r="BF5" i="7"/>
  <c r="RG5" i="7"/>
  <c r="HE6" i="7"/>
  <c r="AAE6" i="7"/>
  <c r="AZ6" i="7"/>
  <c r="SV7" i="7"/>
  <c r="DM7" i="7"/>
  <c r="ACJ6" i="7"/>
  <c r="AHO5" i="7"/>
  <c r="CE6" i="7"/>
  <c r="TC7" i="7"/>
  <c r="AN6" i="7"/>
  <c r="AFB5" i="7"/>
  <c r="JZ5" i="7"/>
  <c r="AKR5" i="7"/>
  <c r="AGX6" i="7"/>
  <c r="U6" i="7"/>
  <c r="SO7" i="7"/>
  <c r="AIO6" i="7"/>
  <c r="UT7" i="7"/>
  <c r="AHP5" i="7"/>
  <c r="PX5" i="7"/>
  <c r="AJR6" i="7"/>
  <c r="NC6" i="7"/>
  <c r="LI6" i="7"/>
  <c r="AGL5" i="7"/>
  <c r="JQ6" i="7"/>
  <c r="AR6" i="7"/>
  <c r="EU5" i="7"/>
  <c r="RY6" i="7"/>
  <c r="AAR6" i="7"/>
  <c r="MB7" i="7"/>
  <c r="BA6" i="7"/>
  <c r="EC7" i="7"/>
  <c r="JA5" i="7"/>
  <c r="JA21" i="7" s="1"/>
  <c r="AIW6" i="7"/>
  <c r="SP7" i="7"/>
  <c r="VT5" i="7"/>
  <c r="VT21" i="7" s="1"/>
  <c r="SV6" i="7"/>
  <c r="AHN6" i="7"/>
  <c r="OU7" i="7"/>
  <c r="AGT5" i="7"/>
  <c r="AHR5" i="7"/>
  <c r="YD6" i="7"/>
  <c r="TZ6" i="7"/>
  <c r="GG6" i="7"/>
  <c r="GS5" i="7"/>
  <c r="PM6" i="7"/>
  <c r="SL6" i="7"/>
  <c r="FD6" i="7"/>
  <c r="AKB4" i="7"/>
  <c r="AKB20" i="7" s="1"/>
  <c r="AJY5" i="7"/>
  <c r="AIP5" i="7"/>
  <c r="RU5" i="7"/>
  <c r="VU6" i="7"/>
  <c r="AC6" i="7"/>
  <c r="UR5" i="7"/>
  <c r="AHW6" i="7"/>
  <c r="PD7" i="7"/>
  <c r="DM6" i="7"/>
  <c r="U7" i="7"/>
  <c r="TM7" i="7"/>
  <c r="VZ6" i="7"/>
  <c r="GX7" i="7"/>
  <c r="JF5" i="7"/>
  <c r="IA6" i="7"/>
  <c r="WR5" i="7"/>
  <c r="AID6" i="7"/>
  <c r="JM5" i="7"/>
  <c r="AIW5" i="7"/>
  <c r="AJL5" i="7"/>
  <c r="ZU6" i="7"/>
  <c r="UR6" i="7"/>
  <c r="HT6" i="7"/>
  <c r="KA5" i="7"/>
  <c r="KA21" i="7" s="1"/>
  <c r="QF6" i="7"/>
  <c r="TS6" i="7"/>
  <c r="HH6" i="7"/>
  <c r="AW5" i="7"/>
  <c r="J6" i="7"/>
  <c r="AKP5" i="7"/>
  <c r="UG5" i="7"/>
  <c r="WM6" i="7"/>
  <c r="BI6" i="7"/>
  <c r="YQ5" i="7"/>
  <c r="BZ5" i="7"/>
  <c r="AKF5" i="7"/>
  <c r="AKK5" i="7"/>
  <c r="AAS6" i="7"/>
  <c r="WL6" i="7"/>
  <c r="IS6" i="7"/>
  <c r="MV5" i="7"/>
  <c r="QX6" i="7"/>
  <c r="UV6" i="7"/>
  <c r="RH7" i="7"/>
  <c r="BY7" i="7"/>
  <c r="ZX6" i="7"/>
  <c r="ZO5" i="7"/>
  <c r="AIG5" i="7"/>
  <c r="QI7" i="7"/>
  <c r="MP7" i="7"/>
  <c r="BN8" i="7"/>
  <c r="VF8" i="7"/>
  <c r="AHZ6" i="7"/>
  <c r="AED7" i="7"/>
  <c r="WV7" i="7"/>
  <c r="HM7" i="7"/>
  <c r="AHI6" i="7"/>
  <c r="JX6" i="7"/>
  <c r="OW6" i="7"/>
  <c r="TS7" i="7"/>
  <c r="ST7" i="7"/>
  <c r="EH8" i="7"/>
  <c r="XZ8" i="7"/>
  <c r="BC7" i="7"/>
  <c r="AGX7" i="7"/>
  <c r="AIJ5" i="7"/>
  <c r="RQ7" i="7"/>
  <c r="FB7" i="7"/>
  <c r="BP6" i="7"/>
  <c r="AGD6" i="7"/>
  <c r="ACV4" i="7"/>
  <c r="ACV20" i="7" s="1"/>
  <c r="UQ4" i="7"/>
  <c r="UQ20" i="7" s="1"/>
  <c r="AFN4" i="7"/>
  <c r="AFN20" i="7" s="1"/>
  <c r="BY5" i="7"/>
  <c r="ZW5" i="7"/>
  <c r="UF5" i="7"/>
  <c r="AF5" i="7"/>
  <c r="OZ6" i="7"/>
  <c r="KP7" i="7"/>
  <c r="K7" i="7"/>
  <c r="ZQ4" i="7"/>
  <c r="ZQ20" i="7" s="1"/>
  <c r="US6" i="7"/>
  <c r="OF7" i="7"/>
  <c r="UK6" i="7"/>
  <c r="AIZ5" i="7"/>
  <c r="AIZ21" i="7" s="1"/>
  <c r="RR6" i="7"/>
  <c r="XZ5" i="7"/>
  <c r="ACW6" i="7"/>
  <c r="RX6" i="7"/>
  <c r="DL6" i="7"/>
  <c r="YJ7" i="7"/>
  <c r="NY7" i="7"/>
  <c r="GH7" i="7"/>
  <c r="TR5" i="7"/>
  <c r="EY7" i="7"/>
  <c r="AEN4" i="7"/>
  <c r="AEN20" i="7" s="1"/>
  <c r="AFU5" i="7"/>
  <c r="VL6" i="7"/>
  <c r="SK5" i="7"/>
  <c r="AIN5" i="7"/>
  <c r="ZM6" i="7"/>
  <c r="HF6" i="7"/>
  <c r="PV6" i="7"/>
  <c r="FH7" i="7"/>
  <c r="AAV6" i="7"/>
  <c r="AES5" i="7"/>
  <c r="QT7" i="7"/>
  <c r="AKJ5" i="7"/>
  <c r="FO7" i="7"/>
  <c r="ALE4" i="7"/>
  <c r="ALE20" i="7" s="1"/>
  <c r="AJI5" i="7"/>
  <c r="WD6" i="7"/>
  <c r="WS5" i="7"/>
  <c r="AJP5" i="7"/>
  <c r="AAK6" i="7"/>
  <c r="IH6" i="7"/>
  <c r="QO6" i="7"/>
  <c r="HP6" i="7"/>
  <c r="Z6" i="7"/>
  <c r="VF5" i="7"/>
  <c r="BY6" i="7"/>
  <c r="AKA6" i="7"/>
  <c r="VQ7" i="7"/>
  <c r="OO6" i="7"/>
  <c r="AAP6" i="7"/>
  <c r="LJ8" i="7"/>
  <c r="PG7" i="7"/>
  <c r="XB6" i="7"/>
  <c r="OP7" i="7"/>
  <c r="DK7" i="7"/>
  <c r="AGW7" i="7"/>
  <c r="AHV8" i="7"/>
  <c r="NH7" i="7"/>
  <c r="SS6" i="7"/>
  <c r="HP5" i="7"/>
  <c r="UA7" i="7"/>
  <c r="YU7" i="7"/>
  <c r="JN8" i="7"/>
  <c r="AID8" i="7"/>
  <c r="IR7" i="7"/>
  <c r="AKR6" i="7"/>
  <c r="ABV6" i="7"/>
  <c r="LV6" i="7"/>
  <c r="ZR6" i="7"/>
  <c r="AHO6" i="7"/>
  <c r="AAH6" i="7"/>
  <c r="JW6" i="7"/>
  <c r="FJ5" i="7"/>
  <c r="FN6" i="7"/>
  <c r="UQ7" i="7"/>
  <c r="EQ6" i="7"/>
  <c r="YS7" i="7"/>
  <c r="VZ7" i="7"/>
  <c r="YP5" i="7"/>
  <c r="SE7" i="7"/>
  <c r="UR7" i="7"/>
  <c r="KG7" i="7"/>
  <c r="CP7" i="7"/>
  <c r="JY6" i="7"/>
  <c r="JY22" i="7" s="1"/>
  <c r="GE7" i="7"/>
  <c r="LD7" i="7"/>
  <c r="AS7" i="7"/>
  <c r="AFF6" i="7"/>
  <c r="SB6" i="7"/>
  <c r="ADK6" i="7"/>
  <c r="ZQ6" i="7"/>
  <c r="AIS7" i="7"/>
  <c r="SL8" i="7"/>
  <c r="AHJ6" i="7"/>
  <c r="ADJ6" i="7"/>
  <c r="RF8" i="7"/>
  <c r="ACP7" i="7"/>
  <c r="OE8" i="7"/>
  <c r="YI7" i="7"/>
  <c r="IR8" i="7"/>
  <c r="AIZ6" i="7"/>
  <c r="AHD7" i="7"/>
  <c r="QW8" i="7"/>
  <c r="IV8" i="7"/>
  <c r="ALP8" i="7"/>
  <c r="XY7" i="7"/>
  <c r="ZC8" i="7"/>
  <c r="JZ9" i="7"/>
  <c r="EI5" i="7"/>
  <c r="DW6" i="7"/>
  <c r="CK5" i="7"/>
  <c r="VU4" i="7"/>
  <c r="VU20" i="7" s="1"/>
  <c r="RY4" i="7"/>
  <c r="RY20" i="7" s="1"/>
  <c r="AEI4" i="7"/>
  <c r="AEI20" i="7" s="1"/>
  <c r="FS6" i="7"/>
  <c r="UG6" i="7"/>
  <c r="NB7" i="7"/>
  <c r="BW7" i="7"/>
  <c r="GT5" i="7"/>
  <c r="XX6" i="7"/>
  <c r="QR7" i="7"/>
  <c r="YV6" i="7"/>
  <c r="FY6" i="7"/>
  <c r="AAQ6" i="7"/>
  <c r="AGK5" i="7"/>
  <c r="MQ4" i="7"/>
  <c r="MQ20" i="7" s="1"/>
  <c r="VB6" i="7"/>
  <c r="LL6" i="7"/>
  <c r="AAV7" i="7"/>
  <c r="QK7" i="7"/>
  <c r="LF7" i="7"/>
  <c r="AHQ5" i="7"/>
  <c r="HK7" i="7"/>
  <c r="JJ5" i="7"/>
  <c r="DC6" i="7"/>
  <c r="YP6" i="7"/>
  <c r="AGX5" i="7"/>
  <c r="BU6" i="7"/>
  <c r="AEK6" i="7"/>
  <c r="LS6" i="7"/>
  <c r="SR6" i="7"/>
  <c r="HT7" i="7"/>
  <c r="AEI6" i="7"/>
  <c r="CT6" i="7"/>
  <c r="TF7" i="7"/>
  <c r="HC6" i="7"/>
  <c r="IA7" i="7"/>
  <c r="MW5" i="7"/>
  <c r="FR6" i="7"/>
  <c r="ZG6" i="7"/>
  <c r="AJS5" i="7"/>
  <c r="DA6" i="7"/>
  <c r="AFI6" i="7"/>
  <c r="MR6" i="7"/>
  <c r="HS4" i="7"/>
  <c r="HS20" i="7" s="1"/>
  <c r="AJK4" i="7"/>
  <c r="AJK20" i="7" s="1"/>
  <c r="IQ6" i="7"/>
  <c r="AFD5" i="7"/>
  <c r="GH6" i="7"/>
  <c r="CN7" i="7"/>
  <c r="LV5" i="7"/>
  <c r="VU5" i="7"/>
  <c r="AHU6" i="7"/>
  <c r="NV8" i="7"/>
  <c r="UE7" i="7"/>
  <c r="AEU6" i="7"/>
  <c r="TN7" i="7"/>
  <c r="II7" i="7"/>
  <c r="AJI7" i="7"/>
  <c r="UL6" i="7"/>
  <c r="SF7" i="7"/>
  <c r="ABH6" i="7"/>
  <c r="S6" i="7"/>
  <c r="WU7" i="7"/>
  <c r="ABY7" i="7"/>
  <c r="OL8" i="7"/>
  <c r="VO6" i="7"/>
  <c r="NP7" i="7"/>
  <c r="DE7" i="7"/>
  <c r="AHY6" i="7"/>
  <c r="OS5" i="7"/>
  <c r="OS21" i="7" s="1"/>
  <c r="OS22" i="7" s="1"/>
  <c r="AGM6" i="7"/>
  <c r="EZ7" i="7"/>
  <c r="AGY6" i="7"/>
  <c r="VN6" i="7"/>
  <c r="ALN5" i="7"/>
  <c r="TB6" i="7"/>
  <c r="AIE6" i="7"/>
  <c r="SM6" i="7"/>
  <c r="LU6" i="7"/>
  <c r="MB5" i="7"/>
  <c r="HL6" i="7"/>
  <c r="UY7" i="7"/>
  <c r="ZP7" i="7"/>
  <c r="PE7" i="7"/>
  <c r="HN7" i="7"/>
  <c r="AK6" i="7"/>
  <c r="LC7" i="7"/>
  <c r="QB7" i="7"/>
  <c r="FQ7" i="7"/>
  <c r="AKK6" i="7"/>
  <c r="AEU5" i="7"/>
  <c r="AJB6" i="7"/>
  <c r="AH7" i="7"/>
  <c r="ALE7" i="7"/>
  <c r="UX8" i="7"/>
  <c r="W7" i="7"/>
  <c r="DJ7" i="7"/>
  <c r="WD8" i="7"/>
  <c r="AFZ7" i="7"/>
  <c r="OV6" i="7"/>
  <c r="ABJ7" i="7"/>
  <c r="LD8" i="7"/>
  <c r="BM7" i="7"/>
  <c r="AJP7" i="7"/>
  <c r="ZL6" i="7"/>
  <c r="NT8" i="7"/>
  <c r="EC9" i="7"/>
  <c r="ADP7" i="7"/>
  <c r="ABX8" i="7"/>
  <c r="AAH4" i="7"/>
  <c r="AAH20" i="7" s="1"/>
  <c r="AJR4" i="7"/>
  <c r="AJR20" i="7" s="1"/>
  <c r="CQ6" i="7"/>
  <c r="OF5" i="7"/>
  <c r="FQ6" i="7"/>
  <c r="SI6" i="7"/>
  <c r="ALL5" i="7"/>
  <c r="YT6" i="7"/>
  <c r="PN7" i="7"/>
  <c r="EI7" i="7"/>
  <c r="RW5" i="7"/>
  <c r="AAM6" i="7"/>
  <c r="TD7" i="7"/>
  <c r="ACT6" i="7"/>
  <c r="NT6" i="7"/>
  <c r="AEG6" i="7"/>
  <c r="AG6" i="7"/>
  <c r="PH5" i="7"/>
  <c r="AAU6" i="7"/>
  <c r="RT6" i="7"/>
  <c r="KS5" i="7"/>
  <c r="SW7" i="7"/>
  <c r="NR7" i="7"/>
  <c r="FB6" i="7"/>
  <c r="JW7" i="7"/>
  <c r="TS5" i="7"/>
  <c r="KE6" i="7"/>
  <c r="ABC6" i="7"/>
  <c r="EP6" i="7"/>
  <c r="HQ6" i="7"/>
  <c r="AIO4" i="7"/>
  <c r="AIO20" i="7" s="1"/>
  <c r="PL6" i="7"/>
  <c r="AEM4" i="7"/>
  <c r="AEM20" i="7" s="1"/>
  <c r="KF7" i="7"/>
  <c r="AHH6" i="7"/>
  <c r="KV6" i="7"/>
  <c r="VR7" i="7"/>
  <c r="OP6" i="7"/>
  <c r="KM7" i="7"/>
  <c r="WJ5" i="7"/>
  <c r="LD6" i="7"/>
  <c r="ABS6" i="7"/>
  <c r="GN6" i="7"/>
  <c r="IO6" i="7"/>
  <c r="CR5" i="7"/>
  <c r="QD6" i="7"/>
  <c r="AJW4" i="7"/>
  <c r="AJW20" i="7" s="1"/>
  <c r="TJ5" i="7"/>
  <c r="PS6" i="7"/>
  <c r="ALG5" i="7"/>
  <c r="KG6" i="7"/>
  <c r="HL7" i="7"/>
  <c r="BN6" i="7"/>
  <c r="GD6" i="7"/>
  <c r="AX7" i="7"/>
  <c r="QH8" i="7"/>
  <c r="YV7" i="7"/>
  <c r="AKB6" i="7"/>
  <c r="YL7" i="7"/>
  <c r="NG7" i="7"/>
  <c r="J8" i="7"/>
  <c r="ACU6" i="7"/>
  <c r="XD7" i="7"/>
  <c r="AHQ6" i="7"/>
  <c r="PP6" i="7"/>
  <c r="TA6" i="7"/>
  <c r="AHE7" i="7"/>
  <c r="QX8" i="7"/>
  <c r="ADQ6" i="7"/>
  <c r="SN7" i="7"/>
  <c r="IC7" i="7"/>
  <c r="AL7" i="7"/>
  <c r="CV6" i="7"/>
  <c r="EA7" i="7"/>
  <c r="JX7" i="7"/>
  <c r="M7" i="7"/>
  <c r="ADP6" i="7"/>
  <c r="PF6" i="7"/>
  <c r="ABP6" i="7"/>
  <c r="AR7" i="7"/>
  <c r="AHP6" i="7"/>
  <c r="WP6" i="7"/>
  <c r="BO6" i="7"/>
  <c r="UD6" i="7"/>
  <c r="XS7" i="7"/>
  <c r="UV5" i="7"/>
  <c r="UC7" i="7"/>
  <c r="RJ7" i="7"/>
  <c r="QA6" i="7"/>
  <c r="PS7" i="7"/>
  <c r="UZ7" i="7"/>
  <c r="KO7" i="7"/>
  <c r="CX7" i="7"/>
  <c r="KX6" i="7"/>
  <c r="GM7" i="7"/>
  <c r="FV7" i="7"/>
  <c r="BF8" i="7"/>
  <c r="XJ8" i="7"/>
  <c r="EU7" i="7"/>
  <c r="OL7" i="7"/>
  <c r="ABB8" i="7"/>
  <c r="K8" i="7"/>
  <c r="AAY6" i="7"/>
  <c r="ADW7" i="7"/>
  <c r="NP8" i="7"/>
  <c r="GK7" i="7"/>
  <c r="Q8" i="7"/>
  <c r="AF7" i="7"/>
  <c r="VE8" i="7"/>
  <c r="GO9" i="7"/>
  <c r="AIN7" i="7"/>
  <c r="AES8" i="7"/>
  <c r="WD4" i="7"/>
  <c r="WD20" i="7" s="1"/>
  <c r="OA6" i="7"/>
  <c r="AGS5" i="7"/>
  <c r="FI4" i="7"/>
  <c r="FI20" i="7" s="1"/>
  <c r="CA5" i="7"/>
  <c r="AB5" i="7"/>
  <c r="PW5" i="7"/>
  <c r="GF4" i="7"/>
  <c r="GF20" i="7" s="1"/>
  <c r="PN4" i="7"/>
  <c r="PN20" i="7" s="1"/>
  <c r="AHV4" i="7"/>
  <c r="AHV20" i="7" s="1"/>
  <c r="BD5" i="7"/>
  <c r="WC5" i="7"/>
  <c r="YT5" i="7"/>
  <c r="GN7" i="7"/>
  <c r="AKG5" i="7"/>
  <c r="CW6" i="7"/>
  <c r="ZW7" i="7"/>
  <c r="OJ6" i="7"/>
  <c r="KM6" i="7"/>
  <c r="GG7" i="7"/>
  <c r="PV7" i="7"/>
  <c r="SD6" i="7"/>
  <c r="PC4" i="7"/>
  <c r="PC20" i="7" s="1"/>
  <c r="RO5" i="7"/>
  <c r="AHG5" i="7"/>
  <c r="PD6" i="7"/>
  <c r="JP7" i="7"/>
  <c r="ALP6" i="7"/>
  <c r="AGH6" i="7"/>
  <c r="AGX4" i="7"/>
  <c r="AGX20" i="7" s="1"/>
  <c r="AEQ6" i="7"/>
  <c r="YN5" i="7"/>
  <c r="SN6" i="7"/>
  <c r="BH6" i="7"/>
  <c r="MH6" i="7"/>
  <c r="AHL5" i="7"/>
  <c r="XB5" i="7"/>
  <c r="AFW4" i="7"/>
  <c r="AFW20" i="7" s="1"/>
  <c r="AHH5" i="7"/>
  <c r="AFD6" i="7"/>
  <c r="AFN5" i="7"/>
  <c r="RA7" i="7"/>
  <c r="EL7" i="7"/>
  <c r="ALO5" i="7"/>
  <c r="ALO21" i="7" s="1"/>
  <c r="AFL6" i="7"/>
  <c r="ABY5" i="7"/>
  <c r="UH6" i="7"/>
  <c r="DD6" i="7"/>
  <c r="NG6" i="7"/>
  <c r="AJW5" i="7"/>
  <c r="AAB5" i="7"/>
  <c r="AKY4" i="7"/>
  <c r="AKY20" i="7" s="1"/>
  <c r="AIS5" i="7"/>
  <c r="AIS21" i="7" s="1"/>
  <c r="AFV6" i="7"/>
  <c r="AEW5" i="7"/>
  <c r="RN6" i="7"/>
  <c r="ALC4" i="7"/>
  <c r="ALC20" i="7" s="1"/>
  <c r="PQ6" i="7"/>
  <c r="AJL6" i="7"/>
  <c r="XV7" i="7"/>
  <c r="MQ7" i="7"/>
  <c r="ALM7" i="7"/>
  <c r="ABW6" i="7"/>
  <c r="RX7" i="7"/>
  <c r="AAW6" i="7"/>
  <c r="AKX5" i="7"/>
  <c r="NF7" i="7"/>
  <c r="VN8" i="7"/>
  <c r="AEL7" i="7"/>
  <c r="MS7" i="7"/>
  <c r="MC5" i="7"/>
  <c r="RG7" i="7"/>
  <c r="TJ7" i="7"/>
  <c r="HB8" i="7"/>
  <c r="ADF8" i="7"/>
  <c r="DT7" i="7"/>
  <c r="AFN6" i="7"/>
  <c r="TE6" i="7"/>
  <c r="AGD5" i="7"/>
  <c r="QH6" i="7"/>
  <c r="XC7" i="7"/>
  <c r="CG6" i="7"/>
  <c r="ADH5" i="7"/>
  <c r="VJ7" i="7"/>
  <c r="UQ5" i="7"/>
  <c r="RW7" i="7"/>
  <c r="SL5" i="7"/>
  <c r="TU7" i="7"/>
  <c r="MD7" i="7"/>
  <c r="PI6" i="7"/>
  <c r="PK7" i="7"/>
  <c r="PT7" i="7"/>
  <c r="FI7" i="7"/>
  <c r="AKC6" i="7"/>
  <c r="ADJ5" i="7"/>
  <c r="AIT6" i="7"/>
  <c r="GF7" i="7"/>
  <c r="AIF6" i="7"/>
  <c r="XS6" i="7"/>
  <c r="EA6" i="7"/>
  <c r="VG6" i="7"/>
  <c r="AIF5" i="7"/>
  <c r="ADU7" i="7"/>
  <c r="PZ8" i="7"/>
  <c r="AAX6" i="7"/>
  <c r="ADV7" i="7"/>
  <c r="MH8" i="7"/>
  <c r="XG7" i="7"/>
  <c r="LS8" i="7"/>
  <c r="OR7" i="7"/>
  <c r="GF8" i="7"/>
  <c r="ADI6" i="7"/>
  <c r="AER7" i="7"/>
  <c r="OK8" i="7"/>
  <c r="DX8" i="7"/>
  <c r="AJD8" i="7"/>
  <c r="EG7" i="7"/>
  <c r="WH8" i="7"/>
  <c r="HN9" i="7"/>
  <c r="ZS7" i="7"/>
  <c r="AKT6" i="7"/>
  <c r="RS8" i="7"/>
  <c r="DP9" i="7"/>
  <c r="EW7" i="7"/>
  <c r="CA8" i="7"/>
  <c r="PB7" i="7"/>
  <c r="WL8" i="7"/>
  <c r="ACX7" i="7"/>
  <c r="MA8" i="7"/>
  <c r="KJ7" i="7"/>
  <c r="ALO7" i="7"/>
  <c r="R6" i="7"/>
  <c r="LY7" i="7"/>
  <c r="Y8" i="7"/>
  <c r="ACK6" i="7"/>
  <c r="JL8" i="7"/>
  <c r="AJL8" i="7"/>
  <c r="AIB6" i="7"/>
  <c r="LM8" i="7"/>
  <c r="AKK8" i="7"/>
  <c r="RR9" i="7"/>
  <c r="CX8" i="7"/>
  <c r="TG7" i="7"/>
  <c r="UZ8" i="7"/>
  <c r="DX9" i="7"/>
  <c r="AIR6" i="7"/>
  <c r="AFT6" i="7"/>
  <c r="MX8" i="7"/>
  <c r="RS7" i="7"/>
  <c r="HK8" i="7"/>
  <c r="BD7" i="7"/>
  <c r="AGY7" i="7"/>
  <c r="OF8" i="7"/>
  <c r="CS7" i="7"/>
  <c r="AHT7" i="7"/>
  <c r="PA8" i="7"/>
  <c r="AF8" i="7"/>
  <c r="AEI8" i="7"/>
  <c r="MC9" i="7"/>
  <c r="CG8" i="7"/>
  <c r="AFL8" i="7"/>
  <c r="NB9" i="7"/>
  <c r="AGC7" i="7"/>
  <c r="AU7" i="7"/>
  <c r="OA8" i="7"/>
  <c r="H9" i="7"/>
  <c r="AAM7" i="7"/>
  <c r="GI7" i="7"/>
  <c r="DJ8" i="7"/>
  <c r="ALR6" i="7"/>
  <c r="CU8" i="7"/>
  <c r="ADR6" i="7"/>
  <c r="ACI7" i="7"/>
  <c r="JP8" i="7"/>
  <c r="AFS6" i="7"/>
  <c r="ADD7" i="7"/>
  <c r="XK7" i="7"/>
  <c r="WO5" i="7"/>
  <c r="XV6" i="7"/>
  <c r="LN6" i="7"/>
  <c r="XP5" i="7"/>
  <c r="VV7" i="7"/>
  <c r="CF6" i="7"/>
  <c r="NJ7" i="7"/>
  <c r="OM7" i="7"/>
  <c r="LJ5" i="7"/>
  <c r="HD7" i="7"/>
  <c r="ADD6" i="7"/>
  <c r="ABE6" i="7"/>
  <c r="MP6" i="7"/>
  <c r="II6" i="7"/>
  <c r="AL5" i="7"/>
  <c r="ABD5" i="7"/>
  <c r="PZ5" i="7"/>
  <c r="PZ21" i="7" s="1"/>
  <c r="BZ7" i="7"/>
  <c r="ACD6" i="7"/>
  <c r="OR6" i="7"/>
  <c r="JH6" i="7"/>
  <c r="GI5" i="7"/>
  <c r="ADB5" i="7"/>
  <c r="XT5" i="7"/>
  <c r="ACI6" i="7"/>
  <c r="ADY6" i="7"/>
  <c r="HS7" i="7"/>
  <c r="TJ6" i="7"/>
  <c r="RZ6" i="7"/>
  <c r="HR7" i="7"/>
  <c r="ABZ7" i="7"/>
  <c r="KW6" i="7"/>
  <c r="NV7" i="7"/>
  <c r="AAT8" i="7"/>
  <c r="YH6" i="7"/>
  <c r="ZB7" i="7"/>
  <c r="UI7" i="7"/>
  <c r="TE7" i="7"/>
  <c r="NW6" i="7"/>
  <c r="ZH7" i="7"/>
  <c r="HF7" i="7"/>
  <c r="KU7" i="7"/>
  <c r="AK7" i="7"/>
  <c r="RI6" i="7"/>
  <c r="AIU6" i="7"/>
  <c r="NR6" i="7"/>
  <c r="JJ6" i="7"/>
  <c r="AAY7" i="7"/>
  <c r="OD6" i="7"/>
  <c r="HJ8" i="7"/>
  <c r="JG8" i="7"/>
  <c r="BH8" i="7"/>
  <c r="ACF7" i="7"/>
  <c r="ALK7" i="7"/>
  <c r="AGT6" i="7"/>
  <c r="FB9" i="7"/>
  <c r="AJU7" i="7"/>
  <c r="AAL7" i="7"/>
  <c r="AFW8" i="7"/>
  <c r="ZC7" i="7"/>
  <c r="XO7" i="7"/>
  <c r="DZ7" i="7"/>
  <c r="ABJ8" i="7"/>
  <c r="AJR7" i="7"/>
  <c r="TK6" i="7"/>
  <c r="ABS7" i="7"/>
  <c r="LL8" i="7"/>
  <c r="CC7" i="7"/>
  <c r="AJX7" i="7"/>
  <c r="BL7" i="7"/>
  <c r="SS8" i="7"/>
  <c r="EK9" i="7"/>
  <c r="AEF7" i="7"/>
  <c r="ACG8" i="7"/>
  <c r="MT9" i="7"/>
  <c r="AKK7" i="7"/>
  <c r="ABE7" i="7"/>
  <c r="AAP8" i="7"/>
  <c r="AJO6" i="7"/>
  <c r="AEN7" i="7"/>
  <c r="AKO7" i="7"/>
  <c r="ALB6" i="7"/>
  <c r="EY8" i="7"/>
  <c r="GB7" i="7"/>
  <c r="L8" i="7"/>
  <c r="AAA6" i="7"/>
  <c r="WK7" i="7"/>
  <c r="HQ8" i="7"/>
  <c r="ACU7" i="7"/>
  <c r="ABN8" i="7"/>
  <c r="JI6" i="7"/>
  <c r="MC8" i="7"/>
  <c r="AT9" i="7"/>
  <c r="J7" i="7"/>
  <c r="SC8" i="7"/>
  <c r="EE8" i="7"/>
  <c r="AJG8" i="7"/>
  <c r="QY6" i="7"/>
  <c r="AGL6" i="7"/>
  <c r="SD8" i="7"/>
  <c r="ADN7" i="7"/>
  <c r="PC8" i="7"/>
  <c r="VL7" i="7"/>
  <c r="HD8" i="7"/>
  <c r="AKV6" i="7"/>
  <c r="AKV22" i="7" s="1"/>
  <c r="AIB7" i="7"/>
  <c r="TZ7" i="7"/>
  <c r="YP8" i="7"/>
  <c r="AET7" i="7"/>
  <c r="MY8" i="7"/>
  <c r="MF7" i="7"/>
  <c r="AB8" i="7"/>
  <c r="TL6" i="7"/>
  <c r="NU7" i="7"/>
  <c r="AW8" i="7"/>
  <c r="ACW7" i="7"/>
  <c r="ADV8" i="7"/>
  <c r="AID7" i="7"/>
  <c r="PS8" i="7"/>
  <c r="RT7" i="7"/>
  <c r="CV8" i="7"/>
  <c r="ACY6" i="7"/>
  <c r="TI7" i="7"/>
  <c r="DQ8" i="7"/>
  <c r="AIC7" i="7"/>
  <c r="AJQ5" i="7"/>
  <c r="ALF7" i="7"/>
  <c r="AKW5" i="7"/>
  <c r="AKW21" i="7" s="1"/>
  <c r="XH7" i="7"/>
  <c r="FP8" i="7"/>
  <c r="SJ6" i="7"/>
  <c r="YQ7" i="7"/>
  <c r="GK8" i="7"/>
  <c r="FV8" i="7"/>
  <c r="EE7" i="7"/>
  <c r="EA8" i="7"/>
  <c r="AGS6" i="7"/>
  <c r="ADO7" i="7"/>
  <c r="KV8" i="7"/>
  <c r="AIJ6" i="7"/>
  <c r="AEJ7" i="7"/>
  <c r="LQ8" i="7"/>
  <c r="AFW7" i="7"/>
  <c r="AAM8" i="7"/>
  <c r="IS9" i="7"/>
  <c r="AHX7" i="7"/>
  <c r="ABO8" i="7"/>
  <c r="JR9" i="7"/>
  <c r="YY7" i="7"/>
  <c r="LJ6" i="7"/>
  <c r="HG8" i="7"/>
  <c r="AII8" i="7"/>
  <c r="OJ7" i="7"/>
  <c r="AEB6" i="7"/>
  <c r="CR8" i="7"/>
  <c r="NI9" i="7"/>
  <c r="AGV8" i="7"/>
  <c r="AIO7" i="7"/>
  <c r="QM8" i="7"/>
  <c r="ADC7" i="7"/>
  <c r="JK8" i="7"/>
  <c r="MO9" i="7"/>
  <c r="AHH9" i="7"/>
  <c r="OO10" i="7"/>
  <c r="AIG10" i="7"/>
  <c r="AAB7" i="7"/>
  <c r="DC9" i="7"/>
  <c r="AAW9" i="7"/>
  <c r="ID10" i="7"/>
  <c r="ABV10" i="7"/>
  <c r="MK8" i="7"/>
  <c r="LA9" i="7"/>
  <c r="AGD9" i="7"/>
  <c r="NK10" i="7"/>
  <c r="AHC10" i="7"/>
  <c r="DX7" i="7"/>
  <c r="AC9" i="7"/>
  <c r="RQ8" i="7"/>
  <c r="AAJ6" i="7"/>
  <c r="ACL7" i="7"/>
  <c r="GZ9" i="7"/>
  <c r="AAU7" i="7"/>
  <c r="CC9" i="7"/>
  <c r="AAF9" i="7"/>
  <c r="HM10" i="7"/>
  <c r="ABE10" i="7"/>
  <c r="IL11" i="7"/>
  <c r="ADP8" i="7"/>
  <c r="TU9" i="7"/>
  <c r="BB10" i="7"/>
  <c r="UT10" i="7"/>
  <c r="CA11" i="7"/>
  <c r="AG9" i="7"/>
  <c r="ZB9" i="7"/>
  <c r="GI10" i="7"/>
  <c r="AAA10" i="7"/>
  <c r="DV8" i="7"/>
  <c r="EF8" i="7"/>
  <c r="EL8" i="7"/>
  <c r="WP8" i="7"/>
  <c r="ABB7" i="7"/>
  <c r="GH9" i="7"/>
  <c r="SV8" i="7"/>
  <c r="AEM8" i="7"/>
  <c r="ABK7" i="7"/>
  <c r="AAS8" i="7"/>
  <c r="TC9" i="7"/>
  <c r="AK10" i="7"/>
  <c r="RP5" i="7"/>
  <c r="MQ6" i="7"/>
  <c r="ABY6" i="7"/>
  <c r="RZ7" i="7"/>
  <c r="AAF5" i="7"/>
  <c r="VP7" i="7"/>
  <c r="TQ5" i="7"/>
  <c r="FU6" i="7"/>
  <c r="VA4" i="7"/>
  <c r="VA20" i="7" s="1"/>
  <c r="ACQ5" i="7"/>
  <c r="QD7" i="7"/>
  <c r="MI7" i="7"/>
  <c r="PB6" i="7"/>
  <c r="MK6" i="7"/>
  <c r="VE5" i="7"/>
  <c r="ABD4" i="7"/>
  <c r="ABD20" i="7" s="1"/>
  <c r="AJT6" i="7"/>
  <c r="YD7" i="7"/>
  <c r="MY7" i="7"/>
  <c r="QV6" i="7"/>
  <c r="OF6" i="7"/>
  <c r="YB5" i="7"/>
  <c r="DI5" i="7"/>
  <c r="VI6" i="7"/>
  <c r="OB6" i="7"/>
  <c r="QP6" i="7"/>
  <c r="GL7" i="7"/>
  <c r="ABR7" i="7"/>
  <c r="ADI5" i="7"/>
  <c r="BV8" i="7"/>
  <c r="ADQ4" i="7"/>
  <c r="ADQ20" i="7" s="1"/>
  <c r="ZD6" i="7"/>
  <c r="AJQ7" i="7"/>
  <c r="AJF6" i="7"/>
  <c r="NA7" i="7"/>
  <c r="ADL5" i="7"/>
  <c r="OV7" i="7"/>
  <c r="AJE6" i="7"/>
  <c r="AHV6" i="7"/>
  <c r="AC7" i="7"/>
  <c r="QQ6" i="7"/>
  <c r="XK6" i="7"/>
  <c r="AHN5" i="7"/>
  <c r="AHN21" i="7" s="1"/>
  <c r="AAN5" i="7"/>
  <c r="ZX7" i="7"/>
  <c r="HV7" i="7"/>
  <c r="LK7" i="7"/>
  <c r="DR8" i="7"/>
  <c r="JS7" i="7"/>
  <c r="WR6" i="7"/>
  <c r="AHK6" i="7"/>
  <c r="QB8" i="7"/>
  <c r="CC8" i="7"/>
  <c r="YA8" i="7"/>
  <c r="BA8" i="7"/>
  <c r="ML9" i="7"/>
  <c r="CH8" i="7"/>
  <c r="AKL7" i="7"/>
  <c r="AIQ8" i="7"/>
  <c r="AEI7" i="7"/>
  <c r="ADJ7" i="7"/>
  <c r="ZN7" i="7"/>
  <c r="AGH8" i="7"/>
  <c r="S8" i="7"/>
  <c r="ABX6" i="7"/>
  <c r="AEE7" i="7"/>
  <c r="NX8" i="7"/>
  <c r="HA7" i="7"/>
  <c r="CK8" i="7"/>
  <c r="LH7" i="7"/>
  <c r="VO8" i="7"/>
  <c r="GW9" i="7"/>
  <c r="AJD7" i="7"/>
  <c r="AFC8" i="7"/>
  <c r="PF9" i="7"/>
  <c r="HV8" i="7"/>
  <c r="AGD7" i="7"/>
  <c r="ADK8" i="7"/>
  <c r="GZ7" i="7"/>
  <c r="AHR6" i="7"/>
  <c r="DB8" i="7"/>
  <c r="IM7" i="7"/>
  <c r="JW8" i="7"/>
  <c r="KZ7" i="7"/>
  <c r="BX8" i="7"/>
  <c r="SE5" i="7"/>
  <c r="AAE7" i="7"/>
  <c r="KC8" i="7"/>
  <c r="AHS7" i="7"/>
  <c r="AHD8" i="7"/>
  <c r="AJH6" i="7"/>
  <c r="RA8" i="7"/>
  <c r="DF9" i="7"/>
  <c r="JF7" i="7"/>
  <c r="UY8" i="7"/>
  <c r="JC8" i="7"/>
  <c r="BT9" i="7"/>
  <c r="AJX6" i="7"/>
  <c r="FF7" i="7"/>
  <c r="XB8" i="7"/>
  <c r="AHN7" i="7"/>
  <c r="RO8" i="7"/>
  <c r="ZQ7" i="7"/>
  <c r="MB8" i="7"/>
  <c r="DI7" i="7"/>
  <c r="AKN7" i="7"/>
  <c r="ACG7" i="7"/>
  <c r="ADN8" i="7"/>
  <c r="AHV7" i="7"/>
  <c r="PK8" i="7"/>
  <c r="RD7" i="7"/>
  <c r="CN8" i="7"/>
  <c r="ACB6" i="7"/>
  <c r="SS7" i="7"/>
  <c r="DI8" i="7"/>
  <c r="AHU7" i="7"/>
  <c r="WN5" i="7"/>
  <c r="AKX7" i="7"/>
  <c r="YO5" i="7"/>
  <c r="WR7" i="7"/>
  <c r="FH8" i="7"/>
  <c r="MI6" i="7"/>
  <c r="YF7" i="7"/>
  <c r="GC8" i="7"/>
  <c r="AP8" i="7"/>
  <c r="AFZ6" i="7"/>
  <c r="BG8" i="7"/>
  <c r="ZA6" i="7"/>
  <c r="AAR7" i="7"/>
  <c r="IB8" i="7"/>
  <c r="ABN6" i="7"/>
  <c r="ABP7" i="7"/>
  <c r="YQ6" i="7"/>
  <c r="KT8" i="7"/>
  <c r="OA7" i="7"/>
  <c r="GM8" i="7"/>
  <c r="H7" i="7"/>
  <c r="AGA7" i="7"/>
  <c r="NH8" i="7"/>
  <c r="AW7" i="7"/>
  <c r="AGV7" i="7"/>
  <c r="OC8" i="7"/>
  <c r="AKU7" i="7"/>
  <c r="ADH8" i="7"/>
  <c r="LE9" i="7"/>
  <c r="AK8" i="7"/>
  <c r="AEJ8" i="7"/>
  <c r="MD9" i="7"/>
  <c r="AEG7" i="7"/>
  <c r="AJN6" i="7"/>
  <c r="ME8" i="7"/>
  <c r="AKU8" i="7"/>
  <c r="YE7" i="7"/>
  <c r="CQ7" i="7"/>
  <c r="MN8" i="7"/>
  <c r="BU7" i="7"/>
  <c r="N9" i="7"/>
  <c r="FZ8" i="7"/>
  <c r="WS8" i="7"/>
  <c r="CK7" i="7"/>
  <c r="TK8" i="7"/>
  <c r="PP9" i="7"/>
  <c r="AJT9" i="7"/>
  <c r="RA10" i="7"/>
  <c r="AKS10" i="7"/>
  <c r="BD8" i="7"/>
  <c r="HB9" i="7"/>
  <c r="ADI9" i="7"/>
  <c r="KP10" i="7"/>
  <c r="AEH10" i="7"/>
  <c r="UJ8" i="7"/>
  <c r="LT5" i="7"/>
  <c r="QB5" i="7"/>
  <c r="JG6" i="7"/>
  <c r="SC6" i="7"/>
  <c r="ADR5" i="7"/>
  <c r="ALH6" i="7"/>
  <c r="RF5" i="7"/>
  <c r="AHI5" i="7"/>
  <c r="ALH5" i="7"/>
  <c r="ADO6" i="7"/>
  <c r="AKH5" i="7"/>
  <c r="CR6" i="7"/>
  <c r="MU5" i="7"/>
  <c r="MU21" i="7" s="1"/>
  <c r="CZ5" i="7"/>
  <c r="UI6" i="7"/>
  <c r="TC6" i="7"/>
  <c r="JQ7" i="7"/>
  <c r="PY6" i="7"/>
  <c r="FL6" i="7"/>
  <c r="TA5" i="7"/>
  <c r="OI5" i="7"/>
  <c r="WC6" i="7"/>
  <c r="UF6" i="7"/>
  <c r="ALF5" i="7"/>
  <c r="AAR5" i="7"/>
  <c r="AAR21" i="7" s="1"/>
  <c r="AAR22" i="7" s="1"/>
  <c r="JB7" i="7"/>
  <c r="AEC7" i="7"/>
  <c r="DD7" i="7"/>
  <c r="ZT5" i="7"/>
  <c r="ZT21" i="7" s="1"/>
  <c r="OD8" i="7"/>
  <c r="AKJ6" i="7"/>
  <c r="DS7" i="7"/>
  <c r="R8" i="7"/>
  <c r="BS7" i="7"/>
  <c r="RY7" i="7"/>
  <c r="JZ6" i="7"/>
  <c r="TT7" i="7"/>
  <c r="BR7" i="7"/>
  <c r="FG7" i="7"/>
  <c r="FA7" i="7"/>
  <c r="ABQ5" i="7"/>
  <c r="ABQ21" i="7" s="1"/>
  <c r="AIM6" i="7"/>
  <c r="MT6" i="7"/>
  <c r="IK6" i="7"/>
  <c r="WT5" i="7"/>
  <c r="RR7" i="7"/>
  <c r="QA7" i="7"/>
  <c r="GD8" i="7"/>
  <c r="OQ7" i="7"/>
  <c r="AJV6" i="7"/>
  <c r="X7" i="7"/>
  <c r="AAM5" i="7"/>
  <c r="HA8" i="7"/>
  <c r="AAV8" i="7"/>
  <c r="FY8" i="7"/>
  <c r="OX9" i="7"/>
  <c r="HF8" i="7"/>
  <c r="CY8" i="7"/>
  <c r="ALC8" i="7"/>
  <c r="AHL6" i="7"/>
  <c r="LW8" i="7"/>
  <c r="AFI7" i="7"/>
  <c r="XT6" i="7"/>
  <c r="CE8" i="7"/>
  <c r="AIA6" i="7"/>
  <c r="AGQ7" i="7"/>
  <c r="QJ8" i="7"/>
  <c r="QW7" i="7"/>
  <c r="EW8" i="7"/>
  <c r="VD7" i="7"/>
  <c r="YJ8" i="7"/>
  <c r="JI9" i="7"/>
  <c r="BQ8" i="7"/>
  <c r="AHX8" i="7"/>
  <c r="UP6" i="7"/>
  <c r="MT8" i="7"/>
  <c r="ALB7" i="7"/>
  <c r="AGF8" i="7"/>
  <c r="QV7" i="7"/>
  <c r="FC7" i="7"/>
  <c r="HZ8" i="7"/>
  <c r="ZO7" i="7"/>
  <c r="MI8" i="7"/>
  <c r="PX7" i="7"/>
  <c r="EJ8" i="7"/>
  <c r="XJ6" i="7"/>
  <c r="ACV7" i="7"/>
  <c r="MO8" i="7"/>
  <c r="FD8" i="7"/>
  <c r="AJT8" i="7"/>
  <c r="GS7" i="7"/>
  <c r="UE8" i="7"/>
  <c r="FR9" i="7"/>
  <c r="TB7" i="7"/>
  <c r="AAN6" i="7"/>
  <c r="SN8" i="7"/>
  <c r="EF9" i="7"/>
  <c r="HI7" i="7"/>
  <c r="QH7" i="7"/>
  <c r="ABZ8" i="7"/>
  <c r="AKH7" i="7"/>
  <c r="VP6" i="7"/>
  <c r="AEU7" i="7"/>
  <c r="ON8" i="7"/>
  <c r="IG7" i="7"/>
  <c r="AO8" i="7"/>
  <c r="AHM7" i="7"/>
  <c r="AHI4" i="7"/>
  <c r="AHI20" i="7" s="1"/>
  <c r="AKP7" i="7"/>
  <c r="BS5" i="7"/>
  <c r="WB7" i="7"/>
  <c r="EZ8" i="7"/>
  <c r="EK6" i="7"/>
  <c r="XQ7" i="7"/>
  <c r="FU8" i="7"/>
  <c r="AH8" i="7"/>
  <c r="AFG6" i="7"/>
  <c r="AY8" i="7"/>
  <c r="XY6" i="7"/>
  <c r="AAI7" i="7"/>
  <c r="HT8" i="7"/>
  <c r="AAO6" i="7"/>
  <c r="ABG7" i="7"/>
  <c r="IO8" i="7"/>
  <c r="FN8" i="7"/>
  <c r="DO7" i="7"/>
  <c r="DS8" i="7"/>
  <c r="AGA6" i="7"/>
  <c r="ADG7" i="7"/>
  <c r="KN8" i="7"/>
  <c r="AHT6" i="7"/>
  <c r="AEB7" i="7"/>
  <c r="R7" i="7"/>
  <c r="PR8" i="7"/>
  <c r="WQ7" i="7"/>
  <c r="IY8" i="7"/>
  <c r="EF7" i="7"/>
  <c r="AIM7" i="7"/>
  <c r="PT8" i="7"/>
  <c r="FU7" i="7"/>
  <c r="AJH7" i="7"/>
  <c r="QO8" i="7"/>
  <c r="DH8" i="7"/>
  <c r="AGC8" i="7"/>
  <c r="NQ9" i="7"/>
  <c r="FI8" i="7"/>
  <c r="AHE8" i="7"/>
  <c r="OP9" i="7"/>
  <c r="AJE7" i="7"/>
  <c r="GY7" i="7"/>
  <c r="RC8" i="7"/>
  <c r="AV9" i="7"/>
  <c r="ADS7" i="7"/>
  <c r="MM7" i="7"/>
  <c r="UM8" i="7"/>
  <c r="VM7" i="7"/>
  <c r="EL9" i="7"/>
  <c r="PV8" i="7"/>
  <c r="ACJ8" i="7"/>
  <c r="WC7" i="7"/>
  <c r="ZQ8" i="7"/>
  <c r="SK9" i="7"/>
  <c r="U10" i="7"/>
  <c r="TM10" i="7"/>
  <c r="AT11" i="7"/>
  <c r="KZ8" i="7"/>
  <c r="KN9" i="7"/>
  <c r="AFU9" i="7"/>
  <c r="NB10" i="7"/>
  <c r="AGT10" i="7"/>
  <c r="KD4" i="7"/>
  <c r="KD20" i="7" s="1"/>
  <c r="AHB5" i="7"/>
  <c r="RG6" i="7"/>
  <c r="OT5" i="7"/>
  <c r="BW6" i="7"/>
  <c r="BI7" i="7"/>
  <c r="AGG5" i="7"/>
  <c r="AGG21" i="7" s="1"/>
  <c r="AD6" i="7"/>
  <c r="BI5" i="7"/>
  <c r="BI21" i="7" s="1"/>
  <c r="MW6" i="7"/>
  <c r="EB7" i="7"/>
  <c r="AEV5" i="7"/>
  <c r="AEV21" i="7" s="1"/>
  <c r="HS6" i="7"/>
  <c r="DU7" i="7"/>
  <c r="MA6" i="7"/>
  <c r="YP4" i="7"/>
  <c r="YP20" i="7" s="1"/>
  <c r="HX6" i="7"/>
  <c r="AHA5" i="7"/>
  <c r="ACS6" i="7"/>
  <c r="GU7" i="7"/>
  <c r="NQ4" i="7"/>
  <c r="NQ20" i="7" s="1"/>
  <c r="AFX6" i="7"/>
  <c r="AHF6" i="7"/>
  <c r="PK5" i="7"/>
  <c r="PK21" i="7" s="1"/>
  <c r="QB6" i="7"/>
  <c r="SM5" i="7"/>
  <c r="ALQ4" i="7"/>
  <c r="ALQ20" i="7" s="1"/>
  <c r="QX7" i="7"/>
  <c r="AEC5" i="7"/>
  <c r="KX7" i="7"/>
  <c r="MA7" i="7"/>
  <c r="ZO4" i="7"/>
  <c r="ZO20" i="7" s="1"/>
  <c r="ER7" i="7"/>
  <c r="UX6" i="7"/>
  <c r="WZ6" i="7"/>
  <c r="ER6" i="7"/>
  <c r="EJ6" i="7"/>
  <c r="BR6" i="7"/>
  <c r="TB5" i="7"/>
  <c r="TB21" i="7" s="1"/>
  <c r="ABL7" i="7"/>
  <c r="N7" i="7"/>
  <c r="YB6" i="7"/>
  <c r="HD6" i="7"/>
  <c r="FI6" i="7"/>
  <c r="CP6" i="7"/>
  <c r="VG5" i="7"/>
  <c r="VG21" i="7" s="1"/>
  <c r="OU5" i="7"/>
  <c r="ZW6" i="7"/>
  <c r="VY6" i="7"/>
  <c r="CU7" i="7"/>
  <c r="AHN8" i="7"/>
  <c r="DZ6" i="7"/>
  <c r="BN7" i="7"/>
  <c r="ZF7" i="7"/>
  <c r="AET5" i="7"/>
  <c r="IH7" i="7"/>
  <c r="YH8" i="7"/>
  <c r="AJT5" i="7"/>
  <c r="UD7" i="7"/>
  <c r="RO7" i="7"/>
  <c r="OG7" i="7"/>
  <c r="AJB5" i="7"/>
  <c r="UJ7" i="7"/>
  <c r="CH7" i="7"/>
  <c r="AY7" i="7"/>
  <c r="AHX6" i="7"/>
  <c r="CU6" i="7"/>
  <c r="UP5" i="7"/>
  <c r="AIX5" i="7"/>
  <c r="AIX21" i="7" s="1"/>
  <c r="ACO5" i="7"/>
  <c r="XB7" i="7"/>
  <c r="AET8" i="7"/>
  <c r="CL8" i="7"/>
  <c r="GU8" i="7"/>
  <c r="ALG7" i="7"/>
  <c r="ZM7" i="7"/>
  <c r="AGM7" i="7"/>
  <c r="NY9" i="7"/>
  <c r="AD9" i="7"/>
  <c r="AEW7" i="7"/>
  <c r="SA7" i="7"/>
  <c r="ADB8" i="7"/>
  <c r="PP7" i="7"/>
  <c r="NS7" i="7"/>
  <c r="Q9" i="7"/>
  <c r="RN8" i="7"/>
  <c r="AGH7" i="7"/>
  <c r="QY8" i="7"/>
  <c r="YW7" i="7"/>
  <c r="IZ8" i="7"/>
  <c r="AJP6" i="7"/>
  <c r="AHL7" i="7"/>
  <c r="RE8" i="7"/>
  <c r="OJ8" i="7"/>
  <c r="BY9" i="7"/>
  <c r="YX7" i="7"/>
  <c r="ZL8" i="7"/>
  <c r="KH9" i="7"/>
  <c r="AFM7" i="7"/>
  <c r="JK7" i="7"/>
  <c r="XU8" i="7"/>
  <c r="QG6" i="7"/>
  <c r="ZI7" i="7"/>
  <c r="AFQ7" i="7"/>
  <c r="YZ6" i="7"/>
  <c r="CM8" i="7"/>
  <c r="AIQ6" i="7"/>
  <c r="AJK7" i="7"/>
  <c r="IJ6" i="7"/>
  <c r="RM7" i="7"/>
  <c r="FE8" i="7"/>
  <c r="WJ7" i="7"/>
  <c r="YS8" i="7"/>
  <c r="JQ9" i="7"/>
  <c r="HE8" i="7"/>
  <c r="AKS8" i="7"/>
  <c r="XI6" i="7"/>
  <c r="NJ8" i="7"/>
  <c r="ALR7" i="7"/>
  <c r="AGO8" i="7"/>
  <c r="SB7" i="7"/>
  <c r="QE7" i="7"/>
  <c r="NF8" i="7"/>
  <c r="ZY7" i="7"/>
  <c r="MQ8" i="7"/>
  <c r="QN7" i="7"/>
  <c r="ER8" i="7"/>
  <c r="YL6" i="7"/>
  <c r="AFP7" i="7"/>
  <c r="IX7" i="7"/>
  <c r="TR8" i="7"/>
  <c r="AAH7" i="7"/>
  <c r="KM8" i="7"/>
  <c r="HH7" i="7"/>
  <c r="AKA7" i="7"/>
  <c r="RH8" i="7"/>
  <c r="IW7" i="7"/>
  <c r="AKV7" i="7"/>
  <c r="UP7" i="7"/>
  <c r="YX8" i="7"/>
  <c r="AFB7" i="7"/>
  <c r="NG8" i="7"/>
  <c r="MV7" i="7"/>
  <c r="AJ8" i="7"/>
  <c r="UO6" i="7"/>
  <c r="OK7" i="7"/>
  <c r="BE8" i="7"/>
  <c r="ADE7" i="7"/>
  <c r="AED8" i="7"/>
  <c r="AIL7" i="7"/>
  <c r="QA8" i="7"/>
  <c r="SJ7" i="7"/>
  <c r="DD8" i="7"/>
  <c r="ADS6" i="7"/>
  <c r="TY7" i="7"/>
  <c r="DY8" i="7"/>
  <c r="AX8" i="7"/>
  <c r="AGR6" i="7"/>
  <c r="BO8" i="7"/>
  <c r="ZZ6" i="7"/>
  <c r="ABA7" i="7"/>
  <c r="IJ8" i="7"/>
  <c r="ACM6" i="7"/>
  <c r="ABX7" i="7"/>
  <c r="JE8" i="7"/>
  <c r="AAW7" i="7"/>
  <c r="XQ8" i="7"/>
  <c r="GG9" i="7"/>
  <c r="ACZ7" i="7"/>
  <c r="YT8" i="7"/>
  <c r="HF9" i="7"/>
  <c r="PJ7" i="7"/>
  <c r="TW8" i="7"/>
  <c r="CI8" i="7"/>
  <c r="AFN8" i="7"/>
  <c r="EN7" i="7"/>
  <c r="ADH7" i="7"/>
  <c r="AFG7" i="7"/>
  <c r="IK9" i="7"/>
  <c r="ABF8" i="7"/>
  <c r="XZ7" i="7"/>
  <c r="GQ8" i="7"/>
  <c r="ND7" i="7"/>
  <c r="AKT7" i="7"/>
  <c r="JG9" i="7"/>
  <c r="AEV9" i="7"/>
  <c r="MC10" i="7"/>
  <c r="AFU10" i="7"/>
  <c r="NB11" i="7"/>
  <c r="ALO8" i="7"/>
  <c r="YK9" i="7"/>
  <c r="FR10" i="7"/>
  <c r="ZJ10" i="7"/>
  <c r="CO8" i="7"/>
  <c r="IZ5" i="7"/>
  <c r="HU6" i="7"/>
  <c r="GX6" i="7"/>
  <c r="ABC5" i="7"/>
  <c r="ZF6" i="7"/>
  <c r="MC7" i="7"/>
  <c r="YO4" i="7"/>
  <c r="YO20" i="7" s="1"/>
  <c r="AFH5" i="7"/>
  <c r="YS6" i="7"/>
  <c r="T6" i="7"/>
  <c r="AGO7" i="7"/>
  <c r="IB6" i="7"/>
  <c r="CW7" i="7"/>
  <c r="CD8" i="7"/>
  <c r="VO5" i="7"/>
  <c r="YR7" i="7"/>
  <c r="KE7" i="7"/>
  <c r="IZ6" i="7"/>
  <c r="XF6" i="7"/>
  <c r="GO6" i="7"/>
  <c r="SU7" i="7"/>
  <c r="YH7" i="7"/>
  <c r="EV7" i="7"/>
  <c r="JM8" i="7"/>
  <c r="KW8" i="7"/>
  <c r="RB8" i="7"/>
  <c r="BD9" i="7"/>
  <c r="UC8" i="7"/>
  <c r="AKL6" i="7"/>
  <c r="AN7" i="7"/>
  <c r="ZB6" i="7"/>
  <c r="HI8" i="7"/>
  <c r="ABE8" i="7"/>
  <c r="GO8" i="7"/>
  <c r="AKO6" i="7"/>
  <c r="DO8" i="7"/>
  <c r="ZU7" i="7"/>
  <c r="RV8" i="7"/>
  <c r="OU8" i="7"/>
  <c r="GV8" i="7"/>
  <c r="AFH7" i="7"/>
  <c r="KB8" i="7"/>
  <c r="QO7" i="7"/>
  <c r="ID9" i="7"/>
  <c r="KQ7" i="7"/>
  <c r="GR9" i="7"/>
  <c r="AAP7" i="7"/>
  <c r="AI8" i="7"/>
  <c r="AHG7" i="7"/>
  <c r="NE7" i="7"/>
  <c r="Z8" i="7"/>
  <c r="AQ8" i="7"/>
  <c r="ZZ7" i="7"/>
  <c r="ZP6" i="7"/>
  <c r="IG8" i="7"/>
  <c r="CY7" i="7"/>
  <c r="AFH6" i="7"/>
  <c r="KF8" i="7"/>
  <c r="ADT7" i="7"/>
  <c r="KL8" i="7"/>
  <c r="GE8" i="7"/>
  <c r="AFS7" i="7"/>
  <c r="AG7" i="7"/>
  <c r="KT7" i="7"/>
  <c r="ACH7" i="7"/>
  <c r="JD7" i="7"/>
  <c r="HH5" i="7"/>
  <c r="I8" i="7"/>
  <c r="IF8" i="7"/>
  <c r="AEW6" i="7"/>
  <c r="AJU8" i="7"/>
  <c r="BR8" i="7"/>
  <c r="UG8" i="7"/>
  <c r="AFR6" i="7"/>
  <c r="AAC8" i="7"/>
  <c r="JJ9" i="7"/>
  <c r="AHZ8" i="7"/>
  <c r="AEQ8" i="7"/>
  <c r="CG10" i="7"/>
  <c r="DF11" i="7"/>
  <c r="NV9" i="7"/>
  <c r="PN10" i="7"/>
  <c r="ZG8" i="7"/>
  <c r="TV9" i="7"/>
  <c r="DO10" i="7"/>
  <c r="ZS10" i="7"/>
  <c r="MW8" i="7"/>
  <c r="AHM8" i="7"/>
  <c r="XI8" i="7"/>
  <c r="ABU7" i="7"/>
  <c r="SW8" i="7"/>
  <c r="IO7" i="7"/>
  <c r="AAF8" i="7"/>
  <c r="VH9" i="7"/>
  <c r="FA10" i="7"/>
  <c r="ADQ10" i="7"/>
  <c r="NJ11" i="7"/>
  <c r="DQ9" i="7"/>
  <c r="ADQ9" i="7"/>
  <c r="NJ10" i="7"/>
  <c r="AJN10" i="7"/>
  <c r="AIS8" i="7"/>
  <c r="ABN9" i="7"/>
  <c r="LG10" i="7"/>
  <c r="AHK10" i="7"/>
  <c r="DW8" i="7"/>
  <c r="OG8" i="7"/>
  <c r="GJ8" i="7"/>
  <c r="JE7" i="7"/>
  <c r="LF9" i="7"/>
  <c r="NC7" i="7"/>
  <c r="HH9" i="7"/>
  <c r="PZ7" i="7"/>
  <c r="KC9" i="7"/>
  <c r="AHX9" i="7"/>
  <c r="RQ10" i="7"/>
  <c r="ALI10" i="7"/>
  <c r="DP8" i="7"/>
  <c r="IA9" i="7"/>
  <c r="ADY9" i="7"/>
  <c r="LF10" i="7"/>
  <c r="AEX10" i="7"/>
  <c r="VT8" i="7"/>
  <c r="OZ9" i="7"/>
  <c r="AJF9" i="7"/>
  <c r="QM10" i="7"/>
  <c r="AKE10" i="7"/>
  <c r="AJO7" i="7"/>
  <c r="KO9" i="7"/>
  <c r="ADR8" i="7"/>
  <c r="ADA7" i="7"/>
  <c r="KY8" i="7"/>
  <c r="VT7" i="7"/>
  <c r="DG8" i="7"/>
  <c r="KM9" i="7"/>
  <c r="AFT9" i="7"/>
  <c r="NA10" i="7"/>
  <c r="AGS10" i="7"/>
  <c r="RL8" i="7"/>
  <c r="LQ7" i="7"/>
  <c r="BZ9" i="7"/>
  <c r="KX8" i="7"/>
  <c r="ZO8" i="7"/>
  <c r="MG7" i="7"/>
  <c r="WV8" i="7"/>
  <c r="QZ9" i="7"/>
  <c r="AKZ9" i="7"/>
  <c r="SG10" i="7"/>
  <c r="PI8" i="7"/>
  <c r="AER8" i="7"/>
  <c r="CW8" i="7"/>
  <c r="NJ9" i="7"/>
  <c r="CA7" i="7"/>
  <c r="P9" i="7"/>
  <c r="HO7" i="7"/>
  <c r="AHL8" i="7"/>
  <c r="WN9" i="7"/>
  <c r="DU10" i="7"/>
  <c r="XM10" i="7"/>
  <c r="OZ7" i="7"/>
  <c r="CW9" i="7"/>
  <c r="UW8" i="7"/>
  <c r="BV7" i="7"/>
  <c r="AHZ7" i="7"/>
  <c r="ABD6" i="7"/>
  <c r="AEP7" i="7"/>
  <c r="EO9" i="7"/>
  <c r="ABT9" i="7"/>
  <c r="JA10" i="7"/>
  <c r="ACS10" i="7"/>
  <c r="LX8" i="7"/>
  <c r="AO7" i="7"/>
  <c r="ALQ8" i="7"/>
  <c r="FJ8" i="7"/>
  <c r="WJ8" i="7"/>
  <c r="BE7" i="7"/>
  <c r="SR8" i="7"/>
  <c r="PG9" i="7"/>
  <c r="AJL9" i="7"/>
  <c r="QS10" i="7"/>
  <c r="AKK10" i="7"/>
  <c r="X8" i="7"/>
  <c r="GN9" i="7"/>
  <c r="ADA9" i="7"/>
  <c r="KH10" i="7"/>
  <c r="ADZ10" i="7"/>
  <c r="TQ8" i="7"/>
  <c r="NW9" i="7"/>
  <c r="AIH9" i="7"/>
  <c r="PO10" i="7"/>
  <c r="AJG10" i="7"/>
  <c r="ML11" i="7"/>
  <c r="XU9" i="7"/>
  <c r="YT10" i="7"/>
  <c r="GQ9" i="7"/>
  <c r="KI10" i="7"/>
  <c r="OX8" i="7"/>
  <c r="AGC6" i="7"/>
  <c r="AAB8" i="7"/>
  <c r="RQ9" i="7"/>
  <c r="ALO9" i="7"/>
  <c r="SV10" i="7"/>
  <c r="QB9" i="7"/>
  <c r="RL10" i="7"/>
  <c r="JU11" i="7"/>
  <c r="AEA11" i="7"/>
  <c r="LH12" i="7"/>
  <c r="AEZ12" i="7"/>
  <c r="WR9" i="7"/>
  <c r="XQ10" i="7"/>
  <c r="NI11" i="7"/>
  <c r="JB11" i="7"/>
  <c r="UK9" i="7"/>
  <c r="VJ10" i="7"/>
  <c r="BF9" i="7"/>
  <c r="GY10" i="7"/>
  <c r="FB8" i="7"/>
  <c r="QN8" i="7"/>
  <c r="WE8" i="7"/>
  <c r="PE9" i="7"/>
  <c r="AJK9" i="7"/>
  <c r="QR10" i="7"/>
  <c r="KR9" i="7"/>
  <c r="ND10" i="7"/>
  <c r="HI11" i="7"/>
  <c r="ABW11" i="7"/>
  <c r="JD12" i="7"/>
  <c r="ACV12" i="7"/>
  <c r="SF9" i="7"/>
  <c r="TI10" i="7"/>
  <c r="KW11" i="7"/>
  <c r="EL11" i="7"/>
  <c r="PH9" i="7"/>
  <c r="QT10" i="7"/>
  <c r="AFY8" i="7"/>
  <c r="CI10" i="7"/>
  <c r="Z7" i="7"/>
  <c r="GR8" i="7"/>
  <c r="QT8" i="7"/>
  <c r="MN9" i="7"/>
  <c r="AHG9" i="7"/>
  <c r="ON10" i="7"/>
  <c r="EG9" i="7"/>
  <c r="IV10" i="7"/>
  <c r="EW11" i="7"/>
  <c r="ZS11" i="7"/>
  <c r="GZ12" i="7"/>
  <c r="AAR12" i="7"/>
  <c r="NE9" i="7"/>
  <c r="PA10" i="7"/>
  <c r="IK11" i="7"/>
  <c r="ACV11" i="7"/>
  <c r="JR11" i="7"/>
  <c r="VA9" i="7"/>
  <c r="VZ10" i="7"/>
  <c r="CE9" i="7"/>
  <c r="HO10" i="7"/>
  <c r="HN8" i="7"/>
  <c r="SO8" i="7"/>
  <c r="XG8" i="7"/>
  <c r="PX9" i="7"/>
  <c r="AKA9" i="7"/>
  <c r="RH10" i="7"/>
  <c r="IN8" i="7"/>
  <c r="AFE9" i="7"/>
  <c r="AGD10" i="7"/>
  <c r="QJ9" i="7"/>
  <c r="RS10" i="7"/>
  <c r="ACC7" i="7"/>
  <c r="DE8" i="7"/>
  <c r="AGW8" i="7"/>
  <c r="VO9" i="7"/>
  <c r="CV10" i="7"/>
  <c r="WN10" i="7"/>
  <c r="AJC8" i="7"/>
  <c r="ED10" i="7"/>
  <c r="AIV7" i="7"/>
  <c r="ACD9" i="7"/>
  <c r="ADC10" i="7"/>
  <c r="QE8" i="7"/>
  <c r="EX7" i="7"/>
  <c r="DA9" i="7"/>
  <c r="AAU9" i="7"/>
  <c r="IB10" i="7"/>
  <c r="BZ11" i="7"/>
  <c r="MF9" i="7"/>
  <c r="OH10" i="7"/>
  <c r="ABL8" i="7"/>
  <c r="W10" i="7"/>
  <c r="AV11" i="7"/>
  <c r="AN8" i="7"/>
  <c r="LV8" i="7"/>
  <c r="KV9" i="7"/>
  <c r="AGA9" i="7"/>
  <c r="NH10" i="7"/>
  <c r="AJW7" i="7"/>
  <c r="ACK9" i="7"/>
  <c r="ADJ10" i="7"/>
  <c r="NC9" i="7"/>
  <c r="OY10" i="7"/>
  <c r="VU8" i="7"/>
  <c r="AJL7" i="7"/>
  <c r="AEB8" i="7"/>
  <c r="UA9" i="7"/>
  <c r="BH10" i="7"/>
  <c r="UZ10" i="7"/>
  <c r="UU9" i="7"/>
  <c r="VT10" i="7"/>
  <c r="MG11" i="7"/>
  <c r="AGE11" i="7"/>
  <c r="NL12" i="7"/>
  <c r="AHD12" i="7"/>
  <c r="AAZ9" i="7"/>
  <c r="ABY10" i="7"/>
  <c r="PP11" i="7"/>
  <c r="UE9" i="7"/>
  <c r="LX11" i="7"/>
  <c r="ND12" i="7"/>
  <c r="AAJ9" i="7"/>
  <c r="PH11" i="7"/>
  <c r="EO12" i="7"/>
  <c r="YG12" i="7"/>
  <c r="ADM9" i="7"/>
  <c r="AEB10" i="7"/>
  <c r="QW11" i="7"/>
  <c r="AKO11" i="7"/>
  <c r="RV12" i="7"/>
  <c r="UX9" i="7"/>
  <c r="ZK9" i="7"/>
  <c r="ADT9" i="7"/>
  <c r="ACV8" i="7"/>
  <c r="AQ10" i="7"/>
  <c r="I11" i="7"/>
  <c r="VR11" i="7"/>
  <c r="CY12" i="7"/>
  <c r="GW11" i="7"/>
  <c r="IQ12" i="7"/>
  <c r="AKC12" i="7"/>
  <c r="AHC9" i="7"/>
  <c r="SQ11" i="7"/>
  <c r="TP12" i="7"/>
  <c r="XE7" i="7"/>
  <c r="LT6" i="7"/>
  <c r="ON6" i="7"/>
  <c r="AHY5" i="7"/>
  <c r="ACP6" i="7"/>
  <c r="OO7" i="7"/>
  <c r="QH5" i="7"/>
  <c r="IX5" i="7"/>
  <c r="ACR6" i="7"/>
  <c r="IL6" i="7"/>
  <c r="AJA7" i="7"/>
  <c r="BT5" i="7"/>
  <c r="HU7" i="7"/>
  <c r="EP8" i="7"/>
  <c r="FX6" i="7"/>
  <c r="NN5" i="7"/>
  <c r="PC7" i="7"/>
  <c r="FS5" i="7"/>
  <c r="AEV6" i="7"/>
  <c r="ACF6" i="7"/>
  <c r="VW7" i="7"/>
  <c r="ABI7" i="7"/>
  <c r="JT7" i="7"/>
  <c r="LY8" i="7"/>
  <c r="PU8" i="7"/>
  <c r="UF8" i="7"/>
  <c r="GB9" i="7"/>
  <c r="ZA8" i="7"/>
  <c r="HW7" i="7"/>
  <c r="FL7" i="7"/>
  <c r="AGB6" i="7"/>
  <c r="JU8" i="7"/>
  <c r="ADZ8" i="7"/>
  <c r="QK8" i="7"/>
  <c r="HZ7" i="7"/>
  <c r="IM8" i="7"/>
  <c r="AFK5" i="7"/>
  <c r="WT8" i="7"/>
  <c r="RG8" i="7"/>
  <c r="JH8" i="7"/>
  <c r="AKF7" i="7"/>
  <c r="OZ8" i="7"/>
  <c r="ZR7" i="7"/>
  <c r="KP9" i="7"/>
  <c r="UM7" i="7"/>
  <c r="VD6" i="7"/>
  <c r="AFY7" i="7"/>
  <c r="FG8" i="7"/>
  <c r="AJS7" i="7"/>
  <c r="SC7" i="7"/>
  <c r="EX8" i="7"/>
  <c r="DC8" i="7"/>
  <c r="ACQ7" i="7"/>
  <c r="AGK6" i="7"/>
  <c r="UC6" i="7"/>
  <c r="MU7" i="7"/>
  <c r="AKM6" i="7"/>
  <c r="MR8" i="7"/>
  <c r="AGF7" i="7"/>
  <c r="PJ8" i="7"/>
  <c r="IQ8" i="7"/>
  <c r="AIE7" i="7"/>
  <c r="FE7" i="7"/>
  <c r="WL7" i="7"/>
  <c r="AFR7" i="7"/>
  <c r="OB7" i="7"/>
  <c r="WW6" i="7"/>
  <c r="BU8" i="7"/>
  <c r="ND8" i="7"/>
  <c r="DA7" i="7"/>
  <c r="V9" i="7"/>
  <c r="GP8" i="7"/>
  <c r="XC8" i="7"/>
  <c r="DQ7" i="7"/>
  <c r="AFT8" i="7"/>
  <c r="OH9" i="7"/>
  <c r="AN9" i="7"/>
  <c r="AJP8" i="7"/>
  <c r="ES10" i="7"/>
  <c r="FR11" i="7"/>
  <c r="QR9" i="7"/>
  <c r="RZ10" i="7"/>
  <c r="ADS8" i="7"/>
  <c r="WH9" i="7"/>
  <c r="GA10" i="7"/>
  <c r="ACE10" i="7"/>
  <c r="RU8" i="7"/>
  <c r="FA9" i="7"/>
  <c r="ACZ8" i="7"/>
  <c r="ALQ7" i="7"/>
  <c r="YM8" i="7"/>
  <c r="AAS7" i="7"/>
  <c r="AFG8" i="7"/>
  <c r="XT9" i="7"/>
  <c r="JY10" i="7"/>
  <c r="AGC10" i="7"/>
  <c r="AEY7" i="7"/>
  <c r="HO9" i="7"/>
  <c r="AGC9" i="7"/>
  <c r="PV10" i="7"/>
  <c r="O11" i="7"/>
  <c r="EE9" i="7"/>
  <c r="ADZ9" i="7"/>
  <c r="NS10" i="7"/>
  <c r="AJW10" i="7"/>
  <c r="NS8" i="7"/>
  <c r="VK8" i="7"/>
  <c r="QF8" i="7"/>
  <c r="AKZ7" i="7"/>
  <c r="QD9" i="7"/>
  <c r="ADB7" i="7"/>
  <c r="AV7" i="7"/>
  <c r="AU8" i="7"/>
  <c r="NK9" i="7"/>
  <c r="AKJ9" i="7"/>
  <c r="UC10" i="7"/>
  <c r="BJ11" i="7"/>
  <c r="NL8" i="7"/>
  <c r="LJ9" i="7"/>
  <c r="AGK9" i="7"/>
  <c r="NR10" i="7"/>
  <c r="AHJ10" i="7"/>
  <c r="AAI8" i="7"/>
  <c r="RU9" i="7"/>
  <c r="ALR9" i="7"/>
  <c r="SY10" i="7"/>
  <c r="AF11" i="7"/>
  <c r="GZ8" i="7"/>
  <c r="AAB6" i="7"/>
  <c r="AJE8" i="7"/>
  <c r="AL8" i="7"/>
  <c r="TO8" i="7"/>
  <c r="ABL6" i="7"/>
  <c r="OI8" i="7"/>
  <c r="NU9" i="7"/>
  <c r="AIF9" i="7"/>
  <c r="PM10" i="7"/>
  <c r="IW8" i="7"/>
  <c r="XH8" i="7"/>
  <c r="ACJ7" i="7"/>
  <c r="GX9" i="7"/>
  <c r="TN8" i="7"/>
  <c r="AFE8" i="7"/>
  <c r="ACR7" i="7"/>
  <c r="ABV8" i="7"/>
  <c r="TT9" i="7"/>
  <c r="BA10" i="7"/>
  <c r="US10" i="7"/>
  <c r="AGJ6" i="7"/>
  <c r="AKB8" i="7"/>
  <c r="MS8" i="7"/>
  <c r="SH9" i="7"/>
  <c r="VS7" i="7"/>
  <c r="EN9" i="7"/>
  <c r="WI7" i="7"/>
  <c r="AB9" i="7"/>
  <c r="YZ9" i="7"/>
  <c r="GG10" i="7"/>
  <c r="ZY10" i="7"/>
  <c r="AEA7" i="7"/>
  <c r="HU9" i="7"/>
  <c r="AAN8" i="7"/>
  <c r="VN7" i="7"/>
  <c r="FK8" i="7"/>
  <c r="KR7" i="7"/>
  <c r="AIH7" i="7"/>
  <c r="IM9" i="7"/>
  <c r="AEF9" i="7"/>
  <c r="LM10" i="7"/>
  <c r="AFE10" i="7"/>
  <c r="UD8" i="7"/>
  <c r="UG7" i="7"/>
  <c r="ED9" i="7"/>
  <c r="PF8" i="7"/>
  <c r="ACA8" i="7"/>
  <c r="UW7" i="7"/>
  <c r="YN8" i="7"/>
  <c r="SB9" i="7"/>
  <c r="M10" i="7"/>
  <c r="TE10" i="7"/>
  <c r="AL11" i="7"/>
  <c r="JT8" i="7"/>
  <c r="KD9" i="7"/>
  <c r="AFM9" i="7"/>
  <c r="MT10" i="7"/>
  <c r="AGL10" i="7"/>
  <c r="YQ8" i="7"/>
  <c r="QS9" i="7"/>
  <c r="AKT9" i="7"/>
  <c r="SA10" i="7"/>
  <c r="H11" i="7"/>
  <c r="ALC7" i="7"/>
  <c r="ACS9" i="7"/>
  <c r="ADR10" i="7"/>
  <c r="NM9" i="7"/>
  <c r="PG10" i="7"/>
  <c r="ABM6" i="7"/>
  <c r="AKR7" i="7"/>
  <c r="AEP8" i="7"/>
  <c r="UI9" i="7"/>
  <c r="BP10" i="7"/>
  <c r="VH10" i="7"/>
  <c r="VK9" i="7"/>
  <c r="WJ10" i="7"/>
  <c r="MP11" i="7"/>
  <c r="AGM11" i="7"/>
  <c r="NT12" i="7"/>
  <c r="AHL12" i="7"/>
  <c r="ABP9" i="7"/>
  <c r="ACN10" i="7"/>
  <c r="PX11" i="7"/>
  <c r="NZ11" i="7"/>
  <c r="ZI9" i="7"/>
  <c r="AAH10" i="7"/>
  <c r="IY9" i="7"/>
  <c r="LW10" i="7"/>
  <c r="QD8" i="7"/>
  <c r="DR7" i="7"/>
  <c r="AAR8" i="7"/>
  <c r="SA9" i="7"/>
  <c r="L10" i="7"/>
  <c r="TD10" i="7"/>
  <c r="QU9" i="7"/>
  <c r="SB10" i="7"/>
  <c r="KD11" i="7"/>
  <c r="AEI11" i="7"/>
  <c r="LP12" i="7"/>
  <c r="AFH12" i="7"/>
  <c r="XH9" i="7"/>
  <c r="YG10" i="7"/>
  <c r="NS11" i="7"/>
  <c r="JJ11" i="7"/>
  <c r="US9" i="7"/>
  <c r="VR10" i="7"/>
  <c r="BS9" i="7"/>
  <c r="HG10" i="7"/>
  <c r="GH8" i="7"/>
  <c r="RT8" i="7"/>
  <c r="WU8" i="7"/>
  <c r="PO9" i="7"/>
  <c r="AJS9" i="7"/>
  <c r="QZ10" i="7"/>
  <c r="LL9" i="7"/>
  <c r="NT10" i="7"/>
  <c r="HR11" i="7"/>
  <c r="ACE11" i="7"/>
  <c r="JL12" i="7"/>
  <c r="ADD12" i="7"/>
  <c r="SY9" i="7"/>
  <c r="TY10" i="7"/>
  <c r="LG11" i="7"/>
  <c r="AFH11" i="7"/>
  <c r="AJY6" i="7"/>
  <c r="ZY9" i="7"/>
  <c r="AAX10" i="7"/>
  <c r="JU9" i="7"/>
  <c r="MM10" i="7"/>
  <c r="SH8" i="7"/>
  <c r="XJ7" i="7"/>
  <c r="ABU8" i="7"/>
  <c r="SS9" i="7"/>
  <c r="AB10" i="7"/>
  <c r="TT10" i="7"/>
  <c r="XM8" i="7"/>
  <c r="AKC9" i="7"/>
  <c r="ALB10" i="7"/>
  <c r="VR9" i="7"/>
  <c r="WQ10" i="7"/>
  <c r="CQ8" i="7"/>
  <c r="PM8" i="7"/>
  <c r="AKY8" i="7"/>
  <c r="YA9" i="7"/>
  <c r="FH10" i="7"/>
  <c r="AJE10" i="7"/>
  <c r="EP9" i="7"/>
  <c r="JB10" i="7"/>
  <c r="QC8" i="7"/>
  <c r="AHB9" i="7"/>
  <c r="AIA10" i="7"/>
  <c r="CL7" i="7"/>
  <c r="N8" i="7"/>
  <c r="GY9" i="7"/>
  <c r="ADG9" i="7"/>
  <c r="KN10" i="7"/>
  <c r="GX11" i="7"/>
  <c r="SC9" i="7"/>
  <c r="TF10" i="7"/>
  <c r="AKF8" i="7"/>
  <c r="EU10" i="7"/>
  <c r="LZ7" i="7"/>
  <c r="WN6" i="7"/>
  <c r="MZ6" i="7"/>
  <c r="ZP4" i="7"/>
  <c r="ZP20" i="7" s="1"/>
  <c r="SP6" i="7"/>
  <c r="RH6" i="7"/>
  <c r="ADV5" i="7"/>
  <c r="OC6" i="7"/>
  <c r="ADG5" i="7"/>
  <c r="MJ7" i="7"/>
  <c r="ST8" i="7"/>
  <c r="QY7" i="7"/>
  <c r="AD7" i="7"/>
  <c r="TJ8" i="7"/>
  <c r="FJ7" i="7"/>
  <c r="EK7" i="7"/>
  <c r="KN7" i="7"/>
  <c r="ACQ6" i="7"/>
  <c r="WH7" i="7"/>
  <c r="PM7" i="7"/>
  <c r="LJ7" i="7"/>
  <c r="ZE7" i="7"/>
  <c r="AGI7" i="7"/>
  <c r="TX7" i="7"/>
  <c r="AHO8" i="7"/>
  <c r="UY6" i="7"/>
  <c r="AII6" i="7"/>
  <c r="ADO8" i="7"/>
  <c r="RC7" i="7"/>
  <c r="PH7" i="7"/>
  <c r="WG6" i="7"/>
  <c r="MG8" i="7"/>
  <c r="AGU8" i="7"/>
  <c r="TV8" i="7"/>
  <c r="RV7" i="7"/>
  <c r="NK8" i="7"/>
  <c r="GC7" i="7"/>
  <c r="ABR8" i="7"/>
  <c r="UN6" i="7"/>
  <c r="LT8" i="7"/>
  <c r="AG8" i="7"/>
  <c r="TC8" i="7"/>
  <c r="AEV7" i="7"/>
  <c r="PN9" i="7"/>
  <c r="ABV7" i="7"/>
  <c r="AKU6" i="7"/>
  <c r="AKW7" i="7"/>
  <c r="HS8" i="7"/>
  <c r="T8" i="7"/>
  <c r="XA7" i="7"/>
  <c r="JV8" i="7"/>
  <c r="FO8" i="7"/>
  <c r="AFC7" i="7"/>
  <c r="ALL6" i="7"/>
  <c r="AKW6" i="7"/>
  <c r="VK7" i="7"/>
  <c r="CZ7" i="7"/>
  <c r="PD8" i="7"/>
  <c r="AIR7" i="7"/>
  <c r="UH8" i="7"/>
  <c r="LC8" i="7"/>
  <c r="AKQ7" i="7"/>
  <c r="KC7" i="7"/>
  <c r="ADM7" i="7"/>
  <c r="AIT7" i="7"/>
  <c r="SZ7" i="7"/>
  <c r="AEO6" i="7"/>
  <c r="EG8" i="7"/>
  <c r="SA8" i="7"/>
  <c r="MW7" i="7"/>
  <c r="CH9" i="7"/>
  <c r="LN8" i="7"/>
  <c r="ZX8" i="7"/>
  <c r="NM7" i="7"/>
  <c r="AKZ8" i="7"/>
  <c r="TF9" i="7"/>
  <c r="FL9" i="7"/>
  <c r="BO9" i="7"/>
  <c r="HE10" i="7"/>
  <c r="ID11" i="7"/>
  <c r="TM9" i="7"/>
  <c r="UL10" i="7"/>
  <c r="AIE8" i="7"/>
  <c r="YT9" i="7"/>
  <c r="IM10" i="7"/>
  <c r="AEQ10" i="7"/>
  <c r="XP7" i="7"/>
  <c r="JY9" i="7"/>
  <c r="AIO8" i="7"/>
  <c r="JB8" i="7"/>
  <c r="AEC8" i="7"/>
  <c r="AKD6" i="7"/>
  <c r="AKA8" i="7"/>
  <c r="ACR9" i="7"/>
  <c r="MK10" i="7"/>
  <c r="AIO10" i="7"/>
  <c r="CJ8" i="7"/>
  <c r="KZ9" i="7"/>
  <c r="AIO9" i="7"/>
  <c r="SH10" i="7"/>
  <c r="AGJ7" i="7"/>
  <c r="IB9" i="7"/>
  <c r="AGL9" i="7"/>
  <c r="QE10" i="7"/>
  <c r="X11" i="7"/>
  <c r="VD8" i="7"/>
  <c r="AHA7" i="7"/>
  <c r="ACF8" i="7"/>
  <c r="IK8" i="7"/>
  <c r="ACZ6" i="7"/>
  <c r="AM8" i="7"/>
  <c r="UN7" i="7"/>
  <c r="NC8" i="7"/>
  <c r="QH9" i="7"/>
  <c r="CW10" i="7"/>
  <c r="WO10" i="7"/>
  <c r="DV11" i="7"/>
  <c r="VA8" i="7"/>
  <c r="OO9" i="7"/>
  <c r="AIW9" i="7"/>
  <c r="QD10" i="7"/>
  <c r="AJV10" i="7"/>
  <c r="AEW8" i="7"/>
  <c r="UL9" i="7"/>
  <c r="BS10" i="7"/>
  <c r="VK10" i="7"/>
  <c r="CR11" i="7"/>
  <c r="QV8" i="7"/>
  <c r="KK7" i="7"/>
  <c r="BR9" i="7"/>
  <c r="KH8" i="7"/>
  <c r="ZE8" i="7"/>
  <c r="LA7" i="7"/>
  <c r="WF8" i="7"/>
  <c r="QQ9" i="7"/>
  <c r="AKR9" i="7"/>
  <c r="RY10" i="7"/>
  <c r="NU8" i="7"/>
  <c r="ACY8" i="7"/>
  <c r="U8" i="7"/>
  <c r="LV9" i="7"/>
  <c r="AIH6" i="7"/>
  <c r="AKM8" i="7"/>
  <c r="BK7" i="7"/>
  <c r="AGZ8" i="7"/>
  <c r="WF9" i="7"/>
  <c r="DM10" i="7"/>
  <c r="XE10" i="7"/>
  <c r="NT7" i="7"/>
  <c r="CO9" i="7"/>
  <c r="UN8" i="7"/>
  <c r="AP7" i="7"/>
  <c r="AHJ7" i="7"/>
  <c r="YJ6" i="7"/>
  <c r="ADZ7" i="7"/>
  <c r="EA9" i="7"/>
  <c r="ABL9" i="7"/>
  <c r="IS10" i="7"/>
  <c r="ACK10" i="7"/>
  <c r="BL8" i="7"/>
  <c r="MS9" i="7"/>
  <c r="AGD8" i="7"/>
  <c r="AHI7" i="7"/>
  <c r="PG8" i="7"/>
  <c r="ABW7" i="7"/>
  <c r="GY8" i="7"/>
  <c r="LS9" i="7"/>
  <c r="AGR9" i="7"/>
  <c r="NY10" i="7"/>
  <c r="LA8" i="7"/>
  <c r="ZT8" i="7"/>
  <c r="AGR7" i="7"/>
  <c r="JB9" i="7"/>
  <c r="VZ8" i="7"/>
  <c r="AHQ8" i="7"/>
  <c r="ZK6" i="7"/>
  <c r="AEE8" i="7"/>
  <c r="UR9" i="7"/>
  <c r="BY10" i="7"/>
  <c r="VQ10" i="7"/>
  <c r="CX11" i="7"/>
  <c r="SX8" i="7"/>
  <c r="NL9" i="7"/>
  <c r="AHY9" i="7"/>
  <c r="PF10" i="7"/>
  <c r="AIX10" i="7"/>
  <c r="ADD8" i="7"/>
  <c r="TN9" i="7"/>
  <c r="AU10" i="7"/>
  <c r="UM10" i="7"/>
  <c r="BT11" i="7"/>
  <c r="SF8" i="7"/>
  <c r="AHQ9" i="7"/>
  <c r="AIP10" i="7"/>
  <c r="TE9" i="7"/>
  <c r="UE10" i="7"/>
  <c r="AKD7" i="7"/>
  <c r="JI8" i="7"/>
  <c r="AJA8" i="7"/>
  <c r="WU9" i="7"/>
  <c r="EB10" i="7"/>
  <c r="XT10" i="7"/>
  <c r="AAI9" i="7"/>
  <c r="ABH10" i="7"/>
  <c r="PG11" i="7"/>
  <c r="AIY11" i="7"/>
  <c r="QF12" i="7"/>
  <c r="AJX12" i="7"/>
  <c r="AGN9" i="7"/>
  <c r="AGJ10" i="7"/>
  <c r="SJ11" i="7"/>
  <c r="EV8" i="7"/>
  <c r="AEG9" i="7"/>
  <c r="AFF10" i="7"/>
  <c r="PI9" i="7"/>
  <c r="QU10" i="7"/>
  <c r="BF7" i="7"/>
  <c r="M8" i="7"/>
  <c r="AFF8" i="7"/>
  <c r="UQ9" i="7"/>
  <c r="BX10" i="7"/>
  <c r="VP10" i="7"/>
  <c r="WA9" i="7"/>
  <c r="WZ10" i="7"/>
  <c r="MY11" i="7"/>
  <c r="AGU11" i="7"/>
  <c r="OB12" i="7"/>
  <c r="AHT12" i="7"/>
  <c r="ACF9" i="7"/>
  <c r="ACY10" i="7"/>
  <c r="QF11" i="7"/>
  <c r="RQ6" i="7"/>
  <c r="ZQ9" i="7"/>
  <c r="AAP10" i="7"/>
  <c r="JK9" i="7"/>
  <c r="ME10" i="7"/>
  <c r="RJ8" i="7"/>
  <c r="NN7" i="7"/>
  <c r="ABG8" i="7"/>
  <c r="SJ9" i="7"/>
  <c r="T10" i="7"/>
  <c r="TL10" i="7"/>
  <c r="RM9" i="7"/>
  <c r="SR10" i="7"/>
  <c r="KM11" i="7"/>
  <c r="AEQ11" i="7"/>
  <c r="LX12" i="7"/>
  <c r="AFP12" i="7"/>
  <c r="XX9" i="7"/>
  <c r="YW10" i="7"/>
  <c r="OB11" i="7"/>
  <c r="AHT11" i="7"/>
  <c r="HH8" i="7"/>
  <c r="AEW9" i="7"/>
  <c r="AFV10" i="7"/>
  <c r="QA9" i="7"/>
  <c r="RK10" i="7"/>
  <c r="UX7" i="7"/>
  <c r="BY8" i="7"/>
  <c r="AGI8" i="7"/>
  <c r="VG9" i="7"/>
  <c r="CN10" i="7"/>
  <c r="WF10" i="7"/>
  <c r="AGK8" i="7"/>
  <c r="CP10" i="7"/>
  <c r="SL7" i="7"/>
  <c r="AAP9" i="7"/>
  <c r="ABO10" i="7"/>
  <c r="OY8" i="7"/>
  <c r="AHM6" i="7"/>
  <c r="CM9" i="7"/>
  <c r="AAM9" i="7"/>
  <c r="HT10" i="7"/>
  <c r="BR11" i="7"/>
  <c r="LT9" i="7"/>
  <c r="NZ10" i="7"/>
  <c r="AAX8" i="7"/>
  <c r="O10" i="7"/>
  <c r="AN11" i="7"/>
  <c r="H8" i="7"/>
  <c r="KP8" i="7"/>
  <c r="KL9" i="7"/>
  <c r="AFS9" i="7"/>
  <c r="MZ10" i="7"/>
  <c r="LV11" i="7"/>
  <c r="XE9" i="7"/>
  <c r="YD10" i="7"/>
  <c r="FP9" i="7"/>
  <c r="JS10" i="7"/>
  <c r="NM5" i="7"/>
  <c r="CF7" i="7"/>
  <c r="SK6" i="7"/>
  <c r="M6" i="7"/>
  <c r="IP5" i="7"/>
  <c r="AJM6" i="7"/>
  <c r="AKO5" i="7"/>
  <c r="AKC5" i="7"/>
  <c r="BV5" i="7"/>
  <c r="KN6" i="7"/>
  <c r="AFB8" i="7"/>
  <c r="AIK6" i="7"/>
  <c r="YT7" i="7"/>
  <c r="VV8" i="7"/>
  <c r="PF7" i="7"/>
  <c r="JI7" i="7"/>
  <c r="PL7" i="7"/>
  <c r="AIL6" i="7"/>
  <c r="OR5" i="7"/>
  <c r="UK7" i="7"/>
  <c r="RN7" i="7"/>
  <c r="AJY7" i="7"/>
  <c r="AIU7" i="7"/>
  <c r="ABO7" i="7"/>
  <c r="AKC8" i="7"/>
  <c r="IL7" i="7"/>
  <c r="AGP6" i="7"/>
  <c r="MN6" i="7"/>
  <c r="PP5" i="7"/>
  <c r="XQ6" i="7"/>
  <c r="FR5" i="7"/>
  <c r="ADA5" i="7"/>
  <c r="ZV6" i="7"/>
  <c r="GT6" i="7"/>
  <c r="NZ7" i="7"/>
  <c r="IB7" i="7"/>
  <c r="QP8" i="7"/>
  <c r="IQ7" i="7"/>
  <c r="GQ7" i="7"/>
  <c r="KQ5" i="7"/>
  <c r="GP7" i="7"/>
  <c r="JY7" i="7"/>
  <c r="FX7" i="7"/>
  <c r="UT6" i="7"/>
  <c r="WP7" i="7"/>
  <c r="IP8" i="7"/>
  <c r="HG7" i="7"/>
  <c r="XZ6" i="7"/>
  <c r="ADQ8" i="7"/>
  <c r="RJ9" i="7"/>
  <c r="JO7" i="7"/>
  <c r="AJD6" i="7"/>
  <c r="LB5" i="7"/>
  <c r="WY6" i="7"/>
  <c r="ABT6" i="7"/>
  <c r="ZP5" i="7"/>
  <c r="AJJ5" i="7"/>
  <c r="AED6" i="7"/>
  <c r="NO6" i="7"/>
  <c r="SX7" i="7"/>
  <c r="MZ7" i="7"/>
  <c r="TB8" i="7"/>
  <c r="NO7" i="7"/>
  <c r="LO7" i="7"/>
  <c r="AY6" i="7"/>
  <c r="QL7" i="7"/>
  <c r="OW7" i="7"/>
  <c r="KV7" i="7"/>
  <c r="ADA6" i="7"/>
  <c r="RD5" i="7"/>
  <c r="LB8" i="7"/>
  <c r="QM7" i="7"/>
  <c r="VE6" i="7"/>
  <c r="AGL8" i="7"/>
  <c r="KH6" i="7"/>
  <c r="AFC5" i="7"/>
  <c r="XU7" i="7"/>
  <c r="ABS5" i="7"/>
  <c r="NE6" i="7"/>
  <c r="MR7" i="7"/>
  <c r="AJL4" i="7"/>
  <c r="AJL20" i="7" s="1"/>
  <c r="AGA4" i="7"/>
  <c r="AGA20" i="7" s="1"/>
  <c r="TI6" i="7"/>
  <c r="EI6" i="7"/>
  <c r="ABC4" i="7"/>
  <c r="ABC20" i="7" s="1"/>
  <c r="CO7" i="7"/>
  <c r="AIP6" i="7"/>
  <c r="AJA6" i="7"/>
  <c r="XL7" i="7"/>
  <c r="IY7" i="7"/>
  <c r="XR5" i="7"/>
  <c r="AEJ6" i="7"/>
  <c r="FP6" i="7"/>
  <c r="SM7" i="7"/>
  <c r="BQ6" i="7"/>
  <c r="ZV8" i="7"/>
  <c r="BW8" i="7"/>
  <c r="LI7" i="7"/>
  <c r="JA9" i="7"/>
  <c r="GT7" i="7"/>
  <c r="ABZ6" i="7"/>
  <c r="PX6" i="7"/>
  <c r="AHE5" i="7"/>
  <c r="AJC5" i="7"/>
  <c r="YZ7" i="7"/>
  <c r="TN6" i="7"/>
  <c r="AS6" i="7"/>
  <c r="LL5" i="7"/>
  <c r="XE6" i="7"/>
  <c r="AKH6" i="7"/>
  <c r="QY5" i="7"/>
  <c r="UU7" i="7"/>
  <c r="CT7" i="7"/>
  <c r="AJV4" i="7"/>
  <c r="AJV20" i="7" s="1"/>
  <c r="NW7" i="7"/>
  <c r="HB6" i="7"/>
  <c r="AJU6" i="7"/>
  <c r="ABU6" i="7"/>
  <c r="VG7" i="7"/>
  <c r="QS6" i="7"/>
  <c r="ACH8" i="7"/>
  <c r="EI8" i="7"/>
  <c r="QG7" i="7"/>
  <c r="LM9" i="7"/>
  <c r="QP7" i="7"/>
  <c r="XL8" i="7"/>
  <c r="DW7" i="7"/>
  <c r="MP8" i="7"/>
  <c r="OM8" i="7"/>
  <c r="GN8" i="7"/>
  <c r="AEZ7" i="7"/>
  <c r="EN8" i="7"/>
  <c r="PI7" i="7"/>
  <c r="HV9" i="7"/>
  <c r="O7" i="7"/>
  <c r="GJ9" i="7"/>
  <c r="AAG7" i="7"/>
  <c r="AA8" i="7"/>
  <c r="AEM7" i="7"/>
  <c r="MO7" i="7"/>
  <c r="MN7" i="7"/>
  <c r="HE9" i="7"/>
  <c r="AIG8" i="7"/>
  <c r="IL8" i="7"/>
  <c r="ADT8" i="7"/>
  <c r="AIX6" i="7"/>
  <c r="SI7" i="7"/>
  <c r="LP7" i="7"/>
  <c r="AGV5" i="7"/>
  <c r="AKG6" i="7"/>
  <c r="SY7" i="7"/>
  <c r="CJ7" i="7"/>
  <c r="OV8" i="7"/>
  <c r="AIJ7" i="7"/>
  <c r="TZ8" i="7"/>
  <c r="KU8" i="7"/>
  <c r="AKI7" i="7"/>
  <c r="JM7" i="7"/>
  <c r="VF7" i="7"/>
  <c r="AFJ7" i="7"/>
  <c r="NL7" i="7"/>
  <c r="VQ6" i="7"/>
  <c r="BM8" i="7"/>
  <c r="GL6" i="7"/>
  <c r="HK6" i="7"/>
  <c r="FX8" i="7"/>
  <c r="ZD7" i="7"/>
  <c r="SR7" i="7"/>
  <c r="DU9" i="7"/>
  <c r="VY8" i="7"/>
  <c r="FN7" i="7"/>
  <c r="AJV7" i="7"/>
  <c r="AHB6" i="7"/>
  <c r="RL7" i="7"/>
  <c r="VP8" i="7"/>
  <c r="AJF7" i="7"/>
  <c r="AIS6" i="7"/>
  <c r="ACJ9" i="7"/>
  <c r="ADI10" i="7"/>
  <c r="AHP8" i="7"/>
  <c r="DF10" i="7"/>
  <c r="AFD7" i="7"/>
  <c r="RC9" i="7"/>
  <c r="BC10" i="7"/>
  <c r="XG10" i="7"/>
  <c r="CP8" i="7"/>
  <c r="ABW8" i="7"/>
  <c r="HU8" i="7"/>
  <c r="KL7" i="7"/>
  <c r="JS8" i="7"/>
  <c r="VV6" i="7"/>
  <c r="UU8" i="7"/>
  <c r="ST9" i="7"/>
  <c r="CO10" i="7"/>
  <c r="YS10" i="7"/>
  <c r="KX11" i="7"/>
  <c r="R9" i="7"/>
  <c r="ABE9" i="7"/>
  <c r="KX10" i="7"/>
  <c r="AHB10" i="7"/>
  <c r="AEG8" i="7"/>
  <c r="WP9" i="7"/>
  <c r="IU10" i="7"/>
  <c r="AEY10" i="7"/>
  <c r="AGL7" i="7"/>
  <c r="EK8" i="7"/>
  <c r="AIY7" i="7"/>
  <c r="XH6" i="7"/>
  <c r="BJ9" i="7"/>
  <c r="AFK6" i="7"/>
  <c r="CJ9" i="7"/>
  <c r="ABN7" i="7"/>
  <c r="GM9" i="7"/>
  <c r="AFL9" i="7"/>
  <c r="PE10" i="7"/>
  <c r="AIW10" i="7"/>
  <c r="AGE7" i="7"/>
  <c r="EB9" i="7"/>
  <c r="ABM9" i="7"/>
  <c r="IT10" i="7"/>
  <c r="ACL10" i="7"/>
  <c r="OW8" i="7"/>
  <c r="LW9" i="7"/>
  <c r="AGT9" i="7"/>
  <c r="OA10" i="7"/>
  <c r="AHS10" i="7"/>
  <c r="ZL7" i="7"/>
  <c r="FQ9" i="7"/>
  <c r="YB8" i="7"/>
  <c r="MX7" i="7"/>
  <c r="BC8" i="7"/>
  <c r="CB7" i="7"/>
  <c r="ZJ7" i="7"/>
  <c r="HA9" i="7"/>
  <c r="ADH9" i="7"/>
  <c r="KO10" i="7"/>
  <c r="AEG10" i="7"/>
  <c r="HP8" i="7"/>
  <c r="ACL6" i="7"/>
  <c r="AJM8" i="7"/>
  <c r="BB8" i="7"/>
  <c r="TX8" i="7"/>
  <c r="ADT6" i="7"/>
  <c r="PO8" i="7"/>
  <c r="OE9" i="7"/>
  <c r="AIN9" i="7"/>
  <c r="PU10" i="7"/>
  <c r="KK8" i="7"/>
  <c r="ZB8" i="7"/>
  <c r="AFL7" i="7"/>
  <c r="IL9" i="7"/>
  <c r="VH8" i="7"/>
  <c r="AGY8" i="7"/>
  <c r="TM6" i="7"/>
  <c r="ACL8" i="7"/>
  <c r="UB9" i="7"/>
  <c r="BI10" i="7"/>
  <c r="VA10" i="7"/>
  <c r="AHS6" i="7"/>
  <c r="AKJ8" i="7"/>
  <c r="NI8" i="7"/>
  <c r="SP9" i="7"/>
  <c r="WY7" i="7"/>
  <c r="EV9" i="7"/>
  <c r="YO7" i="7"/>
  <c r="AP9" i="7"/>
  <c r="ZH9" i="7"/>
  <c r="GO10" i="7"/>
  <c r="AAG10" i="7"/>
  <c r="CB8" i="7"/>
  <c r="NA9" i="7"/>
  <c r="AGM8" i="7"/>
  <c r="AHY7" i="7"/>
  <c r="PW8" i="7"/>
  <c r="ACM7" i="7"/>
  <c r="IE8" i="7"/>
  <c r="ME9" i="7"/>
  <c r="AGZ9" i="7"/>
  <c r="OG10" i="7"/>
  <c r="AHY10" i="7"/>
  <c r="RF7" i="7"/>
  <c r="CQ9" i="7"/>
  <c r="AAO9" i="7"/>
  <c r="HV10" i="7"/>
  <c r="ABN10" i="7"/>
  <c r="LE8" i="7"/>
  <c r="KQ9" i="7"/>
  <c r="AFV9" i="7"/>
  <c r="NC10" i="7"/>
  <c r="AGU10" i="7"/>
  <c r="HN11" i="7"/>
  <c r="SU9" i="7"/>
  <c r="TV10" i="7"/>
  <c r="ALE8" i="7"/>
  <c r="FK10" i="7"/>
  <c r="AD8" i="7"/>
  <c r="PH8" i="7"/>
  <c r="VL8" i="7"/>
  <c r="OV9" i="7"/>
  <c r="AJC9" i="7"/>
  <c r="QJ10" i="7"/>
  <c r="JV9" i="7"/>
  <c r="MN10" i="7"/>
  <c r="GZ11" i="7"/>
  <c r="ABO11" i="7"/>
  <c r="IV12" i="7"/>
  <c r="ACN12" i="7"/>
  <c r="RN9" i="7"/>
  <c r="SS10" i="7"/>
  <c r="KN11" i="7"/>
  <c r="ED11" i="7"/>
  <c r="OY9" i="7"/>
  <c r="QL10" i="7"/>
  <c r="AFI8" i="7"/>
  <c r="CA10" i="7"/>
  <c r="ZC6" i="7"/>
  <c r="FL8" i="7"/>
  <c r="PN8" i="7"/>
  <c r="MB9" i="7"/>
  <c r="AGY9" i="7"/>
  <c r="OF10" i="7"/>
  <c r="DG9" i="7"/>
  <c r="IF10" i="7"/>
  <c r="EN11" i="7"/>
  <c r="ZK11" i="7"/>
  <c r="GR12" i="7"/>
  <c r="AAJ12" i="7"/>
  <c r="MI9" i="7"/>
  <c r="OK10" i="7"/>
  <c r="IB11" i="7"/>
  <c r="N11" i="7"/>
  <c r="IX9" i="7"/>
  <c r="LV10" i="7"/>
  <c r="WX8" i="7"/>
  <c r="AJV9" i="7"/>
  <c r="AKU10" i="7"/>
  <c r="AIA7" i="7"/>
  <c r="GX8" i="7"/>
  <c r="JF9" i="7"/>
  <c r="AEU9" i="7"/>
  <c r="MB10" i="7"/>
  <c r="AIT8" i="7"/>
  <c r="DX10" i="7"/>
  <c r="BV11" i="7"/>
  <c r="XG11" i="7"/>
  <c r="EN12" i="7"/>
  <c r="YF12" i="7"/>
  <c r="GF9" i="7"/>
  <c r="KC10" i="7"/>
  <c r="FP11" i="7"/>
  <c r="AAJ11" i="7"/>
  <c r="ET11" i="7"/>
  <c r="PQ9" i="7"/>
  <c r="RB10" i="7"/>
  <c r="AGN8" i="7"/>
  <c r="CQ10" i="7"/>
  <c r="JV7" i="7"/>
  <c r="HX8" i="7"/>
  <c r="RY8" i="7"/>
  <c r="MX9" i="7"/>
  <c r="AHO9" i="7"/>
  <c r="OV10" i="7"/>
  <c r="HJ7" i="7"/>
  <c r="AAG9" i="7"/>
  <c r="ABF10" i="7"/>
  <c r="KE9" i="7"/>
  <c r="MU10" i="7"/>
  <c r="SZ8" i="7"/>
  <c r="ADI7" i="7"/>
  <c r="ACK8" i="7"/>
  <c r="TB9" i="7"/>
  <c r="AJ10" i="7"/>
  <c r="UB10" i="7"/>
  <c r="AAH8" i="7"/>
  <c r="ALQ9" i="7"/>
  <c r="AE11" i="7"/>
  <c r="XF9" i="7"/>
  <c r="YE10" i="7"/>
  <c r="FC8" i="7"/>
  <c r="QS8" i="7"/>
  <c r="ALM8" i="7"/>
  <c r="YI9" i="7"/>
  <c r="FP10" i="7"/>
  <c r="AJM10" i="7"/>
  <c r="FC9" i="7"/>
  <c r="JJ10" i="7"/>
  <c r="RI8" i="7"/>
  <c r="AHJ9" i="7"/>
  <c r="IE7" i="7"/>
  <c r="AIB8" i="7"/>
  <c r="UF7" i="7"/>
  <c r="OS8" i="7"/>
  <c r="WQ8" i="7"/>
  <c r="SE8" i="7"/>
  <c r="AGP8" i="7"/>
  <c r="QR8" i="7"/>
  <c r="VX8" i="7"/>
  <c r="RZ9" i="7"/>
  <c r="IF7" i="7"/>
  <c r="KE8" i="7"/>
  <c r="AAO7" i="7"/>
  <c r="IA8" i="7"/>
  <c r="DY7" i="7"/>
  <c r="AAQ7" i="7"/>
  <c r="RP8" i="7"/>
  <c r="ZF8" i="7"/>
  <c r="AR8" i="7"/>
  <c r="AIK7" i="7"/>
  <c r="XX7" i="7"/>
  <c r="GS8" i="7"/>
  <c r="WS7" i="7"/>
  <c r="QL8" i="7"/>
  <c r="XI7" i="7"/>
  <c r="EH7" i="7"/>
  <c r="FN9" i="7"/>
  <c r="KP11" i="7"/>
  <c r="WX10" i="7"/>
  <c r="ABF9" i="7"/>
  <c r="AJO10" i="7"/>
  <c r="TX6" i="7"/>
  <c r="SM8" i="7"/>
  <c r="RK7" i="7"/>
  <c r="AFD9" i="7"/>
  <c r="ALA10" i="7"/>
  <c r="OF9" i="7"/>
  <c r="XF10" i="7"/>
  <c r="LK9" i="7"/>
  <c r="SQ10" i="7"/>
  <c r="AGU7" i="7"/>
  <c r="AHW8" i="7"/>
  <c r="LR7" i="7"/>
  <c r="YK6" i="7"/>
  <c r="VP9" i="7"/>
  <c r="ZA10" i="7"/>
  <c r="ZR8" i="7"/>
  <c r="ALI9" i="7"/>
  <c r="W11" i="7"/>
  <c r="WX9" i="7"/>
  <c r="XW10" i="7"/>
  <c r="WY8" i="7"/>
  <c r="GP9" i="7"/>
  <c r="AEV8" i="7"/>
  <c r="ABI8" i="7"/>
  <c r="AS10" i="7"/>
  <c r="TV6" i="7"/>
  <c r="JQ8" i="7"/>
  <c r="PO7" i="7"/>
  <c r="VC7" i="7"/>
  <c r="YR9" i="7"/>
  <c r="ZQ10" i="7"/>
  <c r="HM9" i="7"/>
  <c r="UH7" i="7"/>
  <c r="JL7" i="7"/>
  <c r="HZ9" i="7"/>
  <c r="LE10" i="7"/>
  <c r="LH8" i="7"/>
  <c r="ALI8" i="7"/>
  <c r="WA8" i="7"/>
  <c r="RZ8" i="7"/>
  <c r="AJD9" i="7"/>
  <c r="PY8" i="7"/>
  <c r="EC8" i="7"/>
  <c r="EM7" i="7"/>
  <c r="KA7" i="7"/>
  <c r="XD9" i="7"/>
  <c r="YC10" i="7"/>
  <c r="XY8" i="7"/>
  <c r="AKK9" i="7"/>
  <c r="ALJ10" i="7"/>
  <c r="VZ9" i="7"/>
  <c r="WY10" i="7"/>
  <c r="ABY8" i="7"/>
  <c r="BC11" i="7"/>
  <c r="ZC10" i="7"/>
  <c r="TH8" i="7"/>
  <c r="ZG9" i="7"/>
  <c r="AAF10" i="7"/>
  <c r="AFJ10" i="7"/>
  <c r="ALK11" i="7"/>
  <c r="ZY8" i="7"/>
  <c r="AKI10" i="7"/>
  <c r="VS8" i="7"/>
  <c r="AKD10" i="7"/>
  <c r="VS10" i="7"/>
  <c r="KO8" i="7"/>
  <c r="XC9" i="7"/>
  <c r="YB10" i="7"/>
  <c r="ABX10" i="7"/>
  <c r="AJG11" i="7"/>
  <c r="AKF12" i="7"/>
  <c r="AGX10" i="7"/>
  <c r="GB8" i="7"/>
  <c r="AFN10" i="7"/>
  <c r="RC10" i="7"/>
  <c r="AS8" i="7"/>
  <c r="UY9" i="7"/>
  <c r="VX10" i="7"/>
  <c r="XP10" i="7"/>
  <c r="AHC11" i="7"/>
  <c r="AIB12" i="7"/>
  <c r="ADM10" i="7"/>
  <c r="AKF11" i="7"/>
  <c r="AJU9" i="7"/>
  <c r="VJ9" i="7"/>
  <c r="BK8" i="7"/>
  <c r="AKN8" i="7"/>
  <c r="EZ10" i="7"/>
  <c r="CD9" i="7"/>
  <c r="JY8" i="7"/>
  <c r="AGM10" i="7"/>
  <c r="AKS7" i="7"/>
  <c r="ACY9" i="7"/>
  <c r="GP11" i="7"/>
  <c r="SX10" i="7"/>
  <c r="EM10" i="7"/>
  <c r="KJ8" i="7"/>
  <c r="NT9" i="7"/>
  <c r="PL10" i="7"/>
  <c r="ACC9" i="7"/>
  <c r="MQ9" i="7"/>
  <c r="AII10" i="7"/>
  <c r="LP8" i="7"/>
  <c r="YZ8" i="7"/>
  <c r="TS9" i="7"/>
  <c r="DL10" i="7"/>
  <c r="CH11" i="7"/>
  <c r="SL9" i="7"/>
  <c r="YL10" i="7"/>
  <c r="SV9" i="7"/>
  <c r="YU10" i="7"/>
  <c r="SI8" i="7"/>
  <c r="BZ8" i="7"/>
  <c r="LH9" i="7"/>
  <c r="AIU9" i="7"/>
  <c r="SN10" i="7"/>
  <c r="ZS9" i="7"/>
  <c r="AEV10" i="7"/>
  <c r="TW11" i="7"/>
  <c r="DP12" i="7"/>
  <c r="ZT12" i="7"/>
  <c r="QV9" i="7"/>
  <c r="XA10" i="7"/>
  <c r="SB11" i="7"/>
  <c r="BL10" i="7"/>
  <c r="AAY11" i="7"/>
  <c r="AGV12" i="7"/>
  <c r="AJJ10" i="7"/>
  <c r="ALL11" i="7"/>
  <c r="VU12" i="7"/>
  <c r="AIK9" i="7"/>
  <c r="L11" i="7"/>
  <c r="YG11" i="7"/>
  <c r="HZ12" i="7"/>
  <c r="BM9" i="7"/>
  <c r="PA9" i="7"/>
  <c r="YV9" i="7"/>
  <c r="ALL8" i="7"/>
  <c r="KM10" i="7"/>
  <c r="IR11" i="7"/>
  <c r="AFN11" i="7"/>
  <c r="WD10" i="7"/>
  <c r="ALI11" i="7"/>
  <c r="AHH12" i="7"/>
  <c r="EN10" i="7"/>
  <c r="ACM11" i="7"/>
  <c r="AIJ12" i="7"/>
  <c r="ADX10" i="7"/>
  <c r="AGF11" i="7"/>
  <c r="OS12" i="7"/>
  <c r="IH9" i="7"/>
  <c r="LJ10" i="7"/>
  <c r="GJ11" i="7"/>
  <c r="ABA11" i="7"/>
  <c r="IH12" i="7"/>
  <c r="AGT8" i="7"/>
  <c r="BU9" i="7"/>
  <c r="IQ9" i="7"/>
  <c r="OK9" i="7"/>
  <c r="TZ9" i="7"/>
  <c r="UY10" i="7"/>
  <c r="LW11" i="7"/>
  <c r="AFV11" i="7"/>
  <c r="NN10" i="7"/>
  <c r="ACC11" i="7"/>
  <c r="AHS9" i="7"/>
  <c r="SY11" i="7"/>
  <c r="TX12" i="7"/>
  <c r="BM10" i="7"/>
  <c r="WB11" i="7"/>
  <c r="HQ12" i="7"/>
  <c r="WO8" i="7"/>
  <c r="AJQ9" i="7"/>
  <c r="AIZ10" i="7"/>
  <c r="TY11" i="7"/>
  <c r="BF12" i="7"/>
  <c r="UX12" i="7"/>
  <c r="ABB9" i="7"/>
  <c r="XD8" i="7"/>
  <c r="AEZ8" i="7"/>
  <c r="AY9" i="7"/>
  <c r="GU10" i="7"/>
  <c r="DT11" i="7"/>
  <c r="YT11" i="7"/>
  <c r="GA12" i="7"/>
  <c r="NX11" i="7"/>
  <c r="NX9" i="7"/>
  <c r="IS11" i="7"/>
  <c r="KJ12" i="7"/>
  <c r="UV9" i="7"/>
  <c r="MH11" i="7"/>
  <c r="DA12" i="7"/>
  <c r="WS12" i="7"/>
  <c r="AAK9" i="7"/>
  <c r="ABJ10" i="7"/>
  <c r="GJ10" i="7"/>
  <c r="YM11" i="7"/>
  <c r="ZL12" i="7"/>
  <c r="MO10" i="7"/>
  <c r="ABP11" i="7"/>
  <c r="KS12" i="7"/>
  <c r="AHU8" i="7"/>
  <c r="DJ10" i="7"/>
  <c r="AAZ8" i="7"/>
  <c r="AKV10" i="7"/>
  <c r="CJ12" i="7"/>
  <c r="J9" i="7"/>
  <c r="DD11" i="7"/>
  <c r="AKN11" i="7"/>
  <c r="SK12" i="7"/>
  <c r="RO9" i="7"/>
  <c r="ST10" i="7"/>
  <c r="ACU9" i="7"/>
  <c r="QM11" i="7"/>
  <c r="RL12" i="7"/>
  <c r="AIZ9" i="7"/>
  <c r="TP11" i="7"/>
  <c r="GK12" i="7"/>
  <c r="AAC12" i="7"/>
  <c r="AHE9" i="7"/>
  <c r="AGY10" i="7"/>
  <c r="SS11" i="7"/>
  <c r="Z12" i="7"/>
  <c r="TR12" i="7"/>
  <c r="YP9" i="7"/>
  <c r="ADC9" i="7"/>
  <c r="AAO8" i="7"/>
  <c r="AJK8" i="7"/>
  <c r="EI10" i="7"/>
  <c r="CF11" i="7"/>
  <c r="XN11" i="7"/>
  <c r="EU12" i="7"/>
  <c r="LC11" i="7"/>
  <c r="HD9" i="7"/>
  <c r="FX11" i="7"/>
  <c r="HX12" i="7"/>
  <c r="PK9" i="7"/>
  <c r="JM11" i="7"/>
  <c r="BM12" i="7"/>
  <c r="AKW8" i="7"/>
  <c r="AEK11" i="7"/>
  <c r="FK9" i="7"/>
  <c r="RE9" i="7"/>
  <c r="AAT9" i="7"/>
  <c r="PN11" i="7"/>
  <c r="ABB10" i="7"/>
  <c r="SX12" i="7"/>
  <c r="HB13" i="7"/>
  <c r="AAT13" i="7"/>
  <c r="IA14" i="7"/>
  <c r="ACP10" i="7"/>
  <c r="AJR11" i="7"/>
  <c r="ADM12" i="7"/>
  <c r="LS13" i="7"/>
  <c r="AFK13" i="7"/>
  <c r="AGU9" i="7"/>
  <c r="SM11" i="7"/>
  <c r="RB12" i="7"/>
  <c r="DD13" i="7"/>
  <c r="WV13" i="7"/>
  <c r="EC14" i="7"/>
  <c r="AIC9" i="7"/>
  <c r="XC10" i="7"/>
  <c r="Y10" i="7"/>
  <c r="GI9" i="7"/>
  <c r="AES11" i="7"/>
  <c r="GK9" i="7"/>
  <c r="RW9" i="7"/>
  <c r="ABJ9" i="7"/>
  <c r="PV11" i="7"/>
  <c r="ACH10" i="7"/>
  <c r="TL12" i="7"/>
  <c r="HJ13" i="7"/>
  <c r="ABB13" i="7"/>
  <c r="II14" i="7"/>
  <c r="ADO10" i="7"/>
  <c r="AKH11" i="7"/>
  <c r="ADV12" i="7"/>
  <c r="MA13" i="7"/>
  <c r="AFS13" i="7"/>
  <c r="AIA9" i="7"/>
  <c r="TC11" i="7"/>
  <c r="RP12" i="7"/>
  <c r="DL13" i="7"/>
  <c r="XD13" i="7"/>
  <c r="EK14" i="7"/>
  <c r="AJI9" i="7"/>
  <c r="YI10" i="7"/>
  <c r="BE10" i="7"/>
  <c r="VX11" i="7"/>
  <c r="TV12" i="7"/>
  <c r="EW13" i="7"/>
  <c r="LH11" i="7"/>
  <c r="MP12" i="7"/>
  <c r="OI9" i="7"/>
  <c r="XQ9" i="7"/>
  <c r="ADH10" i="7"/>
  <c r="AKD11" i="7"/>
  <c r="AKS11" i="7"/>
  <c r="AIS12" i="7"/>
  <c r="RN13" i="7"/>
  <c r="ALF13" i="7"/>
  <c r="SM14" i="7"/>
  <c r="RF11" i="7"/>
  <c r="QB12" i="7"/>
  <c r="CM13" i="7"/>
  <c r="WE13" i="7"/>
  <c r="DL14" i="7"/>
  <c r="AIN10" i="7"/>
  <c r="AZ12" i="7"/>
  <c r="AFQ12" i="7"/>
  <c r="NP13" i="7"/>
  <c r="AHH13" i="7"/>
  <c r="KK10" i="7"/>
  <c r="AJR10" i="7"/>
  <c r="NL10" i="7"/>
  <c r="AQ11" i="7"/>
  <c r="RU11" i="7"/>
  <c r="ST12" i="7"/>
  <c r="ABG9" i="7"/>
  <c r="AGG8" i="7"/>
  <c r="AS11" i="7"/>
  <c r="DW12" i="7"/>
  <c r="GX12" i="7"/>
  <c r="R13" i="7"/>
  <c r="UH13" i="7"/>
  <c r="BO14" i="7"/>
  <c r="VM12" i="7"/>
  <c r="ABY11" i="7"/>
  <c r="AJY8" i="7"/>
  <c r="LC9" i="7"/>
  <c r="VV9" i="7"/>
  <c r="MX11" i="7"/>
  <c r="RF10" i="7"/>
  <c r="QZ12" i="7"/>
  <c r="FV13" i="7"/>
  <c r="ZN13" i="7"/>
  <c r="GU14" i="7"/>
  <c r="ACW9" i="7"/>
  <c r="AHE11" i="7"/>
  <c r="NG9" i="7"/>
  <c r="WZ9" i="7"/>
  <c r="AGH9" i="7"/>
  <c r="SH11" i="7"/>
  <c r="AKF10" i="7"/>
  <c r="VX12" i="7"/>
  <c r="IP13" i="7"/>
  <c r="ACH13" i="7"/>
  <c r="JO14" i="7"/>
  <c r="AHM10" i="7"/>
  <c r="AH12" i="7"/>
  <c r="ZF9" i="7"/>
  <c r="ABS8" i="7"/>
  <c r="EY10" i="7"/>
  <c r="XV11" i="7"/>
  <c r="LU11" i="7"/>
  <c r="AAN12" i="7"/>
  <c r="LJ13" i="7"/>
  <c r="AFB13" i="7"/>
  <c r="MI14" i="7"/>
  <c r="JW11" i="7"/>
  <c r="LJ12" i="7"/>
  <c r="LB9" i="7"/>
  <c r="VE9" i="7"/>
  <c r="ABC10" i="7"/>
  <c r="AIX11" i="7"/>
  <c r="AIG11" i="7"/>
  <c r="AHQ12" i="7"/>
  <c r="QP13" i="7"/>
  <c r="AKH13" i="7"/>
  <c r="RO14" i="7"/>
  <c r="PJ11" i="7"/>
  <c r="OO12" i="7"/>
  <c r="BO13" i="7"/>
  <c r="VG13" i="7"/>
  <c r="CN14" i="7"/>
  <c r="AFQ10" i="7"/>
  <c r="ALO11" i="7"/>
  <c r="AEO12" i="7"/>
  <c r="MR13" i="7"/>
  <c r="AGJ13" i="7"/>
  <c r="GS10" i="7"/>
  <c r="AGR10" i="7"/>
  <c r="JT10" i="7"/>
  <c r="AKB10" i="7"/>
  <c r="AI12" i="7"/>
  <c r="NG13" i="7"/>
  <c r="AN10" i="7"/>
  <c r="TN12" i="7"/>
  <c r="YJ13" i="7"/>
  <c r="BV10" i="7"/>
  <c r="GC10" i="7"/>
  <c r="FA12" i="7"/>
  <c r="ALC12" i="7"/>
  <c r="UG13" i="7"/>
  <c r="AFC11" i="7"/>
  <c r="JL13" i="7"/>
  <c r="HH14" i="7"/>
  <c r="ADJ14" i="7"/>
  <c r="KQ15" i="7"/>
  <c r="QR11" i="7"/>
  <c r="CG13" i="7"/>
  <c r="BL14" i="7"/>
  <c r="ZS14" i="7"/>
  <c r="UK11" i="7"/>
  <c r="ED13" i="7"/>
  <c r="CZ14" i="7"/>
  <c r="AAR14" i="7"/>
  <c r="XB11" i="7"/>
  <c r="FK13" i="7"/>
  <c r="ADI12" i="7"/>
  <c r="KG12" i="7"/>
  <c r="XM11" i="7"/>
  <c r="FR13" i="7"/>
  <c r="AFT12" i="7"/>
  <c r="HW8" i="7"/>
  <c r="AKG7" i="7"/>
  <c r="AJC7" i="7"/>
  <c r="ACE7" i="7"/>
  <c r="AL9" i="7"/>
  <c r="AIY8" i="7"/>
  <c r="ADF7" i="7"/>
  <c r="AEY6" i="7"/>
  <c r="U9" i="7"/>
  <c r="ABC7" i="7"/>
  <c r="RE7" i="7"/>
  <c r="AJG6" i="7"/>
  <c r="DA8" i="7"/>
  <c r="WS6" i="7"/>
  <c r="AAX7" i="7"/>
  <c r="DK8" i="7"/>
  <c r="AHC6" i="7"/>
  <c r="NK7" i="7"/>
  <c r="MZ8" i="7"/>
  <c r="UP8" i="7"/>
  <c r="AKY7" i="7"/>
  <c r="WX6" i="7"/>
  <c r="KG8" i="7"/>
  <c r="QU7" i="7"/>
  <c r="LI8" i="7"/>
  <c r="ACN5" i="7"/>
  <c r="UZ9" i="7"/>
  <c r="TP8" i="7"/>
  <c r="AJF10" i="7"/>
  <c r="ADR9" i="7"/>
  <c r="P11" i="7"/>
  <c r="HY7" i="7"/>
  <c r="ADG6" i="7"/>
  <c r="GD7" i="7"/>
  <c r="AHP9" i="7"/>
  <c r="BB11" i="7"/>
  <c r="RA9" i="7"/>
  <c r="ZR10" i="7"/>
  <c r="OQ9" i="7"/>
  <c r="VC10" i="7"/>
  <c r="OB8" i="7"/>
  <c r="AK9" i="7"/>
  <c r="ACK7" i="7"/>
  <c r="JU7" i="7"/>
  <c r="YB9" i="7"/>
  <c r="ABM10" i="7"/>
  <c r="AEF8" i="7"/>
  <c r="BJ10" i="7"/>
  <c r="CI11" i="7"/>
  <c r="ZJ9" i="7"/>
  <c r="AAI10" i="7"/>
  <c r="ACO8" i="7"/>
  <c r="LN9" i="7"/>
  <c r="AKE8" i="7"/>
  <c r="AGJ8" i="7"/>
  <c r="DE10" i="7"/>
  <c r="HP7" i="7"/>
  <c r="SU8" i="7"/>
  <c r="AEH7" i="7"/>
  <c r="ACT7" i="7"/>
  <c r="ABD9" i="7"/>
  <c r="ACC10" i="7"/>
  <c r="MK9" i="7"/>
  <c r="AGS7" i="7"/>
  <c r="ABF7" i="7"/>
  <c r="LI9" i="7"/>
  <c r="NQ10" i="7"/>
  <c r="TU8" i="7"/>
  <c r="DV9" i="7"/>
  <c r="ABQ8" i="7"/>
  <c r="XX8" i="7"/>
  <c r="ALP9" i="7"/>
  <c r="AIY6" i="7"/>
  <c r="NY8" i="7"/>
  <c r="YA7" i="7"/>
  <c r="ZK7" i="7"/>
  <c r="ZP9" i="7"/>
  <c r="AAO10" i="7"/>
  <c r="ACM8" i="7"/>
  <c r="AL10" i="7"/>
  <c r="BK11" i="7"/>
  <c r="YL9" i="7"/>
  <c r="ZK10" i="7"/>
  <c r="AKP8" i="7"/>
  <c r="AC8" i="7"/>
  <c r="AEA10" i="7"/>
  <c r="ADY7" i="7"/>
  <c r="ABS9" i="7"/>
  <c r="XO8" i="7"/>
  <c r="AJI10" i="7"/>
  <c r="BL12" i="7"/>
  <c r="AIU8" i="7"/>
  <c r="BW11" i="7"/>
  <c r="AEU8" i="7"/>
  <c r="WE6" i="7"/>
  <c r="AAQ10" i="7"/>
  <c r="UA8" i="7"/>
  <c r="ZO9" i="7"/>
  <c r="AAN10" i="7"/>
  <c r="AFX10" i="7"/>
  <c r="H12" i="7"/>
  <c r="ABA8" i="7"/>
  <c r="AKW10" i="7"/>
  <c r="WI8" i="7"/>
  <c r="AKL10" i="7"/>
  <c r="WA10" i="7"/>
  <c r="LU8" i="7"/>
  <c r="XK9" i="7"/>
  <c r="YJ10" i="7"/>
  <c r="ACJ10" i="7"/>
  <c r="AJO11" i="7"/>
  <c r="AKN12" i="7"/>
  <c r="AHL10" i="7"/>
  <c r="AG12" i="7"/>
  <c r="CH10" i="7"/>
  <c r="AAH9" i="7"/>
  <c r="MM8" i="7"/>
  <c r="CA9" i="7"/>
  <c r="HL10" i="7"/>
  <c r="JT9" i="7"/>
  <c r="YC8" i="7"/>
  <c r="ALK10" i="7"/>
  <c r="JJ8" i="7"/>
  <c r="AFK9" i="7"/>
  <c r="LN11" i="7"/>
  <c r="XV10" i="7"/>
  <c r="JK10" i="7"/>
  <c r="TY8" i="7"/>
  <c r="QP9" i="7"/>
  <c r="RX10" i="7"/>
  <c r="AHA9" i="7"/>
  <c r="SM9" i="7"/>
  <c r="AKC7" i="7"/>
  <c r="UR8" i="7"/>
  <c r="ADM8" i="7"/>
  <c r="WE9" i="7"/>
  <c r="FX10" i="7"/>
  <c r="HF11" i="7"/>
  <c r="XM9" i="7"/>
  <c r="AIH10" i="7"/>
  <c r="XV9" i="7"/>
  <c r="ADS10" i="7"/>
  <c r="WD7" i="7"/>
  <c r="NB8" i="7"/>
  <c r="OM9" i="7"/>
  <c r="ALG9" i="7"/>
  <c r="XL10" i="7"/>
  <c r="AEQ9" i="7"/>
  <c r="AIU10" i="7"/>
  <c r="WI11" i="7"/>
  <c r="GB12" i="7"/>
  <c r="ACF12" i="7"/>
  <c r="WB9" i="7"/>
  <c r="AFY10" i="7"/>
  <c r="UN11" i="7"/>
  <c r="LH10" i="7"/>
  <c r="AFW11" i="7"/>
  <c r="XP8" i="7"/>
  <c r="EF11" i="7"/>
  <c r="BU12" i="7"/>
  <c r="AAS12" i="7"/>
  <c r="AX10" i="7"/>
  <c r="DE11" i="7"/>
  <c r="AAS11" i="7"/>
  <c r="KL12" i="7"/>
  <c r="JE9" i="7"/>
  <c r="UM9" i="7"/>
  <c r="ACU8" i="7"/>
  <c r="GV9" i="7"/>
  <c r="PK10" i="7"/>
  <c r="LM11" i="7"/>
  <c r="AHZ11" i="7"/>
  <c r="AFH10" i="7"/>
  <c r="DV12" i="7"/>
  <c r="AH13" i="7"/>
  <c r="OJ10" i="7"/>
  <c r="AHK11" i="7"/>
  <c r="ADG8" i="7"/>
  <c r="K11" i="7"/>
  <c r="AIZ11" i="7"/>
  <c r="RE12" i="7"/>
  <c r="OT9" i="7"/>
  <c r="QH10" i="7"/>
  <c r="JE11" i="7"/>
  <c r="ADM11" i="7"/>
  <c r="KT12" i="7"/>
  <c r="CL9" i="7"/>
  <c r="JL9" i="7"/>
  <c r="PB9" i="7"/>
  <c r="TY9" i="7"/>
  <c r="YX9" i="7"/>
  <c r="ZW10" i="7"/>
  <c r="OP11" i="7"/>
  <c r="AIH11" i="7"/>
  <c r="XJ10" i="7"/>
  <c r="AHA11" i="7"/>
  <c r="FD10" i="7"/>
  <c r="XW11" i="7"/>
  <c r="YV12" i="7"/>
  <c r="LI10" i="7"/>
  <c r="AAZ11" i="7"/>
  <c r="KC12" i="7"/>
  <c r="AFP8" i="7"/>
  <c r="CD10" i="7"/>
  <c r="AK11" i="7"/>
  <c r="WK11" i="7"/>
  <c r="DR12" i="7"/>
  <c r="XJ12" i="7"/>
  <c r="YE8" i="7"/>
  <c r="AGB8" i="7"/>
  <c r="AX9" i="7"/>
  <c r="IU9" i="7"/>
  <c r="LS10" i="7"/>
  <c r="GO11" i="7"/>
  <c r="ABF11" i="7"/>
  <c r="AHM9" i="7"/>
  <c r="SW11" i="7"/>
  <c r="YM9" i="7"/>
  <c r="OI11" i="7"/>
  <c r="PH12" i="7"/>
  <c r="AER9" i="7"/>
  <c r="RL11" i="7"/>
  <c r="FM12" i="7"/>
  <c r="ZE12" i="7"/>
  <c r="AFI9" i="7"/>
  <c r="AFL10" i="7"/>
  <c r="QF10" i="7"/>
  <c r="ADK11" i="7"/>
  <c r="AEJ12" i="7"/>
  <c r="WK10" i="7"/>
  <c r="AEJ11" i="7"/>
  <c r="NE12" i="7"/>
  <c r="DJ9" i="7"/>
  <c r="IH10" i="7"/>
  <c r="FF9" i="7"/>
  <c r="FF11" i="7"/>
  <c r="HH12" i="7"/>
  <c r="OA9" i="7"/>
  <c r="IU11" i="7"/>
  <c r="AW12" i="7"/>
  <c r="UW12" i="7"/>
  <c r="WS9" i="7"/>
  <c r="XR10" i="7"/>
  <c r="AF10" i="7"/>
  <c r="VK11" i="7"/>
  <c r="WJ12" i="7"/>
  <c r="GK10" i="7"/>
  <c r="YN11" i="7"/>
  <c r="IW12" i="7"/>
  <c r="ABC8" i="7"/>
  <c r="R10" i="7"/>
  <c r="AKX10" i="7"/>
  <c r="VE11" i="7"/>
  <c r="CL12" i="7"/>
  <c r="WD12" i="7"/>
  <c r="ADN9" i="7"/>
  <c r="ABP8" i="7"/>
  <c r="AJJ8" i="7"/>
  <c r="EX9" i="7"/>
  <c r="JG10" i="7"/>
  <c r="FE11" i="7"/>
  <c r="ZZ11" i="7"/>
  <c r="HG12" i="7"/>
  <c r="QK11" i="7"/>
  <c r="TO9" i="7"/>
  <c r="LO11" i="7"/>
  <c r="MV12" i="7"/>
  <c r="ZT9" i="7"/>
  <c r="OZ11" i="7"/>
  <c r="EG12" i="7"/>
  <c r="FF10" i="7"/>
  <c r="AJI11" i="7"/>
  <c r="SI9" i="7"/>
  <c r="ABH9" i="7"/>
  <c r="AKP9" i="7"/>
  <c r="UL11" i="7"/>
  <c r="EB11" i="7"/>
  <c r="XK12" i="7"/>
  <c r="JN13" i="7"/>
  <c r="ADF13" i="7"/>
  <c r="KM14" i="7"/>
  <c r="AKN10" i="7"/>
  <c r="CE12" i="7"/>
  <c r="AGH12" i="7"/>
  <c r="OE13" i="7"/>
  <c r="AHW13" i="7"/>
  <c r="EF10" i="7"/>
  <c r="XK11" i="7"/>
  <c r="VA12" i="7"/>
  <c r="FP13" i="7"/>
  <c r="ZH13" i="7"/>
  <c r="GO14" i="7"/>
  <c r="FN10" i="7"/>
  <c r="AGA10" i="7"/>
  <c r="JU10" i="7"/>
  <c r="KD10" i="7"/>
  <c r="AJQ11" i="7"/>
  <c r="TA9" i="7"/>
  <c r="ABX9" i="7"/>
  <c r="ALF9" i="7"/>
  <c r="UT11" i="7"/>
  <c r="EU11" i="7"/>
  <c r="XV12" i="7"/>
  <c r="JV13" i="7"/>
  <c r="ADN13" i="7"/>
  <c r="KU14" i="7"/>
  <c r="ALM10" i="7"/>
  <c r="CU12" i="7"/>
  <c r="AGQ12" i="7"/>
  <c r="OM13" i="7"/>
  <c r="AIE13" i="7"/>
  <c r="FL10" i="7"/>
  <c r="YA11" i="7"/>
  <c r="VO12" i="7"/>
  <c r="FX13" i="7"/>
  <c r="ZP13" i="7"/>
  <c r="GW14" i="7"/>
  <c r="GT10" i="7"/>
  <c r="AGZ10" i="7"/>
  <c r="LA10" i="7"/>
  <c r="AAV11" i="7"/>
  <c r="XU12" i="7"/>
  <c r="HI13" i="7"/>
  <c r="QO11" i="7"/>
  <c r="RN12" i="7"/>
  <c r="YU9" i="7"/>
  <c r="ABT8" i="7"/>
  <c r="ALF10" i="7"/>
  <c r="CQ12" i="7"/>
  <c r="GH12" i="7"/>
  <c r="J13" i="7"/>
  <c r="TZ13" i="7"/>
  <c r="BG14" i="7"/>
  <c r="BO10" i="7"/>
  <c r="WD11" i="7"/>
  <c r="UA12" i="7"/>
  <c r="EY13" i="7"/>
  <c r="YQ13" i="7"/>
  <c r="FX14" i="7"/>
  <c r="DQ11" i="7"/>
  <c r="FX12" i="7"/>
  <c r="MU8" i="7"/>
  <c r="CT8" i="7"/>
  <c r="BP8" i="7"/>
  <c r="AHC7" i="7"/>
  <c r="CX9" i="7"/>
  <c r="ALK8" i="7"/>
  <c r="AHF7" i="7"/>
  <c r="AKF6" i="7"/>
  <c r="CG9" i="7"/>
  <c r="ALA7" i="7"/>
  <c r="AAA7" i="7"/>
  <c r="BT7" i="7"/>
  <c r="FM8" i="7"/>
  <c r="AEN6" i="7"/>
  <c r="ADL7" i="7"/>
  <c r="FW8" i="7"/>
  <c r="Q7" i="7"/>
  <c r="WA7" i="7"/>
  <c r="PL8" i="7"/>
  <c r="ZN8" i="7"/>
  <c r="AZ8" i="7"/>
  <c r="ALK6" i="7"/>
  <c r="PE8" i="7"/>
  <c r="ZT7" i="7"/>
  <c r="QG8" i="7"/>
  <c r="FS7" i="7"/>
  <c r="XL9" i="7"/>
  <c r="YO8" i="7"/>
  <c r="ALR10" i="7"/>
  <c r="AIP9" i="7"/>
  <c r="CB11" i="7"/>
  <c r="AAJ7" i="7"/>
  <c r="LW7" i="7"/>
  <c r="O8" i="7"/>
  <c r="AKB9" i="7"/>
  <c r="DN11" i="7"/>
  <c r="WG9" i="7"/>
  <c r="ACD10" i="7"/>
  <c r="RL9" i="7"/>
  <c r="XO10" i="7"/>
  <c r="VJ8" i="7"/>
  <c r="FI9" i="7"/>
  <c r="V8" i="7"/>
  <c r="ALJ6" i="7"/>
  <c r="AAN9" i="7"/>
  <c r="ADY10" i="7"/>
  <c r="AIR8" i="7"/>
  <c r="DV10" i="7"/>
  <c r="AHP7" i="7"/>
  <c r="ABV9" i="7"/>
  <c r="ACU10" i="7"/>
  <c r="AIF8" i="7"/>
  <c r="QL9" i="7"/>
  <c r="CR9" i="7"/>
  <c r="ALB8" i="7"/>
  <c r="FQ10" i="7"/>
  <c r="AAD7" i="7"/>
  <c r="YK8" i="7"/>
  <c r="BS8" i="7"/>
  <c r="AFV7" i="7"/>
  <c r="ADP9" i="7"/>
  <c r="AEO10" i="7"/>
  <c r="AKN6" i="7"/>
  <c r="ED8" i="7"/>
  <c r="ALD6" i="7"/>
  <c r="ON9" i="7"/>
  <c r="QC10" i="7"/>
  <c r="ZK8" i="7"/>
  <c r="IT9" i="7"/>
  <c r="AHH8" i="7"/>
  <c r="ADA8" i="7"/>
  <c r="BQ10" i="7"/>
  <c r="QF7" i="7"/>
  <c r="VG8" i="7"/>
  <c r="AIP7" i="7"/>
  <c r="AX6" i="7"/>
  <c r="ACB9" i="7"/>
  <c r="ADA10" i="7"/>
  <c r="AHA8" i="7"/>
  <c r="CX10" i="7"/>
  <c r="AAT7" i="7"/>
  <c r="AAX9" i="7"/>
  <c r="ABW10" i="7"/>
  <c r="GC9" i="7"/>
  <c r="SY8" i="7"/>
  <c r="AIY10" i="7"/>
  <c r="DF8" i="7"/>
  <c r="AEE9" i="7"/>
  <c r="AGQ8" i="7"/>
  <c r="AW11" i="7"/>
  <c r="DX12" i="7"/>
  <c r="EH9" i="7"/>
  <c r="EX11" i="7"/>
  <c r="AQ9" i="7"/>
  <c r="GG8" i="7"/>
  <c r="AFO10" i="7"/>
  <c r="AFU7" i="7"/>
  <c r="ACA9" i="7"/>
  <c r="YR8" i="7"/>
  <c r="AJT10" i="7"/>
  <c r="BT12" i="7"/>
  <c r="AJV8" i="7"/>
  <c r="CK11" i="7"/>
  <c r="AFH8" i="7"/>
  <c r="ALE6" i="7"/>
  <c r="AAY10" i="7"/>
  <c r="US8" i="7"/>
  <c r="ZW9" i="7"/>
  <c r="AAV10" i="7"/>
  <c r="AGI10" i="7"/>
  <c r="P12" i="7"/>
  <c r="ACD8" i="7"/>
  <c r="ALH10" i="7"/>
  <c r="CS12" i="7"/>
  <c r="HF10" i="7"/>
  <c r="AFF9" i="7"/>
  <c r="VW8" i="7"/>
  <c r="FX9" i="7"/>
  <c r="JX10" i="7"/>
  <c r="PZ9" i="7"/>
  <c r="AHB8" i="7"/>
  <c r="TR7" i="7"/>
  <c r="SQ8" i="7"/>
  <c r="AHW9" i="7"/>
  <c r="AHK7" i="7"/>
  <c r="ACT10" i="7"/>
  <c r="OI10" i="7"/>
  <c r="AFT7" i="7"/>
  <c r="TK9" i="7"/>
  <c r="UJ10" i="7"/>
  <c r="N10" i="7"/>
  <c r="XN9" i="7"/>
  <c r="LF8" i="7"/>
  <c r="AIF7" i="7"/>
  <c r="AIA8" i="7"/>
  <c r="YQ9" i="7"/>
  <c r="IJ10" i="7"/>
  <c r="MD11" i="7"/>
  <c r="AHI9" i="7"/>
  <c r="AU11" i="7"/>
  <c r="ACT9" i="7"/>
  <c r="AIQ10" i="7"/>
  <c r="BT8" i="7"/>
  <c r="UT8" i="7"/>
  <c r="RH9" i="7"/>
  <c r="DT10" i="7"/>
  <c r="ZX10" i="7"/>
  <c r="AJO9" i="7"/>
  <c r="AI11" i="7"/>
  <c r="YU11" i="7"/>
  <c r="IN12" i="7"/>
  <c r="AER12" i="7"/>
  <c r="AFX9" i="7"/>
  <c r="AJX10" i="7"/>
  <c r="WZ11" i="7"/>
  <c r="VD10" i="7"/>
  <c r="AKU11" i="7"/>
  <c r="CI9" i="7"/>
  <c r="JV11" i="7"/>
  <c r="HA12" i="7"/>
  <c r="ADJ8" i="7"/>
  <c r="FV10" i="7"/>
  <c r="GA11" i="7"/>
  <c r="ADE11" i="7"/>
  <c r="MX12" i="7"/>
  <c r="PM9" i="7"/>
  <c r="AEI9" i="7"/>
  <c r="ALJ8" i="7"/>
  <c r="NS9" i="7"/>
  <c r="UI10" i="7"/>
  <c r="OH11" i="7"/>
  <c r="AKL11" i="7"/>
  <c r="AR11" i="7"/>
  <c r="MM12" i="7"/>
  <c r="CT13" i="7"/>
  <c r="YF10" i="7"/>
  <c r="X12" i="7"/>
  <c r="HG9" i="7"/>
  <c r="FY11" i="7"/>
  <c r="I12" i="7"/>
  <c r="TQ12" i="7"/>
  <c r="UG9" i="7"/>
  <c r="VF10" i="7"/>
  <c r="LZ11" i="7"/>
  <c r="AFY11" i="7"/>
  <c r="NF12" i="7"/>
  <c r="KA9" i="7"/>
  <c r="PS9" i="7"/>
  <c r="UN9" i="7"/>
  <c r="YW9" i="7"/>
  <c r="ADV9" i="7"/>
  <c r="AEJ10" i="7"/>
  <c r="RB11" i="7"/>
  <c r="AKT11" i="7"/>
  <c r="AGG10" i="7"/>
  <c r="N12" i="7"/>
  <c r="OZ10" i="7"/>
  <c r="ACU11" i="7"/>
  <c r="ADT12" i="7"/>
  <c r="VE10" i="7"/>
  <c r="ADT11" i="7"/>
  <c r="MO12" i="7"/>
  <c r="BK9" i="7"/>
  <c r="HB10" i="7"/>
  <c r="DX11" i="7"/>
  <c r="YW11" i="7"/>
  <c r="GD12" i="7"/>
  <c r="YY8" i="7"/>
  <c r="AHC8" i="7"/>
  <c r="BV9" i="7"/>
  <c r="IR9" i="7"/>
  <c r="PD9" i="7"/>
  <c r="QQ10" i="7"/>
  <c r="JK11" i="7"/>
  <c r="ADR11" i="7"/>
  <c r="EX10" i="7"/>
  <c r="XU11" i="7"/>
  <c r="AII9" i="7"/>
  <c r="TG11" i="7"/>
  <c r="UF12" i="7"/>
  <c r="CC10" i="7"/>
  <c r="WJ11" i="7"/>
  <c r="HY12" i="7"/>
  <c r="XT8" i="7"/>
  <c r="AKG9" i="7"/>
  <c r="XD10" i="7"/>
  <c r="AAB10" i="7"/>
  <c r="AII11" i="7"/>
  <c r="AJH12" i="7"/>
  <c r="AFK10" i="7"/>
  <c r="AHD11" i="7"/>
  <c r="PQ12" i="7"/>
  <c r="KT9" i="7"/>
  <c r="NF10" i="7"/>
  <c r="SE9" i="7"/>
  <c r="KV11" i="7"/>
  <c r="MF12" i="7"/>
  <c r="YN9" i="7"/>
  <c r="OJ11" i="7"/>
  <c r="DQ12" i="7"/>
  <c r="XI12" i="7"/>
  <c r="ABQ9" i="7"/>
  <c r="ACO10" i="7"/>
  <c r="KB10" i="7"/>
  <c r="AAI11" i="7"/>
  <c r="ABH12" i="7"/>
  <c r="QG10" i="7"/>
  <c r="ACF11" i="7"/>
  <c r="LI12" i="7"/>
  <c r="AJX8" i="7"/>
  <c r="EP10" i="7"/>
  <c r="CL11" i="7"/>
  <c r="XQ11" i="7"/>
  <c r="EX12" i="7"/>
  <c r="YP12" i="7"/>
  <c r="ACR8" i="7"/>
  <c r="AKH8" i="7"/>
  <c r="EW9" i="7"/>
  <c r="MA9" i="7"/>
  <c r="OE10" i="7"/>
  <c r="HZ11" i="7"/>
  <c r="ACL11" i="7"/>
  <c r="Z10" i="7"/>
  <c r="VI11" i="7"/>
  <c r="ADK9" i="7"/>
  <c r="QU11" i="7"/>
  <c r="RT12" i="7"/>
  <c r="AJP9" i="7"/>
  <c r="TX11" i="7"/>
  <c r="GS12" i="7"/>
  <c r="AJY10" i="7"/>
  <c r="BV12" i="7"/>
  <c r="ACH9" i="7"/>
  <c r="AHI8" i="7"/>
  <c r="IA10" i="7"/>
  <c r="ZJ11" i="7"/>
  <c r="PE11" i="7"/>
  <c r="ABI12" i="7"/>
  <c r="LZ13" i="7"/>
  <c r="AFR13" i="7"/>
  <c r="MY14" i="7"/>
  <c r="EZ11" i="7"/>
  <c r="HC12" i="7"/>
  <c r="AJC12" i="7"/>
  <c r="QQ13" i="7"/>
  <c r="AKI13" i="7"/>
  <c r="OB10" i="7"/>
  <c r="ACI11" i="7"/>
  <c r="YZ12" i="7"/>
  <c r="IB13" i="7"/>
  <c r="ABT13" i="7"/>
  <c r="JA14" i="7"/>
  <c r="PJ10" i="7"/>
  <c r="BN11" i="7"/>
  <c r="TQ10" i="7"/>
  <c r="AKJ10" i="7"/>
  <c r="CD12" i="7"/>
  <c r="ACX9" i="7"/>
  <c r="AIK8" i="7"/>
  <c r="IQ10" i="7"/>
  <c r="ZR11" i="7"/>
  <c r="PU11" i="7"/>
  <c r="ACA12" i="7"/>
  <c r="MH13" i="7"/>
  <c r="AFZ13" i="7"/>
  <c r="NG14" i="7"/>
  <c r="FS11" i="7"/>
  <c r="HS12" i="7"/>
  <c r="AJL12" i="7"/>
  <c r="QY13" i="7"/>
  <c r="AKQ13" i="7"/>
  <c r="PH10" i="7"/>
  <c r="ACY11" i="7"/>
  <c r="ZJ12" i="7"/>
  <c r="IJ13" i="7"/>
  <c r="ACB13" i="7"/>
  <c r="JI14" i="7"/>
  <c r="QP10" i="7"/>
  <c r="CM11" i="7"/>
  <c r="UW10" i="7"/>
  <c r="AFT11" i="7"/>
  <c r="ABG12" i="7"/>
  <c r="JU13" i="7"/>
  <c r="VM11" i="7"/>
  <c r="WL12" i="7"/>
  <c r="ACT8" i="7"/>
  <c r="FW9" i="7"/>
  <c r="FN11" i="7"/>
  <c r="HO12" i="7"/>
  <c r="LC12" i="7"/>
  <c r="CD13" i="7"/>
  <c r="WL13" i="7"/>
  <c r="DS14" i="7"/>
  <c r="LK10" i="7"/>
  <c r="ABB11" i="7"/>
  <c r="XW12" i="7"/>
  <c r="HK13" i="7"/>
  <c r="ABC13" i="7"/>
  <c r="IJ14" i="7"/>
  <c r="JG11" i="7"/>
  <c r="KF12" i="7"/>
  <c r="UQ8" i="7"/>
  <c r="HR8" i="7"/>
  <c r="EB8" i="7"/>
  <c r="P8" i="7"/>
  <c r="FJ9" i="7"/>
  <c r="BL9" i="7"/>
  <c r="AJZ7" i="7"/>
  <c r="HQ7" i="7"/>
  <c r="ES9" i="7"/>
  <c r="DN8" i="7"/>
  <c r="CD6" i="7"/>
  <c r="GR7" i="7"/>
  <c r="HY8" i="7"/>
  <c r="AJW6" i="7"/>
  <c r="AFX7" i="7"/>
  <c r="II8" i="7"/>
  <c r="EO7" i="7"/>
  <c r="AAZ7" i="7"/>
  <c r="RX8" i="7"/>
  <c r="AEL8" i="7"/>
  <c r="DL8" i="7"/>
  <c r="IV7" i="7"/>
  <c r="TD8" i="7"/>
  <c r="AEX7" i="7"/>
  <c r="AKE6" i="7"/>
  <c r="ZA7" i="7"/>
  <c r="ZX9" i="7"/>
  <c r="ADC8" i="7"/>
  <c r="BS11" i="7"/>
  <c r="ALB9" i="7"/>
  <c r="AFE7" i="7"/>
  <c r="AKJ7" i="7"/>
  <c r="W8" i="7"/>
  <c r="KQ8" i="7"/>
  <c r="AC10" i="7"/>
  <c r="FZ11" i="7"/>
  <c r="YS9" i="7"/>
  <c r="AEP10" i="7"/>
  <c r="UD9" i="7"/>
  <c r="ACM10" i="7"/>
  <c r="AGZ7" i="7"/>
  <c r="KG9" i="7"/>
  <c r="JR8" i="7"/>
  <c r="SQ7" i="7"/>
  <c r="ACZ9" i="7"/>
  <c r="AGK10" i="7"/>
  <c r="FT7" i="7"/>
  <c r="XW7" i="7"/>
  <c r="AEE6" i="7"/>
  <c r="M9" i="7"/>
  <c r="AAK7" i="7"/>
  <c r="PY7" i="7"/>
  <c r="ACV6" i="7"/>
  <c r="CS8" i="7"/>
  <c r="AJT7" i="7"/>
  <c r="AGT7" i="7"/>
  <c r="IH8" i="7"/>
  <c r="CF8" i="7"/>
  <c r="OT8" i="7"/>
  <c r="AHO7" i="7"/>
  <c r="JN7" i="7"/>
  <c r="HX7" i="7"/>
  <c r="ALD7" i="7"/>
  <c r="NO8" i="7"/>
  <c r="PA7" i="7"/>
  <c r="ALN7" i="7"/>
  <c r="UB6" i="7"/>
  <c r="UV8" i="7"/>
  <c r="ET9" i="7"/>
  <c r="ACS8" i="7"/>
  <c r="DM9" i="7"/>
  <c r="AFP6" i="7"/>
  <c r="JQ10" i="7"/>
  <c r="VY9" i="7"/>
  <c r="S9" i="7"/>
  <c r="KY10" i="7"/>
  <c r="AII7" i="7"/>
  <c r="BB9" i="7"/>
  <c r="YM7" i="7"/>
  <c r="EQ8" i="7"/>
  <c r="VU7" i="7"/>
  <c r="LU9" i="7"/>
  <c r="RR8" i="7"/>
  <c r="OY7" i="7"/>
  <c r="UV7" i="7"/>
  <c r="ADX7" i="7"/>
  <c r="HC8" i="7"/>
  <c r="AGI6" i="7"/>
  <c r="JO8" i="7"/>
  <c r="ACN7" i="7"/>
  <c r="FM7" i="7"/>
  <c r="YA6" i="7"/>
  <c r="PR7" i="7"/>
  <c r="ACA7" i="7"/>
  <c r="CR7" i="7"/>
  <c r="ACQ8" i="7"/>
  <c r="AAY8" i="7"/>
  <c r="JC7" i="7"/>
  <c r="AAZ6" i="7"/>
  <c r="ME7" i="7"/>
  <c r="MJ8" i="7"/>
  <c r="PB8" i="7"/>
  <c r="AHW7" i="7"/>
  <c r="KD7" i="7"/>
  <c r="IN7" i="7"/>
  <c r="ALL7" i="7"/>
  <c r="QI8" i="7"/>
  <c r="UO7" i="7"/>
  <c r="BI9" i="7"/>
  <c r="AIC6" i="7"/>
  <c r="IF9" i="7"/>
  <c r="OO8" i="7"/>
  <c r="AAC7" i="7"/>
  <c r="AAW10" i="7"/>
  <c r="AT10" i="7"/>
  <c r="OG9" i="7"/>
  <c r="UU10" i="7"/>
  <c r="WG8" i="7"/>
  <c r="PV9" i="7"/>
  <c r="TH7" i="7"/>
  <c r="PY9" i="7"/>
  <c r="WG10" i="7"/>
  <c r="AIC8" i="7"/>
  <c r="IL10" i="7"/>
  <c r="ZS8" i="7"/>
  <c r="DW10" i="7"/>
  <c r="VC8" i="7"/>
  <c r="YP7" i="7"/>
  <c r="AIW8" i="7"/>
  <c r="AJW8" i="7"/>
  <c r="CN9" i="7"/>
  <c r="MS10" i="7"/>
  <c r="NR11" i="7"/>
  <c r="ZA9" i="7"/>
  <c r="ZZ10" i="7"/>
  <c r="IO9" i="7"/>
  <c r="LO10" i="7"/>
  <c r="GJ7" i="7"/>
  <c r="SK8" i="7"/>
  <c r="ADR7" i="7"/>
  <c r="ACD7" i="7"/>
  <c r="AAV9" i="7"/>
  <c r="ABU10" i="7"/>
  <c r="KW9" i="7"/>
  <c r="ADQ7" i="7"/>
  <c r="WZ7" i="7"/>
  <c r="KY9" i="7"/>
  <c r="NI10" i="7"/>
  <c r="TL8" i="7"/>
  <c r="DN9" i="7"/>
  <c r="ABH8" i="7"/>
  <c r="XK8" i="7"/>
  <c r="ALH9" i="7"/>
  <c r="PQ8" i="7"/>
  <c r="DM8" i="7"/>
  <c r="DG7" i="7"/>
  <c r="IU7" i="7"/>
  <c r="WV9" i="7"/>
  <c r="XU10" i="7"/>
  <c r="IC9" i="7"/>
  <c r="WT7" i="7"/>
  <c r="LX7" i="7"/>
  <c r="IW9" i="7"/>
  <c r="LU10" i="7"/>
  <c r="MT11" i="7"/>
  <c r="YC9" i="7"/>
  <c r="ZB10" i="7"/>
  <c r="HC9" i="7"/>
  <c r="KQ10" i="7"/>
  <c r="CP11" i="7"/>
  <c r="OX10" i="7"/>
  <c r="AM10" i="7"/>
  <c r="CZ8" i="7"/>
  <c r="LR9" i="7"/>
  <c r="NX10" i="7"/>
  <c r="HP10" i="7"/>
  <c r="ZC11" i="7"/>
  <c r="AAB12" i="7"/>
  <c r="NU10" i="7"/>
  <c r="ALQ10" i="7"/>
  <c r="LN10" i="7"/>
  <c r="AJN9" i="7"/>
  <c r="AFO7" i="7"/>
  <c r="IV9" i="7"/>
  <c r="LT10" i="7"/>
  <c r="DH10" i="7"/>
  <c r="WY11" i="7"/>
  <c r="XX12" i="7"/>
  <c r="JM10" i="7"/>
  <c r="AAB11" i="7"/>
  <c r="GX10" i="7"/>
  <c r="AEX9" i="7"/>
  <c r="UL8" i="7"/>
  <c r="FM9" i="7"/>
  <c r="JP10" i="7"/>
  <c r="ALK9" i="7"/>
  <c r="UU11" i="7"/>
  <c r="VT12" i="7"/>
  <c r="FE10" i="7"/>
  <c r="XX11" i="7"/>
  <c r="JH9" i="7"/>
  <c r="XN8" i="7"/>
  <c r="ALC10" i="7"/>
  <c r="ID8" i="7"/>
  <c r="AFC9" i="7"/>
  <c r="JZ11" i="7"/>
  <c r="WH10" i="7"/>
  <c r="HW10" i="7"/>
  <c r="TG8" i="7"/>
  <c r="QG9" i="7"/>
  <c r="RP10" i="7"/>
  <c r="AGS9" i="7"/>
  <c r="SD9" i="7"/>
  <c r="AFF7" i="7"/>
  <c r="AHK8" i="7"/>
  <c r="DD10" i="7"/>
  <c r="AJQ8" i="7"/>
  <c r="AKB7" i="7"/>
  <c r="ADK10" i="7"/>
  <c r="MH7" i="7"/>
  <c r="UB8" i="7"/>
  <c r="QY9" i="7"/>
  <c r="AZ10" i="7"/>
  <c r="AJU10" i="7"/>
  <c r="MP9" i="7"/>
  <c r="TN10" i="7"/>
  <c r="GD9" i="7"/>
  <c r="TW10" i="7"/>
  <c r="HO8" i="7"/>
  <c r="YN7" i="7"/>
  <c r="HY9" i="7"/>
  <c r="AGI9" i="7"/>
  <c r="QB10" i="7"/>
  <c r="PJ9" i="7"/>
  <c r="AAR10" i="7"/>
  <c r="RK11" i="7"/>
  <c r="BD12" i="7"/>
  <c r="XH12" i="7"/>
  <c r="KS9" i="7"/>
  <c r="SC10" i="7"/>
  <c r="MZ11" i="7"/>
  <c r="AEA9" i="7"/>
  <c r="WA11" i="7"/>
  <c r="ABX12" i="7"/>
  <c r="ABI10" i="7"/>
  <c r="AIR11" i="7"/>
  <c r="TI12" i="7"/>
  <c r="YO9" i="7"/>
  <c r="AHX10" i="7"/>
  <c r="VU11" i="7"/>
  <c r="FN12" i="7"/>
  <c r="AFQ8" i="7"/>
  <c r="IP9" i="7"/>
  <c r="TX9" i="7"/>
  <c r="ADE9" i="7"/>
  <c r="FO10" i="7"/>
  <c r="FW11" i="7"/>
  <c r="ADB11" i="7"/>
  <c r="MH10" i="7"/>
  <c r="AGK11" i="7"/>
  <c r="AEM12" i="7"/>
  <c r="XG9" i="7"/>
  <c r="XO11" i="7"/>
  <c r="ADL12" i="7"/>
  <c r="UO10" i="7"/>
  <c r="ADL11" i="7"/>
  <c r="MG12" i="7"/>
  <c r="AJ9" i="7"/>
  <c r="GL10" i="7"/>
  <c r="DO11" i="7"/>
  <c r="YO11" i="7"/>
  <c r="FV12" i="7"/>
  <c r="XV8" i="7"/>
  <c r="AGA8" i="7"/>
  <c r="AW9" i="7"/>
  <c r="HT9" i="7"/>
  <c r="OL9" i="7"/>
  <c r="QA10" i="7"/>
  <c r="JA11" i="7"/>
  <c r="ADJ11" i="7"/>
  <c r="DR10" i="7"/>
  <c r="XE11" i="7"/>
  <c r="XW9" i="7"/>
  <c r="OA11" i="7"/>
  <c r="OZ12" i="7"/>
  <c r="AEB9" i="7"/>
  <c r="RD11" i="7"/>
  <c r="FE12" i="7"/>
  <c r="YW12" i="7"/>
  <c r="AES9" i="7"/>
  <c r="AFA10" i="7"/>
  <c r="RM11" i="7"/>
  <c r="ALE11" i="7"/>
  <c r="SL12" i="7"/>
  <c r="WD9" i="7"/>
  <c r="AAQ9" i="7"/>
  <c r="AEZ9" i="7"/>
  <c r="AFD8" i="7"/>
  <c r="BW10" i="7"/>
  <c r="AH11" i="7"/>
  <c r="WH11" i="7"/>
  <c r="DO12" i="7"/>
  <c r="IH11" i="7"/>
  <c r="I9" i="7"/>
  <c r="DC11" i="7"/>
  <c r="FL12" i="7"/>
  <c r="JC9" i="7"/>
  <c r="GR11" i="7"/>
  <c r="Y12" i="7"/>
  <c r="UG12" i="7"/>
  <c r="VM9" i="7"/>
  <c r="WL10" i="7"/>
  <c r="AIY9" i="7"/>
  <c r="TO11" i="7"/>
  <c r="UN12" i="7"/>
  <c r="CS10" i="7"/>
  <c r="WR11" i="7"/>
  <c r="IG12" i="7"/>
  <c r="YW8" i="7"/>
  <c r="AKW9" i="7"/>
  <c r="YR10" i="7"/>
  <c r="ACX10" i="7"/>
  <c r="AJW11" i="7"/>
  <c r="AKV12" i="7"/>
  <c r="AHW10" i="7"/>
  <c r="AHL11" i="7"/>
  <c r="PY12" i="7"/>
  <c r="LP9" i="7"/>
  <c r="NV10" i="7"/>
  <c r="SW9" i="7"/>
  <c r="LE11" i="7"/>
  <c r="MN12" i="7"/>
  <c r="ZD9" i="7"/>
  <c r="OR11" i="7"/>
  <c r="DY12" i="7"/>
  <c r="XQ12" i="7"/>
  <c r="ACG9" i="7"/>
  <c r="ACZ10" i="7"/>
  <c r="QG11" i="7"/>
  <c r="AJY11" i="7"/>
  <c r="RF12" i="7"/>
  <c r="TR9" i="7"/>
  <c r="YE9" i="7"/>
  <c r="ACN9" i="7"/>
  <c r="AAQ8" i="7"/>
  <c r="K10" i="7"/>
  <c r="AKR10" i="7"/>
  <c r="VB11" i="7"/>
  <c r="CI12" i="7"/>
  <c r="FM11" i="7"/>
  <c r="ADE8" i="7"/>
  <c r="J11" i="7"/>
  <c r="CZ12" i="7"/>
  <c r="BH9" i="7"/>
  <c r="DW11" i="7"/>
  <c r="ALD11" i="7"/>
  <c r="TA12" i="7"/>
  <c r="ZM11" i="7"/>
  <c r="ABD8" i="7"/>
  <c r="DT9" i="7"/>
  <c r="QO9" i="7"/>
  <c r="KC11" i="7"/>
  <c r="HJ10" i="7"/>
  <c r="ON12" i="7"/>
  <c r="EH13" i="7"/>
  <c r="YH13" i="7"/>
  <c r="FO14" i="7"/>
  <c r="SU10" i="7"/>
  <c r="AET11" i="7"/>
  <c r="AAO12" i="7"/>
  <c r="JG13" i="7"/>
  <c r="ACY13" i="7"/>
  <c r="KF14" i="7"/>
  <c r="NM11" i="7"/>
  <c r="NC12" i="7"/>
  <c r="AR13" i="7"/>
  <c r="UJ13" i="7"/>
  <c r="BQ14" i="7"/>
  <c r="AJQ10" i="7"/>
  <c r="NG10" i="7"/>
  <c r="Q11" i="7"/>
  <c r="QJ11" i="7"/>
  <c r="ZU11" i="7"/>
  <c r="ACI8" i="7"/>
  <c r="EU9" i="7"/>
  <c r="RG9" i="7"/>
  <c r="KL11" i="7"/>
  <c r="IP10" i="7"/>
  <c r="OY12" i="7"/>
  <c r="EP13" i="7"/>
  <c r="YP13" i="7"/>
  <c r="FW14" i="7"/>
  <c r="UA10" i="7"/>
  <c r="AFJ11" i="7"/>
  <c r="AAY12" i="7"/>
  <c r="JO13" i="7"/>
  <c r="ADG13" i="7"/>
  <c r="KN14" i="7"/>
  <c r="OE11" i="7"/>
  <c r="NQ12" i="7"/>
  <c r="AZ13" i="7"/>
  <c r="UR13" i="7"/>
  <c r="BY14" i="7"/>
  <c r="AKP10" i="7"/>
  <c r="OM10" i="7"/>
  <c r="AP11" i="7"/>
  <c r="QZ11" i="7"/>
  <c r="PW12" i="7"/>
  <c r="CK13" i="7"/>
  <c r="FQ11" i="7"/>
  <c r="HR12" i="7"/>
  <c r="T9" i="7"/>
  <c r="MV9" i="7"/>
  <c r="TS10" i="7"/>
  <c r="AFF11" i="7"/>
  <c r="AAW11" i="7"/>
  <c r="AFN12" i="7"/>
  <c r="PB13" i="7"/>
  <c r="AIT13" i="7"/>
  <c r="QA14" i="7"/>
  <c r="MA11" i="7"/>
  <c r="MC12" i="7"/>
  <c r="AA13" i="7"/>
  <c r="TS13" i="7"/>
  <c r="AZ14" i="7"/>
  <c r="AAJ10" i="7"/>
  <c r="AIM11" i="7"/>
  <c r="ZV7" i="7"/>
  <c r="ZU8" i="7"/>
  <c r="CI7" i="7"/>
  <c r="ALM6" i="7"/>
  <c r="PQ7" i="7"/>
  <c r="ES8" i="7"/>
  <c r="HQ9" i="7"/>
  <c r="CB9" i="7"/>
  <c r="MF8" i="7"/>
  <c r="VB8" i="7"/>
  <c r="KK5" i="7"/>
  <c r="KK21" i="7" s="1"/>
  <c r="VM8" i="7"/>
  <c r="LF11" i="7"/>
  <c r="XN10" i="7"/>
  <c r="JC10" i="7"/>
  <c r="JA8" i="7"/>
  <c r="TW7" i="7"/>
  <c r="ZI10" i="7"/>
  <c r="OD7" i="7"/>
  <c r="HL9" i="7"/>
  <c r="KR8" i="7"/>
  <c r="VR8" i="7"/>
  <c r="AIV9" i="7"/>
  <c r="AGB7" i="7"/>
  <c r="WF6" i="7"/>
  <c r="VI10" i="7"/>
  <c r="DB7" i="7"/>
  <c r="EZ9" i="7"/>
  <c r="KH11" i="7"/>
  <c r="WP10" i="7"/>
  <c r="IE10" i="7"/>
  <c r="JZ10" i="7"/>
  <c r="ACS7" i="7"/>
  <c r="LL10" i="7"/>
  <c r="WQ11" i="7"/>
  <c r="IW10" i="7"/>
  <c r="GP10" i="7"/>
  <c r="TT8" i="7"/>
  <c r="JH10" i="7"/>
  <c r="UM11" i="7"/>
  <c r="EO10" i="7"/>
  <c r="BZ10" i="7"/>
  <c r="LG8" i="7"/>
  <c r="HD10" i="7"/>
  <c r="SI11" i="7"/>
  <c r="AG10" i="7"/>
  <c r="BP9" i="7"/>
  <c r="AGE10" i="7"/>
  <c r="ACQ9" i="7"/>
  <c r="RJ10" i="7"/>
  <c r="JD8" i="7"/>
  <c r="PD10" i="7"/>
  <c r="MG9" i="7"/>
  <c r="ACW8" i="7"/>
  <c r="AAU8" i="7"/>
  <c r="YM10" i="7"/>
  <c r="AT8" i="7"/>
  <c r="AKY9" i="7"/>
  <c r="FO9" i="7"/>
  <c r="AKQ8" i="7"/>
  <c r="AIX7" i="7"/>
  <c r="DZ9" i="7"/>
  <c r="NP10" i="7"/>
  <c r="QV10" i="7"/>
  <c r="ALC11" i="7"/>
  <c r="DI9" i="7"/>
  <c r="KE11" i="7"/>
  <c r="RC11" i="7"/>
  <c r="RM10" i="7"/>
  <c r="QW12" i="7"/>
  <c r="ZN10" i="7"/>
  <c r="DB12" i="7"/>
  <c r="AU9" i="7"/>
  <c r="YG9" i="7"/>
  <c r="DB11" i="7"/>
  <c r="CL10" i="7"/>
  <c r="ABR12" i="7"/>
  <c r="NQ11" i="7"/>
  <c r="KS10" i="7"/>
  <c r="JU12" i="7"/>
  <c r="BN10" i="7"/>
  <c r="WC11" i="7"/>
  <c r="XB12" i="7"/>
  <c r="AEY8" i="7"/>
  <c r="HW9" i="7"/>
  <c r="GF11" i="7"/>
  <c r="AGG9" i="7"/>
  <c r="ND9" i="7"/>
  <c r="KB12" i="7"/>
  <c r="LY11" i="7"/>
  <c r="WK12" i="7"/>
  <c r="AAT10" i="7"/>
  <c r="AIS11" i="7"/>
  <c r="QX9" i="7"/>
  <c r="AAB9" i="7"/>
  <c r="AJJ9" i="7"/>
  <c r="TV11" i="7"/>
  <c r="CQ11" i="7"/>
  <c r="AHV10" i="7"/>
  <c r="AFO8" i="7"/>
  <c r="AJP11" i="7"/>
  <c r="QE9" i="7"/>
  <c r="ZC9" i="7"/>
  <c r="PP12" i="7"/>
  <c r="RT11" i="7"/>
  <c r="ZM12" i="7"/>
  <c r="AFZ10" i="7"/>
  <c r="AEY11" i="7"/>
  <c r="ZM10" i="7"/>
  <c r="NM12" i="7"/>
  <c r="IX10" i="7"/>
  <c r="FO11" i="7"/>
  <c r="OS9" i="7"/>
  <c r="BE12" i="7"/>
  <c r="XI9" i="7"/>
  <c r="NT11" i="7"/>
  <c r="OT12" i="7"/>
  <c r="TG9" i="7"/>
  <c r="ABY9" i="7"/>
  <c r="AGV10" i="7"/>
  <c r="W12" i="7"/>
  <c r="ZH10" i="7"/>
  <c r="AKM11" i="7"/>
  <c r="AIV10" i="7"/>
  <c r="QO12" i="7"/>
  <c r="VN12" i="7"/>
  <c r="CY9" i="7"/>
  <c r="GQ12" i="7"/>
  <c r="BN13" i="7"/>
  <c r="DC14" i="7"/>
  <c r="ZV11" i="7"/>
  <c r="GU13" i="7"/>
  <c r="HT14" i="7"/>
  <c r="JG12" i="7"/>
  <c r="RX13" i="7"/>
  <c r="ABQ10" i="7"/>
  <c r="AED10" i="7"/>
  <c r="UW11" i="7"/>
  <c r="AAK8" i="7"/>
  <c r="EV11" i="7"/>
  <c r="KO12" i="7"/>
  <c r="WD13" i="7"/>
  <c r="KE10" i="7"/>
  <c r="XL12" i="7"/>
  <c r="AAU13" i="7"/>
  <c r="IO11" i="7"/>
  <c r="AKX12" i="7"/>
  <c r="M14" i="7"/>
  <c r="EQ10" i="7"/>
  <c r="LT11" i="7"/>
  <c r="Y13" i="7"/>
  <c r="CT12" i="7"/>
  <c r="AKI8" i="7"/>
  <c r="AAH11" i="7"/>
  <c r="ACJ12" i="7"/>
  <c r="AGH13" i="7"/>
  <c r="GK11" i="7"/>
  <c r="AJU12" i="7"/>
  <c r="AKY13" i="7"/>
  <c r="ADO11" i="7"/>
  <c r="BH13" i="7"/>
  <c r="XL13" i="7"/>
  <c r="HE14" i="7"/>
  <c r="RV10" i="7"/>
  <c r="DP10" i="7"/>
  <c r="GV11" i="7"/>
  <c r="ABQ11" i="7"/>
  <c r="LQ9" i="7"/>
  <c r="XE8" i="7"/>
  <c r="MI10" i="7"/>
  <c r="AGL11" i="7"/>
  <c r="AT12" i="7"/>
  <c r="CL13" i="7"/>
  <c r="ZF13" i="7"/>
  <c r="IY14" i="7"/>
  <c r="HK11" i="7"/>
  <c r="OD12" i="7"/>
  <c r="ABW9" i="7"/>
  <c r="KK9" i="7"/>
  <c r="RZ11" i="7"/>
  <c r="JS11" i="7"/>
  <c r="ADB12" i="7"/>
  <c r="PR13" i="7"/>
  <c r="K14" i="7"/>
  <c r="EA10" i="7"/>
  <c r="ACG11" i="7"/>
  <c r="XZ9" i="7"/>
  <c r="DW9" i="7"/>
  <c r="XK10" i="7"/>
  <c r="O12" i="7"/>
  <c r="IC12" i="7"/>
  <c r="DJ13" i="7"/>
  <c r="ZV13" i="7"/>
  <c r="MA14" i="7"/>
  <c r="IM11" i="7"/>
  <c r="PB12" i="7"/>
  <c r="ADS9" i="7"/>
  <c r="MW9" i="7"/>
  <c r="NY11" i="7"/>
  <c r="S11" i="7"/>
  <c r="ADU12" i="7"/>
  <c r="QH13" i="7"/>
  <c r="AA14" i="7"/>
  <c r="ACE8" i="7"/>
  <c r="AJA11" i="7"/>
  <c r="ABR9" i="7"/>
  <c r="JN9" i="7"/>
  <c r="AJH10" i="7"/>
  <c r="GI12" i="7"/>
  <c r="NZ12" i="7"/>
  <c r="GT13" i="7"/>
  <c r="ACX13" i="7"/>
  <c r="MQ14" i="7"/>
  <c r="JX11" i="7"/>
  <c r="SN12" i="7"/>
  <c r="GM13" i="7"/>
  <c r="ACQ13" i="7"/>
  <c r="AFO9" i="7"/>
  <c r="WU11" i="7"/>
  <c r="YL12" i="7"/>
  <c r="KF13" i="7"/>
  <c r="AIV13" i="7"/>
  <c r="AAK10" i="7"/>
  <c r="MA10" i="7"/>
  <c r="ALD9" i="7"/>
  <c r="IN11" i="7"/>
  <c r="DK13" i="7"/>
  <c r="JH14" i="7"/>
  <c r="ABB12" i="7"/>
  <c r="AIF13" i="7"/>
  <c r="JO10" i="7"/>
  <c r="UR11" i="7"/>
  <c r="ABQ12" i="7"/>
  <c r="PI13" i="7"/>
  <c r="VG11" i="7"/>
  <c r="OJ13" i="7"/>
  <c r="OA14" i="7"/>
  <c r="AKT14" i="7"/>
  <c r="UM15" i="7"/>
  <c r="XN12" i="7"/>
  <c r="AFU13" i="7"/>
  <c r="XG14" i="7"/>
  <c r="AEG11" i="7"/>
  <c r="NZ13" i="7"/>
  <c r="NT14" i="7"/>
  <c r="AKN14" i="7"/>
  <c r="ABW12" i="7"/>
  <c r="OW12" i="7"/>
  <c r="BA12" i="7"/>
  <c r="AHI11" i="7"/>
  <c r="TZ11" i="7"/>
  <c r="IU13" i="7"/>
  <c r="GS14" i="7"/>
  <c r="AKV15" i="7"/>
  <c r="PS15" i="7"/>
  <c r="ABS14" i="7"/>
  <c r="AKO14" i="7"/>
  <c r="ACF13" i="7"/>
  <c r="QZ14" i="7"/>
  <c r="AGK14" i="7"/>
  <c r="RZ13" i="7"/>
  <c r="KX14" i="7"/>
  <c r="ADO15" i="7"/>
  <c r="HK15" i="7"/>
  <c r="TR11" i="7"/>
  <c r="DS13" i="7"/>
  <c r="ER14" i="7"/>
  <c r="DL12" i="7"/>
  <c r="OV13" i="7"/>
  <c r="PI10" i="7"/>
  <c r="SJ10" i="7"/>
  <c r="AGZ11" i="7"/>
  <c r="AFD12" i="7"/>
  <c r="PQ13" i="7"/>
  <c r="MK11" i="7"/>
  <c r="AF13" i="7"/>
  <c r="X14" i="7"/>
  <c r="YT14" i="7"/>
  <c r="GA15" i="7"/>
  <c r="ZS15" i="7"/>
  <c r="AEP12" i="7"/>
  <c r="AGK13" i="7"/>
  <c r="VC14" i="7"/>
  <c r="CJ15" i="7"/>
  <c r="AGT12" i="7"/>
  <c r="AIA13" i="7"/>
  <c r="WB14" i="7"/>
  <c r="DG11" i="7"/>
  <c r="AIF12" i="7"/>
  <c r="PV12" i="7"/>
  <c r="AEV11" i="7"/>
  <c r="DS11" i="7"/>
  <c r="AIN12" i="7"/>
  <c r="TF12" i="7"/>
  <c r="YE13" i="7"/>
  <c r="QU14" i="7"/>
  <c r="ADD15" i="7"/>
  <c r="GX15" i="7"/>
  <c r="LH14" i="7"/>
  <c r="XJ14" i="7"/>
  <c r="AA15" i="7"/>
  <c r="AZ11" i="7"/>
  <c r="AHI12" i="7"/>
  <c r="AIU13" i="7"/>
  <c r="ZG11" i="7"/>
  <c r="GN13" i="7"/>
  <c r="HM14" i="7"/>
  <c r="AJA10" i="7"/>
  <c r="WN11" i="7"/>
  <c r="YT12" i="7"/>
  <c r="KS13" i="7"/>
  <c r="AES13" i="7"/>
  <c r="ACH12" i="7"/>
  <c r="AEJ13" i="7"/>
  <c r="UD14" i="7"/>
  <c r="BK15" i="7"/>
  <c r="VC15" i="7"/>
  <c r="RQ12" i="7"/>
  <c r="XE13" i="7"/>
  <c r="QE14" i="7"/>
  <c r="AKE14" i="7"/>
  <c r="UR12" i="7"/>
  <c r="ZB13" i="7"/>
  <c r="RH14" i="7"/>
  <c r="ALD14" i="7"/>
  <c r="WQ12" i="7"/>
  <c r="L12" i="7"/>
  <c r="MC11" i="7"/>
  <c r="AC13" i="7"/>
  <c r="XD12" i="7"/>
  <c r="DS12" i="7"/>
  <c r="OY13" i="7"/>
  <c r="LJ14" i="7"/>
  <c r="AHT15" i="7"/>
  <c r="MF15" i="7"/>
  <c r="VO14" i="7"/>
  <c r="AFQ14" i="7"/>
  <c r="PX13" i="7"/>
  <c r="JL14" i="7"/>
  <c r="UZ12" i="7"/>
  <c r="ZG13" i="7"/>
  <c r="FA11" i="7"/>
  <c r="AJD12" i="7"/>
  <c r="AKJ13" i="7"/>
  <c r="AKX9" i="7"/>
  <c r="IG11" i="7"/>
  <c r="QK12" i="7"/>
  <c r="FM13" i="7"/>
  <c r="AAC13" i="7"/>
  <c r="OI12" i="7"/>
  <c r="VD13" i="7"/>
  <c r="PB14" i="7"/>
  <c r="AJF14" i="7"/>
  <c r="YY10" i="7"/>
  <c r="ACK12" i="7"/>
  <c r="AEM13" i="7"/>
  <c r="QQ11" i="7"/>
  <c r="CF13" i="7"/>
  <c r="DE14" i="7"/>
  <c r="TK10" i="7"/>
  <c r="SF11" i="7"/>
  <c r="VI12" i="7"/>
  <c r="IO13" i="7"/>
  <c r="ACW13" i="7"/>
  <c r="XF12" i="7"/>
  <c r="AAR13" i="7"/>
  <c r="SG14" i="7"/>
  <c r="O15" i="7"/>
  <c r="DP11" i="7"/>
  <c r="AIK12" i="7"/>
  <c r="AJS13" i="7"/>
  <c r="ABC11" i="7"/>
  <c r="HL13" i="7"/>
  <c r="IK14" i="7"/>
  <c r="M11" i="7"/>
  <c r="YJ11" i="7"/>
  <c r="AAA12" i="7"/>
  <c r="LQ13" i="7"/>
  <c r="AFQ13" i="7"/>
  <c r="AEK12" i="7"/>
  <c r="AGF13" i="7"/>
  <c r="VB14" i="7"/>
  <c r="CI15" i="7"/>
  <c r="RV11" i="7"/>
  <c r="CU13" i="7"/>
  <c r="DT14" i="7"/>
  <c r="BP12" i="7"/>
  <c r="NX13" i="7"/>
  <c r="LQ10" i="7"/>
  <c r="OR10" i="7"/>
  <c r="AEN11" i="7"/>
  <c r="ADS12" i="7"/>
  <c r="OS13" i="7"/>
  <c r="IF11" i="7"/>
  <c r="AKS12" i="7"/>
  <c r="AKV13" i="7"/>
  <c r="XV14" i="7"/>
  <c r="FC15" i="7"/>
  <c r="ACH11" i="7"/>
  <c r="IA13" i="7"/>
  <c r="IZ14" i="7"/>
  <c r="LE12" i="7"/>
  <c r="TD13" i="7"/>
  <c r="AFR10" i="7"/>
  <c r="AIC10" i="7"/>
  <c r="ALH11" i="7"/>
  <c r="AHP12" i="7"/>
  <c r="RM13" i="7"/>
  <c r="UA11" i="7"/>
  <c r="DX13" i="7"/>
  <c r="CX14" i="7"/>
  <c r="AAP14" i="7"/>
  <c r="HW15" i="7"/>
  <c r="EJ11" i="7"/>
  <c r="AIV12" i="7"/>
  <c r="AJM13" i="7"/>
  <c r="WY14" i="7"/>
  <c r="IQ11" i="7"/>
  <c r="AKZ12" i="7"/>
  <c r="ALA13" i="7"/>
  <c r="XX14" i="7"/>
  <c r="LR11" i="7"/>
  <c r="W13" i="7"/>
  <c r="VS12" i="7"/>
  <c r="U12" i="7"/>
  <c r="ME11" i="7"/>
  <c r="AD13" i="7"/>
  <c r="ZC12" i="7"/>
  <c r="ABW13" i="7"/>
  <c r="SW14" i="7"/>
  <c r="ABH15" i="7"/>
  <c r="EV15" i="7"/>
  <c r="FR14" i="7"/>
  <c r="TR14" i="7"/>
  <c r="AJL14" i="7"/>
  <c r="AAI15" i="7"/>
  <c r="AHL13" i="7"/>
  <c r="DA11" i="7"/>
  <c r="AIZ13" i="7"/>
  <c r="GB11" i="7"/>
  <c r="RW12" i="7"/>
  <c r="GN11" i="7"/>
  <c r="VG12" i="7"/>
  <c r="RM14" i="7"/>
  <c r="GF15" i="7"/>
  <c r="WD14" i="7"/>
  <c r="P14" i="7"/>
  <c r="PI14" i="7"/>
  <c r="ABZ14" i="7"/>
  <c r="AIU15" i="7"/>
  <c r="JW15" i="7"/>
  <c r="NF5" i="7"/>
  <c r="VI8" i="7"/>
  <c r="HL8" i="7"/>
  <c r="ALC6" i="7"/>
  <c r="AIV8" i="7"/>
  <c r="ACC6" i="7"/>
  <c r="PW10" i="7"/>
  <c r="P7" i="7"/>
  <c r="UI8" i="7"/>
  <c r="AIX9" i="7"/>
  <c r="FD7" i="7"/>
  <c r="AFV8" i="7"/>
  <c r="AE9" i="7"/>
  <c r="FA8" i="7"/>
  <c r="AFG10" i="7"/>
  <c r="AEX6" i="7"/>
  <c r="DB9" i="7"/>
  <c r="AKE7" i="7"/>
  <c r="LO8" i="7"/>
  <c r="AGB9" i="7"/>
  <c r="RU7" i="7"/>
  <c r="SK7" i="7"/>
  <c r="SO10" i="7"/>
  <c r="NR9" i="7"/>
  <c r="AIP8" i="7"/>
  <c r="AEQ7" i="7"/>
  <c r="GA8" i="7"/>
  <c r="AEN9" i="7"/>
  <c r="ALD8" i="7"/>
  <c r="BI8" i="7"/>
  <c r="AEI10" i="7"/>
  <c r="ACN8" i="7"/>
  <c r="OH8" i="7"/>
  <c r="CF9" i="7"/>
  <c r="GJ12" i="7"/>
  <c r="HS11" i="7"/>
  <c r="WK8" i="7"/>
  <c r="FR8" i="7"/>
  <c r="AHS8" i="7"/>
  <c r="EF12" i="7"/>
  <c r="FG11" i="7"/>
  <c r="HM8" i="7"/>
  <c r="AIG7" i="7"/>
  <c r="ZW8" i="7"/>
  <c r="CB12" i="7"/>
  <c r="CU11" i="7"/>
  <c r="MD10" i="7"/>
  <c r="AJG7" i="7"/>
  <c r="MJ10" i="7"/>
  <c r="CS9" i="7"/>
  <c r="XW8" i="7"/>
  <c r="OR8" i="7"/>
  <c r="TG10" i="7"/>
  <c r="VW9" i="7"/>
  <c r="EL10" i="7"/>
  <c r="UK8" i="7"/>
  <c r="O9" i="7"/>
  <c r="KV10" i="7"/>
  <c r="V10" i="7"/>
  <c r="AHR9" i="7"/>
  <c r="MV8" i="7"/>
  <c r="WM9" i="7"/>
  <c r="WM8" i="7"/>
  <c r="DU11" i="7"/>
  <c r="KZ12" i="7"/>
  <c r="AKV9" i="7"/>
  <c r="ZL11" i="7"/>
  <c r="DH12" i="7"/>
  <c r="UF11" i="7"/>
  <c r="K9" i="7"/>
  <c r="IV11" i="7"/>
  <c r="PJ12" i="7"/>
  <c r="ADW8" i="7"/>
  <c r="TJ9" i="7"/>
  <c r="QT11" i="7"/>
  <c r="MN11" i="7"/>
  <c r="FF13" i="7"/>
  <c r="EV12" i="7"/>
  <c r="LP11" i="7"/>
  <c r="WC12" i="7"/>
  <c r="AAD10" i="7"/>
  <c r="AIK11" i="7"/>
  <c r="QF9" i="7"/>
  <c r="ZL9" i="7"/>
  <c r="AIT9" i="7"/>
  <c r="TN11" i="7"/>
  <c r="BQ11" i="7"/>
  <c r="YV10" i="7"/>
  <c r="AIR12" i="7"/>
  <c r="AGN11" i="7"/>
  <c r="JD9" i="7"/>
  <c r="GS11" i="7"/>
  <c r="IP12" i="7"/>
  <c r="CT9" i="7"/>
  <c r="PC9" i="7"/>
  <c r="VO10" i="7"/>
  <c r="AGD11" i="7"/>
  <c r="ACS11" i="7"/>
  <c r="YE11" i="7"/>
  <c r="LY10" i="7"/>
  <c r="KK12" i="7"/>
  <c r="CT10" i="7"/>
  <c r="AIJ10" i="7"/>
  <c r="AGR8" i="7"/>
  <c r="AJX11" i="7"/>
  <c r="QW9" i="7"/>
  <c r="ACE9" i="7"/>
  <c r="RD12" i="7"/>
  <c r="TH11" i="7"/>
  <c r="ZU12" i="7"/>
  <c r="AGN10" i="7"/>
  <c r="AFG11" i="7"/>
  <c r="AAC10" i="7"/>
  <c r="NU12" i="7"/>
  <c r="JN10" i="7"/>
  <c r="AAC11" i="7"/>
  <c r="ADL8" i="7"/>
  <c r="FU9" i="7"/>
  <c r="RY9" i="7"/>
  <c r="KU11" i="7"/>
  <c r="JV10" i="7"/>
  <c r="AV10" i="7"/>
  <c r="WR12" i="7"/>
  <c r="YV11" i="7"/>
  <c r="EP11" i="7"/>
  <c r="AJH8" i="7"/>
  <c r="RW10" i="7"/>
  <c r="ZA11" i="7"/>
  <c r="OL13" i="7"/>
  <c r="PK14" i="7"/>
  <c r="LD12" i="7"/>
  <c r="TC13" i="7"/>
  <c r="XX10" i="7"/>
  <c r="ACC12" i="7"/>
  <c r="AEF13" i="7"/>
  <c r="ZF10" i="7"/>
  <c r="ADF10" i="7"/>
  <c r="HB12" i="7"/>
  <c r="LD9" i="7"/>
  <c r="AEP11" i="7"/>
  <c r="AFE12" i="7"/>
  <c r="AIL13" i="7"/>
  <c r="LI11" i="7"/>
  <c r="S13" i="7"/>
  <c r="AR14" i="7"/>
  <c r="AHW11" i="7"/>
  <c r="KV13" i="7"/>
  <c r="I10" i="7"/>
  <c r="CJ10" i="7"/>
  <c r="AKR11" i="7"/>
  <c r="MG13" i="7"/>
  <c r="AEO8" i="7"/>
  <c r="SR9" i="7"/>
  <c r="LB10" i="7"/>
  <c r="EX13" i="7"/>
  <c r="GE14" i="7"/>
  <c r="AFZ11" i="7"/>
  <c r="JW13" i="7"/>
  <c r="KV14" i="7"/>
  <c r="OE12" i="7"/>
  <c r="DT13" i="7"/>
  <c r="ZX13" i="7"/>
  <c r="JQ14" i="7"/>
  <c r="ABR10" i="7"/>
  <c r="XH10" i="7"/>
  <c r="MM11" i="7"/>
  <c r="AGO11" i="7"/>
  <c r="WT9" i="7"/>
  <c r="BW9" i="7"/>
  <c r="WE10" i="7"/>
  <c r="ALJ11" i="7"/>
  <c r="LN12" i="7"/>
  <c r="FN13" i="7"/>
  <c r="ABR13" i="7"/>
  <c r="LK14" i="7"/>
  <c r="NA11" i="7"/>
  <c r="TB12" i="7"/>
  <c r="AIJ8" i="7"/>
  <c r="AFR9" i="7"/>
  <c r="WX11" i="7"/>
  <c r="UC11" i="7"/>
  <c r="AGG12" i="7"/>
  <c r="SD13" i="7"/>
  <c r="BW14" i="7"/>
  <c r="XY12" i="7"/>
  <c r="R12" i="7"/>
  <c r="ABM8" i="7"/>
  <c r="RF9" i="7"/>
  <c r="AGH10" i="7"/>
  <c r="EM12" i="7"/>
  <c r="NA12" i="7"/>
  <c r="GD13" i="7"/>
  <c r="AET13" i="7"/>
  <c r="OM14" i="7"/>
  <c r="OC11" i="7"/>
  <c r="TZ12" i="7"/>
  <c r="ALG8" i="7"/>
  <c r="XR9" i="7"/>
  <c r="SX11" i="7"/>
  <c r="VY11" i="7"/>
  <c r="AGY12" i="7"/>
  <c r="ST13" i="7"/>
  <c r="CM14" i="7"/>
  <c r="AH10" i="7"/>
  <c r="BN12" i="7"/>
  <c r="AIH8" i="7"/>
  <c r="XF8" i="7"/>
  <c r="EC11" i="7"/>
  <c r="GD10" i="7"/>
  <c r="SM12" i="7"/>
  <c r="JF13" i="7"/>
  <c r="AFJ13" i="7"/>
  <c r="PC14" i="7"/>
  <c r="UH11" i="7"/>
  <c r="WM12" i="7"/>
  <c r="IY13" i="7"/>
  <c r="AFC13" i="7"/>
  <c r="CZ10" i="7"/>
  <c r="ABS11" i="7"/>
  <c r="ABT12" i="7"/>
  <c r="PD13" i="7"/>
  <c r="ALH13" i="7"/>
  <c r="AIR10" i="7"/>
  <c r="VW10" i="7"/>
  <c r="IO10" i="7"/>
  <c r="TB11" i="7"/>
  <c r="II13" i="7"/>
  <c r="UF10" i="7"/>
  <c r="AGR12" i="7"/>
  <c r="AS14" i="7"/>
  <c r="ADD10" i="7"/>
  <c r="AAF11" i="7"/>
  <c r="AEU12" i="7"/>
  <c r="RU13" i="7"/>
  <c r="CN12" i="7"/>
  <c r="TH13" i="7"/>
  <c r="QV14" i="7"/>
  <c r="AU15" i="7"/>
  <c r="WY15" i="7"/>
  <c r="ADX12" i="7"/>
  <c r="AJX13" i="7"/>
  <c r="ACE14" i="7"/>
  <c r="BR12" i="7"/>
  <c r="SX13" i="7"/>
  <c r="QO14" i="7"/>
  <c r="AO15" i="7"/>
  <c r="AHN12" i="7"/>
  <c r="WU12" i="7"/>
  <c r="SE12" i="7"/>
  <c r="ET12" i="7"/>
  <c r="ADV11" i="7"/>
  <c r="NS13" i="7"/>
  <c r="KP14" i="7"/>
  <c r="AIJ15" i="7"/>
  <c r="MX15" i="7"/>
  <c r="WU14" i="7"/>
  <c r="AGP14" i="7"/>
  <c r="SJ13" i="7"/>
  <c r="LF14" i="7"/>
  <c r="ACO14" i="7"/>
  <c r="DY15" i="7"/>
  <c r="DF14" i="7"/>
  <c r="ABC15" i="7"/>
  <c r="EP15" i="7"/>
  <c r="ADN11" i="7"/>
  <c r="IQ13" i="7"/>
  <c r="JP14" i="7"/>
  <c r="MD12" i="7"/>
  <c r="TT13" i="7"/>
  <c r="AHP10" i="7"/>
  <c r="AKA10" i="7"/>
  <c r="AC12" i="7"/>
  <c r="AIH12" i="7"/>
  <c r="SC13" i="7"/>
  <c r="WM11" i="7"/>
  <c r="FD13" i="7"/>
  <c r="DW14" i="7"/>
  <c r="ABF14" i="7"/>
  <c r="IM15" i="7"/>
  <c r="HE11" i="7"/>
  <c r="AKG12" i="7"/>
  <c r="AKL13" i="7"/>
  <c r="XO14" i="7"/>
  <c r="LL11" i="7"/>
  <c r="V13" i="7"/>
  <c r="O14" i="7"/>
  <c r="YN14" i="7"/>
  <c r="OL11" i="7"/>
  <c r="BC13" i="7"/>
  <c r="XT12" i="7"/>
  <c r="CG12" i="7"/>
  <c r="OW11" i="7"/>
  <c r="BJ13" i="7"/>
  <c r="AAU12" i="7"/>
  <c r="ADC13" i="7"/>
  <c r="TM14" i="7"/>
  <c r="AAP15" i="7"/>
  <c r="EC15" i="7"/>
  <c r="DQ14" i="7"/>
  <c r="SK14" i="7"/>
  <c r="AIM14" i="7"/>
  <c r="MS11" i="7"/>
  <c r="AI13" i="7"/>
  <c r="BH14" i="7"/>
  <c r="AJC11" i="7"/>
  <c r="LL13" i="7"/>
  <c r="BU10" i="7"/>
  <c r="EV10" i="7"/>
  <c r="ACB11" i="7"/>
  <c r="ACI12" i="7"/>
  <c r="NM13" i="7"/>
  <c r="CN11" i="7"/>
  <c r="AHX12" i="7"/>
  <c r="AIX13" i="7"/>
  <c r="WP14" i="7"/>
  <c r="DW15" i="7"/>
  <c r="XO15" i="7"/>
  <c r="ZK12" i="7"/>
  <c r="ACC13" i="7"/>
  <c r="SY14" i="7"/>
  <c r="AF15" i="7"/>
  <c r="ABV12" i="7"/>
  <c r="ADZ13" i="7"/>
  <c r="TX14" i="7"/>
  <c r="BE15" i="7"/>
  <c r="ADH12" i="7"/>
  <c r="IZ12" i="7"/>
  <c r="WF11" i="7"/>
  <c r="FA13" i="7"/>
  <c r="ADP12" i="7"/>
  <c r="MJ12" i="7"/>
  <c r="TW13" i="7"/>
  <c r="OI14" i="7"/>
  <c r="AFH15" i="7"/>
  <c r="JJ15" i="7"/>
  <c r="QJ14" i="7"/>
  <c r="ABR14" i="7"/>
  <c r="DI15" i="7"/>
  <c r="XS10" i="7"/>
  <c r="ACB12" i="7"/>
  <c r="AEE13" i="7"/>
  <c r="QA11" i="7"/>
  <c r="BX13" i="7"/>
  <c r="UO8" i="7"/>
  <c r="YD8" i="7"/>
  <c r="JX8" i="7"/>
  <c r="DP7" i="7"/>
  <c r="ALH8" i="7"/>
  <c r="LG7" i="7"/>
  <c r="SI10" i="7"/>
  <c r="GA9" i="7"/>
  <c r="ZD8" i="7"/>
  <c r="ALJ9" i="7"/>
  <c r="SB8" i="7"/>
  <c r="AKO8" i="7"/>
  <c r="RK9" i="7"/>
  <c r="AJF8" i="7"/>
  <c r="AHQ7" i="7"/>
  <c r="TE8" i="7"/>
  <c r="TL9" i="7"/>
  <c r="AIN8" i="7"/>
  <c r="CZ9" i="7"/>
  <c r="FY10" i="7"/>
  <c r="AAE8" i="7"/>
  <c r="AHB7" i="7"/>
  <c r="AEW10" i="7"/>
  <c r="ET8" i="7"/>
  <c r="OW9" i="7"/>
  <c r="AFK8" i="7"/>
  <c r="AF9" i="7"/>
  <c r="EK10" i="7"/>
  <c r="QI9" i="7"/>
  <c r="AHR8" i="7"/>
  <c r="ABM7" i="7"/>
  <c r="YD9" i="7"/>
  <c r="AO9" i="7"/>
  <c r="AFG9" i="7"/>
  <c r="SR12" i="7"/>
  <c r="UV11" i="7"/>
  <c r="UT9" i="7"/>
  <c r="AJN8" i="7"/>
  <c r="AAY9" i="7"/>
  <c r="QN12" i="7"/>
  <c r="SR11" i="7"/>
  <c r="PR9" i="7"/>
  <c r="AFS8" i="7"/>
  <c r="WQ9" i="7"/>
  <c r="OJ12" i="7"/>
  <c r="QN11" i="7"/>
  <c r="AKT10" i="7"/>
  <c r="NA8" i="7"/>
  <c r="AHQ10" i="7"/>
  <c r="AFN9" i="7"/>
  <c r="GL9" i="7"/>
  <c r="RT9" i="7"/>
  <c r="AIW7" i="7"/>
  <c r="AIE9" i="7"/>
  <c r="ADB10" i="7"/>
  <c r="AHR7" i="7"/>
  <c r="DL9" i="7"/>
  <c r="PT10" i="7"/>
  <c r="ET10" i="7"/>
  <c r="AE10" i="7"/>
  <c r="WB8" i="7"/>
  <c r="YY9" i="7"/>
  <c r="AFM8" i="7"/>
  <c r="GQ11" i="7"/>
  <c r="PX12" i="7"/>
  <c r="DI10" i="7"/>
  <c r="ZP10" i="7"/>
  <c r="IF12" i="7"/>
  <c r="ZD11" i="7"/>
  <c r="HI9" i="7"/>
  <c r="LQ11" i="7"/>
  <c r="UH12" i="7"/>
  <c r="W9" i="7"/>
  <c r="YH9" i="7"/>
  <c r="TF11" i="7"/>
  <c r="RQ11" i="7"/>
  <c r="ABD10" i="7"/>
  <c r="JT12" i="7"/>
  <c r="QV11" i="7"/>
  <c r="YO12" i="7"/>
  <c r="AEM10" i="7"/>
  <c r="AKW11" i="7"/>
  <c r="VN9" i="7"/>
  <c r="AEJ9" i="7"/>
  <c r="BG10" i="7"/>
  <c r="VZ11" i="7"/>
  <c r="HP11" i="7"/>
  <c r="AHH10" i="7"/>
  <c r="AEK8" i="7"/>
  <c r="AJH11" i="7"/>
  <c r="PL9" i="7"/>
  <c r="JN11" i="7"/>
  <c r="LB12" i="7"/>
  <c r="KF9" i="7"/>
  <c r="UO9" i="7"/>
  <c r="AAM10" i="7"/>
  <c r="AIP11" i="7"/>
  <c r="AHQ11" i="7"/>
  <c r="ADC11" i="7"/>
  <c r="VU10" i="7"/>
  <c r="MW12" i="7"/>
  <c r="HR10" i="7"/>
  <c r="DL11" i="7"/>
  <c r="JW9" i="7"/>
  <c r="AO12" i="7"/>
  <c r="WC9" i="7"/>
  <c r="P10" i="7"/>
  <c r="WB12" i="7"/>
  <c r="YF11" i="7"/>
  <c r="ZZ8" i="7"/>
  <c r="YZ10" i="7"/>
  <c r="AKE11" i="7"/>
  <c r="AIK10" i="7"/>
  <c r="QG12" i="7"/>
  <c r="OL10" i="7"/>
  <c r="ACO11" i="7"/>
  <c r="L9" i="7"/>
  <c r="MU9" i="7"/>
  <c r="XB9" i="7"/>
  <c r="NP11" i="7"/>
  <c r="TR10" i="7"/>
  <c r="KR10" i="7"/>
  <c r="ABP12" i="7"/>
  <c r="ACN11" i="7"/>
  <c r="KF11" i="7"/>
  <c r="LX9" i="7"/>
  <c r="ABS10" i="7"/>
  <c r="AIW11" i="7"/>
  <c r="QX13" i="7"/>
  <c r="RW14" i="7"/>
  <c r="PC12" i="7"/>
  <c r="VO13" i="7"/>
  <c r="AGP10" i="7"/>
  <c r="AEX12" i="7"/>
  <c r="AGR13" i="7"/>
  <c r="AHT10" i="7"/>
  <c r="ALD10" i="7"/>
  <c r="LZ12" i="7"/>
  <c r="WK9" i="7"/>
  <c r="AJN11" i="7"/>
  <c r="AII12" i="7"/>
  <c r="AKX13" i="7"/>
  <c r="QP11" i="7"/>
  <c r="CE13" i="7"/>
  <c r="DD14" i="7"/>
  <c r="AJ12" i="7"/>
  <c r="NH13" i="7"/>
  <c r="JE10" i="7"/>
  <c r="MF10" i="7"/>
  <c r="DE12" i="7"/>
  <c r="NF9" i="7"/>
  <c r="II9" i="7"/>
  <c r="ACP9" i="7"/>
  <c r="AEF10" i="7"/>
  <c r="HR13" i="7"/>
  <c r="IQ14" i="7"/>
  <c r="AKX11" i="7"/>
  <c r="MI13" i="7"/>
  <c r="AJG9" i="7"/>
  <c r="SA12" i="7"/>
  <c r="GF13" i="7"/>
  <c r="ACJ13" i="7"/>
  <c r="AO10" i="7"/>
  <c r="AIL9" i="7"/>
  <c r="AGB10" i="7"/>
  <c r="SZ9" i="7"/>
  <c r="ALM11" i="7"/>
  <c r="ZH8" i="7"/>
  <c r="PU9" i="7"/>
  <c r="AFI10" i="7"/>
  <c r="AIS9" i="7"/>
  <c r="QA12" i="7"/>
  <c r="HZ13" i="7"/>
  <c r="AED13" i="7"/>
  <c r="NW14" i="7"/>
  <c r="SC11" i="7"/>
  <c r="XZ12" i="7"/>
  <c r="WJ9" i="7"/>
  <c r="DC10" i="7"/>
  <c r="ABV11" i="7"/>
  <c r="ADY11" i="7"/>
  <c r="AJK12" i="7"/>
  <c r="UP13" i="7"/>
  <c r="EI14" i="7"/>
  <c r="ADN10" i="7"/>
  <c r="EP12" i="7"/>
  <c r="FS9" i="7"/>
  <c r="ABI9" i="7"/>
  <c r="BU11" i="7"/>
  <c r="ALE9" i="7"/>
  <c r="RK12" i="7"/>
  <c r="LB13" i="7"/>
  <c r="AHF13" i="7"/>
  <c r="QY14" i="7"/>
  <c r="TA11" i="7"/>
  <c r="YX12" i="7"/>
  <c r="NO9" i="7"/>
  <c r="AHN9" i="7"/>
  <c r="ACT11" i="7"/>
  <c r="AFU11" i="7"/>
  <c r="AKL12" i="7"/>
  <c r="VF13" i="7"/>
  <c r="EY14" i="7"/>
  <c r="AJK10" i="7"/>
  <c r="GL12" i="7"/>
  <c r="WI9" i="7"/>
  <c r="BX9" i="7"/>
  <c r="JT11" i="7"/>
  <c r="ZV10" i="7"/>
  <c r="WW12" i="7"/>
  <c r="LR13" i="7"/>
  <c r="AHV13" i="7"/>
  <c r="AKH9" i="7"/>
  <c r="ZF11" i="7"/>
  <c r="AAE12" i="7"/>
  <c r="LK13" i="7"/>
  <c r="AHO13" i="7"/>
  <c r="MV10" i="7"/>
  <c r="AGQ11" i="7"/>
  <c r="AHJ12" i="7"/>
  <c r="RP13" i="7"/>
  <c r="BI14" i="7"/>
  <c r="AGW9" i="7"/>
  <c r="AFB10" i="7"/>
  <c r="SK10" i="7"/>
  <c r="ACX11" i="7"/>
  <c r="SE13" i="7"/>
  <c r="ALN10" i="7"/>
  <c r="T13" i="7"/>
  <c r="FQ14" i="7"/>
  <c r="AJW9" i="7"/>
  <c r="AGJ11" i="7"/>
  <c r="AHY12" i="7"/>
  <c r="WS13" i="7"/>
  <c r="LL12" i="7"/>
  <c r="YF13" i="7"/>
  <c r="TN14" i="7"/>
  <c r="DG15" i="7"/>
  <c r="ZK15" i="7"/>
  <c r="AJN12" i="7"/>
  <c r="FK14" i="7"/>
  <c r="AEQ14" i="7"/>
  <c r="KV12" i="7"/>
  <c r="XV13" i="7"/>
  <c r="TH14" i="7"/>
  <c r="DA15" i="7"/>
  <c r="AM13" i="7"/>
  <c r="AIY12" i="7"/>
  <c r="ZW12" i="7"/>
  <c r="NH12" i="7"/>
  <c r="BG12" i="7"/>
  <c r="SQ13" i="7"/>
  <c r="NQ14" i="7"/>
  <c r="AFX15" i="7"/>
  <c r="KC15" i="7"/>
  <c r="RT14" i="7"/>
  <c r="ACQ14" i="7"/>
  <c r="EA15" i="7"/>
  <c r="DO14" i="7"/>
  <c r="XT14" i="7"/>
  <c r="AJ15" i="7"/>
  <c r="AHS13" i="7"/>
  <c r="YH15" i="7"/>
  <c r="BH15" i="7"/>
  <c r="AY12" i="7"/>
  <c r="NO13" i="7"/>
  <c r="BT10" i="7"/>
  <c r="UB12" i="7"/>
  <c r="YR13" i="7"/>
  <c r="DB10" i="7"/>
  <c r="HI10" i="7"/>
  <c r="FQ12" i="7"/>
  <c r="ALL12" i="7"/>
  <c r="UO13" i="7"/>
  <c r="AGI11" i="7"/>
  <c r="KB13" i="7"/>
  <c r="HV14" i="7"/>
  <c r="ADR14" i="7"/>
  <c r="KY15" i="7"/>
  <c r="RX11" i="7"/>
  <c r="CW13" i="7"/>
  <c r="BZ14" i="7"/>
  <c r="AAA14" i="7"/>
  <c r="VQ11" i="7"/>
  <c r="ET13" i="7"/>
  <c r="DN14" i="7"/>
  <c r="AAZ14" i="7"/>
  <c r="YH11" i="7"/>
  <c r="GA13" i="7"/>
  <c r="AEA12" i="7"/>
  <c r="LF12" i="7"/>
  <c r="YS11" i="7"/>
  <c r="GH13" i="7"/>
  <c r="AGL12" i="7"/>
  <c r="AHU13" i="7"/>
  <c r="VY14" i="7"/>
  <c r="XU15" i="7"/>
  <c r="AQ15" i="7"/>
  <c r="AIG13" i="7"/>
  <c r="MU14" i="7"/>
  <c r="AEN14" i="7"/>
  <c r="WT11" i="7"/>
  <c r="FG13" i="7"/>
  <c r="GF14" i="7"/>
  <c r="GN12" i="7"/>
  <c r="QJ13" i="7"/>
  <c r="VM10" i="7"/>
  <c r="YN10" i="7"/>
  <c r="AHP11" i="7"/>
  <c r="AFM12" i="7"/>
  <c r="PY13" i="7"/>
  <c r="NV11" i="7"/>
  <c r="AV13" i="7"/>
  <c r="AL14" i="7"/>
  <c r="ZB14" i="7"/>
  <c r="GI15" i="7"/>
  <c r="AAA15" i="7"/>
  <c r="AFI12" i="7"/>
  <c r="AHA13" i="7"/>
  <c r="VK14" i="7"/>
  <c r="CR15" i="7"/>
  <c r="AHM12" i="7"/>
  <c r="AIO13" i="7"/>
  <c r="WJ14" i="7"/>
  <c r="EQ11" i="7"/>
  <c r="AIX12" i="7"/>
  <c r="QU12" i="7"/>
  <c r="AGB11" i="7"/>
  <c r="FD11" i="7"/>
  <c r="AJF12" i="7"/>
  <c r="UE12" i="7"/>
  <c r="YU13" i="7"/>
  <c r="RD14" i="7"/>
  <c r="ACV15" i="7"/>
  <c r="GO15" i="7"/>
  <c r="KL14" i="7"/>
  <c r="WT14" i="7"/>
  <c r="M15" i="7"/>
  <c r="BY11" i="7"/>
  <c r="AHR12" i="7"/>
  <c r="AJC13" i="7"/>
  <c r="ZW11" i="7"/>
  <c r="GV13" i="7"/>
  <c r="EP7" i="7"/>
  <c r="AGX8" i="7"/>
  <c r="FF8" i="7"/>
  <c r="AGN7" i="7"/>
  <c r="RB9" i="7"/>
  <c r="VY10" i="7"/>
  <c r="FT8" i="7"/>
  <c r="JS9" i="7"/>
  <c r="ALA9" i="7"/>
  <c r="ZG7" i="7"/>
  <c r="ZY6" i="7"/>
  <c r="KD8" i="7"/>
  <c r="AIZ7" i="7"/>
  <c r="PS5" i="7"/>
  <c r="YK10" i="7"/>
  <c r="PP8" i="7"/>
  <c r="MY9" i="7"/>
  <c r="DN10" i="7"/>
  <c r="RM8" i="7"/>
  <c r="QZ8" i="7"/>
  <c r="ACY7" i="7"/>
  <c r="LK8" i="7"/>
  <c r="DH9" i="7"/>
  <c r="AIG9" i="7"/>
  <c r="FZ9" i="7"/>
  <c r="OW10" i="7"/>
  <c r="FZ10" i="7"/>
  <c r="AEP6" i="7"/>
  <c r="PN6" i="7"/>
  <c r="AFK7" i="7"/>
  <c r="NW8" i="7"/>
  <c r="FT9" i="7"/>
  <c r="AKS9" i="7"/>
  <c r="KX9" i="7"/>
  <c r="WZ8" i="7"/>
  <c r="AEM6" i="7"/>
  <c r="VF6" i="7"/>
  <c r="KS7" i="7"/>
  <c r="AHH7" i="7"/>
  <c r="DR9" i="7"/>
  <c r="AJO8" i="7"/>
  <c r="TU10" i="7"/>
  <c r="NQ8" i="7"/>
  <c r="NE8" i="7"/>
  <c r="YV8" i="7"/>
  <c r="IT11" i="7"/>
  <c r="VB10" i="7"/>
  <c r="GQ10" i="7"/>
  <c r="ALP7" i="7"/>
  <c r="AE7" i="7"/>
  <c r="WW10" i="7"/>
  <c r="AGU6" i="7"/>
  <c r="DO9" i="7"/>
  <c r="AV8" i="7"/>
  <c r="OQ8" i="7"/>
  <c r="AGJ9" i="7"/>
  <c r="TA7" i="7"/>
  <c r="TQ7" i="7"/>
  <c r="SW10" i="7"/>
  <c r="SX9" i="7"/>
  <c r="BC9" i="7"/>
  <c r="HV11" i="7"/>
  <c r="UD10" i="7"/>
  <c r="FS10" i="7"/>
  <c r="FB10" i="7"/>
  <c r="TA8" i="7"/>
  <c r="IZ10" i="7"/>
  <c r="UE11" i="7"/>
  <c r="DY10" i="7"/>
  <c r="BR10" i="7"/>
  <c r="KA8" i="7"/>
  <c r="GV10" i="7"/>
  <c r="SA11" i="7"/>
  <c r="Q10" i="7"/>
  <c r="AJM9" i="7"/>
  <c r="AE8" i="7"/>
  <c r="ER10" i="7"/>
  <c r="PW11" i="7"/>
  <c r="AHT9" i="7"/>
  <c r="AFX8" i="7"/>
  <c r="ABG10" i="7"/>
  <c r="AAE9" i="7"/>
  <c r="ML10" i="7"/>
  <c r="AKM7" i="7"/>
  <c r="MR10" i="7"/>
  <c r="FE9" i="7"/>
  <c r="YL8" i="7"/>
  <c r="PX8" i="7"/>
  <c r="TO10" i="7"/>
  <c r="OT7" i="7"/>
  <c r="AIM9" i="7"/>
  <c r="AKD8" i="7"/>
  <c r="ACB8" i="7"/>
  <c r="ML8" i="7"/>
  <c r="AA9" i="7"/>
  <c r="LD10" i="7"/>
  <c r="LX10" i="7"/>
  <c r="AIQ11" i="7"/>
  <c r="AHT8" i="7"/>
  <c r="HJ11" i="7"/>
  <c r="GG11" i="7"/>
  <c r="HQ10" i="7"/>
  <c r="OK12" i="7"/>
  <c r="UP10" i="7"/>
  <c r="AP12" i="7"/>
  <c r="AEX8" i="7"/>
  <c r="TI9" i="7"/>
  <c r="AHU10" i="7"/>
  <c r="AFA9" i="7"/>
  <c r="YJ12" i="7"/>
  <c r="IA11" i="7"/>
  <c r="AW10" i="7"/>
  <c r="HI12" i="7"/>
  <c r="AJA9" i="7"/>
  <c r="TQ11" i="7"/>
  <c r="UP12" i="7"/>
  <c r="AEY9" i="7"/>
  <c r="Z9" i="7"/>
  <c r="DK11" i="7"/>
  <c r="FS12" i="7"/>
  <c r="AKT8" i="7"/>
  <c r="FD12" i="7"/>
  <c r="GI11" i="7"/>
  <c r="TY12" i="7"/>
  <c r="VV10" i="7"/>
  <c r="AGG11" i="7"/>
  <c r="KU9" i="7"/>
  <c r="VD9" i="7"/>
  <c r="AEL9" i="7"/>
  <c r="RJ11" i="7"/>
  <c r="AHF10" i="7"/>
  <c r="ZL10" i="7"/>
  <c r="AIZ12" i="7"/>
  <c r="AGV11" i="7"/>
  <c r="JX9" i="7"/>
  <c r="OR9" i="7"/>
  <c r="KR12" i="7"/>
  <c r="MQ11" i="7"/>
  <c r="XA12" i="7"/>
  <c r="ABZ10" i="7"/>
  <c r="AAA11" i="7"/>
  <c r="PQ10" i="7"/>
  <c r="LA12" i="7"/>
  <c r="DZ10" i="7"/>
  <c r="ALG10" i="7"/>
  <c r="AI9" i="7"/>
  <c r="AKV11" i="7"/>
  <c r="SG9" i="7"/>
  <c r="KY11" i="7"/>
  <c r="MH12" i="7"/>
  <c r="NN9" i="7"/>
  <c r="XA9" i="7"/>
  <c r="ACW10" i="7"/>
  <c r="AJV11" i="7"/>
  <c r="AKC11" i="7"/>
  <c r="AFO11" i="7"/>
  <c r="AAS10" i="7"/>
  <c r="OC12" i="7"/>
  <c r="QP12" i="7"/>
  <c r="YI8" i="7"/>
  <c r="BS12" i="7"/>
  <c r="ALE12" i="7"/>
  <c r="AQ14" i="7"/>
  <c r="UX11" i="7"/>
  <c r="EI13" i="7"/>
  <c r="FH14" i="7"/>
  <c r="ER12" i="7"/>
  <c r="PL13" i="7"/>
  <c r="RU10" i="7"/>
  <c r="UV10" i="7"/>
  <c r="PY11" i="7"/>
  <c r="XO9" i="7"/>
  <c r="AKG10" i="7"/>
  <c r="FR12" i="7"/>
  <c r="TR13" i="7"/>
  <c r="AI10" i="7"/>
  <c r="TM12" i="7"/>
  <c r="YI13" i="7"/>
  <c r="CY11" i="7"/>
  <c r="AIC12" i="7"/>
  <c r="AJL13" i="7"/>
  <c r="AHF9" i="7"/>
  <c r="GD11" i="7"/>
  <c r="AJS12" i="7"/>
  <c r="AKG11" i="7"/>
  <c r="ADD9" i="7"/>
  <c r="VJ11" i="7"/>
  <c r="YU12" i="7"/>
  <c r="ADV13" i="7"/>
  <c r="AA11" i="7"/>
  <c r="AGZ12" i="7"/>
  <c r="AIM13" i="7"/>
  <c r="YQ11" i="7"/>
  <c r="ALG12" i="7"/>
  <c r="UZ13" i="7"/>
  <c r="ES14" i="7"/>
  <c r="HZ10" i="7"/>
  <c r="AGE9" i="7"/>
  <c r="AFD10" i="7"/>
  <c r="WS11" i="7"/>
  <c r="AIZ8" i="7"/>
  <c r="VT9" i="7"/>
  <c r="CM10" i="7"/>
  <c r="ABN11" i="7"/>
  <c r="ADI11" i="7"/>
  <c r="AJB12" i="7"/>
  <c r="WT13" i="7"/>
  <c r="GM14" i="7"/>
  <c r="BM11" i="7"/>
  <c r="JF12" i="7"/>
  <c r="RV9" i="7"/>
  <c r="AHJ8" i="7"/>
  <c r="HH11" i="7"/>
  <c r="AJD10" i="7"/>
  <c r="ZR12" i="7"/>
  <c r="NF13" i="7"/>
  <c r="AJJ13" i="7"/>
  <c r="AGP9" i="7"/>
  <c r="XI11" i="7"/>
  <c r="AKX8" i="7"/>
  <c r="ZJ8" i="7"/>
  <c r="NO10" i="7"/>
  <c r="AHB11" i="7"/>
  <c r="BZ12" i="7"/>
  <c r="AP13" i="7"/>
  <c r="XJ13" i="7"/>
  <c r="HC14" i="7"/>
  <c r="CV11" i="7"/>
  <c r="KD12" i="7"/>
  <c r="TW9" i="7"/>
  <c r="AKL8" i="7"/>
  <c r="II11" i="7"/>
  <c r="UX10" i="7"/>
  <c r="WI12" i="7"/>
  <c r="NV13" i="7"/>
  <c r="AJZ13" i="7"/>
  <c r="AJB9" i="7"/>
  <c r="AEC11" i="7"/>
  <c r="RP9" i="7"/>
  <c r="AGE8" i="7"/>
  <c r="RG10" i="7"/>
  <c r="BK12" i="7"/>
  <c r="JP12" i="7"/>
  <c r="DZ13" i="7"/>
  <c r="AAL13" i="7"/>
  <c r="KE14" i="7"/>
  <c r="EH11" i="7"/>
  <c r="KP12" i="7"/>
  <c r="EA13" i="7"/>
  <c r="AAE13" i="7"/>
  <c r="JX14" i="7"/>
  <c r="RW11" i="7"/>
  <c r="UM12" i="7"/>
  <c r="HT13" i="7"/>
  <c r="ADX13" i="7"/>
  <c r="QO10" i="7"/>
  <c r="CE10" i="7"/>
  <c r="AKZ10" i="7"/>
  <c r="AHN10" i="7"/>
  <c r="AKW12" i="7"/>
  <c r="EJ14" i="7"/>
  <c r="LS12" i="7"/>
  <c r="ADH13" i="7"/>
  <c r="AG11" i="7"/>
  <c r="ON11" i="7"/>
  <c r="XG12" i="7"/>
  <c r="MW13" i="7"/>
  <c r="LA11" i="7"/>
  <c r="EN13" i="7"/>
  <c r="LA14" i="7"/>
  <c r="AIH14" i="7"/>
  <c r="SA15" i="7"/>
  <c r="PS12" i="7"/>
  <c r="AAW13" i="7"/>
  <c r="UU14" i="7"/>
  <c r="KB11" i="7"/>
  <c r="JB13" i="7"/>
  <c r="KS14" i="7"/>
  <c r="AIB14" i="7"/>
  <c r="US12" i="7"/>
  <c r="GV12" i="7"/>
  <c r="ADP11" i="7"/>
  <c r="NO11" i="7"/>
  <c r="JO11" i="7"/>
  <c r="DW13" i="7"/>
  <c r="CT14" i="7"/>
  <c r="AAO14" i="7"/>
  <c r="SN15" i="7"/>
  <c r="AFR14" i="7"/>
  <c r="QC13" i="7"/>
  <c r="ALC13" i="7"/>
  <c r="WC14" i="7"/>
  <c r="AKJ14" i="7"/>
  <c r="ABV13" i="7"/>
  <c r="QS14" i="7"/>
  <c r="AGA15" i="7"/>
  <c r="KF15" i="7"/>
  <c r="JF11" i="7"/>
  <c r="ALF12" i="7"/>
  <c r="T14" i="7"/>
  <c r="AGA11" i="7"/>
  <c r="JX13" i="7"/>
  <c r="AIB9" i="7"/>
  <c r="ALC9" i="7"/>
  <c r="ABL11" i="7"/>
  <c r="ABZ12" i="7"/>
  <c r="NE13" i="7"/>
  <c r="AGW13" i="7"/>
  <c r="AHF12" i="7"/>
  <c r="AIJ13" i="7"/>
  <c r="WH14" i="7"/>
  <c r="DO15" i="7"/>
  <c r="XG15" i="7"/>
  <c r="YM12" i="7"/>
  <c r="ABM13" i="7"/>
  <c r="SQ14" i="7"/>
  <c r="X15" i="7"/>
  <c r="ABD12" i="7"/>
  <c r="ADJ13" i="7"/>
  <c r="TP14" i="7"/>
  <c r="AW15" i="7"/>
  <c r="ACP12" i="7"/>
  <c r="IA12" i="7"/>
  <c r="UZ11" i="7"/>
  <c r="EK13" i="7"/>
  <c r="ACX12" i="7"/>
  <c r="LK12" i="7"/>
  <c r="TG13" i="7"/>
  <c r="NZ14" i="7"/>
  <c r="AFP15" i="7"/>
  <c r="JT15" i="7"/>
  <c r="RB14" i="7"/>
  <c r="ACC14" i="7"/>
  <c r="DR15" i="7"/>
  <c r="WM10" i="7"/>
  <c r="ABS12" i="7"/>
  <c r="ADW13" i="7"/>
  <c r="PK11" i="7"/>
  <c r="BP13" i="7"/>
  <c r="CO14" i="7"/>
  <c r="QY10" i="7"/>
  <c r="PT11" i="7"/>
  <c r="UJ12" i="7"/>
  <c r="HY13" i="7"/>
  <c r="ACG13" i="7"/>
  <c r="VH12" i="7"/>
  <c r="ZL13" i="7"/>
  <c r="RN14" i="7"/>
  <c r="ALJ14" i="7"/>
  <c r="SQ15" i="7"/>
  <c r="JS12" i="7"/>
  <c r="SG13" i="7"/>
  <c r="NJ14" i="7"/>
  <c r="AHS14" i="7"/>
  <c r="MT12" i="7"/>
  <c r="UD13" i="7"/>
  <c r="OL14" i="7"/>
  <c r="AIR14" i="7"/>
  <c r="OV12" i="7"/>
  <c r="ACA11" i="7"/>
  <c r="HX13" i="7"/>
  <c r="AHB12" i="7"/>
  <c r="PF12" i="7"/>
  <c r="AGH11" i="7"/>
  <c r="KA13" i="7"/>
  <c r="HR14" i="7"/>
  <c r="AKF15" i="7"/>
  <c r="PA15" i="7"/>
  <c r="AAM14" i="7"/>
  <c r="AJM14" i="7"/>
  <c r="ZT13" i="7"/>
  <c r="PO14" i="7"/>
  <c r="NB12" i="7"/>
  <c r="UI13" i="7"/>
  <c r="ACQ10" i="7"/>
  <c r="RI10" i="7"/>
  <c r="KI8" i="7"/>
  <c r="GH10" i="7"/>
  <c r="AS9" i="7"/>
  <c r="IC10" i="7"/>
  <c r="EM8" i="7"/>
  <c r="NZ8" i="7"/>
  <c r="AFA8" i="7"/>
  <c r="EC10" i="7"/>
  <c r="AJN7" i="7"/>
  <c r="FJ10" i="7"/>
  <c r="MZ9" i="7"/>
  <c r="AGQ9" i="7"/>
  <c r="LO9" i="7"/>
  <c r="AKM10" i="7"/>
  <c r="BH11" i="7"/>
  <c r="BE9" i="7"/>
  <c r="ACI9" i="7"/>
  <c r="AKV8" i="7"/>
  <c r="AKD9" i="7"/>
  <c r="VI9" i="7"/>
  <c r="AKI9" i="7"/>
  <c r="FQ8" i="7"/>
  <c r="ACL9" i="7"/>
  <c r="ABC9" i="7"/>
  <c r="ALH7" i="7"/>
  <c r="ZP8" i="7"/>
  <c r="CB10" i="7"/>
  <c r="AJP12" i="7"/>
  <c r="AEK10" i="7"/>
  <c r="JM12" i="7"/>
  <c r="AFQ11" i="7"/>
  <c r="GU9" i="7"/>
  <c r="AM12" i="7"/>
  <c r="AGW10" i="7"/>
  <c r="CC12" i="7"/>
  <c r="OS11" i="7"/>
  <c r="VC9" i="7"/>
  <c r="AIF10" i="7"/>
  <c r="EL12" i="7"/>
  <c r="AEL10" i="7"/>
  <c r="LZ10" i="7"/>
  <c r="AHY8" i="7"/>
  <c r="UP9" i="7"/>
  <c r="OT10" i="7"/>
  <c r="ZD12" i="7"/>
  <c r="AGS8" i="7"/>
  <c r="AV12" i="7"/>
  <c r="SC12" i="7"/>
  <c r="QE11" i="7"/>
  <c r="GC12" i="7"/>
  <c r="TX10" i="7"/>
  <c r="AEZ11" i="7"/>
  <c r="FH11" i="7"/>
  <c r="ALF8" i="7"/>
  <c r="TC10" i="7"/>
  <c r="AAG11" i="7"/>
  <c r="HA10" i="7"/>
  <c r="GT12" i="7"/>
  <c r="AEH11" i="7"/>
  <c r="AID13" i="7"/>
  <c r="K13" i="7"/>
  <c r="AHG11" i="7"/>
  <c r="AKN9" i="7"/>
  <c r="EY11" i="7"/>
  <c r="SM10" i="7"/>
  <c r="OT13" i="7"/>
  <c r="LO12" i="7"/>
  <c r="ZD10" i="7"/>
  <c r="AEN13" i="7"/>
  <c r="AEE10" i="7"/>
  <c r="AAK11" i="7"/>
  <c r="LD11" i="7"/>
  <c r="YX13" i="7"/>
  <c r="ABJ12" i="7"/>
  <c r="OU11" i="7"/>
  <c r="QB13" i="7"/>
  <c r="ALO10" i="7"/>
  <c r="MG10" i="7"/>
  <c r="NV12" i="7"/>
  <c r="VF9" i="7"/>
  <c r="IZ11" i="7"/>
  <c r="PJ13" i="7"/>
  <c r="XY9" i="7"/>
  <c r="AAJ8" i="7"/>
  <c r="AFT10" i="7"/>
  <c r="MB12" i="7"/>
  <c r="AEL13" i="7"/>
  <c r="NK11" i="7"/>
  <c r="AJI8" i="7"/>
  <c r="XF11" i="7"/>
  <c r="AGP12" i="7"/>
  <c r="CE14" i="7"/>
  <c r="AHU11" i="7"/>
  <c r="SQ9" i="7"/>
  <c r="FC12" i="7"/>
  <c r="GL13" i="7"/>
  <c r="OU14" i="7"/>
  <c r="AAA8" i="7"/>
  <c r="AJZ9" i="7"/>
  <c r="YK11" i="7"/>
  <c r="VN13" i="7"/>
  <c r="ABK10" i="7"/>
  <c r="AIT12" i="7"/>
  <c r="EZ14" i="7"/>
  <c r="MR12" i="7"/>
  <c r="YZ13" i="7"/>
  <c r="XZ10" i="7"/>
  <c r="KJ11" i="7"/>
  <c r="AGY13" i="7"/>
  <c r="ON13" i="7"/>
  <c r="ZU10" i="7"/>
  <c r="HA13" i="7"/>
  <c r="AGM12" i="7"/>
  <c r="AAX14" i="7"/>
  <c r="AKJ11" i="7"/>
  <c r="PM14" i="7"/>
  <c r="AGB12" i="7"/>
  <c r="ADD14" i="7"/>
  <c r="ZO11" i="7"/>
  <c r="DU13" i="7"/>
  <c r="ZY12" i="7"/>
  <c r="VQ14" i="7"/>
  <c r="BB15" i="7"/>
  <c r="NM14" i="7"/>
  <c r="OQ13" i="7"/>
  <c r="AAU14" i="7"/>
  <c r="PV15" i="7"/>
  <c r="ZS12" i="7"/>
  <c r="MB11" i="7"/>
  <c r="BA14" i="7"/>
  <c r="PD11" i="7"/>
  <c r="HQ13" i="7"/>
  <c r="UI12" i="7"/>
  <c r="RE14" i="7"/>
  <c r="SI15" i="7"/>
  <c r="RQ13" i="7"/>
  <c r="AHK14" i="7"/>
  <c r="TN13" i="7"/>
  <c r="AIJ14" i="7"/>
  <c r="AAU11" i="7"/>
  <c r="AGJ12" i="7"/>
  <c r="AFB11" i="7"/>
  <c r="HG14" i="7"/>
  <c r="PJ15" i="7"/>
  <c r="AKA14" i="7"/>
  <c r="QG14" i="7"/>
  <c r="UA13" i="7"/>
  <c r="ADE12" i="7"/>
  <c r="ACV10" i="7"/>
  <c r="KY12" i="7"/>
  <c r="XI13" i="7"/>
  <c r="PP13" i="7"/>
  <c r="AGL14" i="7"/>
  <c r="ACZ11" i="7"/>
  <c r="GJ14" i="7"/>
  <c r="AGS11" i="7"/>
  <c r="HX14" i="7"/>
  <c r="AJJ11" i="7"/>
  <c r="AKJ12" i="7"/>
  <c r="AJU11" i="7"/>
  <c r="AE13" i="7"/>
  <c r="YS14" i="7"/>
  <c r="AIO14" i="7"/>
  <c r="EO14" i="7"/>
  <c r="AHF11" i="7"/>
  <c r="LL14" i="7"/>
  <c r="QR13" i="7"/>
  <c r="BE11" i="7"/>
  <c r="OS10" i="7"/>
  <c r="LM12" i="7"/>
  <c r="IG13" i="7"/>
  <c r="AFA13" i="7"/>
  <c r="AIP12" i="7"/>
  <c r="AW14" i="7"/>
  <c r="ABV14" i="7"/>
  <c r="LO15" i="7"/>
  <c r="VK12" i="7"/>
  <c r="AJK13" i="7"/>
  <c r="AKI11" i="7"/>
  <c r="QZ13" i="7"/>
  <c r="CD11" i="7"/>
  <c r="PY10" i="7"/>
  <c r="ML12" i="7"/>
  <c r="FU13" i="7"/>
  <c r="AFI13" i="7"/>
  <c r="AJI12" i="7"/>
  <c r="BK14" i="7"/>
  <c r="ACD14" i="7"/>
  <c r="LW15" i="7"/>
  <c r="VY12" i="7"/>
  <c r="AEU13" i="7"/>
  <c r="AKY11" i="7"/>
  <c r="RH13" i="7"/>
  <c r="AFQ9" i="7"/>
  <c r="RE10" i="7"/>
  <c r="MZ12" i="7"/>
  <c r="GC13" i="7"/>
  <c r="ADE13" i="7"/>
  <c r="AKA12" i="7"/>
  <c r="BV14" i="7"/>
  <c r="ACL14" i="7"/>
  <c r="ME15" i="7"/>
  <c r="YK12" i="7"/>
  <c r="AGI13" i="7"/>
  <c r="AEE11" i="7"/>
  <c r="SV13" i="7"/>
  <c r="J10" i="7"/>
  <c r="XI10" i="7"/>
  <c r="NK12" i="7"/>
  <c r="GK13" i="7"/>
  <c r="ADM13" i="7"/>
  <c r="AFC12" i="7"/>
  <c r="CJ14" i="7"/>
  <c r="ACT14" i="7"/>
  <c r="MM15" i="7"/>
  <c r="YY12" i="7"/>
  <c r="AGQ13" i="7"/>
  <c r="AEU11" i="7"/>
  <c r="OF13" i="7"/>
  <c r="AP10" i="7"/>
  <c r="YO10" i="7"/>
  <c r="NY12" i="7"/>
  <c r="GS13" i="7"/>
  <c r="ADU13" i="7"/>
  <c r="AFU12" i="7"/>
  <c r="ALJ13" i="7"/>
  <c r="ADB14" i="7"/>
  <c r="MU15" i="7"/>
  <c r="AJD11" i="7"/>
  <c r="QK13" i="7"/>
  <c r="PD14" i="7"/>
  <c r="H15" i="7"/>
  <c r="AFJ12" i="7"/>
  <c r="CL14" i="7"/>
  <c r="ACV14" i="7"/>
  <c r="DC12" i="7"/>
  <c r="YI11" i="7"/>
  <c r="HX11" i="7"/>
  <c r="DE13" i="7"/>
  <c r="AHC12" i="7"/>
  <c r="AFB12" i="7"/>
  <c r="AKU13" i="7"/>
  <c r="AAG14" i="7"/>
  <c r="QB15" i="7"/>
  <c r="XK14" i="7"/>
  <c r="ADE14" i="7"/>
  <c r="AZ15" i="7"/>
  <c r="UJ11" i="7"/>
  <c r="KR14" i="7"/>
  <c r="VQ12" i="7"/>
  <c r="WR14" i="7"/>
  <c r="HG13" i="7"/>
  <c r="ACD12" i="7"/>
  <c r="EY12" i="7"/>
  <c r="WO14" i="7"/>
  <c r="AEE14" i="7"/>
  <c r="OR13" i="7"/>
  <c r="AJY14" i="7"/>
  <c r="CV15" i="7"/>
  <c r="RY13" i="7"/>
  <c r="NJ15" i="7"/>
  <c r="NV14" i="7"/>
  <c r="AFB15" i="7"/>
  <c r="JD15" i="7"/>
  <c r="PX14" i="7"/>
  <c r="AFY15" i="7"/>
  <c r="KD15" i="7"/>
  <c r="RU14" i="7"/>
  <c r="NX14" i="7"/>
  <c r="PH13" i="7"/>
  <c r="SY13" i="7"/>
  <c r="WH13" i="7"/>
  <c r="ZP15" i="7"/>
  <c r="VS15" i="7"/>
  <c r="YK13" i="7"/>
  <c r="AKU14" i="7"/>
  <c r="AAH13" i="7"/>
  <c r="I15" i="7"/>
  <c r="BX12" i="7"/>
  <c r="BI13" i="7"/>
  <c r="GE12" i="7"/>
  <c r="MF14" i="7"/>
  <c r="LM15" i="7"/>
  <c r="AEO14" i="7"/>
  <c r="HN14" i="7"/>
  <c r="UR14" i="7"/>
  <c r="AFY14" i="7"/>
  <c r="ALG15" i="7"/>
  <c r="MR15" i="7"/>
  <c r="ST14" i="7"/>
  <c r="AHF15" i="7"/>
  <c r="LP15" i="7"/>
  <c r="UO14" i="7"/>
  <c r="AIC15" i="7"/>
  <c r="MP15" i="7"/>
  <c r="WF14" i="7"/>
  <c r="AHT13" i="7"/>
  <c r="IV15" i="7"/>
  <c r="FG15" i="7"/>
  <c r="DL15" i="7"/>
  <c r="RE15" i="7"/>
  <c r="WV11" i="7"/>
  <c r="DX14" i="7"/>
  <c r="AAO11" i="7"/>
  <c r="FL14" i="7"/>
  <c r="ADF11" i="7"/>
  <c r="AGW12" i="7"/>
  <c r="ADQ11" i="7"/>
  <c r="AJG12" i="7"/>
  <c r="XE14" i="7"/>
  <c r="ALA14" i="7"/>
  <c r="JM14" i="7"/>
  <c r="ZS13" i="7"/>
  <c r="FE14" i="7"/>
  <c r="UQ14" i="7"/>
  <c r="AFC15" i="7"/>
  <c r="FZ15" i="7"/>
  <c r="FC14" i="7"/>
  <c r="ABZ15" i="7"/>
  <c r="FP15" i="7"/>
  <c r="HY14" i="7"/>
  <c r="ACW15" i="7"/>
  <c r="GP15" i="7"/>
  <c r="KO14" i="7"/>
  <c r="UA14" i="7"/>
  <c r="ZD13" i="7"/>
  <c r="ACU13" i="7"/>
  <c r="BT14" i="7"/>
  <c r="AES15" i="7"/>
  <c r="WI15" i="7"/>
  <c r="ZQ13" i="7"/>
  <c r="ALK14" i="7"/>
  <c r="ABN13" i="7"/>
  <c r="Y15" i="7"/>
  <c r="EJ12" i="7"/>
  <c r="CO13" i="7"/>
  <c r="IK12" i="7"/>
  <c r="MX14" i="7"/>
  <c r="KU15" i="7"/>
  <c r="UH14" i="7"/>
  <c r="ME13" i="7"/>
  <c r="ZO14" i="7"/>
  <c r="AAG12" i="7"/>
  <c r="TG14" i="7"/>
  <c r="ACO12" i="7"/>
  <c r="UF14" i="7"/>
  <c r="ADZ12" i="7"/>
  <c r="XL11" i="7"/>
  <c r="AEH12" i="7"/>
  <c r="UM13" i="7"/>
  <c r="AEZ15" i="7"/>
  <c r="PQ14" i="7"/>
  <c r="CX15" i="7"/>
  <c r="Z15" i="7"/>
  <c r="VR13" i="7"/>
  <c r="FD14" i="7"/>
  <c r="YQ15" i="7"/>
  <c r="AJI14" i="7"/>
  <c r="XX13" i="7"/>
  <c r="NI15" i="7"/>
  <c r="TG15" i="7"/>
  <c r="TM13" i="7"/>
  <c r="AII14" i="7"/>
  <c r="VJ13" i="7"/>
  <c r="AJH14" i="7"/>
  <c r="AEM11" i="7"/>
  <c r="AIM12" i="7"/>
  <c r="AIT11" i="7"/>
  <c r="IT14" i="7"/>
  <c r="OH15" i="7"/>
  <c r="AIN14" i="7"/>
  <c r="OD14" i="7"/>
  <c r="XD14" i="7"/>
  <c r="AHW14" i="7"/>
  <c r="KO13" i="7"/>
  <c r="OL15" i="7"/>
  <c r="VF14" i="7"/>
  <c r="AIL15" i="7"/>
  <c r="MZ15" i="7"/>
  <c r="XA14" i="7"/>
  <c r="AJI15" i="7"/>
  <c r="CP15" i="7"/>
  <c r="AK13" i="7"/>
  <c r="YU14" i="7"/>
  <c r="CH13" i="7"/>
  <c r="ZT14" i="7"/>
  <c r="DO13" i="7"/>
  <c r="HE12" i="7"/>
  <c r="DV13" i="7"/>
  <c r="AFO13" i="7"/>
  <c r="ZF15" i="7"/>
  <c r="R14" i="7"/>
  <c r="AGO14" i="7"/>
  <c r="AGY14" i="7"/>
  <c r="DP15" i="7"/>
  <c r="AFM13" i="7"/>
  <c r="UK15" i="7"/>
  <c r="ADW14" i="7"/>
  <c r="LP13" i="7"/>
  <c r="SG15" i="7"/>
  <c r="AFI14" i="7"/>
  <c r="PG13" i="7"/>
  <c r="TH15" i="7"/>
  <c r="AGR14" i="7"/>
  <c r="SP13" i="7"/>
  <c r="RK14" i="7"/>
  <c r="AAK15" i="7"/>
  <c r="AHV14" i="7"/>
  <c r="UF13" i="7"/>
  <c r="RX15" i="7"/>
  <c r="AEU14" i="7"/>
  <c r="ALE15" i="7"/>
  <c r="QC15" i="7"/>
  <c r="ACH14" i="7"/>
  <c r="TW15" i="7"/>
  <c r="US13" i="7"/>
  <c r="AIY14" i="7"/>
  <c r="WP13" i="7"/>
  <c r="AJX14" i="7"/>
  <c r="AGY11" i="7"/>
  <c r="AJW12" i="7"/>
  <c r="ALF11" i="7"/>
  <c r="JS14" i="7"/>
  <c r="NP15" i="7"/>
  <c r="AHO14" i="7"/>
  <c r="AO14" i="7"/>
  <c r="QB14" i="7"/>
  <c r="OA13" i="7"/>
  <c r="YR14" i="7"/>
  <c r="V14" i="7"/>
  <c r="RA15" i="7"/>
  <c r="WU15" i="7"/>
  <c r="KT11" i="7"/>
  <c r="SO14" i="7"/>
  <c r="FE15" i="7"/>
  <c r="AK15" i="7"/>
  <c r="AKH14" i="7"/>
  <c r="YE14" i="7"/>
  <c r="BB13" i="7"/>
  <c r="CI13" i="7"/>
  <c r="ES12" i="7"/>
  <c r="CP13" i="7"/>
  <c r="ZX15" i="7"/>
  <c r="BS14" i="7"/>
  <c r="AHN14" i="7"/>
  <c r="AHX14" i="7"/>
  <c r="AIR13" i="7"/>
  <c r="VD15" i="7"/>
  <c r="AEV14" i="7"/>
  <c r="OB13" i="7"/>
  <c r="KN15" i="7"/>
  <c r="YE15" i="7"/>
  <c r="AV15" i="7"/>
  <c r="AFF13" i="7"/>
  <c r="BU15" i="7"/>
  <c r="KX12" i="7"/>
  <c r="GG13" i="7"/>
  <c r="OH12" i="7"/>
  <c r="IR15" i="7"/>
  <c r="AAL14" i="7"/>
  <c r="CP14" i="7"/>
  <c r="RL14" i="7"/>
  <c r="ADM14" i="7"/>
  <c r="AJS15" i="7"/>
  <c r="LH15" i="7"/>
  <c r="AFZ15" i="7"/>
  <c r="KE15" i="7"/>
  <c r="SA14" i="7"/>
  <c r="AGW15" i="7"/>
  <c r="OQ15" i="7"/>
  <c r="KG13" i="7"/>
  <c r="ADS14" i="7"/>
  <c r="MD13" i="7"/>
  <c r="LS11" i="7"/>
  <c r="XC12" i="7"/>
  <c r="QH11" i="7"/>
  <c r="BJ14" i="7"/>
  <c r="TP15" i="7"/>
  <c r="TU13" i="7"/>
  <c r="XY14" i="7"/>
  <c r="ACA14" i="7"/>
  <c r="UK13" i="7"/>
  <c r="RG15" i="7"/>
  <c r="ZN14" i="7"/>
  <c r="AKP15" i="7"/>
  <c r="PL15" i="7"/>
  <c r="ABI14" i="7"/>
  <c r="ALM15" i="7"/>
  <c r="QL15" i="7"/>
  <c r="ACS14" i="7"/>
  <c r="KB14" i="7"/>
  <c r="XF15" i="7"/>
  <c r="ADI14" i="7"/>
  <c r="KJ13" i="7"/>
  <c r="PC15" i="7"/>
  <c r="AAS14" i="7"/>
  <c r="AIS15" i="7"/>
  <c r="NH15" i="7"/>
  <c r="YU15" i="7"/>
  <c r="AEO13" i="7"/>
  <c r="BL15" i="7"/>
  <c r="AGL13" i="7"/>
  <c r="CK15" i="7"/>
  <c r="MY12" i="7"/>
  <c r="HM13" i="7"/>
  <c r="QI12" i="7"/>
  <c r="HZ15" i="7"/>
  <c r="ZF14" i="7"/>
  <c r="ADK13" i="7"/>
  <c r="JD14" i="7"/>
  <c r="FS14" i="7"/>
  <c r="QV15" i="7"/>
  <c r="AJN15" i="7"/>
  <c r="OF15" i="7"/>
  <c r="UB15" i="7"/>
  <c r="MH15" i="7"/>
  <c r="AGG15" i="7"/>
  <c r="SN14" i="7"/>
  <c r="AM14" i="7"/>
  <c r="UP11" i="7"/>
  <c r="AEI12" i="7"/>
  <c r="VA14" i="7"/>
  <c r="OX14" i="7"/>
  <c r="ADB13" i="7"/>
  <c r="AHB15" i="7"/>
  <c r="WZ12" i="7"/>
  <c r="AJB13" i="7"/>
  <c r="FG10" i="7"/>
  <c r="PI11" i="7"/>
  <c r="AJB11" i="7"/>
  <c r="AJ13" i="7"/>
  <c r="VO11" i="7"/>
  <c r="AHY13" i="7"/>
  <c r="AHM13" i="7"/>
  <c r="ACM13" i="7"/>
  <c r="NF14" i="7"/>
  <c r="AHA12" i="7"/>
  <c r="TX13" i="7"/>
  <c r="CX12" i="7"/>
  <c r="FZ12" i="7"/>
  <c r="AKD13" i="7"/>
  <c r="NM10" i="7"/>
  <c r="LG15" i="7"/>
  <c r="ABH14" i="7"/>
  <c r="AII13" i="7"/>
  <c r="AEC14" i="7"/>
  <c r="SE10" i="7"/>
  <c r="DU8" i="7"/>
  <c r="TF8" i="7"/>
  <c r="SP10" i="7"/>
  <c r="ABT7" i="7"/>
  <c r="UK10" i="7"/>
  <c r="ALN8" i="7"/>
  <c r="EU8" i="7"/>
  <c r="I7" i="7"/>
  <c r="QK10" i="7"/>
  <c r="AJB8" i="7"/>
  <c r="RR10" i="7"/>
  <c r="AD10" i="7"/>
  <c r="GN10" i="7"/>
  <c r="ALL9" i="7"/>
  <c r="ALJ7" i="7"/>
  <c r="PO11" i="7"/>
  <c r="AEO9" i="7"/>
  <c r="CF10" i="7"/>
  <c r="ACV9" i="7"/>
  <c r="WI10" i="7"/>
  <c r="HN10" i="7"/>
  <c r="KF10" i="7"/>
  <c r="TI8" i="7"/>
  <c r="OQ10" i="7"/>
  <c r="ADO9" i="7"/>
  <c r="SG8" i="7"/>
  <c r="AIM8" i="7"/>
  <c r="GZ10" i="7"/>
  <c r="YU8" i="7"/>
  <c r="U11" i="7"/>
  <c r="LY12" i="7"/>
  <c r="AIC11" i="7"/>
  <c r="NP9" i="7"/>
  <c r="FK12" i="7"/>
  <c r="CG11" i="7"/>
  <c r="EW12" i="7"/>
  <c r="RE11" i="7"/>
  <c r="AAA9" i="7"/>
  <c r="T11" i="7"/>
  <c r="ABL10" i="7"/>
  <c r="Y11" i="7"/>
  <c r="QX10" i="7"/>
  <c r="DK9" i="7"/>
  <c r="ZN9" i="7"/>
  <c r="YP10" i="7"/>
  <c r="AEB12" i="7"/>
  <c r="CK9" i="7"/>
  <c r="FT12" i="7"/>
  <c r="UO12" i="7"/>
  <c r="VC11" i="7"/>
  <c r="IO12" i="7"/>
  <c r="ADL10" i="7"/>
  <c r="AIB11" i="7"/>
  <c r="IC11" i="7"/>
  <c r="GS9" i="7"/>
  <c r="YA10" i="7"/>
  <c r="AFE11" i="7"/>
  <c r="QW10" i="7"/>
  <c r="LR12" i="7"/>
  <c r="AJF11" i="7"/>
  <c r="AKP13" i="7"/>
  <c r="BW13" i="7"/>
  <c r="T12" i="7"/>
  <c r="HY10" i="7"/>
  <c r="KO11" i="7"/>
  <c r="ACI10" i="7"/>
  <c r="RF13" i="7"/>
  <c r="PN12" i="7"/>
  <c r="AHO10" i="7"/>
  <c r="AGZ13" i="7"/>
  <c r="R11" i="7"/>
  <c r="AFI11" i="7"/>
  <c r="QL11" i="7"/>
  <c r="ABJ13" i="7"/>
  <c r="AEE12" i="7"/>
  <c r="TS11" i="7"/>
  <c r="SN13" i="7"/>
  <c r="AKO9" i="7"/>
  <c r="WC10" i="7"/>
  <c r="XR12" i="7"/>
  <c r="AFB9" i="7"/>
  <c r="TM11" i="7"/>
  <c r="RV13" i="7"/>
  <c r="YX10" i="7"/>
  <c r="ER9" i="7"/>
  <c r="BG11" i="7"/>
  <c r="VJ12" i="7"/>
  <c r="AGX13" i="7"/>
  <c r="SK11" i="7"/>
  <c r="LY9" i="7"/>
  <c r="ACD11" i="7"/>
  <c r="AJT12" i="7"/>
  <c r="EQ14" i="7"/>
  <c r="FF12" i="7"/>
  <c r="ACO9" i="7"/>
  <c r="BF10" i="7"/>
  <c r="IX13" i="7"/>
  <c r="RG14" i="7"/>
  <c r="EJ9" i="7"/>
  <c r="HK10" i="7"/>
  <c r="DF12" i="7"/>
  <c r="XZ13" i="7"/>
  <c r="AJL10" i="7"/>
  <c r="ALN12" i="7"/>
  <c r="HL14" i="7"/>
  <c r="QQ12" i="7"/>
  <c r="ABL13" i="7"/>
  <c r="CE11" i="7"/>
  <c r="PC10" i="7"/>
  <c r="L14" i="7"/>
  <c r="TL13" i="7"/>
  <c r="DI11" i="7"/>
  <c r="KC13" i="7"/>
  <c r="P13" i="7"/>
  <c r="AFV14" i="7"/>
  <c r="HU12" i="7"/>
  <c r="SH14" i="7"/>
  <c r="ALQ12" i="7"/>
  <c r="AFP14" i="7"/>
  <c r="AJK11" i="7"/>
  <c r="IS13" i="7"/>
  <c r="ALJ12" i="7"/>
  <c r="YC14" i="7"/>
  <c r="AJQ14" i="7"/>
  <c r="GP14" i="7"/>
  <c r="BX15" i="7"/>
  <c r="VW14" i="7"/>
  <c r="NA15" i="7"/>
  <c r="AFO12" i="7"/>
  <c r="WE11" i="7"/>
  <c r="FY14" i="7"/>
  <c r="VH11" i="7"/>
  <c r="KK13" i="7"/>
  <c r="ABO12" i="7"/>
  <c r="TV14" i="7"/>
  <c r="UU15" i="7"/>
  <c r="WO13" i="7"/>
  <c r="AJW14" i="7"/>
  <c r="YL13" i="7"/>
  <c r="AKV14" i="7"/>
  <c r="AKQ11" i="7"/>
  <c r="M13" i="7"/>
  <c r="CM12" i="7"/>
  <c r="KZ14" i="7"/>
  <c r="MO15" i="7"/>
  <c r="AGB14" i="7"/>
  <c r="KJ14" i="7"/>
  <c r="YY13" i="7"/>
  <c r="AIU12" i="7"/>
  <c r="AJR9" i="7"/>
  <c r="PL12" i="7"/>
  <c r="ZU13" i="7"/>
  <c r="UN13" i="7"/>
  <c r="AIX14" i="7"/>
  <c r="AK12" i="7"/>
  <c r="KH14" i="7"/>
  <c r="ED12" i="7"/>
  <c r="LO14" i="7"/>
  <c r="GU12" i="7"/>
  <c r="CZ13" i="7"/>
  <c r="HF12" i="7"/>
  <c r="FC13" i="7"/>
  <c r="ABE14" i="7"/>
  <c r="AES14" i="7"/>
  <c r="AJE13" i="7"/>
  <c r="EQ12" i="7"/>
  <c r="JD10" i="7"/>
  <c r="VP13" i="7"/>
  <c r="KL10" i="7"/>
  <c r="AHE10" i="7"/>
  <c r="UU12" i="7"/>
  <c r="LA13" i="7"/>
  <c r="DZ11" i="7"/>
  <c r="BL13" i="7"/>
  <c r="EV14" i="7"/>
  <c r="AEH14" i="7"/>
  <c r="CU10" i="7"/>
  <c r="AIA12" i="7"/>
  <c r="BX14" i="7"/>
  <c r="HT12" i="7"/>
  <c r="VX13" i="7"/>
  <c r="LR10" i="7"/>
  <c r="AID10" i="7"/>
  <c r="QY12" i="7"/>
  <c r="LI13" i="7"/>
  <c r="FK11" i="7"/>
  <c r="CB13" i="7"/>
  <c r="FJ14" i="7"/>
  <c r="AEP14" i="7"/>
  <c r="GM10" i="7"/>
  <c r="ACT12" i="7"/>
  <c r="CF14" i="7"/>
  <c r="IE12" i="7"/>
  <c r="WF13" i="7"/>
  <c r="MX10" i="7"/>
  <c r="AJC10" i="7"/>
  <c r="RJ12" i="7"/>
  <c r="IW13" i="7"/>
  <c r="GU11" i="7"/>
  <c r="CR13" i="7"/>
  <c r="FU14" i="7"/>
  <c r="AEX14" i="7"/>
  <c r="MQ10" i="7"/>
  <c r="AEN12" i="7"/>
  <c r="ALG13" i="7"/>
  <c r="KQ12" i="7"/>
  <c r="XT13" i="7"/>
  <c r="TB10" i="7"/>
  <c r="BP11" i="7"/>
  <c r="RX12" i="7"/>
  <c r="JE13" i="7"/>
  <c r="AFY13" i="7"/>
  <c r="DH13" i="7"/>
  <c r="GI14" i="7"/>
  <c r="AFF14" i="7"/>
  <c r="NW10" i="7"/>
  <c r="AEW12" i="7"/>
  <c r="ALO13" i="7"/>
  <c r="CF12" i="7"/>
  <c r="YB13" i="7"/>
  <c r="UH10" i="7"/>
  <c r="CO11" i="7"/>
  <c r="SI12" i="7"/>
  <c r="JM13" i="7"/>
  <c r="AGG13" i="7"/>
  <c r="ALK12" i="7"/>
  <c r="GT14" i="7"/>
  <c r="AFN14" i="7"/>
  <c r="PG15" i="7"/>
  <c r="GO12" i="7"/>
  <c r="VI13" i="7"/>
  <c r="RY14" i="7"/>
  <c r="BT15" i="7"/>
  <c r="DN13" i="7"/>
  <c r="GK14" i="7"/>
  <c r="AFH14" i="7"/>
  <c r="LV12" i="7"/>
  <c r="AIE11" i="7"/>
  <c r="SN11" i="7"/>
  <c r="IC13" i="7"/>
  <c r="FB13" i="7"/>
  <c r="AKR12" i="7"/>
  <c r="CI14" i="7"/>
  <c r="ALD15" i="7"/>
  <c r="NG15" i="7"/>
  <c r="SL14" i="7"/>
  <c r="YP14" i="7"/>
  <c r="AFM14" i="7"/>
  <c r="BQ12" i="7"/>
  <c r="QN14" i="7"/>
  <c r="AIE12" i="7"/>
  <c r="ABP14" i="7"/>
  <c r="TK11" i="7"/>
  <c r="AS13" i="7"/>
  <c r="AHW12" i="7"/>
  <c r="ABM14" i="7"/>
  <c r="UY14" i="7"/>
  <c r="ALM14" i="7"/>
  <c r="AFL14" i="7"/>
  <c r="AKW14" i="7"/>
  <c r="ALO15" i="7"/>
  <c r="GS15" i="7"/>
  <c r="HA14" i="7"/>
  <c r="ACP15" i="7"/>
  <c r="GH15" i="7"/>
  <c r="JZ14" i="7"/>
  <c r="ADM15" i="7"/>
  <c r="HI15" i="7"/>
  <c r="ME14" i="7"/>
  <c r="NA13" i="7"/>
  <c r="AGP15" i="7"/>
  <c r="AHM15" i="7"/>
  <c r="AGH15" i="7"/>
  <c r="OJ15" i="7"/>
  <c r="AAQ15" i="7"/>
  <c r="AHZ13" i="7"/>
  <c r="EK11" i="7"/>
  <c r="AJN13" i="7"/>
  <c r="HL11" i="7"/>
  <c r="SV12" i="7"/>
  <c r="HY11" i="7"/>
  <c r="WF12" i="7"/>
  <c r="RV14" i="7"/>
  <c r="FW15" i="7"/>
  <c r="VN14" i="7"/>
  <c r="ALB13" i="7"/>
  <c r="OQ14" i="7"/>
  <c r="ABK14" i="7"/>
  <c r="AIE15" i="7"/>
  <c r="JN15" i="7"/>
  <c r="ND14" i="7"/>
  <c r="AET15" i="7"/>
  <c r="IT15" i="7"/>
  <c r="PF14" i="7"/>
  <c r="AFQ15" i="7"/>
  <c r="JU15" i="7"/>
  <c r="RC14" i="7"/>
  <c r="AJJ14" i="7"/>
  <c r="AFJ14" i="7"/>
  <c r="AGS14" i="7"/>
  <c r="AEF14" i="7"/>
  <c r="FX15" i="7"/>
  <c r="EC12" i="7"/>
  <c r="LN14" i="7"/>
  <c r="HV12" i="7"/>
  <c r="MS14" i="7"/>
  <c r="JX12" i="7"/>
  <c r="EV13" i="7"/>
  <c r="KH12" i="7"/>
  <c r="GY13" i="7"/>
  <c r="G5" i="7"/>
  <c r="ADF14" i="7"/>
  <c r="AFX13" i="7"/>
  <c r="NK13" i="7"/>
  <c r="AIS13" i="7"/>
  <c r="OP14" i="7"/>
  <c r="ACI15" i="7"/>
  <c r="CU15" i="7"/>
  <c r="AJP13" i="7"/>
  <c r="ZH15" i="7"/>
  <c r="CT15" i="7"/>
  <c r="AD14" i="7"/>
  <c r="AAH15" i="7"/>
  <c r="DU15" i="7"/>
  <c r="CS14" i="7"/>
  <c r="ZI13" i="7"/>
  <c r="AJB15" i="7"/>
  <c r="AJY15" i="7"/>
  <c r="ML13" i="7"/>
  <c r="CZ11" i="7"/>
  <c r="AIY13" i="7"/>
  <c r="HG11" i="7"/>
  <c r="AKM13" i="7"/>
  <c r="KG11" i="7"/>
  <c r="UT12" i="7"/>
  <c r="YD12" i="7"/>
  <c r="IN14" i="7"/>
  <c r="ALP12" i="7"/>
  <c r="ZD14" i="7"/>
  <c r="AEI13" i="7"/>
  <c r="KP13" i="7"/>
  <c r="ADI13" i="7"/>
  <c r="PA14" i="7"/>
  <c r="PY14" i="7"/>
  <c r="AER14" i="7"/>
  <c r="K15" i="7"/>
  <c r="ID13" i="7"/>
  <c r="XL14" i="7"/>
  <c r="PT14" i="7"/>
  <c r="RY11" i="7"/>
  <c r="ABY12" i="7"/>
  <c r="SI13" i="7"/>
  <c r="TT14" i="7"/>
  <c r="ALJ15" i="7"/>
  <c r="NE10" i="7"/>
  <c r="DK10" i="7"/>
  <c r="HC13" i="7"/>
  <c r="ACR10" i="7"/>
  <c r="MA12" i="7"/>
  <c r="AED9" i="7"/>
  <c r="RA11" i="7"/>
  <c r="NO14" i="7"/>
  <c r="ZV12" i="7"/>
  <c r="AJT13" i="7"/>
  <c r="AY11" i="7"/>
  <c r="RD9" i="7"/>
  <c r="ZH12" i="7"/>
  <c r="AGW11" i="7"/>
  <c r="CV9" i="7"/>
  <c r="ALR11" i="7"/>
  <c r="DB13" i="7"/>
  <c r="LS14" i="7"/>
  <c r="OL12" i="7"/>
  <c r="LG9" i="7"/>
  <c r="OU9" i="7"/>
  <c r="JB12" i="7"/>
  <c r="UD11" i="7"/>
  <c r="QI13" i="7"/>
  <c r="X10" i="7"/>
  <c r="JZ12" i="7"/>
  <c r="MC13" i="7"/>
  <c r="AGX11" i="7"/>
  <c r="AAZ15" i="7"/>
  <c r="OG13" i="7"/>
  <c r="BF11" i="7"/>
  <c r="AIP14" i="7"/>
  <c r="LE14" i="7"/>
  <c r="EM13" i="7"/>
  <c r="EA12" i="7"/>
  <c r="AHO11" i="7"/>
  <c r="AAI14" i="7"/>
  <c r="GQ13" i="7"/>
  <c r="XL15" i="7"/>
  <c r="HD12" i="7"/>
  <c r="ACR12" i="7"/>
  <c r="BK10" i="7"/>
  <c r="FI10" i="7"/>
  <c r="AR9" i="7"/>
  <c r="AHA6" i="7"/>
  <c r="BA9" i="7"/>
  <c r="IK10" i="7"/>
  <c r="FS8" i="7"/>
  <c r="OP8" i="7"/>
  <c r="AKR8" i="7"/>
  <c r="GW10" i="7"/>
  <c r="ALR8" i="7"/>
  <c r="ADB9" i="7"/>
  <c r="AKE9" i="7"/>
  <c r="XH11" i="7"/>
  <c r="AZ9" i="7"/>
  <c r="SZ12" i="7"/>
  <c r="VB9" i="7"/>
  <c r="ABO9" i="7"/>
  <c r="SZ11" i="7"/>
  <c r="WC8" i="7"/>
  <c r="AKL9" i="7"/>
  <c r="WW9" i="7"/>
  <c r="AKQ9" i="7"/>
  <c r="GI8" i="7"/>
  <c r="SF10" i="7"/>
  <c r="FC10" i="7"/>
  <c r="ABK9" i="7"/>
  <c r="JL11" i="7"/>
  <c r="IG10" i="7"/>
  <c r="SB12" i="7"/>
  <c r="OB9" i="7"/>
  <c r="WT12" i="7"/>
  <c r="ADF9" i="7"/>
  <c r="WO11" i="7"/>
  <c r="OR12" i="7"/>
  <c r="ABA12" i="7"/>
  <c r="AX12" i="7"/>
  <c r="ADX8" i="7"/>
  <c r="YL11" i="7"/>
  <c r="CT11" i="7"/>
  <c r="Q12" i="7"/>
  <c r="MI11" i="7"/>
  <c r="QK9" i="7"/>
  <c r="AEU10" i="7"/>
  <c r="AD12" i="7"/>
  <c r="AEZ10" i="7"/>
  <c r="MP10" i="7"/>
  <c r="VL9" i="7"/>
  <c r="ABA9" i="7"/>
  <c r="AAZ12" i="7"/>
  <c r="AIX8" i="7"/>
  <c r="CR12" i="7"/>
  <c r="SS12" i="7"/>
  <c r="AFA11" i="7"/>
  <c r="SO9" i="7"/>
  <c r="QD11" i="7"/>
  <c r="UN10" i="7"/>
  <c r="AFP11" i="7"/>
  <c r="WY9" i="7"/>
  <c r="FB12" i="7"/>
  <c r="ALN9" i="7"/>
  <c r="YA13" i="7"/>
  <c r="AHS12" i="7"/>
  <c r="AFZ9" i="7"/>
  <c r="QX12" i="7"/>
  <c r="CA12" i="7"/>
  <c r="AY14" i="7"/>
  <c r="EQ13" i="7"/>
  <c r="FH12" i="7"/>
  <c r="TA10" i="7"/>
  <c r="IB12" i="7"/>
  <c r="UH9" i="7"/>
  <c r="GE11" i="7"/>
  <c r="LC14" i="7"/>
  <c r="OU13" i="7"/>
  <c r="VZ12" i="7"/>
  <c r="AEV13" i="7"/>
  <c r="FW10" i="7"/>
  <c r="TZ10" i="7"/>
  <c r="DS9" i="7"/>
  <c r="GY11" i="7"/>
  <c r="UY12" i="7"/>
  <c r="AGP13" i="7"/>
  <c r="XA11" i="7"/>
  <c r="YG8" i="7"/>
  <c r="AGT11" i="7"/>
  <c r="Z13" i="7"/>
  <c r="JG14" i="7"/>
  <c r="JN12" i="7"/>
  <c r="AIL8" i="7"/>
  <c r="SL10" i="7"/>
  <c r="NN13" i="7"/>
  <c r="AHV9" i="7"/>
  <c r="AM9" i="7"/>
  <c r="OU10" i="7"/>
  <c r="CP12" i="7"/>
  <c r="XR13" i="7"/>
  <c r="EG11" i="7"/>
  <c r="YF8" i="7"/>
  <c r="PF11" i="7"/>
  <c r="AAX12" i="7"/>
  <c r="AI14" i="7"/>
  <c r="AED11" i="7"/>
  <c r="NW13" i="7"/>
  <c r="WR10" i="7"/>
  <c r="AKE12" i="7"/>
  <c r="DU14" i="7"/>
  <c r="AO11" i="7"/>
  <c r="JQ12" i="7"/>
  <c r="LJ11" i="7"/>
  <c r="AGV9" i="7"/>
  <c r="M12" i="7"/>
  <c r="ZE13" i="7"/>
  <c r="ADD13" i="7"/>
  <c r="FS15" i="7"/>
  <c r="HE13" i="7"/>
  <c r="AHC14" i="7"/>
  <c r="ACT13" i="7"/>
  <c r="NC11" i="7"/>
  <c r="BT13" i="7"/>
  <c r="VC12" i="7"/>
  <c r="XO13" i="7"/>
  <c r="ADL15" i="7"/>
  <c r="MD14" i="7"/>
  <c r="AL15" i="7"/>
  <c r="SV14" i="7"/>
  <c r="YC13" i="7"/>
  <c r="AJT14" i="7"/>
  <c r="SM13" i="7"/>
  <c r="ABK12" i="7"/>
  <c r="WT10" i="7"/>
  <c r="KN12" i="7"/>
  <c r="XA13" i="7"/>
  <c r="OZ13" i="7"/>
  <c r="AGD14" i="7"/>
  <c r="ABT11" i="7"/>
  <c r="FV14" i="7"/>
  <c r="AFM11" i="7"/>
  <c r="HJ14" i="7"/>
  <c r="AID11" i="7"/>
  <c r="AJR12" i="7"/>
  <c r="AIO11" i="7"/>
  <c r="O13" i="7"/>
  <c r="YK14" i="7"/>
  <c r="AJC14" i="7"/>
  <c r="FN14" i="7"/>
  <c r="AGP11" i="7"/>
  <c r="LD14" i="7"/>
  <c r="VH13" i="7"/>
  <c r="AGF9" i="7"/>
  <c r="AIQ12" i="7"/>
  <c r="XS11" i="7"/>
  <c r="EH14" i="7"/>
  <c r="IU15" i="7"/>
  <c r="AKY12" i="7"/>
  <c r="XW14" i="7"/>
  <c r="AL13" i="7"/>
  <c r="YV14" i="7"/>
  <c r="BS13" i="7"/>
  <c r="DM12" i="7"/>
  <c r="BZ13" i="7"/>
  <c r="ADS13" i="7"/>
  <c r="AAG15" i="7"/>
  <c r="CR14" i="7"/>
  <c r="AHY14" i="7"/>
  <c r="AQ13" i="7"/>
  <c r="AJS11" i="7"/>
  <c r="AAN13" i="7"/>
  <c r="ADU10" i="7"/>
  <c r="RP11" i="7"/>
  <c r="ZG12" i="7"/>
  <c r="NU13" i="7"/>
  <c r="PC11" i="7"/>
  <c r="GJ13" i="7"/>
  <c r="IU14" i="7"/>
  <c r="AGT14" i="7"/>
  <c r="CW11" i="7"/>
  <c r="AY13" i="7"/>
  <c r="GV14" i="7"/>
  <c r="PO12" i="7"/>
  <c r="AAV13" i="7"/>
  <c r="AET10" i="7"/>
  <c r="IY11" i="7"/>
  <c r="ZQ12" i="7"/>
  <c r="OC13" i="7"/>
  <c r="QI11" i="7"/>
  <c r="GZ13" i="7"/>
  <c r="JF14" i="7"/>
  <c r="AHB14" i="7"/>
  <c r="AAE10" i="7"/>
  <c r="BG13" i="7"/>
  <c r="HD14" i="7"/>
  <c r="QC12" i="7"/>
  <c r="ABD13" i="7"/>
  <c r="AFS10" i="7"/>
  <c r="JQ11" i="7"/>
  <c r="VW12" i="7"/>
  <c r="OK13" i="7"/>
  <c r="RO11" i="7"/>
  <c r="HP13" i="7"/>
  <c r="JT14" i="7"/>
  <c r="AHJ14" i="7"/>
  <c r="AFP10" i="7"/>
  <c r="AKD12" i="7"/>
  <c r="IR14" i="7"/>
  <c r="SO12" i="7"/>
  <c r="ACR13" i="7"/>
  <c r="AKQ10" i="7"/>
  <c r="NE11" i="7"/>
  <c r="WH12" i="7"/>
  <c r="LY13" i="7"/>
  <c r="SU11" i="7"/>
  <c r="IF13" i="7"/>
  <c r="KG14" i="7"/>
  <c r="AHR14" i="7"/>
  <c r="AGO10" i="7"/>
  <c r="AKM12" i="7"/>
  <c r="EB14" i="7"/>
  <c r="TC12" i="7"/>
  <c r="ACZ13" i="7"/>
  <c r="ALP10" i="7"/>
  <c r="NW11" i="7"/>
  <c r="WV12" i="7"/>
  <c r="MO13" i="7"/>
  <c r="JP11" i="7"/>
  <c r="IV13" i="7"/>
  <c r="KQ14" i="7"/>
  <c r="AHZ14" i="7"/>
  <c r="RS15" i="7"/>
  <c r="OQ12" i="7"/>
  <c r="AAG13" i="7"/>
  <c r="UM14" i="7"/>
  <c r="TE11" i="7"/>
  <c r="IL13" i="7"/>
  <c r="KI14" i="7"/>
  <c r="AHT14" i="7"/>
  <c r="TT12" i="7"/>
  <c r="FP12" i="7"/>
  <c r="ACJ11" i="7"/>
  <c r="WG11" i="7"/>
  <c r="IE11" i="7"/>
  <c r="DG13" i="7"/>
  <c r="GH14" i="7"/>
  <c r="AIR15" i="7"/>
  <c r="KL15" i="7"/>
  <c r="MV14" i="7"/>
  <c r="OF14" i="7"/>
  <c r="ABQ14" i="7"/>
  <c r="SP12" i="7"/>
  <c r="VS14" i="7"/>
  <c r="FZ13" i="7"/>
  <c r="AGN14" i="7"/>
  <c r="AR12" i="7"/>
  <c r="ABE11" i="7"/>
  <c r="FS13" i="7"/>
  <c r="AHL15" i="7"/>
  <c r="JN14" i="7"/>
  <c r="ADO14" i="7"/>
  <c r="AAV14" i="7"/>
  <c r="AGJ14" i="7"/>
  <c r="AFS15" i="7"/>
  <c r="DN15" i="7"/>
  <c r="ALQ13" i="7"/>
  <c r="ZZ15" i="7"/>
  <c r="DM15" i="7"/>
  <c r="CB14" i="7"/>
  <c r="ABA15" i="7"/>
  <c r="EN15" i="7"/>
  <c r="ET14" i="7"/>
  <c r="AEU15" i="7"/>
  <c r="YY15" i="7"/>
  <c r="ZY15" i="7"/>
  <c r="HS15" i="7"/>
  <c r="IS15" i="7"/>
  <c r="VP11" i="7"/>
  <c r="DJ14" i="7"/>
  <c r="ZI11" i="7"/>
  <c r="EX14" i="7"/>
  <c r="ABZ11" i="7"/>
  <c r="AGD12" i="7"/>
  <c r="ACK11" i="7"/>
  <c r="AIO12" i="7"/>
  <c r="WW14" i="7"/>
  <c r="ALO14" i="7"/>
  <c r="KK14" i="7"/>
  <c r="AAY13" i="7"/>
  <c r="HF14" i="7"/>
  <c r="VG14" i="7"/>
  <c r="AFK15" i="7"/>
  <c r="GJ15" i="7"/>
  <c r="GB14" i="7"/>
  <c r="ACH15" i="7"/>
  <c r="FY15" i="7"/>
  <c r="IX14" i="7"/>
  <c r="ADE15" i="7"/>
  <c r="GZ15" i="7"/>
  <c r="LI14" i="7"/>
  <c r="AEL14" i="7"/>
  <c r="RJ14" i="7"/>
  <c r="TI14" i="7"/>
  <c r="PR14" i="7"/>
  <c r="AHQ14" i="7"/>
  <c r="UQ12" i="7"/>
  <c r="RF14" i="7"/>
  <c r="XO12" i="7"/>
  <c r="SI14" i="7"/>
  <c r="ZO12" i="7"/>
  <c r="QB11" i="7"/>
  <c r="ZX12" i="7"/>
  <c r="QU13" i="7"/>
  <c r="AGV15" i="7"/>
  <c r="TS14" i="7"/>
  <c r="MF13" i="7"/>
  <c r="AY15" i="7"/>
  <c r="YD13" i="7"/>
  <c r="HB14" i="7"/>
  <c r="ZI15" i="7"/>
  <c r="AKS14" i="7"/>
  <c r="AAJ13" i="7"/>
  <c r="WM15" i="7"/>
  <c r="ALF14" i="7"/>
  <c r="AEA13" i="7"/>
  <c r="XM15" i="7"/>
  <c r="AD15" i="7"/>
  <c r="AHI13" i="7"/>
  <c r="AHO15" i="7"/>
  <c r="ABR15" i="7"/>
  <c r="ACO15" i="7"/>
  <c r="ALF15" i="7"/>
  <c r="LN15" i="7"/>
  <c r="YB11" i="7"/>
  <c r="EL14" i="7"/>
  <c r="ABU11" i="7"/>
  <c r="FZ14" i="7"/>
  <c r="AEL11" i="7"/>
  <c r="AHO12" i="7"/>
  <c r="AEW11" i="7"/>
  <c r="AJZ12" i="7"/>
  <c r="XM14" i="7"/>
  <c r="AKP14" i="7"/>
  <c r="AER13" i="7"/>
  <c r="AIL14" i="7"/>
  <c r="OA15" i="7"/>
  <c r="JA13" i="7"/>
  <c r="ADC14" i="7"/>
  <c r="KX13" i="7"/>
  <c r="AEB14" i="7"/>
  <c r="IX11" i="7"/>
  <c r="VB12" i="7"/>
  <c r="NU11" i="7"/>
  <c r="AH14" i="7"/>
  <c r="UH15" i="7"/>
  <c r="WG13" i="7"/>
  <c r="ZE14" i="7"/>
  <c r="ADN14" i="7"/>
  <c r="AX15" i="7"/>
  <c r="WW13" i="7"/>
  <c r="RY15" i="7"/>
  <c r="AAT14" i="7"/>
  <c r="AIT15" i="7"/>
  <c r="BR15" i="7"/>
  <c r="LK11" i="7"/>
  <c r="N14" i="7"/>
  <c r="PM11" i="7"/>
  <c r="BB14" i="7"/>
  <c r="SD11" i="7"/>
  <c r="AAL12" i="7"/>
  <c r="SO11" i="7"/>
  <c r="ACY12" i="7"/>
  <c r="UK14" i="7"/>
  <c r="DB15" i="7"/>
  <c r="QH14" i="7"/>
  <c r="AFW13" i="7"/>
  <c r="KY14" i="7"/>
  <c r="YI14" i="7"/>
  <c r="AGY15" i="7"/>
  <c r="IC15" i="7"/>
  <c r="KA14" i="7"/>
  <c r="ADN15" i="7"/>
  <c r="HJ15" i="7"/>
  <c r="MK14" i="7"/>
  <c r="AEK15" i="7"/>
  <c r="TO15" i="7"/>
  <c r="UC13" i="7"/>
  <c r="AIQ14" i="7"/>
  <c r="VZ13" i="7"/>
  <c r="AJP14" i="7"/>
  <c r="AFS11" i="7"/>
  <c r="AJE12" i="7"/>
  <c r="AJZ11" i="7"/>
  <c r="JE14" i="7"/>
  <c r="NY15" i="7"/>
  <c r="AIC14" i="7"/>
  <c r="NL14" i="7"/>
  <c r="WN14" i="7"/>
  <c r="AHI14" i="7"/>
  <c r="JI13" i="7"/>
  <c r="OC15" i="7"/>
  <c r="UP14" i="7"/>
  <c r="AID15" i="7"/>
  <c r="MQ15" i="7"/>
  <c r="WK14" i="7"/>
  <c r="AJA15" i="7"/>
  <c r="NQ15" i="7"/>
  <c r="YB14" i="7"/>
  <c r="BN15" i="7"/>
  <c r="BE14" i="7"/>
  <c r="YX14" i="7"/>
  <c r="AKH15" i="7"/>
  <c r="VU14" i="7"/>
  <c r="KM15" i="7"/>
  <c r="OF11" i="7"/>
  <c r="CA14" i="7"/>
  <c r="VA11" i="7"/>
  <c r="CD15" i="7"/>
  <c r="ALE14" i="7"/>
  <c r="WR8" i="7"/>
  <c r="MO11" i="7"/>
  <c r="PZ13" i="7"/>
  <c r="AAD13" i="7"/>
  <c r="CU14" i="7"/>
  <c r="BA11" i="7"/>
  <c r="RO12" i="7"/>
  <c r="ABQ13" i="7"/>
  <c r="AJO14" i="7"/>
  <c r="ACE12" i="7"/>
  <c r="AJA14" i="7"/>
  <c r="XK13" i="7"/>
  <c r="ZM13" i="7"/>
  <c r="JU14" i="7"/>
  <c r="CJ13" i="7"/>
  <c r="AFD14" i="7"/>
  <c r="AAF13" i="7"/>
  <c r="IG14" i="7"/>
  <c r="FJ13" i="7"/>
  <c r="ME12" i="7"/>
  <c r="AHE13" i="7"/>
  <c r="AFL13" i="7"/>
  <c r="QG13" i="7"/>
  <c r="CJ11" i="7"/>
  <c r="HU10" i="7"/>
  <c r="EQ9" i="7"/>
  <c r="OI7" i="7"/>
  <c r="FY9" i="7"/>
  <c r="KW10" i="7"/>
  <c r="QU8" i="7"/>
  <c r="VQ8" i="7"/>
  <c r="DE9" i="7"/>
  <c r="JI10" i="7"/>
  <c r="DD9" i="7"/>
  <c r="AHZ9" i="7"/>
  <c r="CR10" i="7"/>
  <c r="ZT11" i="7"/>
  <c r="EY9" i="7"/>
  <c r="VL12" i="7"/>
  <c r="ZZ9" i="7"/>
  <c r="AGM9" i="7"/>
  <c r="VL11" i="7"/>
  <c r="AJM7" i="7"/>
  <c r="CY10" i="7"/>
  <c r="ABU9" i="7"/>
  <c r="AR10" i="7"/>
  <c r="RK8" i="7"/>
  <c r="UR10" i="7"/>
  <c r="KA10" i="7"/>
  <c r="ADW9" i="7"/>
  <c r="OY11" i="7"/>
  <c r="TQ9" i="7"/>
  <c r="AID9" i="7"/>
  <c r="ABM11" i="7"/>
  <c r="YN12" i="7"/>
  <c r="AEN8" i="7"/>
  <c r="Y9" i="7"/>
  <c r="AAX11" i="7"/>
  <c r="IJ11" i="7"/>
  <c r="CK12" i="7"/>
  <c r="PA11" i="7"/>
  <c r="VS9" i="7"/>
  <c r="AIT10" i="7"/>
  <c r="ABT10" i="7"/>
  <c r="AJ11" i="7"/>
  <c r="RN10" i="7"/>
  <c r="AFH9" i="7"/>
  <c r="AFY9" i="7"/>
  <c r="AFX12" i="7"/>
  <c r="EI9" i="7"/>
  <c r="HP12" i="7"/>
  <c r="VE12" i="7"/>
  <c r="AHM11" i="7"/>
  <c r="XP9" i="7"/>
  <c r="SP11" i="7"/>
  <c r="ADW10" i="7"/>
  <c r="AIJ11" i="7"/>
  <c r="ZI8" i="7"/>
  <c r="KA12" i="7"/>
  <c r="IY10" i="7"/>
  <c r="AAM13" i="7"/>
  <c r="AKO12" i="7"/>
  <c r="VV12" i="7"/>
  <c r="GY12" i="7"/>
  <c r="DK14" i="7"/>
  <c r="JR12" i="7"/>
  <c r="RG13" i="7"/>
  <c r="AGK7" i="7"/>
  <c r="KG10" i="7"/>
  <c r="AEH9" i="7"/>
  <c r="HP9" i="7"/>
  <c r="AEA8" i="7"/>
  <c r="AHA10" i="7"/>
  <c r="RI9" i="7"/>
  <c r="X9" i="7"/>
  <c r="AAW8" i="7"/>
  <c r="AFM10" i="7"/>
  <c r="ADJ9" i="7"/>
  <c r="BL11" i="7"/>
  <c r="EE11" i="7"/>
  <c r="IN9" i="7"/>
  <c r="AEM9" i="7"/>
  <c r="FG9" i="7"/>
  <c r="AFW10" i="7"/>
  <c r="AKH10" i="7"/>
  <c r="V11" i="7"/>
  <c r="JP9" i="7"/>
  <c r="IT8" i="7"/>
  <c r="AHR10" i="7"/>
  <c r="WV10" i="7"/>
  <c r="GW8" i="7"/>
  <c r="RD8" i="7"/>
  <c r="BD11" i="7"/>
  <c r="GF10" i="7"/>
  <c r="ABG11" i="7"/>
  <c r="BI11" i="7"/>
  <c r="QC9" i="7"/>
  <c r="KT10" i="7"/>
  <c r="ZV9" i="7"/>
  <c r="ZG10" i="7"/>
  <c r="QL12" i="7"/>
  <c r="TP9" i="7"/>
  <c r="ZE9" i="7"/>
  <c r="PR12" i="7"/>
  <c r="ADU9" i="7"/>
  <c r="AU12" i="7"/>
  <c r="AHS11" i="7"/>
  <c r="PA12" i="7"/>
  <c r="ABI11" i="7"/>
  <c r="JM9" i="7"/>
  <c r="MF11" i="7"/>
  <c r="FT10" i="7"/>
  <c r="ABH11" i="7"/>
  <c r="ACB10" i="7"/>
  <c r="AX11" i="7"/>
  <c r="SD10" i="7"/>
  <c r="AIJ9" i="7"/>
  <c r="AGO9" i="7"/>
  <c r="AGF12" i="7"/>
  <c r="FH9" i="7"/>
  <c r="HJ12" i="7"/>
  <c r="LZ9" i="7"/>
  <c r="AEX11" i="7"/>
  <c r="VS11" i="7"/>
  <c r="JE12" i="7"/>
  <c r="KJ9" i="7"/>
  <c r="AEV12" i="7"/>
  <c r="KQ11" i="7"/>
  <c r="AJ14" i="7"/>
  <c r="KN13" i="7"/>
  <c r="BD10" i="7"/>
  <c r="AKG8" i="7"/>
  <c r="ZQ11" i="7"/>
  <c r="PS14" i="7"/>
  <c r="TK13" i="7"/>
  <c r="ACL12" i="7"/>
  <c r="AAL10" i="7"/>
  <c r="AEC12" i="7"/>
  <c r="GT9" i="7"/>
  <c r="PM12" i="7"/>
  <c r="VG10" i="7"/>
  <c r="ADO13" i="7"/>
  <c r="ACU12" i="7"/>
  <c r="U14" i="7"/>
  <c r="ZO10" i="7"/>
  <c r="HB11" i="7"/>
  <c r="AHG8" i="7"/>
  <c r="RR11" i="7"/>
  <c r="ACS12" i="7"/>
  <c r="ALN13" i="7"/>
  <c r="J12" i="7"/>
  <c r="QN9" i="7"/>
  <c r="NR8" i="7"/>
  <c r="GH11" i="7"/>
  <c r="EE10" i="7"/>
  <c r="ACB7" i="7"/>
  <c r="QT9" i="7"/>
  <c r="ADK7" i="7"/>
  <c r="ADX9" i="7"/>
  <c r="Y7" i="7"/>
  <c r="NZ9" i="7"/>
  <c r="FJ11" i="7"/>
  <c r="DG10" i="7"/>
  <c r="IU8" i="7"/>
  <c r="RS11" i="7"/>
  <c r="AJE9" i="7"/>
  <c r="EJ10" i="7"/>
  <c r="AHD9" i="7"/>
  <c r="LB7" i="7"/>
  <c r="NH11" i="7"/>
  <c r="WW8" i="7"/>
  <c r="XS9" i="7"/>
  <c r="AEA6" i="7"/>
  <c r="AJR8" i="7"/>
  <c r="AIQ7" i="7"/>
  <c r="RW8" i="7"/>
  <c r="ABK8" i="7"/>
  <c r="ALI7" i="7"/>
  <c r="IR10" i="7"/>
  <c r="ADS11" i="7"/>
  <c r="EO11" i="7"/>
  <c r="AKF9" i="7"/>
  <c r="PR10" i="7"/>
  <c r="AET9" i="7"/>
  <c r="ADV10" i="7"/>
  <c r="UK12" i="7"/>
  <c r="ADL9" i="7"/>
  <c r="AEC9" i="7"/>
  <c r="SD12" i="7"/>
  <c r="ADY8" i="7"/>
  <c r="DG12" i="7"/>
  <c r="AF12" i="7"/>
  <c r="RM12" i="7"/>
  <c r="ADU11" i="7"/>
  <c r="PT9" i="7"/>
  <c r="OX11" i="7"/>
  <c r="PP10" i="7"/>
  <c r="AEB11" i="7"/>
  <c r="AH9" i="7"/>
  <c r="HA11" i="7"/>
  <c r="XB10" i="7"/>
  <c r="FU10" i="7"/>
  <c r="ALM9" i="7"/>
  <c r="ALD12" i="7"/>
  <c r="MJ9" i="7"/>
  <c r="JV12" i="7"/>
  <c r="RX9" i="7"/>
  <c r="AHJ11" i="7"/>
  <c r="AAQ11" i="7"/>
  <c r="LQ12" i="7"/>
  <c r="VU9" i="7"/>
  <c r="AHZ12" i="7"/>
  <c r="PZ11" i="7"/>
  <c r="CV14" i="7"/>
  <c r="MZ13" i="7"/>
  <c r="KZ10" i="7"/>
  <c r="MR9" i="7"/>
  <c r="AJM11" i="7"/>
  <c r="SE14" i="7"/>
  <c r="VW13" i="7"/>
  <c r="AFG12" i="7"/>
  <c r="AIS10" i="7"/>
  <c r="AGX12" i="7"/>
  <c r="TH9" i="7"/>
  <c r="TW12" i="7"/>
  <c r="AEN10" i="7"/>
  <c r="AGA13" i="7"/>
  <c r="AIL12" i="7"/>
  <c r="CG14" i="7"/>
  <c r="AIB10" i="7"/>
  <c r="MR11" i="7"/>
  <c r="KI9" i="7"/>
  <c r="WP11" i="7"/>
  <c r="AFW12" i="7"/>
  <c r="EA14" i="7"/>
  <c r="EH12" i="7"/>
  <c r="AAS9" i="7"/>
  <c r="XS8" i="7"/>
  <c r="UC9" i="7"/>
  <c r="NM8" i="7"/>
  <c r="VX9" i="7"/>
  <c r="HX9" i="7"/>
  <c r="AFU8" i="7"/>
  <c r="AHI10" i="7"/>
  <c r="RS9" i="7"/>
  <c r="FD9" i="7"/>
  <c r="TD9" i="7"/>
  <c r="BJ8" i="7"/>
  <c r="EM9" i="7"/>
  <c r="VD12" i="7"/>
  <c r="ZR9" i="7"/>
  <c r="AFW9" i="7"/>
  <c r="VD11" i="7"/>
  <c r="AJZ8" i="7"/>
  <c r="QV12" i="7"/>
  <c r="IP7" i="7"/>
  <c r="AD11" i="7"/>
  <c r="KB9" i="7"/>
  <c r="JZ8" i="7"/>
  <c r="AHZ10" i="7"/>
  <c r="HK9" i="7"/>
  <c r="JR10" i="7"/>
  <c r="IC8" i="7"/>
  <c r="BG9" i="7"/>
  <c r="SJ12" i="7"/>
  <c r="AEH8" i="7"/>
  <c r="ADD11" i="7"/>
  <c r="OK11" i="7"/>
  <c r="HS9" i="7"/>
  <c r="YD11" i="7"/>
  <c r="AJS8" i="7"/>
  <c r="VT11" i="7"/>
  <c r="AIL10" i="7"/>
  <c r="AAL9" i="7"/>
  <c r="GE10" i="7"/>
  <c r="NF11" i="7"/>
  <c r="IG9" i="7"/>
  <c r="UW9" i="7"/>
  <c r="NN12" i="7"/>
  <c r="ZM9" i="7"/>
  <c r="ALB11" i="7"/>
  <c r="AIA11" i="7"/>
  <c r="PI12" i="7"/>
  <c r="JC11" i="7"/>
  <c r="DI12" i="7"/>
  <c r="JL10" i="7"/>
  <c r="ABX11" i="7"/>
  <c r="ACC8" i="7"/>
  <c r="DM11" i="7"/>
  <c r="TJ10" i="7"/>
  <c r="HJ9" i="7"/>
  <c r="ABZ9" i="7"/>
  <c r="ADG10" i="7"/>
  <c r="AGN12" i="7"/>
  <c r="PQ11" i="7"/>
  <c r="AJS10" i="7"/>
  <c r="TJ13" i="7"/>
  <c r="SY12" i="7"/>
  <c r="CC11" i="7"/>
  <c r="AJD13" i="7"/>
  <c r="FL11" i="7"/>
  <c r="ZM8" i="7"/>
  <c r="ALM12" i="7"/>
  <c r="VN11" i="7"/>
  <c r="FP14" i="7"/>
  <c r="PT13" i="7"/>
  <c r="WB10" i="7"/>
  <c r="PB10" i="7"/>
  <c r="AA10" i="7"/>
  <c r="KD13" i="7"/>
  <c r="DK12" i="7"/>
  <c r="GR10" i="7"/>
  <c r="IR13" i="7"/>
  <c r="UG10" i="7"/>
  <c r="BO11" i="7"/>
  <c r="DZ12" i="7"/>
  <c r="AAC9" i="7"/>
  <c r="PZ10" i="7"/>
  <c r="KL13" i="7"/>
  <c r="QI14" i="7"/>
  <c r="ADI8" i="7"/>
  <c r="WO9" i="7"/>
  <c r="DJ6" i="7"/>
  <c r="YJ9" i="7"/>
  <c r="DH7" i="7"/>
  <c r="ALA8" i="7"/>
  <c r="KS8" i="7"/>
  <c r="UJ9" i="7"/>
  <c r="ADH6" i="7"/>
  <c r="VQ9" i="7"/>
  <c r="AKC10" i="7"/>
  <c r="IJ9" i="7"/>
  <c r="XP12" i="7"/>
  <c r="AEP9" i="7"/>
  <c r="AKU9" i="7"/>
  <c r="XP11" i="7"/>
  <c r="BN9" i="7"/>
  <c r="TH12" i="7"/>
  <c r="IS8" i="7"/>
  <c r="FB11" i="7"/>
  <c r="NH9" i="7"/>
  <c r="TS8" i="7"/>
  <c r="AM11" i="7"/>
  <c r="OD9" i="7"/>
  <c r="OP10" i="7"/>
  <c r="SP8" i="7"/>
  <c r="IZ9" i="7"/>
  <c r="UV12" i="7"/>
  <c r="IE9" i="7"/>
  <c r="AFX11" i="7"/>
  <c r="TI11" i="7"/>
  <c r="OJ9" i="7"/>
  <c r="AAP11" i="7"/>
  <c r="MH9" i="7"/>
  <c r="AAR11" i="7"/>
  <c r="Z11" i="7"/>
  <c r="XA8" i="7"/>
  <c r="LC10" i="7"/>
  <c r="SG11" i="7"/>
  <c r="UF9" i="7"/>
  <c r="ZU9" i="7"/>
  <c r="PZ12" i="7"/>
  <c r="AEK9" i="7"/>
  <c r="BC12" i="7"/>
  <c r="AN12" i="7"/>
  <c r="RU12" i="7"/>
  <c r="OQ11" i="7"/>
  <c r="FU12" i="7"/>
  <c r="TH10" i="7"/>
  <c r="AER11" i="7"/>
  <c r="GE9" i="7"/>
  <c r="JD11" i="7"/>
  <c r="YH10" i="7"/>
  <c r="OC9" i="7"/>
  <c r="AGX9" i="7"/>
  <c r="ALE10" i="7"/>
  <c r="WN8" i="7"/>
  <c r="UO11" i="7"/>
  <c r="EM11" i="7"/>
  <c r="VV13" i="7"/>
  <c r="WX12" i="7"/>
  <c r="HW11" i="7"/>
  <c r="ALP13" i="7"/>
  <c r="LB11" i="7"/>
  <c r="DY9" i="7"/>
  <c r="BV13" i="7"/>
  <c r="AAL11" i="7"/>
  <c r="IB14" i="7"/>
  <c r="SF13" i="7"/>
  <c r="AFC10" i="7"/>
  <c r="ALL10" i="7"/>
  <c r="JW10" i="7"/>
  <c r="MP13" i="7"/>
  <c r="ID12" i="7"/>
  <c r="QN10" i="7"/>
  <c r="LD13" i="7"/>
  <c r="ADT10" i="7"/>
  <c r="CK10" i="7"/>
  <c r="IX12" i="7"/>
  <c r="JO9" i="7"/>
  <c r="AIE10" i="7"/>
  <c r="MX13" i="7"/>
  <c r="AFJ9" i="7"/>
  <c r="XJ9" i="7"/>
  <c r="WU10" i="7"/>
  <c r="HN12" i="7"/>
  <c r="ABZ13" i="7"/>
  <c r="HT11" i="7"/>
  <c r="ACM9" i="7"/>
  <c r="NG11" i="7"/>
  <c r="ADK12" i="7"/>
  <c r="S14" i="7"/>
  <c r="ACW11" i="7"/>
  <c r="FV9" i="7"/>
  <c r="AE12" i="7"/>
  <c r="DR13" i="7"/>
  <c r="JW14" i="7"/>
  <c r="VF12" i="7"/>
  <c r="AAD9" i="7"/>
  <c r="OO11" i="7"/>
  <c r="TB13" i="7"/>
  <c r="RO10" i="7"/>
  <c r="AFY12" i="7"/>
  <c r="AB14" i="7"/>
  <c r="IS12" i="7"/>
  <c r="WN13" i="7"/>
  <c r="OD10" i="7"/>
  <c r="ES11" i="7"/>
  <c r="ACA13" i="7"/>
  <c r="JP13" i="7"/>
  <c r="AJB10" i="7"/>
  <c r="EG13" i="7"/>
  <c r="AAV12" i="7"/>
  <c r="YL14" i="7"/>
  <c r="AAN11" i="7"/>
  <c r="MR14" i="7"/>
  <c r="AAH12" i="7"/>
  <c r="YF14" i="7"/>
  <c r="PS11" i="7"/>
  <c r="ALH12" i="7"/>
  <c r="SG12" i="7"/>
  <c r="TE14" i="7"/>
  <c r="EL15" i="7"/>
  <c r="TB14" i="7"/>
  <c r="YM13" i="7"/>
  <c r="AEW14" i="7"/>
  <c r="SR15" i="7"/>
  <c r="RZ12" i="7"/>
  <c r="AB11" i="7"/>
  <c r="AIN13" i="7"/>
  <c r="EA11" i="7"/>
  <c r="EO13" i="7"/>
  <c r="MK12" i="7"/>
  <c r="OJ14" i="7"/>
  <c r="PW15" i="7"/>
  <c r="MS13" i="7"/>
  <c r="AEY14" i="7"/>
  <c r="OP13" i="7"/>
  <c r="AFX14" i="7"/>
  <c r="QY11" i="7"/>
  <c r="AAQ12" i="7"/>
  <c r="VF11" i="7"/>
  <c r="DH14" i="7"/>
  <c r="SE15" i="7"/>
  <c r="OW13" i="7"/>
  <c r="VM14" i="7"/>
  <c r="PC13" i="7"/>
  <c r="WN12" i="7"/>
  <c r="JF10" i="7"/>
  <c r="GG12" i="7"/>
  <c r="UW13" i="7"/>
  <c r="KR13" i="7"/>
  <c r="ADZ14" i="7"/>
  <c r="TD11" i="7"/>
  <c r="CK14" i="7"/>
  <c r="WW11" i="7"/>
  <c r="DY14" i="7"/>
  <c r="ZN11" i="7"/>
  <c r="AET12" i="7"/>
  <c r="ZY11" i="7"/>
  <c r="AHE12" i="7"/>
  <c r="WG14" i="7"/>
  <c r="AC15" i="7"/>
  <c r="MC14" i="7"/>
  <c r="XJ11" i="7"/>
  <c r="GN14" i="7"/>
  <c r="LT13" i="7"/>
  <c r="WS10" i="7"/>
  <c r="AHL9" i="7"/>
  <c r="GW12" i="7"/>
  <c r="CS13" i="7"/>
  <c r="ACO13" i="7"/>
  <c r="ACZ12" i="7"/>
  <c r="AJI13" i="7"/>
  <c r="ZJ14" i="7"/>
  <c r="JC15" i="7"/>
  <c r="NP12" i="7"/>
  <c r="ZO13" i="7"/>
  <c r="AAM11" i="7"/>
  <c r="MB13" i="7"/>
  <c r="XY10" i="7"/>
  <c r="AIR9" i="7"/>
  <c r="HM12" i="7"/>
  <c r="DA13" i="7"/>
  <c r="AAK13" i="7"/>
  <c r="ADR12" i="7"/>
  <c r="AJW13" i="7"/>
  <c r="ZR14" i="7"/>
  <c r="JK15" i="7"/>
  <c r="OA12" i="7"/>
  <c r="ZW13" i="7"/>
  <c r="RG11" i="7"/>
  <c r="MJ13" i="7"/>
  <c r="ZE10" i="7"/>
  <c r="AJX9" i="7"/>
  <c r="IM12" i="7"/>
  <c r="DI13" i="7"/>
  <c r="AAS13" i="7"/>
  <c r="YE12" i="7"/>
  <c r="AKK13" i="7"/>
  <c r="ZZ14" i="7"/>
  <c r="JS15" i="7"/>
  <c r="QM12" i="7"/>
  <c r="ABK13" i="7"/>
  <c r="UI11" i="7"/>
  <c r="IZ13" i="7"/>
  <c r="AES10" i="7"/>
  <c r="DQ10" i="7"/>
  <c r="JA12" i="7"/>
  <c r="DQ13" i="7"/>
  <c r="ABA13" i="7"/>
  <c r="ZF12" i="7"/>
  <c r="AGV13" i="7"/>
  <c r="AAH14" i="7"/>
  <c r="KA15" i="7"/>
  <c r="RA12" i="7"/>
  <c r="ABS13" i="7"/>
  <c r="UY11" i="7"/>
  <c r="JH13" i="7"/>
  <c r="MW10" i="7"/>
  <c r="EW10" i="7"/>
  <c r="JO12" i="7"/>
  <c r="DY13" i="7"/>
  <c r="ABI13" i="7"/>
  <c r="ZZ12" i="7"/>
  <c r="AHK13" i="7"/>
  <c r="YD14" i="7"/>
  <c r="KI15" i="7"/>
  <c r="ZH11" i="7"/>
  <c r="LM13" i="7"/>
  <c r="MH14" i="7"/>
  <c r="AJG14" i="7"/>
  <c r="ZN12" i="7"/>
  <c r="AHB13" i="7"/>
  <c r="AAJ14" i="7"/>
  <c r="AFR11" i="7"/>
  <c r="OM11" i="7"/>
  <c r="GB13" i="7"/>
  <c r="AKP12" i="7"/>
  <c r="ABM12" i="7"/>
  <c r="RH12" i="7"/>
  <c r="AGU13" i="7"/>
  <c r="XU14" i="7"/>
  <c r="SW15" i="7"/>
  <c r="ACG14" i="7"/>
  <c r="AHA14" i="7"/>
  <c r="JT13" i="7"/>
  <c r="VK15" i="7"/>
  <c r="CY14" i="7"/>
  <c r="FJ12" i="7"/>
  <c r="RQ14" i="7"/>
  <c r="AJQ12" i="7"/>
  <c r="NG12" i="7"/>
  <c r="XR11" i="7"/>
  <c r="LV14" i="7"/>
  <c r="R15" i="7"/>
  <c r="AIC13" i="7"/>
  <c r="CL15" i="7"/>
  <c r="PN13" i="7"/>
  <c r="ADA13" i="7"/>
  <c r="QO15" i="7"/>
  <c r="TJ14" i="7"/>
  <c r="AHN15" i="7"/>
  <c r="LY15" i="7"/>
  <c r="VE14" i="7"/>
  <c r="AIK15" i="7"/>
  <c r="MY15" i="7"/>
  <c r="WV14" i="7"/>
  <c r="LV13" i="7"/>
  <c r="LQ14" i="7"/>
  <c r="GZ14" i="7"/>
  <c r="JR14" i="7"/>
  <c r="AHE15" i="7"/>
  <c r="QU15" i="7"/>
  <c r="OO13" i="7"/>
  <c r="AFW14" i="7"/>
  <c r="QL13" i="7"/>
  <c r="AGV14" i="7"/>
  <c r="UQ11" i="7"/>
  <c r="ACW12" i="7"/>
  <c r="YX11" i="7"/>
  <c r="EU14" i="7"/>
  <c r="RD15" i="7"/>
  <c r="LE13" i="7"/>
  <c r="TQ14" i="7"/>
  <c r="AAF14" i="7"/>
  <c r="AKI14" i="7"/>
  <c r="QS13" i="7"/>
  <c r="QF15" i="7"/>
  <c r="XR14" i="7"/>
  <c r="AJR15" i="7"/>
  <c r="OK15" i="7"/>
  <c r="ZM14" i="7"/>
  <c r="AKO15" i="7"/>
  <c r="PK15" i="7"/>
  <c r="ABD14" i="7"/>
  <c r="KZ13" i="7"/>
  <c r="SH15" i="7"/>
  <c r="NR15" i="7"/>
  <c r="LX15" i="7"/>
  <c r="ACG15" i="7"/>
  <c r="AAY15" i="7"/>
  <c r="AIK13" i="7"/>
  <c r="FV11" i="7"/>
  <c r="AJY13" i="7"/>
  <c r="IW11" i="7"/>
  <c r="TU12" i="7"/>
  <c r="JI11" i="7"/>
  <c r="XE12" i="7"/>
  <c r="SF14" i="7"/>
  <c r="FN15" i="7"/>
  <c r="UX14" i="7"/>
  <c r="AKC13" i="7"/>
  <c r="NY14" i="7"/>
  <c r="AAE14" i="7"/>
  <c r="AHW15" i="7"/>
  <c r="JE15" i="7"/>
  <c r="ML14" i="7"/>
  <c r="AEL15" i="7"/>
  <c r="IK15" i="7"/>
  <c r="ON14" i="7"/>
  <c r="AFI15" i="7"/>
  <c r="JL15" i="7"/>
  <c r="QK14" i="7"/>
  <c r="BI15" i="7"/>
  <c r="ED14" i="7"/>
  <c r="NU14" i="7"/>
  <c r="UZ14" i="7"/>
  <c r="RS13" i="7"/>
  <c r="RK15" i="7"/>
  <c r="PU13" i="7"/>
  <c r="AGM14" i="7"/>
  <c r="RR13" i="7"/>
  <c r="AHL14" i="7"/>
  <c r="XC11" i="7"/>
  <c r="AEG12" i="7"/>
  <c r="ABJ11" i="7"/>
  <c r="FT14" i="7"/>
  <c r="QK15" i="7"/>
  <c r="ALN14" i="7"/>
  <c r="XG13" i="7"/>
  <c r="WX13" i="7"/>
  <c r="KU12" i="7"/>
  <c r="NS14" i="7"/>
  <c r="NS12" i="7"/>
  <c r="OV14" i="7"/>
  <c r="PU12" i="7"/>
  <c r="IN13" i="7"/>
  <c r="QE12" i="7"/>
  <c r="KQ13" i="7"/>
  <c r="AJX15" i="7"/>
  <c r="ZW14" i="7"/>
  <c r="YN13" i="7"/>
  <c r="KY13" i="7"/>
  <c r="AGT13" i="7"/>
  <c r="NE14" i="7"/>
  <c r="ABS15" i="7"/>
  <c r="BV15" i="7"/>
  <c r="AHR13" i="7"/>
  <c r="QD15" i="7"/>
  <c r="OI15" i="7"/>
  <c r="JQ13" i="7"/>
  <c r="ADK14" i="7"/>
  <c r="LN13" i="7"/>
  <c r="AEJ14" i="7"/>
  <c r="KI11" i="7"/>
  <c r="WA12" i="7"/>
  <c r="PB11" i="7"/>
  <c r="AV14" i="7"/>
  <c r="TY15" i="7"/>
  <c r="VA13" i="7"/>
  <c r="YO14" i="7"/>
  <c r="ACZ14" i="7"/>
  <c r="V15" i="7"/>
  <c r="VQ13" i="7"/>
  <c r="RP15" i="7"/>
  <c r="AAD14" i="7"/>
  <c r="AKX15" i="7"/>
  <c r="PU15" i="7"/>
  <c r="ABU14" i="7"/>
  <c r="G6" i="7"/>
  <c r="FO15" i="7"/>
  <c r="ABU12" i="7"/>
  <c r="TW14" i="7"/>
  <c r="ADY12" i="7"/>
  <c r="UV14" i="7"/>
  <c r="AFK12" i="7"/>
  <c r="ZX11" i="7"/>
  <c r="AFS12" i="7"/>
  <c r="VS13" i="7"/>
  <c r="AEJ15" i="7"/>
  <c r="OG14" i="7"/>
  <c r="BY15" i="7"/>
  <c r="ALI14" i="7"/>
  <c r="TF13" i="7"/>
  <c r="CD14" i="7"/>
  <c r="XP15" i="7"/>
  <c r="AIG14" i="7"/>
  <c r="VL13" i="7"/>
  <c r="VB15" i="7"/>
  <c r="AJE14" i="7"/>
  <c r="ZC13" i="7"/>
  <c r="WC15" i="7"/>
  <c r="AKQ14" i="7"/>
  <c r="ACL13" i="7"/>
  <c r="ACK14" i="7"/>
  <c r="ADG15" i="7"/>
  <c r="U15" i="7"/>
  <c r="AEB13" i="7"/>
  <c r="US15" i="7"/>
  <c r="AIT14" i="7"/>
  <c r="XW13" i="7"/>
  <c r="SX15" i="7"/>
  <c r="AGG14" i="7"/>
  <c r="OY15" i="7"/>
  <c r="KW13" i="7"/>
  <c r="AEA14" i="7"/>
  <c r="MT13" i="7"/>
  <c r="AEZ14" i="7"/>
  <c r="ND11" i="7"/>
  <c r="YB12" i="7"/>
  <c r="RN11" i="7"/>
  <c r="BU14" i="7"/>
  <c r="TF15" i="7"/>
  <c r="SO13" i="7"/>
  <c r="MT14" i="7"/>
  <c r="VX14" i="7"/>
  <c r="AAJ15" i="7"/>
  <c r="JZ13" i="7"/>
  <c r="IJ15" i="7"/>
  <c r="TV15" i="7"/>
  <c r="DJ12" i="7"/>
  <c r="PS10" i="7"/>
  <c r="KK11" i="7"/>
  <c r="YQ10" i="7"/>
  <c r="AED12" i="7"/>
  <c r="GG14" i="7"/>
  <c r="OC10" i="7"/>
  <c r="IE15" i="7"/>
  <c r="GR13" i="7"/>
  <c r="EP14" i="7"/>
  <c r="AFU14" i="7"/>
  <c r="OX12" i="7"/>
  <c r="ALP11" i="7"/>
  <c r="FO12" i="7"/>
  <c r="AAW14" i="7"/>
  <c r="HX10" i="7"/>
  <c r="I13" i="7"/>
  <c r="DM13" i="7"/>
  <c r="GX13" i="7"/>
  <c r="FO13" i="7"/>
  <c r="XD11" i="7"/>
  <c r="MM9" i="7"/>
  <c r="OE14" i="7"/>
  <c r="HQ11" i="7"/>
  <c r="AHU9" i="7"/>
  <c r="NO12" i="7"/>
  <c r="QH12" i="7"/>
  <c r="AKU12" i="7"/>
  <c r="ADC12" i="7"/>
  <c r="FH13" i="7"/>
  <c r="ZI12" i="7"/>
  <c r="RD10" i="7"/>
  <c r="DI14" i="7"/>
  <c r="P15" i="7"/>
  <c r="ER11" i="7"/>
  <c r="ALI13" i="7"/>
  <c r="AFB14" i="7"/>
  <c r="VM15" i="7"/>
  <c r="EZ13" i="7"/>
  <c r="ABY13" i="7"/>
  <c r="NK15" i="7"/>
  <c r="TS12" i="7"/>
  <c r="HH13" i="7"/>
  <c r="I14" i="7"/>
  <c r="RD13" i="7"/>
  <c r="AFD13" i="7"/>
  <c r="SK13" i="7"/>
  <c r="QE15" i="7"/>
  <c r="KH13" i="7"/>
  <c r="YS12" i="7"/>
  <c r="DV14" i="7"/>
  <c r="ZU14" i="7"/>
  <c r="ADN12" i="7"/>
  <c r="AIF11" i="7"/>
  <c r="YY11" i="7"/>
  <c r="MG14" i="7"/>
  <c r="OD11" i="7"/>
  <c r="LT14" i="7"/>
  <c r="AFT13" i="7"/>
  <c r="XT11" i="7"/>
  <c r="QO13" i="7"/>
  <c r="LX13" i="7"/>
  <c r="AJN14" i="7"/>
  <c r="GE13" i="7"/>
  <c r="YA12" i="7"/>
  <c r="AY10" i="7"/>
  <c r="ADJ12" i="7"/>
  <c r="ABK11" i="7"/>
  <c r="MZ14" i="7"/>
  <c r="HC11" i="7"/>
  <c r="AKM9" i="7"/>
  <c r="AHP13" i="7"/>
  <c r="TL11" i="7"/>
  <c r="RE13" i="7"/>
  <c r="ND13" i="7"/>
  <c r="AKD14" i="7"/>
  <c r="DC13" i="7"/>
  <c r="AAP12" i="7"/>
  <c r="II10" i="7"/>
  <c r="AAW12" i="7"/>
  <c r="ADW11" i="7"/>
  <c r="NR14" i="7"/>
  <c r="UE15" i="7"/>
  <c r="AFE13" i="7"/>
  <c r="ADA11" i="7"/>
  <c r="NK14" i="7"/>
  <c r="ABE12" i="7"/>
  <c r="JH12" i="7"/>
  <c r="ST11" i="7"/>
  <c r="KD14" i="7"/>
  <c r="HQ15" i="7"/>
  <c r="HO14" i="7"/>
  <c r="AGA12" i="7"/>
  <c r="PV13" i="7"/>
  <c r="AFL12" i="7"/>
  <c r="PO13" i="7"/>
  <c r="AGC13" i="7"/>
  <c r="VH14" i="7"/>
  <c r="ACY15" i="7"/>
  <c r="ACV13" i="7"/>
  <c r="T15" i="7"/>
  <c r="YF15" i="7"/>
  <c r="AJG13" i="7"/>
  <c r="QN15" i="7"/>
  <c r="AKG14" i="7"/>
  <c r="CW12" i="7"/>
  <c r="GP12" i="7"/>
  <c r="IY12" i="7"/>
  <c r="JI12" i="7"/>
  <c r="G13" i="7"/>
  <c r="AHD13" i="7"/>
  <c r="AJU13" i="7"/>
  <c r="ACQ15" i="7"/>
  <c r="AKO13" i="7"/>
  <c r="DD15" i="7"/>
  <c r="AAR15" i="7"/>
  <c r="DR14" i="7"/>
  <c r="AIQ13" i="7"/>
  <c r="AGD13" i="7"/>
  <c r="AHK12" i="7"/>
  <c r="AJO12" i="7"/>
  <c r="ALA12" i="7"/>
  <c r="ALI12" i="7"/>
  <c r="ABX15" i="7"/>
  <c r="AKK14" i="7"/>
  <c r="NB13" i="7"/>
  <c r="WE15" i="7"/>
  <c r="QN13" i="7"/>
  <c r="AHG14" i="7"/>
  <c r="UR15" i="7"/>
  <c r="XN13" i="7"/>
  <c r="TI15" i="7"/>
  <c r="EX15" i="7"/>
  <c r="FI12" i="7"/>
  <c r="IU12" i="7"/>
  <c r="KW12" i="7"/>
  <c r="LG12" i="7"/>
  <c r="ALL15" i="7"/>
  <c r="ACB14" i="7"/>
  <c r="SY15" i="7"/>
  <c r="AIA14" i="7"/>
  <c r="AIZ14" i="7"/>
  <c r="AHU12" i="7"/>
  <c r="IF14" i="7"/>
  <c r="AJB14" i="7"/>
  <c r="YJ14" i="7"/>
  <c r="LU13" i="7"/>
  <c r="VV14" i="7"/>
  <c r="SS14" i="7"/>
  <c r="HI14" i="7"/>
  <c r="IW14" i="7"/>
  <c r="H13" i="7"/>
  <c r="BK13" i="7"/>
  <c r="AHP14" i="7"/>
  <c r="UU13" i="7"/>
  <c r="SU14" i="7"/>
  <c r="EY15" i="7"/>
  <c r="ABB15" i="7"/>
  <c r="FB14" i="7"/>
  <c r="YM15" i="7"/>
  <c r="BD15" i="7"/>
  <c r="CC15" i="7"/>
  <c r="GW13" i="7"/>
  <c r="PJ14" i="7"/>
  <c r="ZV14" i="7"/>
  <c r="QT14" i="7"/>
  <c r="AJK15" i="7"/>
  <c r="PG14" i="7"/>
  <c r="JV15" i="7"/>
  <c r="AGO15" i="7"/>
  <c r="TD14" i="7"/>
  <c r="AEG13" i="7"/>
  <c r="TZ14" i="7"/>
  <c r="JM15" i="7"/>
  <c r="ADU15" i="7"/>
  <c r="MW14" i="7"/>
  <c r="IH14" i="7"/>
  <c r="JV14" i="7"/>
  <c r="AN13" i="7"/>
  <c r="CQ13" i="7"/>
  <c r="AGQ14" i="7"/>
  <c r="CW15" i="7"/>
  <c r="ADR13" i="7"/>
  <c r="AEP15" i="7"/>
  <c r="SD14" i="7"/>
  <c r="G14" i="7"/>
  <c r="PE14" i="7"/>
  <c r="DR11" i="7"/>
  <c r="ZG14" i="7"/>
  <c r="JS13" i="7"/>
  <c r="MM14" i="7"/>
  <c r="AT15" i="7"/>
  <c r="AJO13" i="7"/>
  <c r="MV11" i="7"/>
  <c r="QS11" i="7"/>
  <c r="TJ11" i="7"/>
  <c r="TU11" i="7"/>
  <c r="PP14" i="7"/>
  <c r="KC14" i="7"/>
  <c r="AGQ15" i="7"/>
  <c r="JB14" i="7"/>
  <c r="HA15" i="7"/>
  <c r="AEC15" i="7"/>
  <c r="TE13" i="7"/>
  <c r="OO14" i="7"/>
  <c r="GR15" i="7"/>
  <c r="ABI15" i="7"/>
  <c r="AKF13" i="7"/>
  <c r="OT14" i="7"/>
  <c r="PW14" i="7"/>
  <c r="MM13" i="7"/>
  <c r="YA14" i="7"/>
  <c r="AKX14" i="7"/>
  <c r="AHF14" i="7"/>
  <c r="ACD15" i="7"/>
  <c r="AJC15" i="7"/>
  <c r="YO15" i="7"/>
  <c r="UE14" i="7"/>
  <c r="ABD11" i="7"/>
  <c r="WI13" i="7"/>
  <c r="AFZ14" i="7"/>
  <c r="ZM15" i="7"/>
  <c r="TJ12" i="7"/>
  <c r="FG14" i="7"/>
  <c r="AFK11" i="7"/>
  <c r="ALL13" i="7"/>
  <c r="GD14" i="7"/>
  <c r="YV13" i="7"/>
  <c r="OG12" i="7"/>
  <c r="AGF10" i="7"/>
  <c r="ADT14" i="7"/>
  <c r="KM13" i="7"/>
  <c r="WG12" i="7"/>
  <c r="FT11" i="7"/>
  <c r="XY13" i="7"/>
  <c r="UY13" i="7"/>
  <c r="AO13" i="7"/>
  <c r="IR12" i="7"/>
  <c r="DU12" i="7"/>
  <c r="WU13" i="7"/>
  <c r="BE13" i="7"/>
  <c r="VR14" i="7"/>
  <c r="RR12" i="7"/>
  <c r="AEY12" i="7"/>
  <c r="AGC14" i="7"/>
  <c r="LY14" i="7"/>
  <c r="AAP13" i="7"/>
  <c r="AAC14" i="7"/>
  <c r="YG14" i="7"/>
  <c r="GP13" i="7"/>
  <c r="CH15" i="7"/>
  <c r="ADV14" i="7"/>
  <c r="AJQ15" i="7"/>
  <c r="HK12" i="7"/>
  <c r="MI15" i="7"/>
  <c r="EF14" i="7"/>
  <c r="HV13" i="7"/>
  <c r="AJA13" i="7"/>
  <c r="ALA11" i="7"/>
  <c r="AEM15" i="7"/>
  <c r="ZL14" i="7"/>
  <c r="AHM14" i="7"/>
  <c r="QM13" i="7"/>
  <c r="SF12" i="7"/>
  <c r="AAT15" i="7"/>
  <c r="ALE13" i="7"/>
  <c r="RJ13" i="7"/>
  <c r="AGE13" i="7"/>
  <c r="WR15" i="7"/>
  <c r="SL13" i="7"/>
  <c r="HS14" i="7"/>
  <c r="CV12" i="7"/>
  <c r="GY14" i="7"/>
  <c r="ACI13" i="7"/>
  <c r="NA14" i="7"/>
  <c r="KE13" i="7"/>
  <c r="AGF14" i="7"/>
  <c r="PK13" i="7"/>
  <c r="ALR14" i="7"/>
  <c r="ADA12" i="7"/>
  <c r="AGB13" i="7"/>
  <c r="HS13" i="7"/>
  <c r="ACQ11" i="7"/>
  <c r="AHX13" i="7"/>
  <c r="AKL14" i="7"/>
  <c r="NJ13" i="7"/>
  <c r="IE13" i="7"/>
  <c r="AAQ14" i="7"/>
  <c r="UG14" i="7"/>
  <c r="AGM13" i="7"/>
  <c r="ALP14" i="7"/>
  <c r="GI13" i="7"/>
  <c r="DE15" i="7"/>
  <c r="GC14" i="7"/>
  <c r="XH14" i="7"/>
  <c r="AIW14" i="7"/>
  <c r="UE13" i="7"/>
  <c r="DC15" i="7"/>
  <c r="ACR14" i="7"/>
  <c r="ADG11" i="7"/>
  <c r="AIK14" i="7"/>
  <c r="AJE11" i="7"/>
  <c r="CQ14" i="7"/>
  <c r="EO15" i="7"/>
  <c r="LW12" i="7"/>
  <c r="BN14" i="7"/>
  <c r="RI14" i="7"/>
  <c r="AHV15" i="7"/>
  <c r="ALQ11" i="7"/>
  <c r="AP14" i="7"/>
  <c r="IH13" i="7"/>
  <c r="HK14" i="7"/>
  <c r="MU11" i="7"/>
  <c r="RA13" i="7"/>
  <c r="AIV14" i="7"/>
  <c r="PV14" i="7"/>
  <c r="ABP10" i="7"/>
  <c r="PR11" i="7"/>
  <c r="GB10" i="7"/>
  <c r="KU13" i="7"/>
  <c r="AKA11" i="7"/>
  <c r="AKZ13" i="7"/>
  <c r="W15" i="7"/>
  <c r="AHG12" i="7"/>
  <c r="SZ10" i="7"/>
  <c r="SR13" i="7"/>
  <c r="SH13" i="7"/>
  <c r="NC13" i="7"/>
  <c r="AFO14" i="7"/>
  <c r="IM14" i="7"/>
  <c r="WQ13" i="7"/>
  <c r="UJ14" i="7"/>
  <c r="QE13" i="7"/>
  <c r="ALG14" i="7"/>
  <c r="AJQ13" i="7"/>
  <c r="ACF14" i="7"/>
  <c r="AEM14" i="7"/>
  <c r="QW15" i="7"/>
  <c r="OS15" i="7"/>
  <c r="RH11" i="7"/>
  <c r="ACS13" i="7"/>
  <c r="JA15" i="7"/>
  <c r="ABJ15" i="7"/>
  <c r="RG12" i="7"/>
  <c r="ABK15" i="7"/>
  <c r="Y14" i="7"/>
  <c r="CO15" i="7"/>
  <c r="ADF15" i="7"/>
  <c r="NT15" i="7"/>
  <c r="NR12" i="7"/>
  <c r="AIZ15" i="7"/>
  <c r="IP15" i="7"/>
  <c r="CS11" i="7"/>
  <c r="ADE10" i="7"/>
  <c r="VY13" i="7"/>
  <c r="VL10" i="7"/>
  <c r="VR12" i="7"/>
  <c r="CC13" i="7"/>
  <c r="HM11" i="7"/>
  <c r="PD12" i="7"/>
  <c r="EE15" i="7"/>
  <c r="AJJ12" i="7"/>
  <c r="AIL11" i="7"/>
  <c r="VU13" i="7"/>
  <c r="ALO12" i="7"/>
  <c r="SX14" i="7"/>
  <c r="WK13" i="7"/>
  <c r="AEI14" i="7"/>
  <c r="SA13" i="7"/>
  <c r="LZ14" i="7"/>
  <c r="RM15" i="7"/>
  <c r="MU13" i="7"/>
  <c r="AU14" i="7"/>
  <c r="AAA13" i="7"/>
  <c r="AGW14" i="7"/>
  <c r="AKI15" i="7"/>
  <c r="AGE14" i="7"/>
  <c r="JY13" i="7"/>
  <c r="XB14" i="7"/>
  <c r="CG15" i="7"/>
  <c r="XP14" i="7"/>
  <c r="TL14" i="7"/>
  <c r="ACG12" i="7"/>
  <c r="IL15" i="7"/>
  <c r="ADG12" i="7"/>
  <c r="CM15" i="7"/>
  <c r="AJS14" i="7"/>
  <c r="JK14" i="7"/>
  <c r="TO13" i="7"/>
  <c r="DZ14" i="7"/>
  <c r="ACX15" i="7"/>
  <c r="AEQ12" i="7"/>
  <c r="AGA14" i="7"/>
  <c r="MY10" i="7"/>
  <c r="QQ14" i="7"/>
  <c r="US11" i="7"/>
  <c r="XY11" i="7"/>
  <c r="RY12" i="7"/>
  <c r="CU9" i="7"/>
  <c r="BF13" i="7"/>
  <c r="SU13" i="7"/>
  <c r="UB13" i="7"/>
  <c r="AFF12" i="7"/>
  <c r="OM12" i="7"/>
  <c r="VZ14" i="7"/>
  <c r="CB15" i="7"/>
  <c r="JH11" i="7"/>
  <c r="QL14" i="7"/>
  <c r="ABA14" i="7"/>
  <c r="QI10" i="7"/>
  <c r="ADP13" i="7"/>
  <c r="AEK13" i="7"/>
  <c r="IT12" i="7"/>
  <c r="JR13" i="7"/>
  <c r="KS11" i="7"/>
  <c r="AKN15" i="7"/>
  <c r="AAK14" i="7"/>
  <c r="AKB13" i="7"/>
  <c r="EZ12" i="7"/>
  <c r="IP11" i="7"/>
  <c r="PF13" i="7"/>
  <c r="UC12" i="7"/>
  <c r="TU14" i="7"/>
  <c r="UW14" i="7"/>
  <c r="CW14" i="7"/>
  <c r="BI12" i="7"/>
  <c r="AIU11" i="7"/>
  <c r="RX14" i="7"/>
  <c r="XZ11" i="7"/>
  <c r="KJ10" i="7"/>
  <c r="AKR13" i="7"/>
  <c r="ADH11" i="7"/>
  <c r="TA13" i="7"/>
  <c r="QV13" i="7"/>
  <c r="CA15" i="7"/>
  <c r="LC13" i="7"/>
  <c r="AEF12" i="7"/>
  <c r="UQ10" i="7"/>
  <c r="AGO12" i="7"/>
  <c r="ALG11" i="7"/>
  <c r="PU14" i="7"/>
  <c r="ABR11" i="7"/>
  <c r="RT10" i="7"/>
  <c r="AC14" i="7"/>
  <c r="YZ11" i="7"/>
  <c r="TQ13" i="7"/>
  <c r="SB13" i="7"/>
  <c r="AE15" i="7"/>
  <c r="MY13" i="7"/>
  <c r="AGI12" i="7"/>
  <c r="ACA10" i="7"/>
  <c r="AEL12" i="7"/>
  <c r="BH12" i="7"/>
  <c r="QM14" i="7"/>
  <c r="WQ15" i="7"/>
  <c r="AX14" i="7"/>
  <c r="AL12" i="7"/>
  <c r="QF14" i="7"/>
  <c r="AGU12" i="7"/>
  <c r="RC12" i="7"/>
  <c r="ACP11" i="7"/>
  <c r="NH14" i="7"/>
  <c r="BP15" i="7"/>
  <c r="Q14" i="7"/>
  <c r="EC13" i="7"/>
  <c r="ZR13" i="7"/>
  <c r="DP13" i="7"/>
  <c r="ZK13" i="7"/>
  <c r="MK13" i="7"/>
  <c r="IE14" i="7"/>
  <c r="AAB15" i="7"/>
  <c r="SZ13" i="7"/>
  <c r="AIF14" i="7"/>
  <c r="VJ15" i="7"/>
  <c r="ZZ13" i="7"/>
  <c r="IB15" i="7"/>
  <c r="XQ14" i="7"/>
  <c r="TO12" i="7"/>
  <c r="WP12" i="7"/>
  <c r="YR12" i="7"/>
  <c r="ZB12" i="7"/>
  <c r="AHD15" i="7"/>
  <c r="NL13" i="7"/>
  <c r="ZJ13" i="7"/>
  <c r="ZR15" i="7"/>
  <c r="ABP13" i="7"/>
  <c r="ALQ14" i="7"/>
  <c r="XV15" i="7"/>
  <c r="AIH13" i="7"/>
  <c r="ALN15" i="7"/>
  <c r="YP15" i="7"/>
  <c r="FI13" i="7"/>
  <c r="HF13" i="7"/>
  <c r="IM13" i="7"/>
  <c r="FI11" i="7"/>
  <c r="WK15" i="7"/>
  <c r="ACP14" i="7"/>
  <c r="BW15" i="7"/>
  <c r="TA15" i="7"/>
  <c r="G7" i="7"/>
  <c r="ADH14" i="7"/>
  <c r="RW15" i="7"/>
  <c r="NR13" i="7"/>
  <c r="KW15" i="7"/>
  <c r="AGH14" i="7"/>
  <c r="VP12" i="7"/>
  <c r="YQ12" i="7"/>
  <c r="AAI12" i="7"/>
  <c r="AAT12" i="7"/>
  <c r="AGN15" i="7"/>
  <c r="SJ14" i="7"/>
  <c r="XW15" i="7"/>
  <c r="AN15" i="7"/>
  <c r="BM15" i="7"/>
  <c r="FQ13" i="7"/>
  <c r="OR14" i="7"/>
  <c r="ABB14" i="7"/>
  <c r="AKA15" i="7"/>
  <c r="QR14" i="7"/>
  <c r="OB14" i="7"/>
  <c r="LG13" i="7"/>
  <c r="YG15" i="7"/>
  <c r="US14" i="7"/>
  <c r="NP14" i="7"/>
  <c r="GM11" i="7"/>
  <c r="TV13" i="7"/>
  <c r="AJY9" i="7"/>
  <c r="HR9" i="7"/>
  <c r="AAR9" i="7"/>
  <c r="AJH9" i="7"/>
  <c r="PO15" i="7"/>
  <c r="VI15" i="7"/>
  <c r="AEC10" i="7"/>
  <c r="QX14" i="7"/>
  <c r="UL12" i="7"/>
  <c r="NI13" i="7"/>
  <c r="RV15" i="7"/>
  <c r="AJA12" i="7"/>
  <c r="FG12" i="7"/>
  <c r="BY12" i="7"/>
  <c r="GY15" i="7"/>
  <c r="ACF10" i="7"/>
  <c r="XN14" i="7"/>
  <c r="JY14" i="7"/>
  <c r="HO15" i="7"/>
  <c r="PX10" i="7"/>
  <c r="PL11" i="7"/>
  <c r="VL14" i="7"/>
  <c r="JJ12" i="7"/>
  <c r="TP13" i="7"/>
  <c r="AHH11" i="7"/>
  <c r="LG14" i="7"/>
  <c r="AJZ15" i="7"/>
  <c r="ADP14" i="7"/>
  <c r="ES13" i="7"/>
  <c r="WT15" i="7"/>
  <c r="TJ15" i="7"/>
  <c r="SF15" i="7"/>
  <c r="ZA13" i="7"/>
  <c r="LD15" i="7"/>
  <c r="AGX15" i="7"/>
  <c r="ACW14" i="7"/>
  <c r="JC13" i="7"/>
  <c r="AEF11" i="7"/>
  <c r="DP14" i="7"/>
  <c r="ZH14" i="7"/>
  <c r="AEY13" i="7"/>
  <c r="SP15" i="7"/>
  <c r="RS12" i="7"/>
  <c r="AEH13" i="7"/>
  <c r="YX15" i="7"/>
  <c r="AH15" i="7"/>
  <c r="II12" i="7"/>
  <c r="ADG14" i="7"/>
  <c r="YF9" i="7"/>
  <c r="HD11" i="7"/>
  <c r="AEC13" i="7"/>
  <c r="AHV12" i="7"/>
  <c r="ABA10" i="7"/>
  <c r="WE12" i="7"/>
  <c r="LW14" i="7"/>
  <c r="DT15" i="7"/>
  <c r="LH13" i="7"/>
  <c r="S10" i="7"/>
  <c r="OT11" i="7"/>
  <c r="SV11" i="7"/>
  <c r="AJV14" i="7"/>
  <c r="AAM12" i="7"/>
  <c r="H10" i="7"/>
  <c r="NT13" i="7"/>
  <c r="AKF14" i="7"/>
  <c r="AGF15" i="7"/>
  <c r="ALL14" i="7"/>
  <c r="WM14" i="7"/>
  <c r="BF15" i="7"/>
  <c r="LB14" i="7"/>
  <c r="ADQ14" i="7"/>
  <c r="ZQ15" i="7"/>
  <c r="ALM13" i="7"/>
  <c r="AJT11" i="7"/>
  <c r="AKS13" i="7"/>
  <c r="AIS14" i="7"/>
  <c r="LX14" i="7"/>
  <c r="HO13" i="7"/>
  <c r="UT13" i="7"/>
  <c r="OW14" i="7"/>
  <c r="AFL11" i="7"/>
  <c r="ZI14" i="7"/>
  <c r="CC14" i="7"/>
  <c r="AFV13" i="7"/>
  <c r="ACY14" i="7"/>
  <c r="AG14" i="7"/>
  <c r="HR15" i="7"/>
  <c r="CH12" i="7"/>
  <c r="NZ15" i="7"/>
  <c r="UX13" i="7"/>
  <c r="HS10" i="7"/>
  <c r="AGO13" i="7"/>
  <c r="AJF13" i="7"/>
  <c r="LM14" i="7"/>
  <c r="WE14" i="7"/>
  <c r="ACU14" i="7"/>
  <c r="BP14" i="7"/>
  <c r="BS15" i="7"/>
  <c r="AGE12" i="7"/>
  <c r="YP11" i="7"/>
  <c r="TI13" i="7"/>
  <c r="AFZ12" i="7"/>
  <c r="QD14" i="7"/>
  <c r="ZP11" i="7"/>
  <c r="ADF12" i="7"/>
  <c r="ACQ12" i="7"/>
  <c r="ABE13" i="7"/>
  <c r="YC12" i="7"/>
  <c r="AHH14" i="7"/>
  <c r="LZ15" i="7"/>
  <c r="RZ14" i="7"/>
  <c r="BJ15" i="7"/>
  <c r="AR15" i="7"/>
  <c r="ABG14" i="7"/>
  <c r="ADQ13" i="7"/>
  <c r="KI13" i="7"/>
  <c r="ADU14" i="7"/>
  <c r="RK13" i="7"/>
  <c r="AEP13" i="7"/>
  <c r="EN14" i="7"/>
  <c r="LT12" i="7"/>
  <c r="XH13" i="7"/>
  <c r="BG15" i="7"/>
  <c r="ABF12" i="7"/>
  <c r="XS14" i="7"/>
  <c r="IA15" i="7"/>
  <c r="KT14" i="7"/>
  <c r="SU12" i="7"/>
  <c r="UV13" i="7"/>
  <c r="KT13" i="7"/>
  <c r="BO12" i="7"/>
  <c r="TG12" i="7"/>
  <c r="AKY15" i="7"/>
  <c r="ACM14" i="7"/>
  <c r="EI11" i="7"/>
  <c r="VE13" i="7"/>
  <c r="HH10" i="7"/>
  <c r="AER10" i="7"/>
  <c r="WJ13" i="7"/>
  <c r="AHK9" i="7"/>
  <c r="S12" i="7"/>
  <c r="AFD11" i="7"/>
  <c r="BQ13" i="7"/>
  <c r="MI12" i="7"/>
  <c r="AKM14" i="7"/>
  <c r="JC14" i="7"/>
  <c r="AFS14" i="7"/>
  <c r="WA14" i="7"/>
  <c r="IO14" i="7"/>
  <c r="UA15" i="7"/>
  <c r="AFA15" i="7"/>
  <c r="ADO12" i="7"/>
  <c r="PM13" i="7"/>
  <c r="AAN14" i="7"/>
  <c r="WQ14" i="7"/>
  <c r="GQ14" i="7"/>
  <c r="ZP12" i="7"/>
  <c r="AHC13" i="7"/>
  <c r="ABC12" i="7"/>
  <c r="AER15" i="7"/>
  <c r="WR13" i="7"/>
  <c r="X13" i="7"/>
  <c r="SC14" i="7"/>
  <c r="FF15" i="7"/>
  <c r="DA14" i="7"/>
  <c r="AGC12" i="7"/>
  <c r="G8" i="7"/>
  <c r="EE12" i="7"/>
  <c r="BX11" i="7"/>
  <c r="AEO11" i="7"/>
  <c r="ADU8" i="7"/>
  <c r="AX13" i="7"/>
  <c r="QM9" i="7"/>
  <c r="OD13" i="7"/>
  <c r="XS13" i="7"/>
  <c r="IS14" i="7"/>
  <c r="XC13" i="7"/>
  <c r="SW12" i="7"/>
  <c r="NC15" i="7"/>
  <c r="SQ12" i="7"/>
  <c r="TT11" i="7"/>
  <c r="YD15" i="7"/>
  <c r="AIB13" i="7"/>
  <c r="AIM10" i="7"/>
  <c r="KU10" i="7"/>
  <c r="DT12" i="7"/>
  <c r="QR12" i="7"/>
  <c r="OC14" i="7"/>
  <c r="TD12" i="7"/>
  <c r="AIB15" i="7"/>
  <c r="MQ12" i="7"/>
  <c r="AC11" i="7"/>
  <c r="NJ12" i="7"/>
  <c r="IK13" i="7"/>
  <c r="Z14" i="7"/>
  <c r="ABL12" i="7"/>
  <c r="UQ15" i="7"/>
  <c r="NL11" i="7"/>
  <c r="HU14" i="7"/>
  <c r="AFV12" i="7"/>
  <c r="GF12" i="7"/>
  <c r="UL14" i="7"/>
  <c r="AHV11" i="7"/>
  <c r="ADP10" i="7"/>
  <c r="IC14" i="7"/>
  <c r="AIV11" i="7"/>
  <c r="VM13" i="7"/>
  <c r="VT13" i="7"/>
  <c r="EM15" i="7"/>
  <c r="QA13" i="7"/>
  <c r="AJV12" i="7"/>
  <c r="IN10" i="7"/>
  <c r="AKB12" i="7"/>
  <c r="IL12" i="7"/>
  <c r="SP14" i="7"/>
  <c r="ALN11" i="7"/>
  <c r="AJP10" i="7"/>
  <c r="FA14" i="7"/>
  <c r="AKB11" i="7"/>
  <c r="WC13" i="7"/>
  <c r="WZ13" i="7"/>
  <c r="CQ15" i="7"/>
  <c r="RW13" i="7"/>
  <c r="L13" i="7"/>
  <c r="AIQ9" i="7"/>
  <c r="AKT12" i="7"/>
  <c r="KM12" i="7"/>
  <c r="TF14" i="7"/>
  <c r="ZC15" i="7"/>
  <c r="EW14" i="7"/>
  <c r="JW12" i="7"/>
  <c r="SZ14" i="7"/>
  <c r="EU13" i="7"/>
  <c r="ZA12" i="7"/>
  <c r="AA12" i="7"/>
  <c r="QC14" i="7"/>
  <c r="AKB14" i="7"/>
  <c r="ADL13" i="7"/>
  <c r="NY13" i="7"/>
  <c r="EM14" i="7"/>
  <c r="NN11" i="7"/>
  <c r="AIW13" i="7"/>
  <c r="AFC14" i="7"/>
  <c r="H14" i="7"/>
  <c r="WW15" i="7"/>
  <c r="JD13" i="7"/>
  <c r="AEG14" i="7"/>
  <c r="SO15" i="7"/>
  <c r="QD13" i="7"/>
  <c r="AKR14" i="7"/>
  <c r="AKN13" i="7"/>
  <c r="AGS12" i="7"/>
  <c r="AIW12" i="7"/>
  <c r="AKI12" i="7"/>
  <c r="AKQ12" i="7"/>
  <c r="ACF15" i="7"/>
  <c r="AKY14" i="7"/>
  <c r="OH13" i="7"/>
  <c r="WN15" i="7"/>
  <c r="RT13" i="7"/>
  <c r="AHU14" i="7"/>
  <c r="VA15" i="7"/>
  <c r="YT13" i="7"/>
  <c r="AED15" i="7"/>
  <c r="NC14" i="7"/>
  <c r="PE13" i="7"/>
  <c r="RB13" i="7"/>
  <c r="VW11" i="7"/>
  <c r="AAD11" i="7"/>
  <c r="QT15" i="7"/>
  <c r="TA14" i="7"/>
  <c r="AJU14" i="7"/>
  <c r="PM15" i="7"/>
  <c r="AJJ15" i="7"/>
  <c r="YW14" i="7"/>
  <c r="PB15" i="7"/>
  <c r="AJZ14" i="7"/>
  <c r="CF15" i="7"/>
  <c r="ACI14" i="7"/>
  <c r="AID12" i="7"/>
  <c r="AKH12" i="7"/>
  <c r="ALR12" i="7"/>
  <c r="N13" i="7"/>
  <c r="ABP15" i="7"/>
  <c r="FM14" i="7"/>
  <c r="KA11" i="7"/>
  <c r="OG11" i="7"/>
  <c r="QX11" i="7"/>
  <c r="RI11" i="7"/>
  <c r="UC14" i="7"/>
  <c r="RA14" i="7"/>
  <c r="LU14" i="7"/>
  <c r="AHG15" i="7"/>
  <c r="KW14" i="7"/>
  <c r="TZ15" i="7"/>
  <c r="TO14" i="7"/>
  <c r="UN14" i="7"/>
  <c r="YR11" i="7"/>
  <c r="VC13" i="7"/>
  <c r="OY14" i="7"/>
  <c r="L15" i="7"/>
  <c r="EE14" i="7"/>
  <c r="AIU14" i="7"/>
  <c r="VL15" i="7"/>
  <c r="AAI13" i="7"/>
  <c r="AGR11" i="7"/>
  <c r="AKK11" i="7"/>
  <c r="AQ12" i="7"/>
  <c r="BB12" i="7"/>
  <c r="ZQ14" i="7"/>
  <c r="BR14" i="7"/>
  <c r="BF14" i="7"/>
  <c r="ADW15" i="7"/>
  <c r="BD14" i="7"/>
  <c r="EF15" i="7"/>
  <c r="ABQ15" i="7"/>
  <c r="GR14" i="7"/>
  <c r="HZ14" i="7"/>
  <c r="DV15" i="7"/>
  <c r="ABF13" i="7"/>
  <c r="VD14" i="7"/>
  <c r="NN14" i="7"/>
  <c r="AAD12" i="7"/>
  <c r="ACP13" i="7"/>
  <c r="AKA13" i="7"/>
  <c r="BM13" i="7"/>
  <c r="AFR12" i="7"/>
  <c r="KE12" i="7"/>
  <c r="HU13" i="7"/>
  <c r="UZ15" i="7"/>
  <c r="FT13" i="7"/>
  <c r="QC11" i="7"/>
  <c r="DA10" i="7"/>
  <c r="WX14" i="7"/>
  <c r="EG10" i="7"/>
  <c r="AFP13" i="7"/>
  <c r="CN13" i="7"/>
  <c r="QJ12" i="7"/>
  <c r="JY11" i="7"/>
  <c r="YO13" i="7"/>
  <c r="EJ13" i="7"/>
  <c r="SH12" i="7"/>
  <c r="IV14" i="7"/>
  <c r="DH11" i="7"/>
  <c r="VI14" i="7"/>
  <c r="XU13" i="7"/>
  <c r="EG14" i="7"/>
  <c r="TS15" i="7"/>
  <c r="PT15" i="7"/>
  <c r="ABO13" i="7"/>
  <c r="DY11" i="7"/>
  <c r="ADA14" i="7"/>
  <c r="G15" i="7"/>
  <c r="WD15" i="7"/>
  <c r="DD12" i="7"/>
  <c r="AFK14" i="7"/>
  <c r="MG15" i="7"/>
  <c r="GA14" i="7"/>
  <c r="GT11" i="7"/>
  <c r="AHY11" i="7"/>
  <c r="ZA14" i="7"/>
  <c r="DB14" i="7"/>
  <c r="FY12" i="7"/>
  <c r="AGS13" i="7"/>
  <c r="PT12" i="7"/>
  <c r="WB13" i="7"/>
  <c r="AS15" i="7"/>
  <c r="AE14" i="7"/>
  <c r="ZC14" i="7"/>
  <c r="ALD13" i="7"/>
  <c r="YH12" i="7"/>
  <c r="AHN13" i="7"/>
  <c r="PW9" i="7"/>
  <c r="EH10" i="7"/>
  <c r="FU11" i="7"/>
  <c r="HH15" i="7"/>
  <c r="ADT13" i="7"/>
  <c r="ABC14" i="7"/>
  <c r="AKW13" i="7"/>
  <c r="AJZ10" i="7"/>
  <c r="FW13" i="7"/>
  <c r="AAE11" i="7"/>
  <c r="MB14" i="7"/>
  <c r="MN13" i="7"/>
  <c r="HC10" i="7"/>
  <c r="HU11" i="7"/>
  <c r="PA13" i="7"/>
  <c r="ZK14" i="7"/>
  <c r="AGC11" i="7"/>
  <c r="WS14" i="7"/>
  <c r="ACN15" i="7"/>
  <c r="XE15" i="7"/>
  <c r="RN15" i="7"/>
  <c r="EF13" i="7"/>
  <c r="PH14" i="7"/>
  <c r="ED15" i="7"/>
  <c r="WI14" i="7"/>
  <c r="HP14" i="7"/>
  <c r="TR15" i="7"/>
  <c r="UI15" i="7"/>
  <c r="NB14" i="7"/>
  <c r="ADY14" i="7"/>
  <c r="AHN11" i="7"/>
  <c r="OU15" i="7"/>
  <c r="K12" i="7"/>
  <c r="CH14" i="7"/>
  <c r="ABY15" i="7"/>
  <c r="PG12" i="7"/>
  <c r="KX15" i="7"/>
  <c r="KV15" i="7"/>
  <c r="QP14" i="7"/>
  <c r="BW12" i="7"/>
  <c r="DF15" i="7"/>
  <c r="SN9" i="7"/>
  <c r="TP10" i="7"/>
  <c r="AT13" i="7"/>
  <c r="TK12" i="7"/>
  <c r="KZ11" i="7"/>
  <c r="OS14" i="7"/>
  <c r="XM13" i="7"/>
  <c r="QF13" i="7"/>
  <c r="AKY10" i="7"/>
  <c r="LP10" i="7"/>
  <c r="RL13" i="7"/>
  <c r="AAU10" i="7"/>
  <c r="SL11" i="7"/>
  <c r="TY13" i="7"/>
  <c r="ABW14" i="7"/>
  <c r="DN12" i="7"/>
  <c r="RR14" i="7"/>
  <c r="XC15" i="7"/>
  <c r="UJ15" i="7"/>
  <c r="JB15" i="7"/>
  <c r="OV11" i="7"/>
  <c r="ID14" i="7"/>
  <c r="AFG13" i="7"/>
  <c r="AEX13" i="7"/>
  <c r="AJV13" i="7"/>
  <c r="ABY14" i="7"/>
  <c r="PD15" i="7"/>
  <c r="SR14" i="7"/>
  <c r="YZ14" i="7"/>
  <c r="NI12" i="7"/>
  <c r="LQ15" i="7"/>
  <c r="QT12" i="7"/>
  <c r="AFN13" i="7"/>
  <c r="ZG15" i="7"/>
  <c r="ADQ12" i="7"/>
  <c r="HT15" i="7"/>
  <c r="QT13" i="7"/>
  <c r="EW15" i="7"/>
  <c r="TE12" i="7"/>
  <c r="OH14" i="7"/>
  <c r="WL9" i="7"/>
  <c r="EB12" i="7"/>
  <c r="EI12" i="7"/>
  <c r="YI12" i="7"/>
  <c r="JK13" i="7"/>
  <c r="ABN14" i="7"/>
  <c r="ABN12" i="7"/>
  <c r="ZT10" i="7"/>
  <c r="PS13" i="7"/>
  <c r="HL12" i="7"/>
  <c r="DM14" i="7"/>
  <c r="EU15" i="7"/>
  <c r="AKK12" i="7"/>
  <c r="AKO10" i="7"/>
  <c r="XP13" i="7"/>
  <c r="CS15" i="7"/>
  <c r="YN15" i="7"/>
  <c r="HW12" i="7"/>
  <c r="ACE13" i="7"/>
  <c r="RO15" i="7"/>
  <c r="S15" i="7"/>
  <c r="AIN11" i="7"/>
  <c r="ALR13" i="7"/>
  <c r="AJD14" i="7"/>
  <c r="AHD14" i="7"/>
  <c r="ZP14" i="7"/>
  <c r="AKG15" i="7"/>
  <c r="IP14" i="7"/>
  <c r="ABG13" i="7"/>
  <c r="AN14" i="7"/>
  <c r="DK15" i="7"/>
  <c r="VU15" i="7"/>
  <c r="AFA12" i="7"/>
  <c r="XY15" i="7"/>
  <c r="HW14" i="7"/>
  <c r="AHE14" i="7"/>
  <c r="AAS15" i="7"/>
  <c r="KO15" i="7"/>
  <c r="ACM12" i="7"/>
  <c r="AEB15" i="7"/>
  <c r="G11" i="7"/>
  <c r="UG11" i="7"/>
  <c r="ADZ11" i="7"/>
  <c r="ZY13" i="7"/>
  <c r="XF13" i="7"/>
  <c r="XB13" i="7"/>
  <c r="DS10" i="7"/>
  <c r="AAK12" i="7"/>
  <c r="AHR11" i="7"/>
  <c r="ZE11" i="7"/>
  <c r="DJ11" i="7"/>
  <c r="GM12" i="7"/>
  <c r="CV13" i="7"/>
  <c r="ACG10" i="7"/>
  <c r="VN10" i="7"/>
  <c r="J14" i="7"/>
  <c r="JJ14" i="7"/>
  <c r="MU12" i="7"/>
  <c r="AHJ13" i="7"/>
  <c r="XZ14" i="7"/>
  <c r="AIM15" i="7"/>
  <c r="AB13" i="7"/>
  <c r="BU13" i="7"/>
  <c r="BC15" i="7"/>
  <c r="LU12" i="7"/>
  <c r="GC11" i="7"/>
  <c r="OI13" i="7"/>
  <c r="AAZ13" i="7"/>
  <c r="OP12" i="7"/>
  <c r="FE13" i="7"/>
  <c r="NS15" i="7"/>
  <c r="MW11" i="7"/>
  <c r="SE11" i="7"/>
  <c r="W14" i="7"/>
  <c r="RS14" i="7"/>
  <c r="WY12" i="7"/>
  <c r="ACR11" i="7"/>
  <c r="XQ13" i="7"/>
  <c r="AEZ13" i="7"/>
  <c r="GQ15" i="7"/>
  <c r="UQ13" i="7"/>
  <c r="HD13" i="7"/>
  <c r="AAZ10" i="7"/>
  <c r="AG13" i="7"/>
  <c r="PK12" i="7"/>
  <c r="XF14" i="7"/>
  <c r="FW12" i="7"/>
  <c r="GL11" i="7"/>
  <c r="FM10" i="7"/>
  <c r="CO12" i="7"/>
  <c r="YG13" i="7"/>
  <c r="ABH13" i="7"/>
  <c r="HG15" i="7"/>
  <c r="WM13" i="7"/>
  <c r="EB13" i="7"/>
  <c r="AHD10" i="7"/>
  <c r="AW13" i="7"/>
  <c r="RI12" i="7"/>
  <c r="VJ14" i="7"/>
  <c r="JC12" i="7"/>
  <c r="KR11" i="7"/>
  <c r="AFP9" i="7"/>
  <c r="EK12" i="7"/>
  <c r="YW13" i="7"/>
  <c r="ACN13" i="7"/>
  <c r="FK15" i="7"/>
  <c r="GO13" i="7"/>
  <c r="AGU14" i="7"/>
  <c r="ACD13" i="7"/>
  <c r="VV11" i="7"/>
  <c r="BD13" i="7"/>
  <c r="UD12" i="7"/>
  <c r="WY13" i="7"/>
  <c r="VR15" i="7"/>
  <c r="AKZ14" i="7"/>
  <c r="QM15" i="7"/>
  <c r="YC11" i="7"/>
  <c r="XS12" i="7"/>
  <c r="HN13" i="7"/>
  <c r="LV15" i="7"/>
  <c r="RC13" i="7"/>
  <c r="AF14" i="7"/>
  <c r="YH14" i="7"/>
  <c r="OT15" i="7"/>
  <c r="AKW15" i="7"/>
  <c r="ABT14" i="7"/>
  <c r="ABJ14" i="7"/>
  <c r="ZX14" i="7"/>
  <c r="LF13" i="7"/>
  <c r="AAY14" i="7"/>
  <c r="ABX14" i="7"/>
  <c r="OF12" i="7"/>
  <c r="AJH13" i="7"/>
  <c r="AEW13" i="7"/>
  <c r="AFA14" i="7"/>
  <c r="ABU13" i="7"/>
  <c r="ACJ14" i="7"/>
  <c r="RF15" i="7"/>
  <c r="LO13" i="7"/>
  <c r="AFE14" i="7"/>
  <c r="ACA15" i="7"/>
  <c r="XD15" i="7"/>
  <c r="WA15" i="7"/>
  <c r="ALC14" i="7"/>
  <c r="Q15" i="7"/>
  <c r="BY13" i="7"/>
  <c r="MO14" i="7"/>
  <c r="AED14" i="7"/>
  <c r="UB14" i="7"/>
  <c r="AKQ15" i="7"/>
  <c r="SB14" i="7"/>
  <c r="LF15" i="7"/>
  <c r="AHU15" i="7"/>
  <c r="VP14" i="7"/>
  <c r="WL14" i="7"/>
  <c r="AIE14" i="7"/>
  <c r="VB13" i="7"/>
  <c r="ABO14" i="7"/>
  <c r="ACN14" i="7"/>
  <c r="QD12" i="7"/>
  <c r="AKG13" i="7"/>
  <c r="ACK13" i="7"/>
  <c r="MN14" i="7"/>
  <c r="GX14" i="7"/>
  <c r="IL14" i="7"/>
  <c r="ALB12" i="7"/>
  <c r="AU13" i="7"/>
  <c r="AID14" i="7"/>
  <c r="WA13" i="7"/>
  <c r="TK14" i="7"/>
  <c r="FH15" i="7"/>
  <c r="SZ15" i="7"/>
  <c r="U13" i="7"/>
  <c r="BR13" i="7"/>
  <c r="CY13" i="7"/>
  <c r="DF13" i="7"/>
  <c r="ZO15" i="7"/>
  <c r="AGZ14" i="7"/>
  <c r="JJ13" i="7"/>
  <c r="UT15" i="7"/>
  <c r="MV13" i="7"/>
  <c r="AFT14" i="7"/>
  <c r="TQ15" i="7"/>
  <c r="OK14" i="7"/>
  <c r="PN14" i="7"/>
  <c r="FC11" i="7"/>
  <c r="LW13" i="7"/>
  <c r="YQ14" i="7"/>
  <c r="DH15" i="7"/>
  <c r="LR14" i="7"/>
  <c r="AI15" i="7"/>
  <c r="XX15" i="7"/>
  <c r="AIP13" i="7"/>
  <c r="CE15" i="7"/>
  <c r="AGX14" i="7"/>
  <c r="DX15" i="7"/>
  <c r="XN15" i="7"/>
  <c r="AHQ13" i="7"/>
  <c r="AKC14" i="7"/>
  <c r="BA13" i="7"/>
  <c r="CX13" i="7"/>
  <c r="EE13" i="7"/>
  <c r="EL13" i="7"/>
  <c r="YW15" i="7"/>
  <c r="XI14" i="7"/>
  <c r="HB15" i="7"/>
  <c r="HQ14" i="7"/>
  <c r="ABX13" i="7"/>
  <c r="HW13" i="7"/>
  <c r="OX13" i="7"/>
  <c r="AAX13" i="7"/>
  <c r="GL14" i="7"/>
  <c r="TY14" i="7"/>
  <c r="FY13" i="7"/>
  <c r="WB15" i="7"/>
  <c r="AKP11" i="7"/>
  <c r="DG14" i="7"/>
  <c r="YM14" i="7"/>
  <c r="AT14" i="7"/>
  <c r="AEK14" i="7"/>
  <c r="MS12" i="7"/>
  <c r="AJH15" i="7"/>
  <c r="AFH13" i="7"/>
  <c r="AGI15" i="7"/>
  <c r="VT15" i="7"/>
  <c r="AAB14" i="7"/>
  <c r="ABL14" i="7"/>
  <c r="BJ12" i="7"/>
  <c r="AKT13" i="7"/>
  <c r="ADL14" i="7"/>
  <c r="HO11" i="7"/>
  <c r="MJ11" i="7"/>
  <c r="Q13" i="7"/>
  <c r="XM12" i="7"/>
  <c r="MP14" i="7"/>
  <c r="QW13" i="7"/>
  <c r="AAF12" i="7"/>
  <c r="NI14" i="7"/>
  <c r="UB11" i="7"/>
  <c r="WO12" i="7"/>
  <c r="NX12" i="7"/>
  <c r="AKE13" i="7"/>
  <c r="IJ12" i="7"/>
  <c r="J15" i="7"/>
  <c r="VV15" i="7"/>
  <c r="MJ14" i="7"/>
  <c r="PW13" i="7"/>
  <c r="BC14" i="7"/>
  <c r="OZ14" i="7"/>
  <c r="AAQ13" i="7"/>
  <c r="AGI14" i="7"/>
  <c r="YZ15" i="7"/>
  <c r="FL13" i="7"/>
  <c r="SW13" i="7"/>
  <c r="OR15" i="7"/>
  <c r="ADV15" i="7"/>
  <c r="V12" i="7"/>
  <c r="AEE15" i="7"/>
  <c r="ADY13" i="7"/>
  <c r="II15" i="7"/>
  <c r="AFR15" i="7"/>
  <c r="QX15" i="7"/>
  <c r="AHX11" i="7"/>
  <c r="ZY14" i="7"/>
  <c r="AKD15" i="7"/>
  <c r="AHG10" i="7"/>
  <c r="ZB11" i="7"/>
  <c r="ER13" i="7"/>
  <c r="VT14" i="7"/>
  <c r="AHG13" i="7"/>
  <c r="NW12" i="7"/>
  <c r="AS12" i="7"/>
  <c r="WL11" i="7"/>
  <c r="SS13" i="7"/>
  <c r="ADW12" i="7"/>
  <c r="PL14" i="7"/>
  <c r="ADX11" i="7"/>
  <c r="MQ13" i="7"/>
  <c r="AB12" i="7"/>
  <c r="AK14" i="7"/>
  <c r="AM15" i="7"/>
  <c r="AG15" i="7"/>
  <c r="ADT15" i="7"/>
  <c r="AAT11" i="7"/>
  <c r="PZ14" i="7"/>
  <c r="AJR14" i="7"/>
  <c r="QW14" i="7"/>
  <c r="UI14" i="7"/>
  <c r="WV15" i="7"/>
  <c r="IT13" i="7"/>
  <c r="PE12" i="7"/>
  <c r="AAO13" i="7"/>
  <c r="AET14" i="7"/>
  <c r="RP14" i="7"/>
  <c r="TC14" i="7"/>
  <c r="JY12" i="7"/>
  <c r="ADX14" i="7"/>
  <c r="OU12" i="7"/>
  <c r="AJP15" i="7"/>
  <c r="AGN13" i="7"/>
  <c r="BM14" i="7"/>
  <c r="AEQ13" i="7"/>
  <c r="LP14" i="7"/>
  <c r="AFJ15" i="7"/>
  <c r="QS12" i="7"/>
  <c r="XC14" i="7"/>
  <c r="AJR13" i="7"/>
  <c r="AGQ10" i="7"/>
  <c r="KI12" i="7"/>
  <c r="ALB14" i="7"/>
  <c r="YS13" i="7"/>
  <c r="AFG14" i="7"/>
  <c r="NQ13" i="7"/>
  <c r="AAB13" i="7"/>
  <c r="AJM12" i="7"/>
  <c r="UT14" i="7"/>
  <c r="AJL11" i="7"/>
  <c r="RO13" i="7"/>
  <c r="JK12" i="7"/>
  <c r="FI14" i="7"/>
  <c r="CY15" i="7"/>
  <c r="AIG12" i="7"/>
  <c r="RI13" i="7"/>
  <c r="AJY12" i="7"/>
  <c r="ACX14" i="7"/>
  <c r="FQ15" i="7"/>
  <c r="WZ14" i="7"/>
  <c r="AJK14" i="7"/>
  <c r="VK13" i="7"/>
  <c r="RC15" i="7"/>
  <c r="FF14" i="7"/>
  <c r="OB15" i="7"/>
  <c r="GG15" i="7"/>
  <c r="AKZ11" i="7"/>
  <c r="ALK13" i="7"/>
  <c r="YY14" i="7"/>
  <c r="AES12" i="7"/>
  <c r="UL13" i="7"/>
  <c r="WL15" i="7"/>
  <c r="CA13" i="7"/>
  <c r="EG15" i="7"/>
  <c r="ALH14" i="7"/>
  <c r="BQ15" i="7"/>
  <c r="AGK12" i="7"/>
  <c r="LE15" i="7"/>
  <c r="AFC21" i="7" l="1"/>
  <c r="AJS21" i="7"/>
  <c r="VN21" i="7"/>
  <c r="GH21" i="7"/>
  <c r="GH22" i="7" s="1"/>
  <c r="GH23" i="7" s="1"/>
  <c r="GH24" i="7" s="1"/>
  <c r="GH25" i="7" s="1"/>
  <c r="GH26" i="7" s="1"/>
  <c r="GH27" i="7" s="1"/>
  <c r="GH28" i="7" s="1"/>
  <c r="GH29" i="7" s="1"/>
  <c r="GH30" i="7" s="1"/>
  <c r="GH31" i="7" s="1"/>
  <c r="GI2" i="6" s="1"/>
  <c r="AHA21" i="7"/>
  <c r="AHA22" i="7" s="1"/>
  <c r="AHA23" i="7" s="1"/>
  <c r="AHA24" i="7" s="1"/>
  <c r="AHA25" i="7" s="1"/>
  <c r="AHA26" i="7" s="1"/>
  <c r="AHA27" i="7" s="1"/>
  <c r="AHA28" i="7" s="1"/>
  <c r="AHA29" i="7" s="1"/>
  <c r="AHA30" i="7" s="1"/>
  <c r="AHA31" i="7" s="1"/>
  <c r="AHB2" i="6" s="1"/>
  <c r="AAM21" i="7"/>
  <c r="VE21" i="7"/>
  <c r="AIJ21" i="7"/>
  <c r="AKI21" i="7"/>
  <c r="ZR21" i="7"/>
  <c r="PP21" i="7"/>
  <c r="AJB21" i="7"/>
  <c r="OZ21" i="7"/>
  <c r="OZ22" i="7" s="1"/>
  <c r="OZ23" i="7" s="1"/>
  <c r="OZ24" i="7" s="1"/>
  <c r="OZ25" i="7" s="1"/>
  <c r="OZ26" i="7" s="1"/>
  <c r="OZ27" i="7" s="1"/>
  <c r="OZ28" i="7" s="1"/>
  <c r="OZ29" i="7" s="1"/>
  <c r="OZ30" i="7" s="1"/>
  <c r="OZ31" i="7" s="1"/>
  <c r="PA2" i="6" s="1"/>
  <c r="JC21" i="7"/>
  <c r="LU21" i="7"/>
  <c r="KB21" i="7"/>
  <c r="AGR21" i="7"/>
  <c r="MR21" i="7"/>
  <c r="ALF21" i="7"/>
  <c r="KV21" i="7"/>
  <c r="KV22" i="7" s="1"/>
  <c r="KV23" i="7" s="1"/>
  <c r="KV24" i="7" s="1"/>
  <c r="KV25" i="7" s="1"/>
  <c r="KV26" i="7" s="1"/>
  <c r="KV27" i="7" s="1"/>
  <c r="KV28" i="7" s="1"/>
  <c r="KV29" i="7" s="1"/>
  <c r="KV30" i="7" s="1"/>
  <c r="KV31" i="7" s="1"/>
  <c r="KW2" i="6" s="1"/>
  <c r="GQ22" i="7"/>
  <c r="OO21" i="7"/>
  <c r="EF21" i="7"/>
  <c r="EF22" i="7" s="1"/>
  <c r="MB21" i="7"/>
  <c r="JA22" i="7"/>
  <c r="JA23" i="7" s="1"/>
  <c r="WT21" i="7"/>
  <c r="AHG21" i="7"/>
  <c r="AHG22" i="7" s="1"/>
  <c r="AHG23" i="7" s="1"/>
  <c r="AHG24" i="7" s="1"/>
  <c r="AHG25" i="7" s="1"/>
  <c r="AHG26" i="7" s="1"/>
  <c r="AHG27" i="7" s="1"/>
  <c r="AHG28" i="7" s="1"/>
  <c r="AHG29" i="7" s="1"/>
  <c r="AHG30" i="7" s="1"/>
  <c r="AHG31" i="7" s="1"/>
  <c r="AHH2" i="6" s="1"/>
  <c r="EI21" i="7"/>
  <c r="AIG21" i="7"/>
  <c r="LW21" i="7"/>
  <c r="QT21" i="7"/>
  <c r="QT22" i="7" s="1"/>
  <c r="QT23" i="7" s="1"/>
  <c r="QT24" i="7" s="1"/>
  <c r="QT25" i="7" s="1"/>
  <c r="QT26" i="7" s="1"/>
  <c r="QT27" i="7" s="1"/>
  <c r="QT28" i="7" s="1"/>
  <c r="QT29" i="7" s="1"/>
  <c r="QT30" i="7" s="1"/>
  <c r="QT31" i="7" s="1"/>
  <c r="QU2" i="6" s="1"/>
  <c r="JR21" i="7"/>
  <c r="NX21" i="7"/>
  <c r="NX22" i="7" s="1"/>
  <c r="NX23" i="7" s="1"/>
  <c r="NX24" i="7" s="1"/>
  <c r="NX25" i="7" s="1"/>
  <c r="NX26" i="7" s="1"/>
  <c r="NX27" i="7" s="1"/>
  <c r="NX28" i="7" s="1"/>
  <c r="NX29" i="7" s="1"/>
  <c r="NX30" i="7" s="1"/>
  <c r="NX31" i="7" s="1"/>
  <c r="NY2" i="6" s="1"/>
  <c r="AGY21" i="7"/>
  <c r="PB21" i="7"/>
  <c r="TV21" i="7"/>
  <c r="YX21" i="7"/>
  <c r="QE21" i="7"/>
  <c r="QE22" i="7" s="1"/>
  <c r="WZ21" i="7"/>
  <c r="CD21" i="7"/>
  <c r="YH21" i="7"/>
  <c r="JM21" i="7"/>
  <c r="BT21" i="7"/>
  <c r="XT21" i="7"/>
  <c r="WR21" i="7"/>
  <c r="ZM21" i="7"/>
  <c r="SW21" i="7"/>
  <c r="SW22" i="7" s="1"/>
  <c r="LX21" i="7"/>
  <c r="LX22" i="7" s="1"/>
  <c r="LX23" i="7" s="1"/>
  <c r="LX24" i="7" s="1"/>
  <c r="LX25" i="7" s="1"/>
  <c r="LX26" i="7" s="1"/>
  <c r="LX27" i="7" s="1"/>
  <c r="LX28" i="7" s="1"/>
  <c r="LX29" i="7" s="1"/>
  <c r="LX30" i="7" s="1"/>
  <c r="LX31" i="7" s="1"/>
  <c r="LY2" i="6" s="1"/>
  <c r="LM21" i="7"/>
  <c r="QV21" i="7"/>
  <c r="IF22" i="7"/>
  <c r="SG21" i="7"/>
  <c r="DR21" i="7"/>
  <c r="VM21" i="7"/>
  <c r="PZ22" i="7"/>
  <c r="WH21" i="7"/>
  <c r="WH22" i="7" s="1"/>
  <c r="WH23" i="7" s="1"/>
  <c r="WH24" i="7" s="1"/>
  <c r="WH25" i="7" s="1"/>
  <c r="WH26" i="7" s="1"/>
  <c r="WH27" i="7" s="1"/>
  <c r="WH28" i="7" s="1"/>
  <c r="WH29" i="7" s="1"/>
  <c r="WH30" i="7" s="1"/>
  <c r="WH31" i="7" s="1"/>
  <c r="WI2" i="6" s="1"/>
  <c r="ADZ21" i="7"/>
  <c r="OJ21" i="7"/>
  <c r="PA21" i="7"/>
  <c r="LP21" i="7"/>
  <c r="DT21" i="7"/>
  <c r="AFF21" i="7"/>
  <c r="QG21" i="7"/>
  <c r="OR21" i="7"/>
  <c r="OR22" i="7" s="1"/>
  <c r="OR23" i="7" s="1"/>
  <c r="AFK21" i="7"/>
  <c r="ABX22" i="7"/>
  <c r="LJ21" i="7"/>
  <c r="ZD21" i="7"/>
  <c r="AEP21" i="7"/>
  <c r="LE21" i="7"/>
  <c r="IW21" i="7"/>
  <c r="IW22" i="7" s="1"/>
  <c r="IW23" i="7" s="1"/>
  <c r="IW24" i="7" s="1"/>
  <c r="IW25" i="7" s="1"/>
  <c r="IW26" i="7" s="1"/>
  <c r="IW27" i="7" s="1"/>
  <c r="IW28" i="7" s="1"/>
  <c r="IW29" i="7" s="1"/>
  <c r="IW30" i="7" s="1"/>
  <c r="IW31" i="7" s="1"/>
  <c r="IX2" i="6" s="1"/>
  <c r="KX21" i="7"/>
  <c r="ZI22" i="7"/>
  <c r="QF21" i="7"/>
  <c r="AGN21" i="7"/>
  <c r="AGN22" i="7" s="1"/>
  <c r="IO21" i="7"/>
  <c r="HX21" i="7"/>
  <c r="JU21" i="7"/>
  <c r="AIS22" i="7"/>
  <c r="AIS23" i="7" s="1"/>
  <c r="AIS24" i="7" s="1"/>
  <c r="AIS25" i="7" s="1"/>
  <c r="AIS26" i="7" s="1"/>
  <c r="AIS27" i="7" s="1"/>
  <c r="AIS28" i="7" s="1"/>
  <c r="AIS29" i="7" s="1"/>
  <c r="AIS30" i="7" s="1"/>
  <c r="AIS31" i="7" s="1"/>
  <c r="AIT2" i="6" s="1"/>
  <c r="XK21" i="7"/>
  <c r="SV21" i="7"/>
  <c r="AER21" i="7"/>
  <c r="ABU21" i="7"/>
  <c r="UE21" i="7"/>
  <c r="KQ21" i="7"/>
  <c r="ADA21" i="7"/>
  <c r="ADA22" i="7" s="1"/>
  <c r="ADA23" i="7" s="1"/>
  <c r="ADA24" i="7" s="1"/>
  <c r="ADA25" i="7" s="1"/>
  <c r="ADA26" i="7" s="1"/>
  <c r="ADA27" i="7" s="1"/>
  <c r="ADA28" i="7" s="1"/>
  <c r="ADA29" i="7" s="1"/>
  <c r="ADA30" i="7" s="1"/>
  <c r="ADA31" i="7" s="1"/>
  <c r="ADB2" i="6" s="1"/>
  <c r="WG21" i="7"/>
  <c r="ACP21" i="7"/>
  <c r="NL21" i="7"/>
  <c r="LR21" i="7"/>
  <c r="CO21" i="7"/>
  <c r="CO22" i="7" s="1"/>
  <c r="CO23" i="7" s="1"/>
  <c r="CO24" i="7" s="1"/>
  <c r="CO25" i="7" s="1"/>
  <c r="CO26" i="7" s="1"/>
  <c r="CO27" i="7" s="1"/>
  <c r="CO28" i="7" s="1"/>
  <c r="CO29" i="7" s="1"/>
  <c r="CO30" i="7" s="1"/>
  <c r="CO31" i="7" s="1"/>
  <c r="CP2" i="6" s="1"/>
  <c r="N21" i="7"/>
  <c r="JS21" i="7"/>
  <c r="ND21" i="7"/>
  <c r="ND22" i="7" s="1"/>
  <c r="ND23" i="7" s="1"/>
  <c r="ND24" i="7" s="1"/>
  <c r="ND25" i="7" s="1"/>
  <c r="ND26" i="7" s="1"/>
  <c r="ND27" i="7" s="1"/>
  <c r="ND28" i="7" s="1"/>
  <c r="ND29" i="7" s="1"/>
  <c r="ND30" i="7" s="1"/>
  <c r="ND31" i="7" s="1"/>
  <c r="NE2" i="6" s="1"/>
  <c r="HA21" i="7"/>
  <c r="HA22" i="7" s="1"/>
  <c r="HA23" i="7" s="1"/>
  <c r="HA24" i="7" s="1"/>
  <c r="HA25" i="7" s="1"/>
  <c r="HA26" i="7" s="1"/>
  <c r="HA27" i="7" s="1"/>
  <c r="HA28" i="7" s="1"/>
  <c r="HA29" i="7" s="1"/>
  <c r="HA30" i="7" s="1"/>
  <c r="HA31" i="7" s="1"/>
  <c r="HB2" i="6" s="1"/>
  <c r="QY21" i="7"/>
  <c r="ABY21" i="7"/>
  <c r="GY21" i="7"/>
  <c r="GO21" i="7"/>
  <c r="GO22" i="7" s="1"/>
  <c r="GO23" i="7" s="1"/>
  <c r="GO24" i="7" s="1"/>
  <c r="GO25" i="7" s="1"/>
  <c r="GO26" i="7" s="1"/>
  <c r="GO27" i="7" s="1"/>
  <c r="GO28" i="7" s="1"/>
  <c r="GO29" i="7" s="1"/>
  <c r="GO30" i="7" s="1"/>
  <c r="GO31" i="7" s="1"/>
  <c r="GP2" i="6" s="1"/>
  <c r="ZZ21" i="7"/>
  <c r="HQ21" i="7"/>
  <c r="O21" i="7"/>
  <c r="ES21" i="7"/>
  <c r="BB21" i="7"/>
  <c r="MH21" i="7"/>
  <c r="ACT21" i="7"/>
  <c r="ACT22" i="7" s="1"/>
  <c r="ACT23" i="7" s="1"/>
  <c r="ACT24" i="7" s="1"/>
  <c r="ACT25" i="7" s="1"/>
  <c r="ACT26" i="7" s="1"/>
  <c r="ACT27" i="7" s="1"/>
  <c r="ACT28" i="7" s="1"/>
  <c r="ACT29" i="7" s="1"/>
  <c r="ACT30" i="7" s="1"/>
  <c r="ACT31" i="7" s="1"/>
  <c r="ACU2" i="6" s="1"/>
  <c r="DK21" i="7"/>
  <c r="LB21" i="7"/>
  <c r="ZW21" i="7"/>
  <c r="AHZ21" i="7"/>
  <c r="AHZ22" i="7" s="1"/>
  <c r="AHZ23" i="7" s="1"/>
  <c r="AHZ24" i="7" s="1"/>
  <c r="AHZ25" i="7" s="1"/>
  <c r="AHZ26" i="7" s="1"/>
  <c r="AHZ27" i="7" s="1"/>
  <c r="AHZ28" i="7" s="1"/>
  <c r="AHZ29" i="7" s="1"/>
  <c r="AHZ30" i="7" s="1"/>
  <c r="AHZ31" i="7" s="1"/>
  <c r="AIA2" i="6" s="1"/>
  <c r="ZF21" i="7"/>
  <c r="DG21" i="7"/>
  <c r="DG22" i="7" s="1"/>
  <c r="DG23" i="7" s="1"/>
  <c r="DG24" i="7" s="1"/>
  <c r="DG25" i="7" s="1"/>
  <c r="DG26" i="7" s="1"/>
  <c r="DG27" i="7" s="1"/>
  <c r="DG28" i="7" s="1"/>
  <c r="DG29" i="7" s="1"/>
  <c r="DG30" i="7" s="1"/>
  <c r="DG31" i="7" s="1"/>
  <c r="DH2" i="6" s="1"/>
  <c r="ALR22" i="7"/>
  <c r="PU21" i="7"/>
  <c r="SC21" i="7"/>
  <c r="OH21" i="7"/>
  <c r="P21" i="7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Q2" i="6" s="1"/>
  <c r="WQ21" i="7"/>
  <c r="TN22" i="7"/>
  <c r="AGK21" i="7"/>
  <c r="GD21" i="7"/>
  <c r="TY21" i="7"/>
  <c r="MV21" i="7"/>
  <c r="DN21" i="7"/>
  <c r="DO21" i="7"/>
  <c r="US21" i="7"/>
  <c r="US22" i="7" s="1"/>
  <c r="US23" i="7" s="1"/>
  <c r="US24" i="7" s="1"/>
  <c r="US25" i="7" s="1"/>
  <c r="US26" i="7" s="1"/>
  <c r="US27" i="7" s="1"/>
  <c r="US28" i="7" s="1"/>
  <c r="US29" i="7" s="1"/>
  <c r="US30" i="7" s="1"/>
  <c r="US31" i="7" s="1"/>
  <c r="UT2" i="6" s="1"/>
  <c r="AEB21" i="7"/>
  <c r="AE21" i="7"/>
  <c r="SF21" i="7"/>
  <c r="BM21" i="7"/>
  <c r="WN21" i="7"/>
  <c r="ALN21" i="7"/>
  <c r="SS21" i="7"/>
  <c r="SS22" i="7" s="1"/>
  <c r="SS23" i="7" s="1"/>
  <c r="SS24" i="7" s="1"/>
  <c r="SS25" i="7" s="1"/>
  <c r="SS26" i="7" s="1"/>
  <c r="SS27" i="7" s="1"/>
  <c r="SS28" i="7" s="1"/>
  <c r="SS29" i="7" s="1"/>
  <c r="SS30" i="7" s="1"/>
  <c r="SS31" i="7" s="1"/>
  <c r="ST2" i="6" s="1"/>
  <c r="JT21" i="7"/>
  <c r="JT22" i="7" s="1"/>
  <c r="IV21" i="7"/>
  <c r="IV22" i="7" s="1"/>
  <c r="IV23" i="7" s="1"/>
  <c r="IV24" i="7" s="1"/>
  <c r="IV25" i="7" s="1"/>
  <c r="IV26" i="7" s="1"/>
  <c r="IV27" i="7" s="1"/>
  <c r="IV28" i="7" s="1"/>
  <c r="IV29" i="7" s="1"/>
  <c r="IV30" i="7" s="1"/>
  <c r="IV31" i="7" s="1"/>
  <c r="IW2" i="6" s="1"/>
  <c r="BC21" i="7"/>
  <c r="IN21" i="7"/>
  <c r="IN22" i="7" s="1"/>
  <c r="IN23" i="7" s="1"/>
  <c r="IN24" i="7" s="1"/>
  <c r="IN25" i="7" s="1"/>
  <c r="IN26" i="7" s="1"/>
  <c r="IN27" i="7" s="1"/>
  <c r="IN28" i="7" s="1"/>
  <c r="IN29" i="7" s="1"/>
  <c r="IN30" i="7" s="1"/>
  <c r="IN31" i="7" s="1"/>
  <c r="IO2" i="6" s="1"/>
  <c r="AGU21" i="7"/>
  <c r="WO21" i="7"/>
  <c r="WO22" i="7" s="1"/>
  <c r="WO23" i="7" s="1"/>
  <c r="VF21" i="7"/>
  <c r="AHN22" i="7"/>
  <c r="QQ21" i="7"/>
  <c r="QQ22" i="7" s="1"/>
  <c r="QQ23" i="7" s="1"/>
  <c r="QQ24" i="7" s="1"/>
  <c r="QQ25" i="7" s="1"/>
  <c r="QQ26" i="7" s="1"/>
  <c r="QQ27" i="7" s="1"/>
  <c r="QQ28" i="7" s="1"/>
  <c r="QQ29" i="7" s="1"/>
  <c r="QQ30" i="7" s="1"/>
  <c r="QQ31" i="7" s="1"/>
  <c r="QR2" i="6" s="1"/>
  <c r="ZA21" i="7"/>
  <c r="VH21" i="7"/>
  <c r="VH22" i="7" s="1"/>
  <c r="VH23" i="7" s="1"/>
  <c r="VH24" i="7" s="1"/>
  <c r="VH25" i="7" s="1"/>
  <c r="VH26" i="7" s="1"/>
  <c r="VH27" i="7" s="1"/>
  <c r="VH28" i="7" s="1"/>
  <c r="VH29" i="7" s="1"/>
  <c r="VH30" i="7" s="1"/>
  <c r="VH31" i="7" s="1"/>
  <c r="VI2" i="6" s="1"/>
  <c r="ZN21" i="7"/>
  <c r="ZN22" i="7" s="1"/>
  <c r="ZN23" i="7" s="1"/>
  <c r="ZN24" i="7" s="1"/>
  <c r="ZN25" i="7" s="1"/>
  <c r="ZN26" i="7" s="1"/>
  <c r="ZN27" i="7" s="1"/>
  <c r="ZN28" i="7" s="1"/>
  <c r="ZN29" i="7" s="1"/>
  <c r="ZN30" i="7" s="1"/>
  <c r="ZN31" i="7" s="1"/>
  <c r="ZO2" i="6" s="1"/>
  <c r="TF21" i="7"/>
  <c r="FL21" i="7"/>
  <c r="WY21" i="7"/>
  <c r="ACN21" i="7"/>
  <c r="RF21" i="7"/>
  <c r="ACQ21" i="7"/>
  <c r="BD21" i="7"/>
  <c r="AGS21" i="7"/>
  <c r="AGS22" i="7" s="1"/>
  <c r="AGS23" i="7" s="1"/>
  <c r="AGS24" i="7" s="1"/>
  <c r="AGS25" i="7" s="1"/>
  <c r="AGS26" i="7" s="1"/>
  <c r="AGS27" i="7" s="1"/>
  <c r="AGS28" i="7" s="1"/>
  <c r="AGS29" i="7" s="1"/>
  <c r="AGS30" i="7" s="1"/>
  <c r="AGS31" i="7" s="1"/>
  <c r="AGT2" i="6" s="1"/>
  <c r="AJP21" i="7"/>
  <c r="AES21" i="7"/>
  <c r="BY21" i="7"/>
  <c r="AFB21" i="7"/>
  <c r="SI21" i="7"/>
  <c r="ACY21" i="7"/>
  <c r="ACY22" i="7" s="1"/>
  <c r="ACY23" i="7" s="1"/>
  <c r="ACY24" i="7" s="1"/>
  <c r="ACY25" i="7" s="1"/>
  <c r="ACY26" i="7" s="1"/>
  <c r="ACY27" i="7" s="1"/>
  <c r="ACY28" i="7" s="1"/>
  <c r="ACY29" i="7" s="1"/>
  <c r="ACY30" i="7" s="1"/>
  <c r="ACY31" i="7" s="1"/>
  <c r="ACZ2" i="6" s="1"/>
  <c r="ACH21" i="7"/>
  <c r="ACH22" i="7" s="1"/>
  <c r="ACH23" i="7" s="1"/>
  <c r="ACH24" i="7" s="1"/>
  <c r="ACH25" i="7" s="1"/>
  <c r="ACH26" i="7" s="1"/>
  <c r="ACH27" i="7" s="1"/>
  <c r="ACH28" i="7" s="1"/>
  <c r="ACH29" i="7" s="1"/>
  <c r="ACH30" i="7" s="1"/>
  <c r="ACH31" i="7" s="1"/>
  <c r="ACI2" i="6" s="1"/>
  <c r="YE21" i="7"/>
  <c r="AV21" i="7"/>
  <c r="QP21" i="7"/>
  <c r="AAJ21" i="7"/>
  <c r="HE21" i="7"/>
  <c r="AN21" i="7"/>
  <c r="TZ21" i="7"/>
  <c r="TZ22" i="7" s="1"/>
  <c r="TZ23" i="7" s="1"/>
  <c r="TZ24" i="7" s="1"/>
  <c r="TZ25" i="7" s="1"/>
  <c r="TZ26" i="7" s="1"/>
  <c r="TZ27" i="7" s="1"/>
  <c r="TZ28" i="7" s="1"/>
  <c r="TZ29" i="7" s="1"/>
  <c r="TZ30" i="7" s="1"/>
  <c r="TZ31" i="7" s="1"/>
  <c r="UA2" i="6" s="1"/>
  <c r="CL21" i="7"/>
  <c r="CL22" i="7" s="1"/>
  <c r="CL23" i="7" s="1"/>
  <c r="CL24" i="7" s="1"/>
  <c r="CL25" i="7" s="1"/>
  <c r="CL26" i="7" s="1"/>
  <c r="CL27" i="7" s="1"/>
  <c r="CL28" i="7" s="1"/>
  <c r="CL29" i="7" s="1"/>
  <c r="CL30" i="7" s="1"/>
  <c r="CL31" i="7" s="1"/>
  <c r="CM2" i="6" s="1"/>
  <c r="HG21" i="7"/>
  <c r="VK21" i="7"/>
  <c r="ABG21" i="7"/>
  <c r="TU21" i="7"/>
  <c r="LG21" i="7"/>
  <c r="LG22" i="7" s="1"/>
  <c r="LG23" i="7" s="1"/>
  <c r="LG24" i="7" s="1"/>
  <c r="LG25" i="7" s="1"/>
  <c r="LG26" i="7" s="1"/>
  <c r="LG27" i="7" s="1"/>
  <c r="LG28" i="7" s="1"/>
  <c r="LG29" i="7" s="1"/>
  <c r="LG30" i="7" s="1"/>
  <c r="LG31" i="7" s="1"/>
  <c r="LH2" i="6" s="1"/>
  <c r="AM21" i="7"/>
  <c r="JR22" i="7"/>
  <c r="JR23" i="7" s="1"/>
  <c r="JR24" i="7" s="1"/>
  <c r="JR25" i="7" s="1"/>
  <c r="JR26" i="7" s="1"/>
  <c r="JR27" i="7" s="1"/>
  <c r="JR28" i="7" s="1"/>
  <c r="JR29" i="7" s="1"/>
  <c r="JR30" i="7" s="1"/>
  <c r="JR31" i="7" s="1"/>
  <c r="JS2" i="6" s="1"/>
  <c r="ZV22" i="7"/>
  <c r="NM21" i="7"/>
  <c r="AJT21" i="7"/>
  <c r="SM21" i="7"/>
  <c r="SM22" i="7" s="1"/>
  <c r="SM23" i="7" s="1"/>
  <c r="SM24" i="7" s="1"/>
  <c r="SM25" i="7" s="1"/>
  <c r="SM26" i="7" s="1"/>
  <c r="SM27" i="7" s="1"/>
  <c r="SM28" i="7" s="1"/>
  <c r="SM29" i="7" s="1"/>
  <c r="SM30" i="7" s="1"/>
  <c r="SM31" i="7" s="1"/>
  <c r="SN2" i="6" s="1"/>
  <c r="AHB21" i="7"/>
  <c r="TA21" i="7"/>
  <c r="TA22" i="7" s="1"/>
  <c r="TA23" i="7" s="1"/>
  <c r="TA24" i="7" s="1"/>
  <c r="TA25" i="7" s="1"/>
  <c r="TA26" i="7" s="1"/>
  <c r="TA27" i="7" s="1"/>
  <c r="TA28" i="7" s="1"/>
  <c r="TA29" i="7" s="1"/>
  <c r="TA30" i="7" s="1"/>
  <c r="TA31" i="7" s="1"/>
  <c r="TB2" i="6" s="1"/>
  <c r="DI21" i="7"/>
  <c r="ADB21" i="7"/>
  <c r="ADB22" i="7" s="1"/>
  <c r="WJ21" i="7"/>
  <c r="WJ22" i="7" s="1"/>
  <c r="WJ23" i="7" s="1"/>
  <c r="WJ24" i="7" s="1"/>
  <c r="WJ25" i="7" s="1"/>
  <c r="WJ26" i="7" s="1"/>
  <c r="WJ27" i="7" s="1"/>
  <c r="WJ28" i="7" s="1"/>
  <c r="WJ29" i="7" s="1"/>
  <c r="WJ30" i="7" s="1"/>
  <c r="WJ31" i="7" s="1"/>
  <c r="WK2" i="6" s="1"/>
  <c r="MW21" i="7"/>
  <c r="MW22" i="7" s="1"/>
  <c r="MW23" i="7" s="1"/>
  <c r="MW24" i="7" s="1"/>
  <c r="MW25" i="7" s="1"/>
  <c r="MW26" i="7" s="1"/>
  <c r="MW27" i="7" s="1"/>
  <c r="MW28" i="7" s="1"/>
  <c r="MW29" i="7" s="1"/>
  <c r="MW30" i="7" s="1"/>
  <c r="MW31" i="7" s="1"/>
  <c r="MX2" i="6" s="1"/>
  <c r="AHQ21" i="7"/>
  <c r="HP21" i="7"/>
  <c r="AJI21" i="7"/>
  <c r="AJI22" i="7" s="1"/>
  <c r="J21" i="7"/>
  <c r="RM21" i="7"/>
  <c r="RM22" i="7" s="1"/>
  <c r="EK21" i="7"/>
  <c r="EP21" i="7"/>
  <c r="BE21" i="7"/>
  <c r="EM21" i="7"/>
  <c r="NA21" i="7"/>
  <c r="LD21" i="7"/>
  <c r="CH21" i="7"/>
  <c r="FB21" i="7"/>
  <c r="FB22" i="7" s="1"/>
  <c r="FB23" i="7" s="1"/>
  <c r="FB24" i="7" s="1"/>
  <c r="FB25" i="7" s="1"/>
  <c r="FB26" i="7" s="1"/>
  <c r="FB27" i="7" s="1"/>
  <c r="FB28" i="7" s="1"/>
  <c r="FB29" i="7" s="1"/>
  <c r="FB30" i="7" s="1"/>
  <c r="FB31" i="7" s="1"/>
  <c r="FC2" i="6" s="1"/>
  <c r="IU21" i="7"/>
  <c r="IU22" i="7" s="1"/>
  <c r="IU23" i="7" s="1"/>
  <c r="IU24" i="7" s="1"/>
  <c r="IU25" i="7" s="1"/>
  <c r="IU26" i="7" s="1"/>
  <c r="IU27" i="7" s="1"/>
  <c r="IU28" i="7" s="1"/>
  <c r="IU29" i="7" s="1"/>
  <c r="IU30" i="7" s="1"/>
  <c r="IU31" i="7" s="1"/>
  <c r="IV2" i="6" s="1"/>
  <c r="AEH21" i="7"/>
  <c r="XE21" i="7"/>
  <c r="ABF21" i="7"/>
  <c r="ABF22" i="7" s="1"/>
  <c r="ABF23" i="7" s="1"/>
  <c r="ABF24" i="7" s="1"/>
  <c r="ABF25" i="7" s="1"/>
  <c r="ABF26" i="7" s="1"/>
  <c r="ABF27" i="7" s="1"/>
  <c r="ABF28" i="7" s="1"/>
  <c r="ABF29" i="7" s="1"/>
  <c r="ABF30" i="7" s="1"/>
  <c r="ABF31" i="7" s="1"/>
  <c r="ABG2" i="6" s="1"/>
  <c r="XL21" i="7"/>
  <c r="ADG21" i="7"/>
  <c r="ADG22" i="7" s="1"/>
  <c r="ADG23" i="7" s="1"/>
  <c r="ADG24" i="7" s="1"/>
  <c r="ADG25" i="7" s="1"/>
  <c r="ADG26" i="7" s="1"/>
  <c r="ADG27" i="7" s="1"/>
  <c r="ADG28" i="7" s="1"/>
  <c r="ADG29" i="7" s="1"/>
  <c r="ADG30" i="7" s="1"/>
  <c r="ADG31" i="7" s="1"/>
  <c r="ADH2" i="6" s="1"/>
  <c r="FS21" i="7"/>
  <c r="FS22" i="7" s="1"/>
  <c r="YB21" i="7"/>
  <c r="SL21" i="7"/>
  <c r="AHH21" i="7"/>
  <c r="AHH22" i="7" s="1"/>
  <c r="AHH23" i="7" s="1"/>
  <c r="AHH24" i="7" s="1"/>
  <c r="AHH25" i="7" s="1"/>
  <c r="AHH26" i="7" s="1"/>
  <c r="AHH27" i="7" s="1"/>
  <c r="AHH28" i="7" s="1"/>
  <c r="AHH29" i="7" s="1"/>
  <c r="AHH30" i="7" s="1"/>
  <c r="AHH31" i="7" s="1"/>
  <c r="AHI2" i="6" s="1"/>
  <c r="TR21" i="7"/>
  <c r="TR22" i="7" s="1"/>
  <c r="AKP21" i="7"/>
  <c r="AKP22" i="7" s="1"/>
  <c r="AKP23" i="7" s="1"/>
  <c r="AKP24" i="7" s="1"/>
  <c r="AKP25" i="7" s="1"/>
  <c r="AKP26" i="7" s="1"/>
  <c r="AKP27" i="7" s="1"/>
  <c r="AKP28" i="7" s="1"/>
  <c r="AKP29" i="7" s="1"/>
  <c r="AKP30" i="7" s="1"/>
  <c r="AKP31" i="7" s="1"/>
  <c r="AKQ2" i="6" s="1"/>
  <c r="JF21" i="7"/>
  <c r="BQ21" i="7"/>
  <c r="BQ22" i="7" s="1"/>
  <c r="BQ23" i="7" s="1"/>
  <c r="BQ24" i="7" s="1"/>
  <c r="BQ25" i="7" s="1"/>
  <c r="BQ26" i="7" s="1"/>
  <c r="BQ27" i="7" s="1"/>
  <c r="BQ28" i="7" s="1"/>
  <c r="BQ29" i="7" s="1"/>
  <c r="BQ30" i="7" s="1"/>
  <c r="BQ31" i="7" s="1"/>
  <c r="BR2" i="6" s="1"/>
  <c r="XO22" i="7"/>
  <c r="XO23" i="7" s="1"/>
  <c r="XO24" i="7" s="1"/>
  <c r="XO25" i="7" s="1"/>
  <c r="XO26" i="7" s="1"/>
  <c r="XO27" i="7" s="1"/>
  <c r="XO28" i="7" s="1"/>
  <c r="XO29" i="7" s="1"/>
  <c r="XO30" i="7" s="1"/>
  <c r="XO31" i="7" s="1"/>
  <c r="XP2" i="6" s="1"/>
  <c r="AKE21" i="7"/>
  <c r="AKE22" i="7" s="1"/>
  <c r="AKE23" i="7" s="1"/>
  <c r="AKE24" i="7" s="1"/>
  <c r="AKE25" i="7" s="1"/>
  <c r="AKE26" i="7" s="1"/>
  <c r="AKE27" i="7" s="1"/>
  <c r="AKE28" i="7" s="1"/>
  <c r="AKE29" i="7" s="1"/>
  <c r="AKE30" i="7" s="1"/>
  <c r="AKE31" i="7" s="1"/>
  <c r="AKF2" i="6" s="1"/>
  <c r="PY21" i="7"/>
  <c r="PY22" i="7" s="1"/>
  <c r="PY23" i="7" s="1"/>
  <c r="PY24" i="7" s="1"/>
  <c r="PY25" i="7" s="1"/>
  <c r="PY26" i="7" s="1"/>
  <c r="PY27" i="7" s="1"/>
  <c r="PY28" i="7" s="1"/>
  <c r="PY29" i="7" s="1"/>
  <c r="PY30" i="7" s="1"/>
  <c r="PY31" i="7" s="1"/>
  <c r="PZ2" i="6" s="1"/>
  <c r="ADD21" i="7"/>
  <c r="IH21" i="7"/>
  <c r="UO21" i="7"/>
  <c r="DF21" i="7"/>
  <c r="DF22" i="7" s="1"/>
  <c r="DF23" i="7" s="1"/>
  <c r="DF24" i="7" s="1"/>
  <c r="DF25" i="7" s="1"/>
  <c r="DF26" i="7" s="1"/>
  <c r="DF27" i="7" s="1"/>
  <c r="DF28" i="7" s="1"/>
  <c r="DF29" i="7" s="1"/>
  <c r="DF30" i="7" s="1"/>
  <c r="DF31" i="7" s="1"/>
  <c r="DG2" i="6" s="1"/>
  <c r="NU22" i="7"/>
  <c r="NU23" i="7" s="1"/>
  <c r="NU24" i="7" s="1"/>
  <c r="NU25" i="7" s="1"/>
  <c r="NU26" i="7" s="1"/>
  <c r="NU27" i="7" s="1"/>
  <c r="NU28" i="7" s="1"/>
  <c r="NU29" i="7" s="1"/>
  <c r="NU30" i="7" s="1"/>
  <c r="NU31" i="7" s="1"/>
  <c r="NV2" i="6" s="1"/>
  <c r="UI21" i="7"/>
  <c r="UI22" i="7" s="1"/>
  <c r="UI23" i="7" s="1"/>
  <c r="UI24" i="7" s="1"/>
  <c r="UI25" i="7" s="1"/>
  <c r="UI26" i="7" s="1"/>
  <c r="UI27" i="7" s="1"/>
  <c r="UI28" i="7" s="1"/>
  <c r="UI29" i="7" s="1"/>
  <c r="UI30" i="7" s="1"/>
  <c r="UI31" i="7" s="1"/>
  <c r="UJ2" i="6" s="1"/>
  <c r="FA21" i="7"/>
  <c r="FA22" i="7" s="1"/>
  <c r="FA23" i="7" s="1"/>
  <c r="FA24" i="7" s="1"/>
  <c r="FA25" i="7" s="1"/>
  <c r="FA26" i="7" s="1"/>
  <c r="FA27" i="7" s="1"/>
  <c r="FA28" i="7" s="1"/>
  <c r="FA29" i="7" s="1"/>
  <c r="FA30" i="7" s="1"/>
  <c r="FA31" i="7" s="1"/>
  <c r="FB2" i="6" s="1"/>
  <c r="FV21" i="7"/>
  <c r="FV22" i="7" s="1"/>
  <c r="FV23" i="7" s="1"/>
  <c r="FV24" i="7" s="1"/>
  <c r="FV25" i="7" s="1"/>
  <c r="FV26" i="7" s="1"/>
  <c r="FV27" i="7" s="1"/>
  <c r="FV28" i="7" s="1"/>
  <c r="FV29" i="7" s="1"/>
  <c r="FV30" i="7" s="1"/>
  <c r="FV31" i="7" s="1"/>
  <c r="FW2" i="6" s="1"/>
  <c r="TW21" i="7"/>
  <c r="VY21" i="7"/>
  <c r="EV21" i="7"/>
  <c r="EV22" i="7" s="1"/>
  <c r="EV23" i="7" s="1"/>
  <c r="EV24" i="7" s="1"/>
  <c r="EV25" i="7" s="1"/>
  <c r="EV26" i="7" s="1"/>
  <c r="EV27" i="7" s="1"/>
  <c r="EV28" i="7" s="1"/>
  <c r="EV29" i="7" s="1"/>
  <c r="EV30" i="7" s="1"/>
  <c r="EV31" i="7" s="1"/>
  <c r="EW2" i="6" s="1"/>
  <c r="ADF21" i="7"/>
  <c r="AJH21" i="7"/>
  <c r="OA21" i="7"/>
  <c r="AC21" i="7"/>
  <c r="AC22" i="7" s="1"/>
  <c r="AC23" i="7" s="1"/>
  <c r="AC24" i="7" s="1"/>
  <c r="AC25" i="7" s="1"/>
  <c r="AC26" i="7" s="1"/>
  <c r="AC27" i="7" s="1"/>
  <c r="AC28" i="7" s="1"/>
  <c r="AC29" i="7" s="1"/>
  <c r="AC30" i="7" s="1"/>
  <c r="AC31" i="7" s="1"/>
  <c r="AD2" i="6" s="1"/>
  <c r="CQ21" i="7"/>
  <c r="PS21" i="7"/>
  <c r="PS22" i="7" s="1"/>
  <c r="PS23" i="7" s="1"/>
  <c r="PS24" i="7" s="1"/>
  <c r="PS25" i="7" s="1"/>
  <c r="PS26" i="7" s="1"/>
  <c r="PS27" i="7" s="1"/>
  <c r="PS28" i="7" s="1"/>
  <c r="PS29" i="7" s="1"/>
  <c r="PS30" i="7" s="1"/>
  <c r="PS31" i="7" s="1"/>
  <c r="PT2" i="6" s="1"/>
  <c r="AET21" i="7"/>
  <c r="XB21" i="7"/>
  <c r="XB22" i="7" s="1"/>
  <c r="XB23" i="7" s="1"/>
  <c r="XB24" i="7" s="1"/>
  <c r="XB25" i="7" s="1"/>
  <c r="XB26" i="7" s="1"/>
  <c r="XB27" i="7" s="1"/>
  <c r="XB28" i="7" s="1"/>
  <c r="XB29" i="7" s="1"/>
  <c r="XB30" i="7" s="1"/>
  <c r="XB31" i="7" s="1"/>
  <c r="XC2" i="6" s="1"/>
  <c r="YT21" i="7"/>
  <c r="CR21" i="7"/>
  <c r="AKJ21" i="7"/>
  <c r="UF21" i="7"/>
  <c r="GS21" i="7"/>
  <c r="NT21" i="7"/>
  <c r="CX21" i="7"/>
  <c r="CX22" i="7" s="1"/>
  <c r="ID21" i="7"/>
  <c r="AKA21" i="7"/>
  <c r="OE21" i="7"/>
  <c r="OE22" i="7" s="1"/>
  <c r="OE23" i="7" s="1"/>
  <c r="OE24" i="7" s="1"/>
  <c r="OE25" i="7" s="1"/>
  <c r="OE26" i="7" s="1"/>
  <c r="OE27" i="7" s="1"/>
  <c r="OE28" i="7" s="1"/>
  <c r="OE29" i="7" s="1"/>
  <c r="OE30" i="7" s="1"/>
  <c r="OE31" i="7" s="1"/>
  <c r="OF2" i="6" s="1"/>
  <c r="RV21" i="7"/>
  <c r="RV22" i="7" s="1"/>
  <c r="SJ21" i="7"/>
  <c r="JP21" i="7"/>
  <c r="JP22" i="7" s="1"/>
  <c r="JP23" i="7" s="1"/>
  <c r="JP24" i="7" s="1"/>
  <c r="JP25" i="7" s="1"/>
  <c r="JP26" i="7" s="1"/>
  <c r="JP27" i="7" s="1"/>
  <c r="JP28" i="7" s="1"/>
  <c r="JP29" i="7" s="1"/>
  <c r="JP30" i="7" s="1"/>
  <c r="JP31" i="7" s="1"/>
  <c r="JQ2" i="6" s="1"/>
  <c r="FD21" i="7"/>
  <c r="BL21" i="7"/>
  <c r="BL22" i="7" s="1"/>
  <c r="BL23" i="7" s="1"/>
  <c r="BL24" i="7" s="1"/>
  <c r="BL25" i="7" s="1"/>
  <c r="BL26" i="7" s="1"/>
  <c r="BL27" i="7" s="1"/>
  <c r="BL28" i="7" s="1"/>
  <c r="BL29" i="7" s="1"/>
  <c r="BL30" i="7" s="1"/>
  <c r="BL31" i="7" s="1"/>
  <c r="BM2" i="6" s="1"/>
  <c r="QU21" i="7"/>
  <c r="QU22" i="7" s="1"/>
  <c r="QU23" i="7" s="1"/>
  <c r="QU24" i="7" s="1"/>
  <c r="QU25" i="7" s="1"/>
  <c r="QU26" i="7" s="1"/>
  <c r="QU27" i="7" s="1"/>
  <c r="QU28" i="7" s="1"/>
  <c r="QU29" i="7" s="1"/>
  <c r="QU30" i="7" s="1"/>
  <c r="QU31" i="7" s="1"/>
  <c r="QV2" i="6" s="1"/>
  <c r="LA21" i="7"/>
  <c r="BG21" i="7"/>
  <c r="AFZ21" i="7"/>
  <c r="NJ21" i="7"/>
  <c r="NJ22" i="7" s="1"/>
  <c r="NJ23" i="7" s="1"/>
  <c r="NJ24" i="7" s="1"/>
  <c r="NJ25" i="7" s="1"/>
  <c r="NJ26" i="7" s="1"/>
  <c r="NJ27" i="7" s="1"/>
  <c r="NJ28" i="7" s="1"/>
  <c r="NJ29" i="7" s="1"/>
  <c r="NJ30" i="7" s="1"/>
  <c r="NJ31" i="7" s="1"/>
  <c r="NK2" i="6" s="1"/>
  <c r="AIU21" i="7"/>
  <c r="AIU22" i="7" s="1"/>
  <c r="AIU23" i="7" s="1"/>
  <c r="AIU24" i="7" s="1"/>
  <c r="AIU25" i="7" s="1"/>
  <c r="AIU26" i="7" s="1"/>
  <c r="AIU27" i="7" s="1"/>
  <c r="AIU28" i="7" s="1"/>
  <c r="AIU29" i="7" s="1"/>
  <c r="AIU30" i="7" s="1"/>
  <c r="AIU31" i="7" s="1"/>
  <c r="AIV2" i="6" s="1"/>
  <c r="NF21" i="7"/>
  <c r="NF22" i="7" s="1"/>
  <c r="NF23" i="7" s="1"/>
  <c r="NF24" i="7" s="1"/>
  <c r="NF25" i="7" s="1"/>
  <c r="NF26" i="7" s="1"/>
  <c r="NF27" i="7" s="1"/>
  <c r="NF28" i="7" s="1"/>
  <c r="NF29" i="7" s="1"/>
  <c r="NF30" i="7" s="1"/>
  <c r="NF31" i="7" s="1"/>
  <c r="NG2" i="6" s="1"/>
  <c r="NG6" i="6" s="1"/>
  <c r="OT21" i="7"/>
  <c r="AJY21" i="7"/>
  <c r="AKS21" i="7"/>
  <c r="AKS22" i="7" s="1"/>
  <c r="AKS23" i="7" s="1"/>
  <c r="AKS24" i="7" s="1"/>
  <c r="AKS25" i="7" s="1"/>
  <c r="AKS26" i="7" s="1"/>
  <c r="AKS27" i="7" s="1"/>
  <c r="AKS28" i="7" s="1"/>
  <c r="AKS29" i="7" s="1"/>
  <c r="AKS30" i="7" s="1"/>
  <c r="AFA21" i="7"/>
  <c r="AFA22" i="7" s="1"/>
  <c r="AFA23" i="7" s="1"/>
  <c r="AFA24" i="7" s="1"/>
  <c r="AFA25" i="7" s="1"/>
  <c r="AFA26" i="7" s="1"/>
  <c r="AFA27" i="7" s="1"/>
  <c r="AFA28" i="7" s="1"/>
  <c r="AFA29" i="7" s="1"/>
  <c r="AFA30" i="7" s="1"/>
  <c r="AFA31" i="7" s="1"/>
  <c r="AFB2" i="6" s="1"/>
  <c r="LY21" i="7"/>
  <c r="LY22" i="7" s="1"/>
  <c r="LY23" i="7" s="1"/>
  <c r="LY24" i="7" s="1"/>
  <c r="LY25" i="7" s="1"/>
  <c r="LY26" i="7" s="1"/>
  <c r="LY27" i="7" s="1"/>
  <c r="LY28" i="7" s="1"/>
  <c r="LY29" i="7" s="1"/>
  <c r="LY30" i="7" s="1"/>
  <c r="LY31" i="7" s="1"/>
  <c r="LZ2" i="6" s="1"/>
  <c r="VG22" i="7"/>
  <c r="TT22" i="7"/>
  <c r="LS21" i="7"/>
  <c r="AJD21" i="7"/>
  <c r="AJD22" i="7" s="1"/>
  <c r="AJD23" i="7" s="1"/>
  <c r="AJD24" i="7" s="1"/>
  <c r="AJD25" i="7" s="1"/>
  <c r="AJD26" i="7" s="1"/>
  <c r="AJD27" i="7" s="1"/>
  <c r="AJD28" i="7" s="1"/>
  <c r="AJD29" i="7" s="1"/>
  <c r="AJD30" i="7" s="1"/>
  <c r="AJD31" i="7" s="1"/>
  <c r="AJE2" i="6" s="1"/>
  <c r="CT21" i="7"/>
  <c r="CT22" i="7" s="1"/>
  <c r="CT23" i="7" s="1"/>
  <c r="CT24" i="7" s="1"/>
  <c r="CT25" i="7" s="1"/>
  <c r="CT26" i="7" s="1"/>
  <c r="CT27" i="7" s="1"/>
  <c r="CT28" i="7" s="1"/>
  <c r="CT29" i="7" s="1"/>
  <c r="CT30" i="7" s="1"/>
  <c r="CT31" i="7" s="1"/>
  <c r="CU2" i="6" s="1"/>
  <c r="SX21" i="7"/>
  <c r="AAY21" i="7"/>
  <c r="XR21" i="7"/>
  <c r="BS21" i="7"/>
  <c r="BS22" i="7" s="1"/>
  <c r="BS23" i="7" s="1"/>
  <c r="BS24" i="7" s="1"/>
  <c r="BS25" i="7" s="1"/>
  <c r="BS26" i="7" s="1"/>
  <c r="BS27" i="7" s="1"/>
  <c r="BS28" i="7" s="1"/>
  <c r="BS29" i="7" s="1"/>
  <c r="BS30" i="7" s="1"/>
  <c r="BS31" i="7" s="1"/>
  <c r="BT2" i="6" s="1"/>
  <c r="CZ21" i="7"/>
  <c r="CZ22" i="7" s="1"/>
  <c r="CZ23" i="7" s="1"/>
  <c r="CZ24" i="7" s="1"/>
  <c r="CZ25" i="7" s="1"/>
  <c r="CZ26" i="7" s="1"/>
  <c r="CZ27" i="7" s="1"/>
  <c r="CZ28" i="7" s="1"/>
  <c r="CZ29" i="7" s="1"/>
  <c r="CZ30" i="7" s="1"/>
  <c r="CZ31" i="7" s="1"/>
  <c r="DA2" i="6" s="1"/>
  <c r="PH21" i="7"/>
  <c r="JJ21" i="7"/>
  <c r="WS21" i="7"/>
  <c r="WS22" i="7" s="1"/>
  <c r="WS23" i="7" s="1"/>
  <c r="WS24" i="7" s="1"/>
  <c r="WS25" i="7" s="1"/>
  <c r="WS26" i="7" s="1"/>
  <c r="WS27" i="7" s="1"/>
  <c r="WS28" i="7" s="1"/>
  <c r="WS29" i="7" s="1"/>
  <c r="WS30" i="7" s="1"/>
  <c r="WS31" i="7" s="1"/>
  <c r="WT2" i="6" s="1"/>
  <c r="AFJ21" i="7"/>
  <c r="ABH21" i="7"/>
  <c r="AKN21" i="7"/>
  <c r="AKN22" i="7" s="1"/>
  <c r="AKN23" i="7" s="1"/>
  <c r="AKN24" i="7" s="1"/>
  <c r="AKN25" i="7" s="1"/>
  <c r="AKN26" i="7" s="1"/>
  <c r="AKN27" i="7" s="1"/>
  <c r="AKN28" i="7" s="1"/>
  <c r="AKN29" i="7" s="1"/>
  <c r="AKN30" i="7" s="1"/>
  <c r="AKN31" i="7" s="1"/>
  <c r="AKO2" i="6" s="1"/>
  <c r="VJ21" i="7"/>
  <c r="VJ22" i="7" s="1"/>
  <c r="VJ23" i="7" s="1"/>
  <c r="VJ24" i="7" s="1"/>
  <c r="VJ25" i="7" s="1"/>
  <c r="VJ26" i="7" s="1"/>
  <c r="VJ27" i="7" s="1"/>
  <c r="VJ28" i="7" s="1"/>
  <c r="VJ29" i="7" s="1"/>
  <c r="VJ30" i="7" s="1"/>
  <c r="VJ31" i="7" s="1"/>
  <c r="VK2" i="6" s="1"/>
  <c r="OY21" i="7"/>
  <c r="OY22" i="7" s="1"/>
  <c r="OY23" i="7" s="1"/>
  <c r="OY24" i="7" s="1"/>
  <c r="OY25" i="7" s="1"/>
  <c r="OY26" i="7" s="1"/>
  <c r="OY27" i="7" s="1"/>
  <c r="OY28" i="7" s="1"/>
  <c r="OY29" i="7" s="1"/>
  <c r="OY30" i="7" s="1"/>
  <c r="OY31" i="7" s="1"/>
  <c r="OZ2" i="6" s="1"/>
  <c r="OI21" i="7"/>
  <c r="YY21" i="7"/>
  <c r="ABA21" i="7"/>
  <c r="AKQ21" i="7"/>
  <c r="GX21" i="7"/>
  <c r="GX22" i="7" s="1"/>
  <c r="GX23" i="7" s="1"/>
  <c r="GX24" i="7" s="1"/>
  <c r="GX25" i="7" s="1"/>
  <c r="GX26" i="7" s="1"/>
  <c r="GX27" i="7" s="1"/>
  <c r="GX28" i="7" s="1"/>
  <c r="GX29" i="7" s="1"/>
  <c r="GX30" i="7" s="1"/>
  <c r="GX31" i="7" s="1"/>
  <c r="GY2" i="6" s="1"/>
  <c r="AIV21" i="7"/>
  <c r="AIV22" i="7" s="1"/>
  <c r="AIV23" i="7" s="1"/>
  <c r="AIV24" i="7" s="1"/>
  <c r="AIV25" i="7" s="1"/>
  <c r="AIV26" i="7" s="1"/>
  <c r="AIV27" i="7" s="1"/>
  <c r="AIV28" i="7" s="1"/>
  <c r="AIV29" i="7" s="1"/>
  <c r="AIV30" i="7" s="1"/>
  <c r="AIV31" i="7" s="1"/>
  <c r="AIW2" i="6" s="1"/>
  <c r="PL21" i="7"/>
  <c r="PL22" i="7" s="1"/>
  <c r="PL23" i="7" s="1"/>
  <c r="PL24" i="7" s="1"/>
  <c r="PL25" i="7" s="1"/>
  <c r="PL26" i="7" s="1"/>
  <c r="PL27" i="7" s="1"/>
  <c r="PL28" i="7" s="1"/>
  <c r="PL29" i="7" s="1"/>
  <c r="PL30" i="7" s="1"/>
  <c r="PL31" i="7" s="1"/>
  <c r="PM2" i="6" s="1"/>
  <c r="ADY21" i="7"/>
  <c r="ADY22" i="7" s="1"/>
  <c r="ADY23" i="7" s="1"/>
  <c r="ADY24" i="7" s="1"/>
  <c r="ADY25" i="7" s="1"/>
  <c r="ADY26" i="7" s="1"/>
  <c r="ADY27" i="7" s="1"/>
  <c r="ADY28" i="7" s="1"/>
  <c r="ADY29" i="7" s="1"/>
  <c r="ADY30" i="7" s="1"/>
  <c r="ADY31" i="7" s="1"/>
  <c r="ADZ2" i="6" s="1"/>
  <c r="AL21" i="7"/>
  <c r="AL22" i="7" s="1"/>
  <c r="AL23" i="7" s="1"/>
  <c r="AL24" i="7" s="1"/>
  <c r="AL25" i="7" s="1"/>
  <c r="AL26" i="7" s="1"/>
  <c r="AL27" i="7" s="1"/>
  <c r="AL28" i="7" s="1"/>
  <c r="AL29" i="7" s="1"/>
  <c r="AL30" i="7" s="1"/>
  <c r="AL31" i="7" s="1"/>
  <c r="AM2" i="6" s="1"/>
  <c r="RO21" i="7"/>
  <c r="RO22" i="7" s="1"/>
  <c r="RO23" i="7" s="1"/>
  <c r="RO24" i="7" s="1"/>
  <c r="RO25" i="7" s="1"/>
  <c r="RO26" i="7" s="1"/>
  <c r="RO27" i="7" s="1"/>
  <c r="RO28" i="7" s="1"/>
  <c r="RO29" i="7" s="1"/>
  <c r="RO30" i="7" s="1"/>
  <c r="RO31" i="7" s="1"/>
  <c r="RP2" i="6" s="1"/>
  <c r="YA21" i="7"/>
  <c r="TC21" i="7"/>
  <c r="UB21" i="7"/>
  <c r="AGI21" i="7"/>
  <c r="AGI22" i="7" s="1"/>
  <c r="AGI23" i="7" s="1"/>
  <c r="AGI24" i="7" s="1"/>
  <c r="AGI25" i="7" s="1"/>
  <c r="AGI26" i="7" s="1"/>
  <c r="AGI27" i="7" s="1"/>
  <c r="AGI28" i="7" s="1"/>
  <c r="AGI29" i="7" s="1"/>
  <c r="AGI30" i="7" s="1"/>
  <c r="AGI31" i="7" s="1"/>
  <c r="AGJ2" i="6" s="1"/>
  <c r="AGV21" i="7"/>
  <c r="AGV22" i="7" s="1"/>
  <c r="AGV23" i="7" s="1"/>
  <c r="AGV24" i="7" s="1"/>
  <c r="AGV25" i="7" s="1"/>
  <c r="AGV26" i="7" s="1"/>
  <c r="AGV27" i="7" s="1"/>
  <c r="AGV28" i="7" s="1"/>
  <c r="AGV29" i="7" s="1"/>
  <c r="AGV30" i="7" s="1"/>
  <c r="AGV31" i="7" s="1"/>
  <c r="AGW2" i="6" s="1"/>
  <c r="IQ21" i="7"/>
  <c r="IQ22" i="7" s="1"/>
  <c r="IQ23" i="7" s="1"/>
  <c r="IQ24" i="7" s="1"/>
  <c r="IQ25" i="7" s="1"/>
  <c r="IQ26" i="7" s="1"/>
  <c r="IQ27" i="7" s="1"/>
  <c r="IQ28" i="7" s="1"/>
  <c r="IQ29" i="7" s="1"/>
  <c r="IQ30" i="7" s="1"/>
  <c r="IQ31" i="7" s="1"/>
  <c r="IR2" i="6" s="1"/>
  <c r="DX21" i="7"/>
  <c r="GI21" i="7"/>
  <c r="BF21" i="7"/>
  <c r="BF22" i="7" s="1"/>
  <c r="BF23" i="7" s="1"/>
  <c r="BF24" i="7" s="1"/>
  <c r="BF25" i="7" s="1"/>
  <c r="BF26" i="7" s="1"/>
  <c r="BF27" i="7" s="1"/>
  <c r="BF28" i="7" s="1"/>
  <c r="BF29" i="7" s="1"/>
  <c r="BF30" i="7" s="1"/>
  <c r="BF31" i="7" s="1"/>
  <c r="BG2" i="6" s="1"/>
  <c r="AAP21" i="7"/>
  <c r="AAP22" i="7" s="1"/>
  <c r="AAP23" i="7" s="1"/>
  <c r="AAP24" i="7" s="1"/>
  <c r="AAP25" i="7" s="1"/>
  <c r="AAP26" i="7" s="1"/>
  <c r="AAP27" i="7" s="1"/>
  <c r="AAP28" i="7" s="1"/>
  <c r="AAP29" i="7" s="1"/>
  <c r="AAP30" i="7" s="1"/>
  <c r="AAP31" i="7" s="1"/>
  <c r="AAQ2" i="6" s="1"/>
  <c r="CN21" i="7"/>
  <c r="CN22" i="7" s="1"/>
  <c r="CN23" i="7" s="1"/>
  <c r="CN24" i="7" s="1"/>
  <c r="CN25" i="7" s="1"/>
  <c r="CN26" i="7" s="1"/>
  <c r="CN27" i="7" s="1"/>
  <c r="CN28" i="7" s="1"/>
  <c r="CN29" i="7" s="1"/>
  <c r="CN30" i="7" s="1"/>
  <c r="CN31" i="7" s="1"/>
  <c r="CO2" i="6" s="1"/>
  <c r="ACX21" i="7"/>
  <c r="ACX22" i="7" s="1"/>
  <c r="TP21" i="7"/>
  <c r="CY21" i="7"/>
  <c r="CY22" i="7" s="1"/>
  <c r="CY23" i="7" s="1"/>
  <c r="CY24" i="7" s="1"/>
  <c r="CY25" i="7" s="1"/>
  <c r="CY26" i="7" s="1"/>
  <c r="CY27" i="7" s="1"/>
  <c r="CY28" i="7" s="1"/>
  <c r="CY29" i="7" s="1"/>
  <c r="CY30" i="7" s="1"/>
  <c r="CY31" i="7" s="1"/>
  <c r="CZ2" i="6" s="1"/>
  <c r="JQ21" i="7"/>
  <c r="UY21" i="7"/>
  <c r="HW21" i="7"/>
  <c r="HW22" i="7" s="1"/>
  <c r="HW23" i="7" s="1"/>
  <c r="HW24" i="7" s="1"/>
  <c r="HW25" i="7" s="1"/>
  <c r="HW26" i="7" s="1"/>
  <c r="HW27" i="7" s="1"/>
  <c r="HW28" i="7" s="1"/>
  <c r="HW29" i="7" s="1"/>
  <c r="HW30" i="7" s="1"/>
  <c r="HW31" i="7" s="1"/>
  <c r="HX2" i="6" s="1"/>
  <c r="FR21" i="7"/>
  <c r="AB21" i="7"/>
  <c r="FE21" i="7"/>
  <c r="CJ21" i="7"/>
  <c r="HY21" i="7"/>
  <c r="HB21" i="7"/>
  <c r="AFQ21" i="7"/>
  <c r="IR21" i="7"/>
  <c r="WM21" i="7"/>
  <c r="OU21" i="7"/>
  <c r="OU22" i="7" s="1"/>
  <c r="AW21" i="7"/>
  <c r="AW22" i="7" s="1"/>
  <c r="AW23" i="7" s="1"/>
  <c r="AW24" i="7" s="1"/>
  <c r="AW25" i="7" s="1"/>
  <c r="AW26" i="7" s="1"/>
  <c r="AW27" i="7" s="1"/>
  <c r="AW28" i="7" s="1"/>
  <c r="AW29" i="7" s="1"/>
  <c r="AW30" i="7" s="1"/>
  <c r="AW31" i="7" s="1"/>
  <c r="AX2" i="6" s="1"/>
  <c r="AAA21" i="7"/>
  <c r="NK21" i="7"/>
  <c r="PG21" i="7"/>
  <c r="OD21" i="7"/>
  <c r="RI21" i="7"/>
  <c r="WV21" i="7"/>
  <c r="KZ21" i="7"/>
  <c r="KZ22" i="7" s="1"/>
  <c r="KZ23" i="7" s="1"/>
  <c r="KZ24" i="7" s="1"/>
  <c r="KZ25" i="7" s="1"/>
  <c r="KZ26" i="7" s="1"/>
  <c r="KZ27" i="7" s="1"/>
  <c r="KZ28" i="7" s="1"/>
  <c r="KZ29" i="7" s="1"/>
  <c r="KZ30" i="7" s="1"/>
  <c r="KZ31" i="7" s="1"/>
  <c r="LA2" i="6" s="1"/>
  <c r="ZL21" i="7"/>
  <c r="RL21" i="7"/>
  <c r="QH21" i="7"/>
  <c r="QW21" i="7"/>
  <c r="U21" i="7"/>
  <c r="XD21" i="7"/>
  <c r="XD22" i="7" s="1"/>
  <c r="DQ21" i="7"/>
  <c r="KH21" i="7"/>
  <c r="YM21" i="7"/>
  <c r="JK21" i="7"/>
  <c r="H21" i="7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I2" i="6" s="1"/>
  <c r="AJU21" i="7"/>
  <c r="AJU22" i="7" s="1"/>
  <c r="AJU23" i="7" s="1"/>
  <c r="AJU24" i="7" s="1"/>
  <c r="AJU25" i="7" s="1"/>
  <c r="AJU26" i="7" s="1"/>
  <c r="AJU27" i="7" s="1"/>
  <c r="AJU28" i="7" s="1"/>
  <c r="AJU29" i="7" s="1"/>
  <c r="AJU30" i="7" s="1"/>
  <c r="AJU31" i="7" s="1"/>
  <c r="AJV2" i="6" s="1"/>
  <c r="GK21" i="7"/>
  <c r="GK22" i="7" s="1"/>
  <c r="GK23" i="7" s="1"/>
  <c r="GK24" i="7" s="1"/>
  <c r="GK25" i="7" s="1"/>
  <c r="GK26" i="7" s="1"/>
  <c r="GK27" i="7" s="1"/>
  <c r="GK28" i="7" s="1"/>
  <c r="GK29" i="7" s="1"/>
  <c r="GK30" i="7" s="1"/>
  <c r="GK31" i="7" s="1"/>
  <c r="GL2" i="6" s="1"/>
  <c r="QL21" i="7"/>
  <c r="QL22" i="7" s="1"/>
  <c r="QL23" i="7" s="1"/>
  <c r="QL24" i="7" s="1"/>
  <c r="QL25" i="7" s="1"/>
  <c r="QL26" i="7" s="1"/>
  <c r="QL27" i="7" s="1"/>
  <c r="QL28" i="7" s="1"/>
  <c r="QL29" i="7" s="1"/>
  <c r="QL30" i="7" s="1"/>
  <c r="QL31" i="7" s="1"/>
  <c r="QM2" i="6" s="1"/>
  <c r="AID21" i="7"/>
  <c r="XF21" i="7"/>
  <c r="XF22" i="7" s="1"/>
  <c r="XF23" i="7" s="1"/>
  <c r="XF24" i="7" s="1"/>
  <c r="XF25" i="7" s="1"/>
  <c r="XF26" i="7" s="1"/>
  <c r="XF27" i="7" s="1"/>
  <c r="XF28" i="7" s="1"/>
  <c r="XF29" i="7" s="1"/>
  <c r="XF30" i="7" s="1"/>
  <c r="XF31" i="7" s="1"/>
  <c r="XG2" i="6" s="1"/>
  <c r="YF21" i="7"/>
  <c r="YF22" i="7" s="1"/>
  <c r="YF23" i="7" s="1"/>
  <c r="YF24" i="7" s="1"/>
  <c r="YF25" i="7" s="1"/>
  <c r="YF26" i="7" s="1"/>
  <c r="YF27" i="7" s="1"/>
  <c r="YF28" i="7" s="1"/>
  <c r="YF29" i="7" s="1"/>
  <c r="YF30" i="7" s="1"/>
  <c r="YF31" i="7" s="1"/>
  <c r="YG2" i="6" s="1"/>
  <c r="ABZ21" i="7"/>
  <c r="ABZ22" i="7" s="1"/>
  <c r="ABZ23" i="7" s="1"/>
  <c r="ABZ24" i="7" s="1"/>
  <c r="ABZ25" i="7" s="1"/>
  <c r="ABZ26" i="7" s="1"/>
  <c r="ABZ27" i="7" s="1"/>
  <c r="ABZ28" i="7" s="1"/>
  <c r="ABZ29" i="7" s="1"/>
  <c r="ABZ30" i="7" s="1"/>
  <c r="ABZ31" i="7" s="1"/>
  <c r="ACA2" i="6" s="1"/>
  <c r="NZ21" i="7"/>
  <c r="NZ22" i="7" s="1"/>
  <c r="NZ23" i="7" s="1"/>
  <c r="NZ24" i="7" s="1"/>
  <c r="NZ25" i="7" s="1"/>
  <c r="NZ26" i="7" s="1"/>
  <c r="NZ27" i="7" s="1"/>
  <c r="NZ28" i="7" s="1"/>
  <c r="NZ29" i="7" s="1"/>
  <c r="NZ30" i="7" s="1"/>
  <c r="NZ31" i="7" s="1"/>
  <c r="OA2" i="6" s="1"/>
  <c r="II21" i="7"/>
  <c r="II22" i="7" s="1"/>
  <c r="II23" i="7" s="1"/>
  <c r="II24" i="7" s="1"/>
  <c r="II25" i="7" s="1"/>
  <c r="II26" i="7" s="1"/>
  <c r="II27" i="7" s="1"/>
  <c r="II28" i="7" s="1"/>
  <c r="II29" i="7" s="1"/>
  <c r="II30" i="7" s="1"/>
  <c r="II31" i="7" s="1"/>
  <c r="IJ2" i="6" s="1"/>
  <c r="AIZ22" i="7"/>
  <c r="AIZ23" i="7" s="1"/>
  <c r="AIZ24" i="7" s="1"/>
  <c r="AIZ25" i="7" s="1"/>
  <c r="AIZ26" i="7" s="1"/>
  <c r="AIZ27" i="7" s="1"/>
  <c r="AIZ28" i="7" s="1"/>
  <c r="AIZ29" i="7" s="1"/>
  <c r="AIZ30" i="7" s="1"/>
  <c r="AIZ31" i="7" s="1"/>
  <c r="AJA2" i="6" s="1"/>
  <c r="AHF21" i="7"/>
  <c r="AHF22" i="7" s="1"/>
  <c r="AHF23" i="7" s="1"/>
  <c r="AHF24" i="7" s="1"/>
  <c r="AHF25" i="7" s="1"/>
  <c r="AHF26" i="7" s="1"/>
  <c r="AHF27" i="7" s="1"/>
  <c r="AHF28" i="7" s="1"/>
  <c r="AHF29" i="7" s="1"/>
  <c r="AHF30" i="7" s="1"/>
  <c r="AHF31" i="7" s="1"/>
  <c r="AHG2" i="6" s="1"/>
  <c r="SA21" i="7"/>
  <c r="YV21" i="7"/>
  <c r="YV22" i="7" s="1"/>
  <c r="AFO22" i="7"/>
  <c r="AFO23" i="7" s="1"/>
  <c r="AFO24" i="7" s="1"/>
  <c r="AFO25" i="7" s="1"/>
  <c r="AFO26" i="7" s="1"/>
  <c r="AFO27" i="7" s="1"/>
  <c r="AFO28" i="7" s="1"/>
  <c r="AFO29" i="7" s="1"/>
  <c r="AFO30" i="7" s="1"/>
  <c r="AFO31" i="7" s="1"/>
  <c r="AFP2" i="6" s="1"/>
  <c r="ACA21" i="7"/>
  <c r="PT22" i="7"/>
  <c r="PT23" i="7" s="1"/>
  <c r="PT24" i="7" s="1"/>
  <c r="PT25" i="7" s="1"/>
  <c r="PT26" i="7" s="1"/>
  <c r="PT27" i="7" s="1"/>
  <c r="PT28" i="7" s="1"/>
  <c r="PT29" i="7" s="1"/>
  <c r="PT30" i="7" s="1"/>
  <c r="PT31" i="7" s="1"/>
  <c r="PU2" i="6" s="1"/>
  <c r="PJ21" i="7"/>
  <c r="XU21" i="7"/>
  <c r="XN21" i="7"/>
  <c r="XN22" i="7" s="1"/>
  <c r="XN23" i="7" s="1"/>
  <c r="AIH21" i="7"/>
  <c r="AIH22" i="7" s="1"/>
  <c r="AIH23" i="7" s="1"/>
  <c r="AIH24" i="7" s="1"/>
  <c r="AIH25" i="7" s="1"/>
  <c r="AIH26" i="7" s="1"/>
  <c r="AIH27" i="7" s="1"/>
  <c r="AIH28" i="7" s="1"/>
  <c r="AIH29" i="7" s="1"/>
  <c r="AIH30" i="7" s="1"/>
  <c r="AIH31" i="7" s="1"/>
  <c r="AII2" i="6" s="1"/>
  <c r="ACR21" i="7"/>
  <c r="ACR22" i="7" s="1"/>
  <c r="ACR23" i="7" s="1"/>
  <c r="ACR24" i="7" s="1"/>
  <c r="ACR25" i="7" s="1"/>
  <c r="ACR26" i="7" s="1"/>
  <c r="ACR27" i="7" s="1"/>
  <c r="ACR28" i="7" s="1"/>
  <c r="ACR29" i="7" s="1"/>
  <c r="ACR30" i="7" s="1"/>
  <c r="ACR31" i="7" s="1"/>
  <c r="ACS2" i="6" s="1"/>
  <c r="LQ21" i="7"/>
  <c r="LQ22" i="7" s="1"/>
  <c r="LQ23" i="7" s="1"/>
  <c r="LQ24" i="7" s="1"/>
  <c r="LQ25" i="7" s="1"/>
  <c r="LQ26" i="7" s="1"/>
  <c r="LQ27" i="7" s="1"/>
  <c r="LQ28" i="7" s="1"/>
  <c r="LQ29" i="7" s="1"/>
  <c r="LQ30" i="7" s="1"/>
  <c r="LQ31" i="7" s="1"/>
  <c r="LR2" i="6" s="1"/>
  <c r="AFD21" i="7"/>
  <c r="LE22" i="7"/>
  <c r="LE23" i="7" s="1"/>
  <c r="LE24" i="7" s="1"/>
  <c r="LE25" i="7" s="1"/>
  <c r="LE26" i="7" s="1"/>
  <c r="LE27" i="7" s="1"/>
  <c r="LE28" i="7" s="1"/>
  <c r="LE29" i="7" s="1"/>
  <c r="LE30" i="7" s="1"/>
  <c r="LE31" i="7" s="1"/>
  <c r="LF2" i="6" s="1"/>
  <c r="Q21" i="7"/>
  <c r="Q22" i="7" s="1"/>
  <c r="Q23" i="7" s="1"/>
  <c r="Q24" i="7" s="1"/>
  <c r="Q25" i="7" s="1"/>
  <c r="Q26" i="7" s="1"/>
  <c r="Q27" i="7" s="1"/>
  <c r="Q28" i="7" s="1"/>
  <c r="Q29" i="7" s="1"/>
  <c r="Q30" i="7" s="1"/>
  <c r="Q31" i="7" s="1"/>
  <c r="R2" i="6" s="1"/>
  <c r="AH21" i="7"/>
  <c r="AH22" i="7" s="1"/>
  <c r="AH23" i="7" s="1"/>
  <c r="AH24" i="7" s="1"/>
  <c r="AH25" i="7" s="1"/>
  <c r="AH26" i="7" s="1"/>
  <c r="AH27" i="7" s="1"/>
  <c r="AH28" i="7" s="1"/>
  <c r="AH29" i="7" s="1"/>
  <c r="AH30" i="7" s="1"/>
  <c r="AH31" i="7" s="1"/>
  <c r="AI2" i="6" s="1"/>
  <c r="AQ21" i="7"/>
  <c r="AQ22" i="7" s="1"/>
  <c r="AQ23" i="7" s="1"/>
  <c r="AQ24" i="7" s="1"/>
  <c r="AQ25" i="7" s="1"/>
  <c r="AQ26" i="7" s="1"/>
  <c r="AQ27" i="7" s="1"/>
  <c r="AQ28" i="7" s="1"/>
  <c r="AQ29" i="7" s="1"/>
  <c r="AQ30" i="7" s="1"/>
  <c r="AQ31" i="7" s="1"/>
  <c r="AR2" i="6" s="1"/>
  <c r="VU21" i="7"/>
  <c r="VU22" i="7" s="1"/>
  <c r="HV21" i="7"/>
  <c r="XI21" i="7"/>
  <c r="AIA21" i="7"/>
  <c r="ADC22" i="7"/>
  <c r="TG22" i="7"/>
  <c r="AGE21" i="7"/>
  <c r="GV21" i="7"/>
  <c r="MJ21" i="7"/>
  <c r="MJ22" i="7" s="1"/>
  <c r="MJ23" i="7" s="1"/>
  <c r="MJ24" i="7" s="1"/>
  <c r="MJ25" i="7" s="1"/>
  <c r="MJ26" i="7" s="1"/>
  <c r="MJ27" i="7" s="1"/>
  <c r="MJ28" i="7" s="1"/>
  <c r="MJ29" i="7" s="1"/>
  <c r="MJ30" i="7" s="1"/>
  <c r="MJ31" i="7" s="1"/>
  <c r="MK2" i="6" s="1"/>
  <c r="KF21" i="7"/>
  <c r="KF22" i="7" s="1"/>
  <c r="KF23" i="7" s="1"/>
  <c r="KF24" i="7" s="1"/>
  <c r="KF25" i="7" s="1"/>
  <c r="KF26" i="7" s="1"/>
  <c r="KF27" i="7" s="1"/>
  <c r="KF28" i="7" s="1"/>
  <c r="KF29" i="7" s="1"/>
  <c r="KF30" i="7" s="1"/>
  <c r="KF31" i="7" s="1"/>
  <c r="KG2" i="6" s="1"/>
  <c r="RY21" i="7"/>
  <c r="RY22" i="7" s="1"/>
  <c r="WP21" i="7"/>
  <c r="AJJ21" i="7"/>
  <c r="AJJ22" i="7" s="1"/>
  <c r="AJJ23" i="7" s="1"/>
  <c r="AJJ24" i="7" s="1"/>
  <c r="AJJ25" i="7" s="1"/>
  <c r="AJJ26" i="7" s="1"/>
  <c r="AJJ27" i="7" s="1"/>
  <c r="AJJ28" i="7" s="1"/>
  <c r="AJJ29" i="7" s="1"/>
  <c r="AJJ30" i="7" s="1"/>
  <c r="AJJ31" i="7" s="1"/>
  <c r="AJK2" i="6" s="1"/>
  <c r="VR21" i="7"/>
  <c r="VR22" i="7" s="1"/>
  <c r="VR23" i="7" s="1"/>
  <c r="VR24" i="7" s="1"/>
  <c r="VR25" i="7" s="1"/>
  <c r="VR26" i="7" s="1"/>
  <c r="VR27" i="7" s="1"/>
  <c r="VR28" i="7" s="1"/>
  <c r="VR29" i="7" s="1"/>
  <c r="VR30" i="7" s="1"/>
  <c r="VR31" i="7" s="1"/>
  <c r="VS2" i="6" s="1"/>
  <c r="VO21" i="7"/>
  <c r="AKH21" i="7"/>
  <c r="AKH22" i="7" s="1"/>
  <c r="AKH23" i="7" s="1"/>
  <c r="AKH24" i="7" s="1"/>
  <c r="AKH25" i="7" s="1"/>
  <c r="AKH26" i="7" s="1"/>
  <c r="AKH27" i="7" s="1"/>
  <c r="AKH28" i="7" s="1"/>
  <c r="AKH29" i="7" s="1"/>
  <c r="AKH30" i="7" s="1"/>
  <c r="AKH31" i="7" s="1"/>
  <c r="AKI2" i="6" s="1"/>
  <c r="ADJ21" i="7"/>
  <c r="ADJ22" i="7" s="1"/>
  <c r="ADJ23" i="7" s="1"/>
  <c r="ADJ24" i="7" s="1"/>
  <c r="ADJ25" i="7" s="1"/>
  <c r="ADJ26" i="7" s="1"/>
  <c r="ADJ27" i="7" s="1"/>
  <c r="ADJ28" i="7" s="1"/>
  <c r="ADJ29" i="7" s="1"/>
  <c r="ADJ30" i="7" s="1"/>
  <c r="ADJ31" i="7" s="1"/>
  <c r="ADK2" i="6" s="1"/>
  <c r="ALL21" i="7"/>
  <c r="MN21" i="7"/>
  <c r="MN22" i="7" s="1"/>
  <c r="MN23" i="7" s="1"/>
  <c r="MN24" i="7" s="1"/>
  <c r="MN25" i="7" s="1"/>
  <c r="MN26" i="7" s="1"/>
  <c r="MN27" i="7" s="1"/>
  <c r="MN28" i="7" s="1"/>
  <c r="MN29" i="7" s="1"/>
  <c r="MN30" i="7" s="1"/>
  <c r="MN31" i="7" s="1"/>
  <c r="MO2" i="6" s="1"/>
  <c r="V21" i="7"/>
  <c r="OM21" i="7"/>
  <c r="OM22" i="7" s="1"/>
  <c r="QR21" i="7"/>
  <c r="QR22" i="7" s="1"/>
  <c r="QR23" i="7" s="1"/>
  <c r="QR24" i="7" s="1"/>
  <c r="QR25" i="7" s="1"/>
  <c r="QR26" i="7" s="1"/>
  <c r="QR27" i="7" s="1"/>
  <c r="QR28" i="7" s="1"/>
  <c r="QR29" i="7" s="1"/>
  <c r="QR30" i="7" s="1"/>
  <c r="QR31" i="7" s="1"/>
  <c r="QS2" i="6" s="1"/>
  <c r="QM21" i="7"/>
  <c r="QM22" i="7" s="1"/>
  <c r="CM21" i="7"/>
  <c r="CM22" i="7" s="1"/>
  <c r="CM23" i="7" s="1"/>
  <c r="CM24" i="7" s="1"/>
  <c r="CM25" i="7" s="1"/>
  <c r="CM26" i="7" s="1"/>
  <c r="CM27" i="7" s="1"/>
  <c r="CM28" i="7" s="1"/>
  <c r="CM29" i="7" s="1"/>
  <c r="CM30" i="7" s="1"/>
  <c r="CM31" i="7" s="1"/>
  <c r="CN2" i="6" s="1"/>
  <c r="UX21" i="7"/>
  <c r="UX22" i="7" s="1"/>
  <c r="UX23" i="7" s="1"/>
  <c r="UX24" i="7" s="1"/>
  <c r="UX25" i="7" s="1"/>
  <c r="UX26" i="7" s="1"/>
  <c r="UX27" i="7" s="1"/>
  <c r="UX28" i="7" s="1"/>
  <c r="UX29" i="7" s="1"/>
  <c r="UX30" i="7" s="1"/>
  <c r="UX31" i="7" s="1"/>
  <c r="UY2" i="6" s="1"/>
  <c r="GU21" i="7"/>
  <c r="GU22" i="7" s="1"/>
  <c r="JW21" i="7"/>
  <c r="JW22" i="7" s="1"/>
  <c r="JW23" i="7" s="1"/>
  <c r="JW24" i="7" s="1"/>
  <c r="JW25" i="7" s="1"/>
  <c r="JW26" i="7" s="1"/>
  <c r="JW27" i="7" s="1"/>
  <c r="JW28" i="7" s="1"/>
  <c r="JW29" i="7" s="1"/>
  <c r="JW30" i="7" s="1"/>
  <c r="JW31" i="7" s="1"/>
  <c r="JX2" i="6" s="1"/>
  <c r="RS21" i="7"/>
  <c r="LL21" i="7"/>
  <c r="HH21" i="7"/>
  <c r="RW21" i="7"/>
  <c r="RW22" i="7" s="1"/>
  <c r="RW23" i="7" s="1"/>
  <c r="RW24" i="7" s="1"/>
  <c r="RW25" i="7" s="1"/>
  <c r="RW26" i="7" s="1"/>
  <c r="RW27" i="7" s="1"/>
  <c r="RW28" i="7" s="1"/>
  <c r="RW29" i="7" s="1"/>
  <c r="RW30" i="7" s="1"/>
  <c r="RW31" i="7" s="1"/>
  <c r="RX2" i="6" s="1"/>
  <c r="GT21" i="7"/>
  <c r="GT22" i="7" s="1"/>
  <c r="GT23" i="7" s="1"/>
  <c r="GT24" i="7" s="1"/>
  <c r="GT25" i="7" s="1"/>
  <c r="GT26" i="7" s="1"/>
  <c r="GT27" i="7" s="1"/>
  <c r="GT28" i="7" s="1"/>
  <c r="GT29" i="7" s="1"/>
  <c r="GT30" i="7" s="1"/>
  <c r="GT31" i="7" s="1"/>
  <c r="GU2" i="6" s="1"/>
  <c r="EG21" i="7"/>
  <c r="EG22" i="7" s="1"/>
  <c r="EG23" i="7" s="1"/>
  <c r="EG24" i="7" s="1"/>
  <c r="EG25" i="7" s="1"/>
  <c r="EG26" i="7" s="1"/>
  <c r="EG27" i="7" s="1"/>
  <c r="EG28" i="7" s="1"/>
  <c r="EG29" i="7" s="1"/>
  <c r="EG30" i="7" s="1"/>
  <c r="EG31" i="7" s="1"/>
  <c r="EH2" i="6" s="1"/>
  <c r="SB21" i="7"/>
  <c r="SB22" i="7" s="1"/>
  <c r="SB23" i="7" s="1"/>
  <c r="SB24" i="7" s="1"/>
  <c r="SB25" i="7" s="1"/>
  <c r="SB26" i="7" s="1"/>
  <c r="SB27" i="7" s="1"/>
  <c r="SB28" i="7" s="1"/>
  <c r="SB29" i="7" s="1"/>
  <c r="SB30" i="7" s="1"/>
  <c r="SB31" i="7" s="1"/>
  <c r="SC2" i="6" s="1"/>
  <c r="AHC21" i="7"/>
  <c r="AHC22" i="7" s="1"/>
  <c r="AHC23" i="7" s="1"/>
  <c r="AHC24" i="7" s="1"/>
  <c r="AHC25" i="7" s="1"/>
  <c r="AHC26" i="7" s="1"/>
  <c r="AHC27" i="7" s="1"/>
  <c r="AHC28" i="7" s="1"/>
  <c r="AHC29" i="7" s="1"/>
  <c r="AHC30" i="7" s="1"/>
  <c r="AHC31" i="7" s="1"/>
  <c r="AHD2" i="6" s="1"/>
  <c r="KT22" i="7"/>
  <c r="KT23" i="7" s="1"/>
  <c r="KT24" i="7" s="1"/>
  <c r="KT25" i="7" s="1"/>
  <c r="KT26" i="7" s="1"/>
  <c r="KT27" i="7" s="1"/>
  <c r="KT28" i="7" s="1"/>
  <c r="KT29" i="7" s="1"/>
  <c r="KT30" i="7" s="1"/>
  <c r="KT31" i="7" s="1"/>
  <c r="KU2" i="6" s="1"/>
  <c r="HK21" i="7"/>
  <c r="HK22" i="7" s="1"/>
  <c r="HK23" i="7" s="1"/>
  <c r="HK24" i="7" s="1"/>
  <c r="HK25" i="7" s="1"/>
  <c r="HK26" i="7" s="1"/>
  <c r="HK27" i="7" s="1"/>
  <c r="HK28" i="7" s="1"/>
  <c r="HK29" i="7" s="1"/>
  <c r="HK30" i="7" s="1"/>
  <c r="HK31" i="7" s="1"/>
  <c r="HL2" i="6" s="1"/>
  <c r="IZ21" i="7"/>
  <c r="AEV22" i="7"/>
  <c r="AEV23" i="7" s="1"/>
  <c r="AEV24" i="7" s="1"/>
  <c r="AEV25" i="7" s="1"/>
  <c r="AEV26" i="7" s="1"/>
  <c r="AEV27" i="7" s="1"/>
  <c r="AEV28" i="7" s="1"/>
  <c r="AEV29" i="7" s="1"/>
  <c r="AEV30" i="7" s="1"/>
  <c r="AEV31" i="7" s="1"/>
  <c r="AEW2" i="6" s="1"/>
  <c r="UG21" i="7"/>
  <c r="UG22" i="7" s="1"/>
  <c r="UG23" i="7" s="1"/>
  <c r="UG24" i="7" s="1"/>
  <c r="UG25" i="7" s="1"/>
  <c r="UG26" i="7" s="1"/>
  <c r="UG27" i="7" s="1"/>
  <c r="UG28" i="7" s="1"/>
  <c r="UG29" i="7" s="1"/>
  <c r="UG30" i="7" s="1"/>
  <c r="UG31" i="7" s="1"/>
  <c r="UH2" i="6" s="1"/>
  <c r="MD21" i="7"/>
  <c r="MD22" i="7" s="1"/>
  <c r="MD23" i="7" s="1"/>
  <c r="MD24" i="7" s="1"/>
  <c r="MD25" i="7" s="1"/>
  <c r="MD26" i="7" s="1"/>
  <c r="MD27" i="7" s="1"/>
  <c r="MD28" i="7" s="1"/>
  <c r="MD29" i="7" s="1"/>
  <c r="MD30" i="7" s="1"/>
  <c r="MD31" i="7" s="1"/>
  <c r="ME2" i="6" s="1"/>
  <c r="AJC21" i="7"/>
  <c r="AJC22" i="7" s="1"/>
  <c r="AJC23" i="7" s="1"/>
  <c r="AJC24" i="7" s="1"/>
  <c r="AJC25" i="7" s="1"/>
  <c r="AJC26" i="7" s="1"/>
  <c r="AJC27" i="7" s="1"/>
  <c r="AJC28" i="7" s="1"/>
  <c r="AJC29" i="7" s="1"/>
  <c r="AJC30" i="7" s="1"/>
  <c r="AJC31" i="7" s="1"/>
  <c r="AJD2" i="6" s="1"/>
  <c r="HX22" i="7"/>
  <c r="AGD21" i="7"/>
  <c r="AGD22" i="7" s="1"/>
  <c r="AGD23" i="7" s="1"/>
  <c r="AKG21" i="7"/>
  <c r="AKG22" i="7" s="1"/>
  <c r="AKG23" i="7" s="1"/>
  <c r="AKG24" i="7" s="1"/>
  <c r="AKG25" i="7" s="1"/>
  <c r="AKG26" i="7" s="1"/>
  <c r="AKG27" i="7" s="1"/>
  <c r="AKG28" i="7" s="1"/>
  <c r="AKG29" i="7" s="1"/>
  <c r="AKG30" i="7" s="1"/>
  <c r="AKG31" i="7" s="1"/>
  <c r="AKH2" i="6" s="1"/>
  <c r="AHO21" i="7"/>
  <c r="AHO22" i="7" s="1"/>
  <c r="AHO23" i="7" s="1"/>
  <c r="AHO24" i="7" s="1"/>
  <c r="AHO25" i="7" s="1"/>
  <c r="AHO26" i="7" s="1"/>
  <c r="AHO27" i="7" s="1"/>
  <c r="AHO28" i="7" s="1"/>
  <c r="AHO29" i="7" s="1"/>
  <c r="AHO30" i="7" s="1"/>
  <c r="AHO31" i="7" s="1"/>
  <c r="AHP2" i="6" s="1"/>
  <c r="AAQ21" i="7"/>
  <c r="AAQ22" i="7" s="1"/>
  <c r="AAQ23" i="7" s="1"/>
  <c r="AAQ24" i="7" s="1"/>
  <c r="AAQ25" i="7" s="1"/>
  <c r="AAQ26" i="7" s="1"/>
  <c r="AAQ27" i="7" s="1"/>
  <c r="AAQ28" i="7" s="1"/>
  <c r="AAQ29" i="7" s="1"/>
  <c r="AAQ30" i="7" s="1"/>
  <c r="AAQ31" i="7" s="1"/>
  <c r="AAR2" i="6" s="1"/>
  <c r="IE21" i="7"/>
  <c r="IE22" i="7" s="1"/>
  <c r="IE23" i="7" s="1"/>
  <c r="IE24" i="7" s="1"/>
  <c r="IE25" i="7" s="1"/>
  <c r="IE26" i="7" s="1"/>
  <c r="IE27" i="7" s="1"/>
  <c r="IE28" i="7" s="1"/>
  <c r="IE29" i="7" s="1"/>
  <c r="IE30" i="7" s="1"/>
  <c r="IE31" i="7" s="1"/>
  <c r="IF2" i="6" s="1"/>
  <c r="QX21" i="7"/>
  <c r="QX22" i="7" s="1"/>
  <c r="QX23" i="7" s="1"/>
  <c r="QX24" i="7" s="1"/>
  <c r="QX25" i="7" s="1"/>
  <c r="QX26" i="7" s="1"/>
  <c r="QX27" i="7" s="1"/>
  <c r="QX28" i="7" s="1"/>
  <c r="QX29" i="7" s="1"/>
  <c r="QX30" i="7" s="1"/>
  <c r="QX31" i="7" s="1"/>
  <c r="QY2" i="6" s="1"/>
  <c r="AGJ21" i="7"/>
  <c r="CP21" i="7"/>
  <c r="CP22" i="7" s="1"/>
  <c r="CP23" i="7" s="1"/>
  <c r="CP24" i="7" s="1"/>
  <c r="CP25" i="7" s="1"/>
  <c r="CP26" i="7" s="1"/>
  <c r="CP27" i="7" s="1"/>
  <c r="CP28" i="7" s="1"/>
  <c r="CP29" i="7" s="1"/>
  <c r="CP30" i="7" s="1"/>
  <c r="CP31" i="7" s="1"/>
  <c r="CQ2" i="6" s="1"/>
  <c r="NB21" i="7"/>
  <c r="NB22" i="7" s="1"/>
  <c r="AGZ21" i="7"/>
  <c r="AGZ22" i="7" s="1"/>
  <c r="AGZ23" i="7" s="1"/>
  <c r="AGZ24" i="7" s="1"/>
  <c r="AGZ25" i="7" s="1"/>
  <c r="AGZ26" i="7" s="1"/>
  <c r="AGZ27" i="7" s="1"/>
  <c r="AGZ28" i="7" s="1"/>
  <c r="AGZ29" i="7" s="1"/>
  <c r="AGZ30" i="7" s="1"/>
  <c r="AGZ31" i="7" s="1"/>
  <c r="AHA2" i="6" s="1"/>
  <c r="VS21" i="7"/>
  <c r="LI21" i="7"/>
  <c r="QB21" i="7"/>
  <c r="DE21" i="7"/>
  <c r="DE22" i="7" s="1"/>
  <c r="DE23" i="7" s="1"/>
  <c r="DE24" i="7" s="1"/>
  <c r="DE25" i="7" s="1"/>
  <c r="DE26" i="7" s="1"/>
  <c r="DE27" i="7" s="1"/>
  <c r="DE28" i="7" s="1"/>
  <c r="DE29" i="7" s="1"/>
  <c r="DE30" i="7" s="1"/>
  <c r="DE31" i="7" s="1"/>
  <c r="DF2" i="6" s="1"/>
  <c r="BV21" i="7"/>
  <c r="BV22" i="7" s="1"/>
  <c r="BV23" i="7" s="1"/>
  <c r="BV24" i="7" s="1"/>
  <c r="BV25" i="7" s="1"/>
  <c r="BV26" i="7" s="1"/>
  <c r="BV27" i="7" s="1"/>
  <c r="BV28" i="7" s="1"/>
  <c r="BV29" i="7" s="1"/>
  <c r="BV30" i="7" s="1"/>
  <c r="BV31" i="7" s="1"/>
  <c r="BW2" i="6" s="1"/>
  <c r="TJ21" i="7"/>
  <c r="TJ22" i="7" s="1"/>
  <c r="TJ23" i="7" s="1"/>
  <c r="TJ24" i="7" s="1"/>
  <c r="TJ25" i="7" s="1"/>
  <c r="TJ26" i="7" s="1"/>
  <c r="TJ27" i="7" s="1"/>
  <c r="TJ28" i="7" s="1"/>
  <c r="TJ29" i="7" s="1"/>
  <c r="TJ30" i="7" s="1"/>
  <c r="TJ31" i="7" s="1"/>
  <c r="TK2" i="6" s="1"/>
  <c r="AEJ21" i="7"/>
  <c r="AEJ22" i="7" s="1"/>
  <c r="AEJ23" i="7" s="1"/>
  <c r="AEJ24" i="7" s="1"/>
  <c r="AEJ25" i="7" s="1"/>
  <c r="AEJ26" i="7" s="1"/>
  <c r="AEJ27" i="7" s="1"/>
  <c r="AEJ28" i="7" s="1"/>
  <c r="AEJ29" i="7" s="1"/>
  <c r="AEJ30" i="7" s="1"/>
  <c r="AEJ31" i="7" s="1"/>
  <c r="AEK2" i="6" s="1"/>
  <c r="KQ22" i="7"/>
  <c r="AKC21" i="7"/>
  <c r="AKC22" i="7" s="1"/>
  <c r="AKC23" i="7" s="1"/>
  <c r="AKC24" i="7" s="1"/>
  <c r="AKC25" i="7" s="1"/>
  <c r="AKC26" i="7" s="1"/>
  <c r="AKC27" i="7" s="1"/>
  <c r="AKC28" i="7" s="1"/>
  <c r="AKC29" i="7" s="1"/>
  <c r="AKC30" i="7" s="1"/>
  <c r="AKC31" i="7" s="1"/>
  <c r="AKD2" i="6" s="1"/>
  <c r="BI22" i="7"/>
  <c r="BI23" i="7" s="1"/>
  <c r="AJQ21" i="7"/>
  <c r="AJQ22" i="7" s="1"/>
  <c r="AJQ23" i="7" s="1"/>
  <c r="AJQ24" i="7" s="1"/>
  <c r="AJQ25" i="7" s="1"/>
  <c r="AJQ26" i="7" s="1"/>
  <c r="AJQ27" i="7" s="1"/>
  <c r="AJQ28" i="7" s="1"/>
  <c r="AJQ29" i="7" s="1"/>
  <c r="AJQ30" i="7" s="1"/>
  <c r="AJQ31" i="7" s="1"/>
  <c r="AJR2" i="6" s="1"/>
  <c r="AEW21" i="7"/>
  <c r="AEW22" i="7" s="1"/>
  <c r="AEW23" i="7" s="1"/>
  <c r="AEW24" i="7" s="1"/>
  <c r="AEW25" i="7" s="1"/>
  <c r="AEW26" i="7" s="1"/>
  <c r="AEW27" i="7" s="1"/>
  <c r="AEW28" i="7" s="1"/>
  <c r="AEW29" i="7" s="1"/>
  <c r="AEW30" i="7" s="1"/>
  <c r="AEW31" i="7" s="1"/>
  <c r="AEX2" i="6" s="1"/>
  <c r="AEK22" i="7"/>
  <c r="AEK23" i="7" s="1"/>
  <c r="AEK24" i="7" s="1"/>
  <c r="AEK25" i="7" s="1"/>
  <c r="AEK26" i="7" s="1"/>
  <c r="AEK27" i="7" s="1"/>
  <c r="AEK28" i="7" s="1"/>
  <c r="AEK29" i="7" s="1"/>
  <c r="AEK30" i="7" s="1"/>
  <c r="AEK31" i="7" s="1"/>
  <c r="AEL2" i="6" s="1"/>
  <c r="UR21" i="7"/>
  <c r="UR22" i="7" s="1"/>
  <c r="UR23" i="7" s="1"/>
  <c r="UR24" i="7" s="1"/>
  <c r="UR25" i="7" s="1"/>
  <c r="UR26" i="7" s="1"/>
  <c r="UR27" i="7" s="1"/>
  <c r="UR28" i="7" s="1"/>
  <c r="UR29" i="7" s="1"/>
  <c r="UR30" i="7" s="1"/>
  <c r="UR31" i="7" s="1"/>
  <c r="US2" i="6" s="1"/>
  <c r="LN21" i="7"/>
  <c r="LN22" i="7" s="1"/>
  <c r="LN23" i="7" s="1"/>
  <c r="LN24" i="7" s="1"/>
  <c r="LN25" i="7" s="1"/>
  <c r="LN26" i="7" s="1"/>
  <c r="LN27" i="7" s="1"/>
  <c r="LN28" i="7" s="1"/>
  <c r="LN29" i="7" s="1"/>
  <c r="LN30" i="7" s="1"/>
  <c r="LN31" i="7" s="1"/>
  <c r="LO2" i="6" s="1"/>
  <c r="EN21" i="7"/>
  <c r="EN22" i="7" s="1"/>
  <c r="EN23" i="7" s="1"/>
  <c r="EN24" i="7" s="1"/>
  <c r="EN25" i="7" s="1"/>
  <c r="EN26" i="7" s="1"/>
  <c r="EN27" i="7" s="1"/>
  <c r="EN28" i="7" s="1"/>
  <c r="EN29" i="7" s="1"/>
  <c r="EN30" i="7" s="1"/>
  <c r="EN31" i="7" s="1"/>
  <c r="EO2" i="6" s="1"/>
  <c r="AAS21" i="7"/>
  <c r="AAS22" i="7" s="1"/>
  <c r="AAS23" i="7" s="1"/>
  <c r="AAS24" i="7" s="1"/>
  <c r="AAS25" i="7" s="1"/>
  <c r="AAS26" i="7" s="1"/>
  <c r="AAS27" i="7" s="1"/>
  <c r="AAS28" i="7" s="1"/>
  <c r="AAS29" i="7" s="1"/>
  <c r="AAS30" i="7" s="1"/>
  <c r="AAS31" i="7" s="1"/>
  <c r="AAT2" i="6" s="1"/>
  <c r="UW21" i="7"/>
  <c r="UW22" i="7" s="1"/>
  <c r="UW23" i="7" s="1"/>
  <c r="UW24" i="7" s="1"/>
  <c r="UW25" i="7" s="1"/>
  <c r="UW26" i="7" s="1"/>
  <c r="UW27" i="7" s="1"/>
  <c r="UW28" i="7" s="1"/>
  <c r="UW29" i="7" s="1"/>
  <c r="UW30" i="7" s="1"/>
  <c r="UW31" i="7" s="1"/>
  <c r="UX2" i="6" s="1"/>
  <c r="CW21" i="7"/>
  <c r="KY21" i="7"/>
  <c r="RR21" i="7"/>
  <c r="AEL21" i="7"/>
  <c r="RD21" i="7"/>
  <c r="RD22" i="7" s="1"/>
  <c r="NN21" i="7"/>
  <c r="LT21" i="7"/>
  <c r="XW21" i="7"/>
  <c r="XW22" i="7" s="1"/>
  <c r="AGP21" i="7"/>
  <c r="AGP22" i="7" s="1"/>
  <c r="AGP23" i="7" s="1"/>
  <c r="AGP24" i="7" s="1"/>
  <c r="AGP25" i="7" s="1"/>
  <c r="AGP26" i="7" s="1"/>
  <c r="AGP27" i="7" s="1"/>
  <c r="AGP28" i="7" s="1"/>
  <c r="AGP29" i="7" s="1"/>
  <c r="AGP30" i="7" s="1"/>
  <c r="AGP31" i="7" s="1"/>
  <c r="AGQ2" i="6" s="1"/>
  <c r="SE21" i="7"/>
  <c r="SE22" i="7" s="1"/>
  <c r="SE23" i="7" s="1"/>
  <c r="MC21" i="7"/>
  <c r="MC22" i="7" s="1"/>
  <c r="MC23" i="7" s="1"/>
  <c r="MC24" i="7" s="1"/>
  <c r="PW21" i="7"/>
  <c r="PW22" i="7" s="1"/>
  <c r="PW23" i="7" s="1"/>
  <c r="PW24" i="7" s="1"/>
  <c r="PW25" i="7" s="1"/>
  <c r="PW26" i="7" s="1"/>
  <c r="PW27" i="7" s="1"/>
  <c r="PW28" i="7" s="1"/>
  <c r="PW29" i="7" s="1"/>
  <c r="PW30" i="7" s="1"/>
  <c r="PW31" i="7" s="1"/>
  <c r="PX2" i="6" s="1"/>
  <c r="IG21" i="7"/>
  <c r="BR21" i="7"/>
  <c r="BR22" i="7" s="1"/>
  <c r="BR23" i="7" s="1"/>
  <c r="BR24" i="7" s="1"/>
  <c r="BR25" i="7" s="1"/>
  <c r="BR26" i="7" s="1"/>
  <c r="BR27" i="7" s="1"/>
  <c r="BR28" i="7" s="1"/>
  <c r="BR29" i="7" s="1"/>
  <c r="BR30" i="7" s="1"/>
  <c r="BR31" i="7" s="1"/>
  <c r="BS2" i="6" s="1"/>
  <c r="ABP21" i="7"/>
  <c r="GW21" i="7"/>
  <c r="KC21" i="7"/>
  <c r="KC22" i="7" s="1"/>
  <c r="KC23" i="7" s="1"/>
  <c r="KC24" i="7" s="1"/>
  <c r="KC25" i="7" s="1"/>
  <c r="KC26" i="7" s="1"/>
  <c r="KC27" i="7" s="1"/>
  <c r="KC28" i="7" s="1"/>
  <c r="KC29" i="7" s="1"/>
  <c r="KC30" i="7" s="1"/>
  <c r="KC31" i="7" s="1"/>
  <c r="KD2" i="6" s="1"/>
  <c r="ACO21" i="7"/>
  <c r="ACO22" i="7" s="1"/>
  <c r="BZ21" i="7"/>
  <c r="BZ22" i="7" s="1"/>
  <c r="OC21" i="7"/>
  <c r="OC22" i="7" s="1"/>
  <c r="OC23" i="7" s="1"/>
  <c r="OC24" i="7" s="1"/>
  <c r="OC25" i="7" s="1"/>
  <c r="OC26" i="7" s="1"/>
  <c r="OC27" i="7" s="1"/>
  <c r="OC28" i="7" s="1"/>
  <c r="OC29" i="7" s="1"/>
  <c r="OC30" i="7" s="1"/>
  <c r="OC31" i="7" s="1"/>
  <c r="OD2" i="6" s="1"/>
  <c r="SR21" i="7"/>
  <c r="SR22" i="7" s="1"/>
  <c r="SR23" i="7" s="1"/>
  <c r="SR24" i="7" s="1"/>
  <c r="SR25" i="7" s="1"/>
  <c r="SR26" i="7" s="1"/>
  <c r="SR27" i="7" s="1"/>
  <c r="SR28" i="7" s="1"/>
  <c r="SR29" i="7" s="1"/>
  <c r="SR30" i="7" s="1"/>
  <c r="SR31" i="7" s="1"/>
  <c r="SS2" i="6" s="1"/>
  <c r="RP21" i="7"/>
  <c r="RP22" i="7" s="1"/>
  <c r="RP23" i="7" s="1"/>
  <c r="RP24" i="7" s="1"/>
  <c r="RP25" i="7" s="1"/>
  <c r="RP26" i="7" s="1"/>
  <c r="RP27" i="7" s="1"/>
  <c r="RP28" i="7" s="1"/>
  <c r="RP29" i="7" s="1"/>
  <c r="RP30" i="7" s="1"/>
  <c r="RP31" i="7" s="1"/>
  <c r="RQ2" i="6" s="1"/>
  <c r="ALR23" i="7"/>
  <c r="ALR24" i="7" s="1"/>
  <c r="ALR25" i="7" s="1"/>
  <c r="ALR26" i="7" s="1"/>
  <c r="ALR27" i="7" s="1"/>
  <c r="ALR28" i="7" s="1"/>
  <c r="ALR29" i="7" s="1"/>
  <c r="ALR30" i="7" s="1"/>
  <c r="ALR31" i="7" s="1"/>
  <c r="ALS2" i="6" s="1"/>
  <c r="AER22" i="7"/>
  <c r="AER23" i="7" s="1"/>
  <c r="AER24" i="7" s="1"/>
  <c r="AER25" i="7" s="1"/>
  <c r="AER26" i="7" s="1"/>
  <c r="AER27" i="7" s="1"/>
  <c r="AER28" i="7" s="1"/>
  <c r="AER29" i="7" s="1"/>
  <c r="AER30" i="7" s="1"/>
  <c r="AER31" i="7" s="1"/>
  <c r="AES2" i="6" s="1"/>
  <c r="VV21" i="7"/>
  <c r="VV22" i="7" s="1"/>
  <c r="VV23" i="7" s="1"/>
  <c r="VV24" i="7" s="1"/>
  <c r="VV25" i="7" s="1"/>
  <c r="VV26" i="7" s="1"/>
  <c r="VV27" i="7" s="1"/>
  <c r="VV28" i="7" s="1"/>
  <c r="VV29" i="7" s="1"/>
  <c r="VV30" i="7" s="1"/>
  <c r="VV31" i="7" s="1"/>
  <c r="VW2" i="6" s="1"/>
  <c r="ADZ22" i="7"/>
  <c r="JI21" i="7"/>
  <c r="JI22" i="7" s="1"/>
  <c r="JI23" i="7" s="1"/>
  <c r="JI24" i="7" s="1"/>
  <c r="JI25" i="7" s="1"/>
  <c r="JI26" i="7" s="1"/>
  <c r="JI27" i="7" s="1"/>
  <c r="JI28" i="7" s="1"/>
  <c r="JI29" i="7" s="1"/>
  <c r="JI30" i="7" s="1"/>
  <c r="JI31" i="7" s="1"/>
  <c r="JJ2" i="6" s="1"/>
  <c r="OW22" i="7"/>
  <c r="OW23" i="7" s="1"/>
  <c r="OW24" i="7" s="1"/>
  <c r="OW25" i="7" s="1"/>
  <c r="OW26" i="7" s="1"/>
  <c r="OW27" i="7" s="1"/>
  <c r="OW28" i="7" s="1"/>
  <c r="OW29" i="7" s="1"/>
  <c r="OW30" i="7" s="1"/>
  <c r="OW31" i="7" s="1"/>
  <c r="OX2" i="6" s="1"/>
  <c r="AAZ21" i="7"/>
  <c r="AAZ22" i="7" s="1"/>
  <c r="AAZ23" i="7" s="1"/>
  <c r="AAZ24" i="7" s="1"/>
  <c r="AAZ25" i="7" s="1"/>
  <c r="AAZ26" i="7" s="1"/>
  <c r="AAZ27" i="7" s="1"/>
  <c r="AAZ28" i="7" s="1"/>
  <c r="AAZ29" i="7" s="1"/>
  <c r="AAZ30" i="7" s="1"/>
  <c r="AAZ31" i="7" s="1"/>
  <c r="ABA2" i="6" s="1"/>
  <c r="WA22" i="7"/>
  <c r="WA23" i="7" s="1"/>
  <c r="WA24" i="7" s="1"/>
  <c r="WA25" i="7" s="1"/>
  <c r="WA26" i="7" s="1"/>
  <c r="WA27" i="7" s="1"/>
  <c r="WA28" i="7" s="1"/>
  <c r="WA29" i="7" s="1"/>
  <c r="WA30" i="7" s="1"/>
  <c r="WA31" i="7" s="1"/>
  <c r="WB2" i="6" s="1"/>
  <c r="JX21" i="7"/>
  <c r="JX22" i="7" s="1"/>
  <c r="JX23" i="7" s="1"/>
  <c r="JX24" i="7" s="1"/>
  <c r="JX25" i="7" s="1"/>
  <c r="JX26" i="7" s="1"/>
  <c r="JX27" i="7" s="1"/>
  <c r="JX28" i="7" s="1"/>
  <c r="JX29" i="7" s="1"/>
  <c r="JX30" i="7" s="1"/>
  <c r="JX31" i="7" s="1"/>
  <c r="JY2" i="6" s="1"/>
  <c r="HC21" i="7"/>
  <c r="ALM21" i="7"/>
  <c r="QI21" i="7"/>
  <c r="YD21" i="7"/>
  <c r="VW21" i="7"/>
  <c r="VW22" i="7" s="1"/>
  <c r="VW23" i="7" s="1"/>
  <c r="VW24" i="7" s="1"/>
  <c r="VW25" i="7" s="1"/>
  <c r="VW26" i="7" s="1"/>
  <c r="VW27" i="7" s="1"/>
  <c r="VW28" i="7" s="1"/>
  <c r="VW29" i="7" s="1"/>
  <c r="VW30" i="7" s="1"/>
  <c r="VW31" i="7" s="1"/>
  <c r="VX2" i="6" s="1"/>
  <c r="TN23" i="7"/>
  <c r="TN24" i="7" s="1"/>
  <c r="AII22" i="7"/>
  <c r="AII23" i="7" s="1"/>
  <c r="AII24" i="7" s="1"/>
  <c r="AII25" i="7" s="1"/>
  <c r="AII26" i="7" s="1"/>
  <c r="AII27" i="7" s="1"/>
  <c r="AII28" i="7" s="1"/>
  <c r="AII29" i="7" s="1"/>
  <c r="AII30" i="7" s="1"/>
  <c r="AII31" i="7" s="1"/>
  <c r="AIJ2" i="6" s="1"/>
  <c r="AHY21" i="7"/>
  <c r="AHY22" i="7" s="1"/>
  <c r="AHY23" i="7" s="1"/>
  <c r="AHY24" i="7" s="1"/>
  <c r="AHY25" i="7" s="1"/>
  <c r="AHY26" i="7" s="1"/>
  <c r="AHY27" i="7" s="1"/>
  <c r="AHY28" i="7" s="1"/>
  <c r="AHY29" i="7" s="1"/>
  <c r="AHY30" i="7" s="1"/>
  <c r="AHY31" i="7" s="1"/>
  <c r="AHZ2" i="6" s="1"/>
  <c r="ADR21" i="7"/>
  <c r="AKW22" i="7"/>
  <c r="AKW23" i="7" s="1"/>
  <c r="AKW24" i="7" s="1"/>
  <c r="AKW25" i="7" s="1"/>
  <c r="AKW26" i="7" s="1"/>
  <c r="AKW27" i="7" s="1"/>
  <c r="AKW28" i="7" s="1"/>
  <c r="AKW29" i="7" s="1"/>
  <c r="AKW30" i="7" s="1"/>
  <c r="AKW31" i="7" s="1"/>
  <c r="AKX2" i="6" s="1"/>
  <c r="KW22" i="7"/>
  <c r="KW23" i="7" s="1"/>
  <c r="KW24" i="7" s="1"/>
  <c r="KW25" i="7" s="1"/>
  <c r="KW26" i="7" s="1"/>
  <c r="KW27" i="7" s="1"/>
  <c r="KW28" i="7" s="1"/>
  <c r="KW29" i="7" s="1"/>
  <c r="KW30" i="7" s="1"/>
  <c r="KW31" i="7" s="1"/>
  <c r="KX2" i="6" s="1"/>
  <c r="XT22" i="7"/>
  <c r="XT23" i="7" s="1"/>
  <c r="XT24" i="7" s="1"/>
  <c r="XT25" i="7" s="1"/>
  <c r="XT26" i="7" s="1"/>
  <c r="XT27" i="7" s="1"/>
  <c r="XT28" i="7" s="1"/>
  <c r="XT29" i="7" s="1"/>
  <c r="XT30" i="7" s="1"/>
  <c r="XT31" i="7" s="1"/>
  <c r="XU2" i="6" s="1"/>
  <c r="AFN21" i="7"/>
  <c r="AFN22" i="7" s="1"/>
  <c r="AFN23" i="7" s="1"/>
  <c r="AFN24" i="7" s="1"/>
  <c r="AFN25" i="7" s="1"/>
  <c r="AFN26" i="7" s="1"/>
  <c r="AFN27" i="7" s="1"/>
  <c r="AFN28" i="7" s="1"/>
  <c r="AFN29" i="7" s="1"/>
  <c r="AFN30" i="7" s="1"/>
  <c r="AFN31" i="7" s="1"/>
  <c r="AFO2" i="6" s="1"/>
  <c r="OS23" i="7"/>
  <c r="OS24" i="7" s="1"/>
  <c r="OS25" i="7" s="1"/>
  <c r="OS26" i="7" s="1"/>
  <c r="OS27" i="7" s="1"/>
  <c r="OS28" i="7" s="1"/>
  <c r="OS29" i="7" s="1"/>
  <c r="OS30" i="7" s="1"/>
  <c r="OS31" i="7" s="1"/>
  <c r="OT2" i="6" s="1"/>
  <c r="EI22" i="7"/>
  <c r="EI23" i="7" s="1"/>
  <c r="EI24" i="7" s="1"/>
  <c r="EI25" i="7" s="1"/>
  <c r="EI26" i="7" s="1"/>
  <c r="EI27" i="7" s="1"/>
  <c r="EI28" i="7" s="1"/>
  <c r="EI29" i="7" s="1"/>
  <c r="EI30" i="7" s="1"/>
  <c r="EI31" i="7" s="1"/>
  <c r="EJ2" i="6" s="1"/>
  <c r="AIG22" i="7"/>
  <c r="AIG23" i="7" s="1"/>
  <c r="AIG24" i="7" s="1"/>
  <c r="AIG25" i="7" s="1"/>
  <c r="AIG26" i="7" s="1"/>
  <c r="AIG27" i="7" s="1"/>
  <c r="AIG28" i="7" s="1"/>
  <c r="AIG29" i="7" s="1"/>
  <c r="AIG30" i="7" s="1"/>
  <c r="AIG31" i="7" s="1"/>
  <c r="AIH2" i="6" s="1"/>
  <c r="WR22" i="7"/>
  <c r="JA24" i="7"/>
  <c r="JA25" i="7" s="1"/>
  <c r="JA26" i="7" s="1"/>
  <c r="JA27" i="7" s="1"/>
  <c r="JA28" i="7" s="1"/>
  <c r="JA29" i="7" s="1"/>
  <c r="JA30" i="7" s="1"/>
  <c r="JA31" i="7" s="1"/>
  <c r="JB2" i="6" s="1"/>
  <c r="QO22" i="7"/>
  <c r="QO23" i="7" s="1"/>
  <c r="LW22" i="7"/>
  <c r="LW23" i="7" s="1"/>
  <c r="LW24" i="7" s="1"/>
  <c r="LW25" i="7" s="1"/>
  <c r="LW26" i="7" s="1"/>
  <c r="LW27" i="7" s="1"/>
  <c r="LW28" i="7" s="1"/>
  <c r="LW29" i="7" s="1"/>
  <c r="LW30" i="7" s="1"/>
  <c r="LW31" i="7" s="1"/>
  <c r="LX2" i="6" s="1"/>
  <c r="BW22" i="7"/>
  <c r="BW23" i="7" s="1"/>
  <c r="BW24" i="7" s="1"/>
  <c r="BW25" i="7" s="1"/>
  <c r="BW26" i="7" s="1"/>
  <c r="BW27" i="7" s="1"/>
  <c r="BW28" i="7" s="1"/>
  <c r="BW29" i="7" s="1"/>
  <c r="BW30" i="7" s="1"/>
  <c r="BW31" i="7" s="1"/>
  <c r="BX2" i="6" s="1"/>
  <c r="AJZ21" i="7"/>
  <c r="AJZ22" i="7" s="1"/>
  <c r="AJZ23" i="7" s="1"/>
  <c r="AJZ24" i="7" s="1"/>
  <c r="AJZ25" i="7" s="1"/>
  <c r="AJZ26" i="7" s="1"/>
  <c r="AJZ27" i="7" s="1"/>
  <c r="AJZ28" i="7" s="1"/>
  <c r="AJZ29" i="7" s="1"/>
  <c r="AJZ30" i="7" s="1"/>
  <c r="AJZ31" i="7" s="1"/>
  <c r="AKA2" i="6" s="1"/>
  <c r="MR22" i="7"/>
  <c r="MR23" i="7" s="1"/>
  <c r="MR24" i="7" s="1"/>
  <c r="MR25" i="7" s="1"/>
  <c r="MR26" i="7" s="1"/>
  <c r="MR27" i="7" s="1"/>
  <c r="MR28" i="7" s="1"/>
  <c r="MR29" i="7" s="1"/>
  <c r="MR30" i="7" s="1"/>
  <c r="MR31" i="7" s="1"/>
  <c r="MS2" i="6" s="1"/>
  <c r="PB22" i="7"/>
  <c r="PB23" i="7" s="1"/>
  <c r="PB24" i="7" s="1"/>
  <c r="PB25" i="7" s="1"/>
  <c r="PB26" i="7" s="1"/>
  <c r="PB27" i="7" s="1"/>
  <c r="PB28" i="7" s="1"/>
  <c r="PB29" i="7" s="1"/>
  <c r="PB30" i="7" s="1"/>
  <c r="PB31" i="7" s="1"/>
  <c r="PC2" i="6" s="1"/>
  <c r="AGH21" i="7"/>
  <c r="AGH22" i="7" s="1"/>
  <c r="AGH23" i="7" s="1"/>
  <c r="AGH24" i="7" s="1"/>
  <c r="AGH25" i="7" s="1"/>
  <c r="AGH26" i="7" s="1"/>
  <c r="AGH27" i="7" s="1"/>
  <c r="AGH28" i="7" s="1"/>
  <c r="AGH29" i="7" s="1"/>
  <c r="AGH30" i="7" s="1"/>
  <c r="AGH31" i="7" s="1"/>
  <c r="AGI2" i="6" s="1"/>
  <c r="TV22" i="7"/>
  <c r="TV23" i="7" s="1"/>
  <c r="TV24" i="7" s="1"/>
  <c r="TV25" i="7" s="1"/>
  <c r="TV26" i="7" s="1"/>
  <c r="TV27" i="7" s="1"/>
  <c r="TV28" i="7" s="1"/>
  <c r="TV29" i="7" s="1"/>
  <c r="TV30" i="7" s="1"/>
  <c r="TV31" i="7" s="1"/>
  <c r="TW2" i="6" s="1"/>
  <c r="ABV21" i="7"/>
  <c r="SW23" i="7"/>
  <c r="SW24" i="7" s="1"/>
  <c r="SW25" i="7" s="1"/>
  <c r="SW26" i="7" s="1"/>
  <c r="SW27" i="7" s="1"/>
  <c r="SW28" i="7" s="1"/>
  <c r="SW29" i="7" s="1"/>
  <c r="SW30" i="7" s="1"/>
  <c r="SW31" i="7" s="1"/>
  <c r="SX2" i="6" s="1"/>
  <c r="ME21" i="7"/>
  <c r="ME22" i="7" s="1"/>
  <c r="AHM22" i="7"/>
  <c r="AHM23" i="7" s="1"/>
  <c r="AHM24" i="7" s="1"/>
  <c r="AHM25" i="7" s="1"/>
  <c r="AHM26" i="7" s="1"/>
  <c r="AHM27" i="7" s="1"/>
  <c r="AHM28" i="7" s="1"/>
  <c r="AHM29" i="7" s="1"/>
  <c r="AHM30" i="7" s="1"/>
  <c r="AHM31" i="7" s="1"/>
  <c r="AHN2" i="6" s="1"/>
  <c r="FQ21" i="7"/>
  <c r="FQ22" i="7" s="1"/>
  <c r="FQ23" i="7" s="1"/>
  <c r="FQ24" i="7" s="1"/>
  <c r="FQ25" i="7" s="1"/>
  <c r="FQ26" i="7" s="1"/>
  <c r="FQ27" i="7" s="1"/>
  <c r="FQ28" i="7" s="1"/>
  <c r="FQ29" i="7" s="1"/>
  <c r="FQ30" i="7" s="1"/>
  <c r="FQ31" i="7" s="1"/>
  <c r="FR2" i="6" s="1"/>
  <c r="AGQ21" i="7"/>
  <c r="AGQ22" i="7" s="1"/>
  <c r="AGQ23" i="7" s="1"/>
  <c r="AGQ24" i="7" s="1"/>
  <c r="AGQ25" i="7" s="1"/>
  <c r="AGQ26" i="7" s="1"/>
  <c r="AGQ27" i="7" s="1"/>
  <c r="AGQ28" i="7" s="1"/>
  <c r="AGQ29" i="7" s="1"/>
  <c r="AGQ30" i="7" s="1"/>
  <c r="AGQ31" i="7" s="1"/>
  <c r="AGR2" i="6" s="1"/>
  <c r="WU21" i="7"/>
  <c r="WU22" i="7" s="1"/>
  <c r="WU23" i="7" s="1"/>
  <c r="WU24" i="7" s="1"/>
  <c r="WU25" i="7" s="1"/>
  <c r="WU26" i="7" s="1"/>
  <c r="WU27" i="7" s="1"/>
  <c r="WU28" i="7" s="1"/>
  <c r="WU29" i="7" s="1"/>
  <c r="WU30" i="7" s="1"/>
  <c r="WU31" i="7" s="1"/>
  <c r="WV2" i="6" s="1"/>
  <c r="DW21" i="7"/>
  <c r="DW22" i="7" s="1"/>
  <c r="DW23" i="7" s="1"/>
  <c r="DW24" i="7" s="1"/>
  <c r="DW25" i="7" s="1"/>
  <c r="DW26" i="7" s="1"/>
  <c r="DW27" i="7" s="1"/>
  <c r="DW28" i="7" s="1"/>
  <c r="DW29" i="7" s="1"/>
  <c r="DW30" i="7" s="1"/>
  <c r="DW31" i="7" s="1"/>
  <c r="DX2" i="6" s="1"/>
  <c r="AGR22" i="7"/>
  <c r="AGR23" i="7" s="1"/>
  <c r="AGR24" i="7" s="1"/>
  <c r="AGR25" i="7" s="1"/>
  <c r="AGR26" i="7" s="1"/>
  <c r="AGR27" i="7" s="1"/>
  <c r="AGR28" i="7" s="1"/>
  <c r="AGR29" i="7" s="1"/>
  <c r="AGR30" i="7" s="1"/>
  <c r="AGR31" i="7" s="1"/>
  <c r="AGS2" i="6" s="1"/>
  <c r="WI21" i="7"/>
  <c r="WI22" i="7" s="1"/>
  <c r="WI23" i="7" s="1"/>
  <c r="WI24" i="7" s="1"/>
  <c r="WI25" i="7" s="1"/>
  <c r="WI26" i="7" s="1"/>
  <c r="WI27" i="7" s="1"/>
  <c r="WI28" i="7" s="1"/>
  <c r="WI29" i="7" s="1"/>
  <c r="WI30" i="7" s="1"/>
  <c r="WI31" i="7" s="1"/>
  <c r="WJ2" i="6" s="1"/>
  <c r="AFB22" i="7"/>
  <c r="AFB23" i="7" s="1"/>
  <c r="AFB24" i="7" s="1"/>
  <c r="AFB25" i="7" s="1"/>
  <c r="AFB26" i="7" s="1"/>
  <c r="AFB27" i="7" s="1"/>
  <c r="AFB28" i="7" s="1"/>
  <c r="AFB29" i="7" s="1"/>
  <c r="AFB30" i="7" s="1"/>
  <c r="AFB31" i="7" s="1"/>
  <c r="AFC2" i="6" s="1"/>
  <c r="AEB22" i="7"/>
  <c r="FU21" i="7"/>
  <c r="FU22" i="7" s="1"/>
  <c r="FU23" i="7" s="1"/>
  <c r="FU24" i="7" s="1"/>
  <c r="FU25" i="7" s="1"/>
  <c r="FU26" i="7" s="1"/>
  <c r="FU27" i="7" s="1"/>
  <c r="FU28" i="7" s="1"/>
  <c r="FU29" i="7" s="1"/>
  <c r="FU30" i="7" s="1"/>
  <c r="FU31" i="7" s="1"/>
  <c r="FV2" i="6" s="1"/>
  <c r="TY22" i="7"/>
  <c r="TY23" i="7" s="1"/>
  <c r="TY24" i="7" s="1"/>
  <c r="TY25" i="7" s="1"/>
  <c r="TY26" i="7" s="1"/>
  <c r="TY27" i="7" s="1"/>
  <c r="TY28" i="7" s="1"/>
  <c r="TY29" i="7" s="1"/>
  <c r="TY30" i="7" s="1"/>
  <c r="TY31" i="7" s="1"/>
  <c r="TZ2" i="6" s="1"/>
  <c r="FI21" i="7"/>
  <c r="FI22" i="7" s="1"/>
  <c r="FI23" i="7" s="1"/>
  <c r="FI24" i="7" s="1"/>
  <c r="FI25" i="7" s="1"/>
  <c r="FI26" i="7" s="1"/>
  <c r="FI27" i="7" s="1"/>
  <c r="FI28" i="7" s="1"/>
  <c r="FI29" i="7" s="1"/>
  <c r="FI30" i="7" s="1"/>
  <c r="FI31" i="7" s="1"/>
  <c r="FJ2" i="6" s="1"/>
  <c r="NP21" i="7"/>
  <c r="NP22" i="7" s="1"/>
  <c r="NP23" i="7" s="1"/>
  <c r="NP24" i="7" s="1"/>
  <c r="NP25" i="7" s="1"/>
  <c r="NP26" i="7" s="1"/>
  <c r="NP27" i="7" s="1"/>
  <c r="NP28" i="7" s="1"/>
  <c r="NP29" i="7" s="1"/>
  <c r="NP30" i="7" s="1"/>
  <c r="NP31" i="7" s="1"/>
  <c r="NQ2" i="6" s="1"/>
  <c r="DD21" i="7"/>
  <c r="DD22" i="7" s="1"/>
  <c r="DD23" i="7" s="1"/>
  <c r="DD24" i="7" s="1"/>
  <c r="DD25" i="7" s="1"/>
  <c r="DD26" i="7" s="1"/>
  <c r="DD27" i="7" s="1"/>
  <c r="DD28" i="7" s="1"/>
  <c r="DD29" i="7" s="1"/>
  <c r="DD30" i="7" s="1"/>
  <c r="DD31" i="7" s="1"/>
  <c r="DE2" i="6" s="1"/>
  <c r="QV22" i="7"/>
  <c r="QV23" i="7" s="1"/>
  <c r="QV24" i="7" s="1"/>
  <c r="QV25" i="7" s="1"/>
  <c r="QV26" i="7" s="1"/>
  <c r="QV27" i="7" s="1"/>
  <c r="QV28" i="7" s="1"/>
  <c r="QV29" i="7" s="1"/>
  <c r="QV30" i="7" s="1"/>
  <c r="QV31" i="7" s="1"/>
  <c r="QW2" i="6" s="1"/>
  <c r="AAD21" i="7"/>
  <c r="AAD22" i="7" s="1"/>
  <c r="AAD23" i="7" s="1"/>
  <c r="AAD24" i="7" s="1"/>
  <c r="AAD25" i="7" s="1"/>
  <c r="AAD26" i="7" s="1"/>
  <c r="AAD27" i="7" s="1"/>
  <c r="AAD28" i="7" s="1"/>
  <c r="AAD29" i="7" s="1"/>
  <c r="AAD30" i="7" s="1"/>
  <c r="AAD31" i="7" s="1"/>
  <c r="AAE2" i="6" s="1"/>
  <c r="QJ21" i="7"/>
  <c r="AHX21" i="7"/>
  <c r="AHX22" i="7" s="1"/>
  <c r="AHX23" i="7" s="1"/>
  <c r="AHX24" i="7" s="1"/>
  <c r="AHX25" i="7" s="1"/>
  <c r="AHX26" i="7" s="1"/>
  <c r="AHX27" i="7" s="1"/>
  <c r="AHX28" i="7" s="1"/>
  <c r="AHX29" i="7" s="1"/>
  <c r="AHX30" i="7" s="1"/>
  <c r="AHX31" i="7" s="1"/>
  <c r="AHY2" i="6" s="1"/>
  <c r="YH22" i="7"/>
  <c r="YH23" i="7" s="1"/>
  <c r="YH24" i="7" s="1"/>
  <c r="YH25" i="7" s="1"/>
  <c r="YH26" i="7" s="1"/>
  <c r="YH27" i="7" s="1"/>
  <c r="YH28" i="7" s="1"/>
  <c r="YH29" i="7" s="1"/>
  <c r="YH30" i="7" s="1"/>
  <c r="YH31" i="7" s="1"/>
  <c r="YI2" i="6" s="1"/>
  <c r="SY21" i="7"/>
  <c r="SY22" i="7" s="1"/>
  <c r="SY23" i="7" s="1"/>
  <c r="SY24" i="7" s="1"/>
  <c r="SY25" i="7" s="1"/>
  <c r="SY26" i="7" s="1"/>
  <c r="SY27" i="7" s="1"/>
  <c r="SY28" i="7" s="1"/>
  <c r="SY29" i="7" s="1"/>
  <c r="SY30" i="7" s="1"/>
  <c r="SY31" i="7" s="1"/>
  <c r="SZ2" i="6" s="1"/>
  <c r="PO21" i="7"/>
  <c r="PO22" i="7" s="1"/>
  <c r="PO23" i="7" s="1"/>
  <c r="PO24" i="7" s="1"/>
  <c r="PO25" i="7" s="1"/>
  <c r="PO26" i="7" s="1"/>
  <c r="PO27" i="7" s="1"/>
  <c r="PO28" i="7" s="1"/>
  <c r="PO29" i="7" s="1"/>
  <c r="PO30" i="7" s="1"/>
  <c r="PO31" i="7" s="1"/>
  <c r="PP2" i="6" s="1"/>
  <c r="MA21" i="7"/>
  <c r="MA22" i="7" s="1"/>
  <c r="MA23" i="7" s="1"/>
  <c r="MA24" i="7" s="1"/>
  <c r="MA25" i="7" s="1"/>
  <c r="MA26" i="7" s="1"/>
  <c r="MA27" i="7" s="1"/>
  <c r="MA28" i="7" s="1"/>
  <c r="MA29" i="7" s="1"/>
  <c r="MA30" i="7" s="1"/>
  <c r="MA31" i="7" s="1"/>
  <c r="MB2" i="6" s="1"/>
  <c r="DO22" i="7"/>
  <c r="DO23" i="7" s="1"/>
  <c r="DO24" i="7" s="1"/>
  <c r="DO25" i="7" s="1"/>
  <c r="DO26" i="7" s="1"/>
  <c r="DO27" i="7" s="1"/>
  <c r="DO28" i="7" s="1"/>
  <c r="DO29" i="7" s="1"/>
  <c r="DO30" i="7" s="1"/>
  <c r="DO31" i="7" s="1"/>
  <c r="DP2" i="6" s="1"/>
  <c r="AIM21" i="7"/>
  <c r="AIM22" i="7" s="1"/>
  <c r="AIM23" i="7" s="1"/>
  <c r="AIM24" i="7" s="1"/>
  <c r="AIM25" i="7" s="1"/>
  <c r="AIM26" i="7" s="1"/>
  <c r="AIM27" i="7" s="1"/>
  <c r="AIM28" i="7" s="1"/>
  <c r="AIM29" i="7" s="1"/>
  <c r="AIM30" i="7" s="1"/>
  <c r="AIM31" i="7" s="1"/>
  <c r="AIN2" i="6" s="1"/>
  <c r="AHS21" i="7"/>
  <c r="AHS22" i="7" s="1"/>
  <c r="AHS23" i="7" s="1"/>
  <c r="AHS24" i="7" s="1"/>
  <c r="AHS25" i="7" s="1"/>
  <c r="AHS26" i="7" s="1"/>
  <c r="AHS27" i="7" s="1"/>
  <c r="AHS28" i="7" s="1"/>
  <c r="AHS29" i="7" s="1"/>
  <c r="AHS30" i="7" s="1"/>
  <c r="AHS31" i="7" s="1"/>
  <c r="AHT2" i="6" s="1"/>
  <c r="DJ21" i="7"/>
  <c r="DJ22" i="7" s="1"/>
  <c r="DJ23" i="7" s="1"/>
  <c r="DJ24" i="7" s="1"/>
  <c r="DJ25" i="7" s="1"/>
  <c r="DJ26" i="7" s="1"/>
  <c r="DJ27" i="7" s="1"/>
  <c r="DJ28" i="7" s="1"/>
  <c r="DJ29" i="7" s="1"/>
  <c r="DJ30" i="7" s="1"/>
  <c r="DJ31" i="7" s="1"/>
  <c r="DK2" i="6" s="1"/>
  <c r="AIY21" i="7"/>
  <c r="AIY22" i="7" s="1"/>
  <c r="AIY23" i="7" s="1"/>
  <c r="AIY24" i="7" s="1"/>
  <c r="AIY25" i="7" s="1"/>
  <c r="AIY26" i="7" s="1"/>
  <c r="AIY27" i="7" s="1"/>
  <c r="AIY28" i="7" s="1"/>
  <c r="AIY29" i="7" s="1"/>
  <c r="AIY30" i="7" s="1"/>
  <c r="AIY31" i="7" s="1"/>
  <c r="AIZ2" i="6" s="1"/>
  <c r="DB21" i="7"/>
  <c r="DB22" i="7" s="1"/>
  <c r="DB23" i="7" s="1"/>
  <c r="DB24" i="7" s="1"/>
  <c r="DB25" i="7" s="1"/>
  <c r="DB26" i="7" s="1"/>
  <c r="DB27" i="7" s="1"/>
  <c r="DB28" i="7" s="1"/>
  <c r="DB29" i="7" s="1"/>
  <c r="DB30" i="7" s="1"/>
  <c r="DB31" i="7" s="1"/>
  <c r="DC2" i="6" s="1"/>
  <c r="TM21" i="7"/>
  <c r="TM22" i="7" s="1"/>
  <c r="TM23" i="7" s="1"/>
  <c r="TM24" i="7" s="1"/>
  <c r="TM25" i="7" s="1"/>
  <c r="TM26" i="7" s="1"/>
  <c r="TM27" i="7" s="1"/>
  <c r="TM28" i="7" s="1"/>
  <c r="TM29" i="7" s="1"/>
  <c r="TM30" i="7" s="1"/>
  <c r="TM31" i="7" s="1"/>
  <c r="TN2" i="6" s="1"/>
  <c r="UK21" i="7"/>
  <c r="UK22" i="7" s="1"/>
  <c r="UK23" i="7" s="1"/>
  <c r="WG22" i="7"/>
  <c r="WG23" i="7" s="1"/>
  <c r="NL22" i="7"/>
  <c r="NL23" i="7" s="1"/>
  <c r="NL24" i="7" s="1"/>
  <c r="NL25" i="7" s="1"/>
  <c r="NL26" i="7" s="1"/>
  <c r="NL27" i="7" s="1"/>
  <c r="NL28" i="7" s="1"/>
  <c r="NL29" i="7" s="1"/>
  <c r="NL30" i="7" s="1"/>
  <c r="NL31" i="7" s="1"/>
  <c r="NM2" i="6" s="1"/>
  <c r="HM21" i="7"/>
  <c r="AAG21" i="7"/>
  <c r="AAG22" i="7" s="1"/>
  <c r="AAG23" i="7" s="1"/>
  <c r="AAG24" i="7" s="1"/>
  <c r="AAG25" i="7" s="1"/>
  <c r="AAG26" i="7" s="1"/>
  <c r="AAG27" i="7" s="1"/>
  <c r="AAG28" i="7" s="1"/>
  <c r="AAG29" i="7" s="1"/>
  <c r="AAG30" i="7" s="1"/>
  <c r="AAG31" i="7" s="1"/>
  <c r="AAH2" i="6" s="1"/>
  <c r="NR21" i="7"/>
  <c r="IB21" i="7"/>
  <c r="VI21" i="7"/>
  <c r="VI22" i="7" s="1"/>
  <c r="VI23" i="7" s="1"/>
  <c r="VI24" i="7" s="1"/>
  <c r="VI25" i="7" s="1"/>
  <c r="VI26" i="7" s="1"/>
  <c r="VI27" i="7" s="1"/>
  <c r="VI28" i="7" s="1"/>
  <c r="VI29" i="7" s="1"/>
  <c r="VI30" i="7" s="1"/>
  <c r="VI31" i="7" s="1"/>
  <c r="VJ2" i="6" s="1"/>
  <c r="OR24" i="7"/>
  <c r="OR25" i="7" s="1"/>
  <c r="OR26" i="7" s="1"/>
  <c r="OR27" i="7" s="1"/>
  <c r="OR28" i="7" s="1"/>
  <c r="OR29" i="7" s="1"/>
  <c r="OR30" i="7" s="1"/>
  <c r="OR31" i="7" s="1"/>
  <c r="OS2" i="6" s="1"/>
  <c r="UP21" i="7"/>
  <c r="UP22" i="7" s="1"/>
  <c r="UP23" i="7" s="1"/>
  <c r="UP24" i="7" s="1"/>
  <c r="UP25" i="7" s="1"/>
  <c r="UP26" i="7" s="1"/>
  <c r="UP27" i="7" s="1"/>
  <c r="UP28" i="7" s="1"/>
  <c r="UP29" i="7" s="1"/>
  <c r="UP30" i="7" s="1"/>
  <c r="UP31" i="7" s="1"/>
  <c r="UQ2" i="6" s="1"/>
  <c r="WO24" i="7"/>
  <c r="WO25" i="7" s="1"/>
  <c r="WO26" i="7" s="1"/>
  <c r="WO27" i="7" s="1"/>
  <c r="WO28" i="7" s="1"/>
  <c r="WO29" i="7" s="1"/>
  <c r="WO30" i="7" s="1"/>
  <c r="WO31" i="7" s="1"/>
  <c r="WP2" i="6" s="1"/>
  <c r="AKX21" i="7"/>
  <c r="AKX22" i="7" s="1"/>
  <c r="AKX23" i="7" s="1"/>
  <c r="AKX24" i="7" s="1"/>
  <c r="AKX25" i="7" s="1"/>
  <c r="AKX26" i="7" s="1"/>
  <c r="AKX27" i="7" s="1"/>
  <c r="AKX28" i="7" s="1"/>
  <c r="AKX29" i="7" s="1"/>
  <c r="AKX30" i="7" s="1"/>
  <c r="AKX31" i="7" s="1"/>
  <c r="AKY2" i="6" s="1"/>
  <c r="ALG21" i="7"/>
  <c r="ALG22" i="7" s="1"/>
  <c r="ALG23" i="7" s="1"/>
  <c r="ALG24" i="7" s="1"/>
  <c r="ALG25" i="7" s="1"/>
  <c r="ALG26" i="7" s="1"/>
  <c r="ALG27" i="7" s="1"/>
  <c r="ALG28" i="7" s="1"/>
  <c r="ALG29" i="7" s="1"/>
  <c r="ALG30" i="7" s="1"/>
  <c r="ALG31" i="7" s="1"/>
  <c r="ALH2" i="6" s="1"/>
  <c r="TS21" i="7"/>
  <c r="TS22" i="7" s="1"/>
  <c r="TS23" i="7" s="1"/>
  <c r="TS24" i="7" s="1"/>
  <c r="TS25" i="7" s="1"/>
  <c r="TS26" i="7" s="1"/>
  <c r="TS27" i="7" s="1"/>
  <c r="TS28" i="7" s="1"/>
  <c r="TS29" i="7" s="1"/>
  <c r="TS30" i="7" s="1"/>
  <c r="TS31" i="7" s="1"/>
  <c r="TT2" i="6" s="1"/>
  <c r="AFU21" i="7"/>
  <c r="AJF22" i="7"/>
  <c r="AJF23" i="7" s="1"/>
  <c r="AJF24" i="7" s="1"/>
  <c r="AJF25" i="7" s="1"/>
  <c r="AJF26" i="7" s="1"/>
  <c r="AJF27" i="7" s="1"/>
  <c r="AJF28" i="7" s="1"/>
  <c r="AJF29" i="7" s="1"/>
  <c r="AJF30" i="7" s="1"/>
  <c r="AJF31" i="7" s="1"/>
  <c r="AJG2" i="6" s="1"/>
  <c r="AEX21" i="7"/>
  <c r="AEX22" i="7" s="1"/>
  <c r="AEX23" i="7" s="1"/>
  <c r="AEX24" i="7" s="1"/>
  <c r="AEX25" i="7" s="1"/>
  <c r="AEX26" i="7" s="1"/>
  <c r="AEX27" i="7" s="1"/>
  <c r="AEX28" i="7" s="1"/>
  <c r="AEX29" i="7" s="1"/>
  <c r="AEX30" i="7" s="1"/>
  <c r="AEX31" i="7" s="1"/>
  <c r="AEY2" i="6" s="1"/>
  <c r="JL22" i="7"/>
  <c r="JL23" i="7" s="1"/>
  <c r="JL24" i="7" s="1"/>
  <c r="JL25" i="7" s="1"/>
  <c r="JL26" i="7" s="1"/>
  <c r="JL27" i="7" s="1"/>
  <c r="JL28" i="7" s="1"/>
  <c r="JL29" i="7" s="1"/>
  <c r="JL30" i="7" s="1"/>
  <c r="JL31" i="7" s="1"/>
  <c r="JM2" i="6" s="1"/>
  <c r="IS21" i="7"/>
  <c r="IS22" i="7" s="1"/>
  <c r="IS23" i="7" s="1"/>
  <c r="IS24" i="7" s="1"/>
  <c r="IS25" i="7" s="1"/>
  <c r="IS26" i="7" s="1"/>
  <c r="IS27" i="7" s="1"/>
  <c r="IS28" i="7" s="1"/>
  <c r="IS29" i="7" s="1"/>
  <c r="IS30" i="7" s="1"/>
  <c r="IS31" i="7" s="1"/>
  <c r="IT2" i="6" s="1"/>
  <c r="ET21" i="7"/>
  <c r="ET22" i="7" s="1"/>
  <c r="ET23" i="7" s="1"/>
  <c r="ET24" i="7" s="1"/>
  <c r="ET25" i="7" s="1"/>
  <c r="ET26" i="7" s="1"/>
  <c r="ET27" i="7" s="1"/>
  <c r="ET28" i="7" s="1"/>
  <c r="ET29" i="7" s="1"/>
  <c r="ET30" i="7" s="1"/>
  <c r="ET31" i="7" s="1"/>
  <c r="EU2" i="6" s="1"/>
  <c r="JB21" i="7"/>
  <c r="JB22" i="7" s="1"/>
  <c r="JB23" i="7" s="1"/>
  <c r="JB24" i="7" s="1"/>
  <c r="JB25" i="7" s="1"/>
  <c r="JB26" i="7" s="1"/>
  <c r="JB27" i="7" s="1"/>
  <c r="JB28" i="7" s="1"/>
  <c r="JB29" i="7" s="1"/>
  <c r="JB30" i="7" s="1"/>
  <c r="JB31" i="7" s="1"/>
  <c r="JC2" i="6" s="1"/>
  <c r="PU22" i="7"/>
  <c r="PU23" i="7" s="1"/>
  <c r="PU24" i="7" s="1"/>
  <c r="PU25" i="7" s="1"/>
  <c r="PU26" i="7" s="1"/>
  <c r="PU27" i="7" s="1"/>
  <c r="PU28" i="7" s="1"/>
  <c r="PU29" i="7" s="1"/>
  <c r="PU30" i="7" s="1"/>
  <c r="PU31" i="7" s="1"/>
  <c r="PV2" i="6" s="1"/>
  <c r="AEP22" i="7"/>
  <c r="AEP23" i="7" s="1"/>
  <c r="AEP24" i="7" s="1"/>
  <c r="AEP25" i="7" s="1"/>
  <c r="AEP26" i="7" s="1"/>
  <c r="AEP27" i="7" s="1"/>
  <c r="AEP28" i="7" s="1"/>
  <c r="AEP29" i="7" s="1"/>
  <c r="AEP30" i="7" s="1"/>
  <c r="AEP31" i="7" s="1"/>
  <c r="AEQ2" i="6" s="1"/>
  <c r="EE21" i="7"/>
  <c r="EE22" i="7" s="1"/>
  <c r="EE23" i="7" s="1"/>
  <c r="EE24" i="7" s="1"/>
  <c r="EE25" i="7" s="1"/>
  <c r="EE26" i="7" s="1"/>
  <c r="EE27" i="7" s="1"/>
  <c r="EE28" i="7" s="1"/>
  <c r="EE29" i="7" s="1"/>
  <c r="EE30" i="7" s="1"/>
  <c r="EE31" i="7" s="1"/>
  <c r="EF2" i="6" s="1"/>
  <c r="ALA21" i="7"/>
  <c r="ALA22" i="7" s="1"/>
  <c r="ALA23" i="7" s="1"/>
  <c r="ALA24" i="7" s="1"/>
  <c r="ALA25" i="7" s="1"/>
  <c r="ALA26" i="7" s="1"/>
  <c r="ALA27" i="7" s="1"/>
  <c r="ALA28" i="7" s="1"/>
  <c r="ALA29" i="7" s="1"/>
  <c r="ALA30" i="7" s="1"/>
  <c r="ALA31" i="7" s="1"/>
  <c r="ALB2" i="6" s="1"/>
  <c r="ACF21" i="7"/>
  <c r="ACF22" i="7" s="1"/>
  <c r="ACF23" i="7" s="1"/>
  <c r="ACF24" i="7" s="1"/>
  <c r="ACF25" i="7" s="1"/>
  <c r="ACF26" i="7" s="1"/>
  <c r="ACF27" i="7" s="1"/>
  <c r="ACF28" i="7" s="1"/>
  <c r="ACF29" i="7" s="1"/>
  <c r="ACF30" i="7" s="1"/>
  <c r="ACF31" i="7" s="1"/>
  <c r="ACG2" i="6" s="1"/>
  <c r="ZV23" i="7"/>
  <c r="ZV24" i="7" s="1"/>
  <c r="ZV25" i="7" s="1"/>
  <c r="ZV26" i="7" s="1"/>
  <c r="ZV27" i="7" s="1"/>
  <c r="ZV28" i="7" s="1"/>
  <c r="ZV29" i="7" s="1"/>
  <c r="ZV30" i="7" s="1"/>
  <c r="ZV31" i="7" s="1"/>
  <c r="ZW2" i="6" s="1"/>
  <c r="NM22" i="7"/>
  <c r="NM23" i="7" s="1"/>
  <c r="NM24" i="7" s="1"/>
  <c r="NM25" i="7" s="1"/>
  <c r="NM26" i="7" s="1"/>
  <c r="NM27" i="7" s="1"/>
  <c r="NM28" i="7" s="1"/>
  <c r="NM29" i="7" s="1"/>
  <c r="NM30" i="7" s="1"/>
  <c r="NM31" i="7" s="1"/>
  <c r="NN2" i="6" s="1"/>
  <c r="ACQ22" i="7"/>
  <c r="ACQ23" i="7" s="1"/>
  <c r="ACQ24" i="7" s="1"/>
  <c r="ACQ25" i="7" s="1"/>
  <c r="ACQ26" i="7" s="1"/>
  <c r="ACQ27" i="7" s="1"/>
  <c r="ACQ28" i="7" s="1"/>
  <c r="ACQ29" i="7" s="1"/>
  <c r="ACQ30" i="7" s="1"/>
  <c r="ACQ31" i="7" s="1"/>
  <c r="ACR2" i="6" s="1"/>
  <c r="AFH21" i="7"/>
  <c r="AFH22" i="7" s="1"/>
  <c r="AFH23" i="7" s="1"/>
  <c r="AFH24" i="7" s="1"/>
  <c r="AFH25" i="7" s="1"/>
  <c r="AFH26" i="7" s="1"/>
  <c r="AFH27" i="7" s="1"/>
  <c r="AFH28" i="7" s="1"/>
  <c r="AFH29" i="7" s="1"/>
  <c r="AFH30" i="7" s="1"/>
  <c r="AFH31" i="7" s="1"/>
  <c r="AFI2" i="6" s="1"/>
  <c r="QY22" i="7"/>
  <c r="ABS21" i="7"/>
  <c r="IX21" i="7"/>
  <c r="IX22" i="7" s="1"/>
  <c r="IP21" i="7"/>
  <c r="AGC22" i="7"/>
  <c r="AGC23" i="7" s="1"/>
  <c r="AGC24" i="7" s="1"/>
  <c r="AGC25" i="7" s="1"/>
  <c r="AGC26" i="7" s="1"/>
  <c r="AGC27" i="7" s="1"/>
  <c r="AGC28" i="7" s="1"/>
  <c r="AGC29" i="7" s="1"/>
  <c r="AGC30" i="7" s="1"/>
  <c r="AGC31" i="7" s="1"/>
  <c r="AGD2" i="6" s="1"/>
  <c r="LM22" i="7"/>
  <c r="LM23" i="7" s="1"/>
  <c r="LM24" i="7" s="1"/>
  <c r="LM25" i="7" s="1"/>
  <c r="LM26" i="7" s="1"/>
  <c r="LM27" i="7" s="1"/>
  <c r="LM28" i="7" s="1"/>
  <c r="LM29" i="7" s="1"/>
  <c r="LM30" i="7" s="1"/>
  <c r="LM31" i="7" s="1"/>
  <c r="LN2" i="6" s="1"/>
  <c r="ZI23" i="7"/>
  <c r="ZI24" i="7" s="1"/>
  <c r="ZI25" i="7" s="1"/>
  <c r="ZI26" i="7" s="1"/>
  <c r="ZI27" i="7" s="1"/>
  <c r="ZI28" i="7" s="1"/>
  <c r="ZI29" i="7" s="1"/>
  <c r="ZI30" i="7" s="1"/>
  <c r="ZI31" i="7" s="1"/>
  <c r="ZJ2" i="6" s="1"/>
  <c r="KP21" i="7"/>
  <c r="KP22" i="7" s="1"/>
  <c r="KP23" i="7" s="1"/>
  <c r="KP24" i="7" s="1"/>
  <c r="KP25" i="7" s="1"/>
  <c r="KP26" i="7" s="1"/>
  <c r="KP27" i="7" s="1"/>
  <c r="KP28" i="7" s="1"/>
  <c r="KP29" i="7" s="1"/>
  <c r="KP30" i="7" s="1"/>
  <c r="KP31" i="7" s="1"/>
  <c r="KQ2" i="6" s="1"/>
  <c r="ABB21" i="7"/>
  <c r="ABB22" i="7" s="1"/>
  <c r="ABB23" i="7" s="1"/>
  <c r="ABB24" i="7" s="1"/>
  <c r="ABB25" i="7" s="1"/>
  <c r="ABB26" i="7" s="1"/>
  <c r="ABB27" i="7" s="1"/>
  <c r="ABB28" i="7" s="1"/>
  <c r="ABB29" i="7" s="1"/>
  <c r="ABB30" i="7" s="1"/>
  <c r="ABB31" i="7" s="1"/>
  <c r="ABC2" i="6" s="1"/>
  <c r="PA22" i="7"/>
  <c r="PA23" i="7" s="1"/>
  <c r="PA24" i="7" s="1"/>
  <c r="PA25" i="7" s="1"/>
  <c r="PA26" i="7" s="1"/>
  <c r="PA27" i="7" s="1"/>
  <c r="PA28" i="7" s="1"/>
  <c r="PA29" i="7" s="1"/>
  <c r="PA30" i="7" s="1"/>
  <c r="PA31" i="7" s="1"/>
  <c r="PB2" i="6" s="1"/>
  <c r="IO22" i="7"/>
  <c r="IO23" i="7" s="1"/>
  <c r="IO24" i="7" s="1"/>
  <c r="IO25" i="7" s="1"/>
  <c r="IO26" i="7" s="1"/>
  <c r="IO27" i="7" s="1"/>
  <c r="IO28" i="7" s="1"/>
  <c r="IO29" i="7" s="1"/>
  <c r="IO30" i="7" s="1"/>
  <c r="IO31" i="7" s="1"/>
  <c r="IP2" i="6" s="1"/>
  <c r="AJE21" i="7"/>
  <c r="AJE22" i="7" s="1"/>
  <c r="AJE23" i="7" s="1"/>
  <c r="AJE24" i="7" s="1"/>
  <c r="AJE25" i="7" s="1"/>
  <c r="AJE26" i="7" s="1"/>
  <c r="AJE27" i="7" s="1"/>
  <c r="AJE28" i="7" s="1"/>
  <c r="AJE29" i="7" s="1"/>
  <c r="AJE30" i="7" s="1"/>
  <c r="AJE31" i="7" s="1"/>
  <c r="AJF2" i="6" s="1"/>
  <c r="OH22" i="7"/>
  <c r="OH23" i="7" s="1"/>
  <c r="OH24" i="7" s="1"/>
  <c r="OH25" i="7" s="1"/>
  <c r="OH26" i="7" s="1"/>
  <c r="OH27" i="7" s="1"/>
  <c r="OH28" i="7" s="1"/>
  <c r="OH29" i="7" s="1"/>
  <c r="OH30" i="7" s="1"/>
  <c r="OH31" i="7" s="1"/>
  <c r="OI2" i="6" s="1"/>
  <c r="UA21" i="7"/>
  <c r="UA22" i="7" s="1"/>
  <c r="UA23" i="7" s="1"/>
  <c r="UA24" i="7" s="1"/>
  <c r="UA25" i="7" s="1"/>
  <c r="UA26" i="7" s="1"/>
  <c r="UA27" i="7" s="1"/>
  <c r="UA28" i="7" s="1"/>
  <c r="UA29" i="7" s="1"/>
  <c r="UA30" i="7" s="1"/>
  <c r="UA31" i="7" s="1"/>
  <c r="UB2" i="6" s="1"/>
  <c r="TO21" i="7"/>
  <c r="TO22" i="7" s="1"/>
  <c r="TO23" i="7" s="1"/>
  <c r="TO24" i="7" s="1"/>
  <c r="TO25" i="7" s="1"/>
  <c r="TO26" i="7" s="1"/>
  <c r="TO27" i="7" s="1"/>
  <c r="TO28" i="7" s="1"/>
  <c r="TO29" i="7" s="1"/>
  <c r="TO30" i="7" s="1"/>
  <c r="TO31" i="7" s="1"/>
  <c r="TP2" i="6" s="1"/>
  <c r="AJ22" i="7"/>
  <c r="AJ23" i="7" s="1"/>
  <c r="AJ24" i="7" s="1"/>
  <c r="AJ25" i="7" s="1"/>
  <c r="AJ26" i="7" s="1"/>
  <c r="AJ27" i="7" s="1"/>
  <c r="AJ28" i="7" s="1"/>
  <c r="AJ29" i="7" s="1"/>
  <c r="AJ30" i="7" s="1"/>
  <c r="AJ31" i="7" s="1"/>
  <c r="AK2" i="6" s="1"/>
  <c r="ZH21" i="7"/>
  <c r="ZH22" i="7" s="1"/>
  <c r="ZH23" i="7" s="1"/>
  <c r="ZH24" i="7" s="1"/>
  <c r="ZH25" i="7" s="1"/>
  <c r="ZH26" i="7" s="1"/>
  <c r="ZH27" i="7" s="1"/>
  <c r="ZH28" i="7" s="1"/>
  <c r="ZH29" i="7" s="1"/>
  <c r="ZH30" i="7" s="1"/>
  <c r="ZH31" i="7" s="1"/>
  <c r="ZI2" i="6" s="1"/>
  <c r="BO21" i="7"/>
  <c r="BO22" i="7" s="1"/>
  <c r="BO23" i="7" s="1"/>
  <c r="BO24" i="7" s="1"/>
  <c r="BO25" i="7" s="1"/>
  <c r="BO26" i="7" s="1"/>
  <c r="BO27" i="7" s="1"/>
  <c r="BO28" i="7" s="1"/>
  <c r="BO29" i="7" s="1"/>
  <c r="BO30" i="7" s="1"/>
  <c r="BO31" i="7" s="1"/>
  <c r="BP2" i="6" s="1"/>
  <c r="DS21" i="7"/>
  <c r="DS22" i="7" s="1"/>
  <c r="DS23" i="7" s="1"/>
  <c r="DS24" i="7" s="1"/>
  <c r="DS25" i="7" s="1"/>
  <c r="DS26" i="7" s="1"/>
  <c r="DS27" i="7" s="1"/>
  <c r="DS28" i="7" s="1"/>
  <c r="DS29" i="7" s="1"/>
  <c r="DS30" i="7" s="1"/>
  <c r="DS31" i="7" s="1"/>
  <c r="DT2" i="6" s="1"/>
  <c r="M21" i="7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N2" i="6" s="1"/>
  <c r="DT22" i="7"/>
  <c r="DT23" i="7" s="1"/>
  <c r="DT24" i="7" s="1"/>
  <c r="DT25" i="7" s="1"/>
  <c r="DT26" i="7" s="1"/>
  <c r="DT27" i="7" s="1"/>
  <c r="DT28" i="7" s="1"/>
  <c r="DT29" i="7" s="1"/>
  <c r="DT30" i="7" s="1"/>
  <c r="DT31" i="7" s="1"/>
  <c r="DU2" i="6" s="1"/>
  <c r="AFF22" i="7"/>
  <c r="AFF23" i="7" s="1"/>
  <c r="AFF24" i="7" s="1"/>
  <c r="AFF25" i="7" s="1"/>
  <c r="AFF26" i="7" s="1"/>
  <c r="AFF27" i="7" s="1"/>
  <c r="AFF28" i="7" s="1"/>
  <c r="AFF29" i="7" s="1"/>
  <c r="AFF30" i="7" s="1"/>
  <c r="AFF31" i="7" s="1"/>
  <c r="AFG2" i="6" s="1"/>
  <c r="EQ21" i="7"/>
  <c r="EQ22" i="7" s="1"/>
  <c r="EQ23" i="7" s="1"/>
  <c r="EQ24" i="7" s="1"/>
  <c r="EQ25" i="7" s="1"/>
  <c r="EQ26" i="7" s="1"/>
  <c r="EQ27" i="7" s="1"/>
  <c r="EQ28" i="7" s="1"/>
  <c r="EQ29" i="7" s="1"/>
  <c r="EQ30" i="7" s="1"/>
  <c r="EQ31" i="7" s="1"/>
  <c r="ER2" i="6" s="1"/>
  <c r="AK21" i="7"/>
  <c r="AK22" i="7" s="1"/>
  <c r="AK23" i="7" s="1"/>
  <c r="AK24" i="7" s="1"/>
  <c r="AK25" i="7" s="1"/>
  <c r="AK26" i="7" s="1"/>
  <c r="AK27" i="7" s="1"/>
  <c r="AK28" i="7" s="1"/>
  <c r="AK29" i="7" s="1"/>
  <c r="AK30" i="7" s="1"/>
  <c r="AK31" i="7" s="1"/>
  <c r="AL2" i="6" s="1"/>
  <c r="LZ21" i="7"/>
  <c r="LZ22" i="7" s="1"/>
  <c r="LZ23" i="7" s="1"/>
  <c r="LZ24" i="7" s="1"/>
  <c r="LZ25" i="7" s="1"/>
  <c r="LZ26" i="7" s="1"/>
  <c r="LZ27" i="7" s="1"/>
  <c r="LZ28" i="7" s="1"/>
  <c r="LZ29" i="7" s="1"/>
  <c r="LZ30" i="7" s="1"/>
  <c r="LZ31" i="7" s="1"/>
  <c r="MA2" i="6" s="1"/>
  <c r="UM21" i="7"/>
  <c r="UM22" i="7" s="1"/>
  <c r="UM23" i="7" s="1"/>
  <c r="UM24" i="7" s="1"/>
  <c r="UM25" i="7" s="1"/>
  <c r="UM26" i="7" s="1"/>
  <c r="UM27" i="7" s="1"/>
  <c r="UM28" i="7" s="1"/>
  <c r="UM29" i="7" s="1"/>
  <c r="UM30" i="7" s="1"/>
  <c r="UM31" i="7" s="1"/>
  <c r="UN2" i="6" s="1"/>
  <c r="AJT22" i="7"/>
  <c r="AJT23" i="7" s="1"/>
  <c r="AJT24" i="7" s="1"/>
  <c r="AJT25" i="7" s="1"/>
  <c r="AJT26" i="7" s="1"/>
  <c r="AJT27" i="7" s="1"/>
  <c r="AJT28" i="7" s="1"/>
  <c r="AJT29" i="7" s="1"/>
  <c r="AJT30" i="7" s="1"/>
  <c r="AJT31" i="7" s="1"/>
  <c r="AJU2" i="6" s="1"/>
  <c r="AHB22" i="7"/>
  <c r="AHB23" i="7" s="1"/>
  <c r="AHB24" i="7" s="1"/>
  <c r="AHB25" i="7" s="1"/>
  <c r="AHB26" i="7" s="1"/>
  <c r="AHB27" i="7" s="1"/>
  <c r="AHB28" i="7" s="1"/>
  <c r="AHB29" i="7" s="1"/>
  <c r="AHB30" i="7" s="1"/>
  <c r="AHB31" i="7" s="1"/>
  <c r="AHC2" i="6" s="1"/>
  <c r="TQ21" i="7"/>
  <c r="TQ22" i="7" s="1"/>
  <c r="TQ23" i="7" s="1"/>
  <c r="TQ24" i="7" s="1"/>
  <c r="TQ25" i="7" s="1"/>
  <c r="TQ26" i="7" s="1"/>
  <c r="TQ27" i="7" s="1"/>
  <c r="TQ28" i="7" s="1"/>
  <c r="TQ29" i="7" s="1"/>
  <c r="TQ30" i="7" s="1"/>
  <c r="TQ31" i="7" s="1"/>
  <c r="TR2" i="6" s="1"/>
  <c r="ADB23" i="7"/>
  <c r="ADB24" i="7" s="1"/>
  <c r="ADB25" i="7" s="1"/>
  <c r="ADB26" i="7" s="1"/>
  <c r="ADB27" i="7" s="1"/>
  <c r="ADB28" i="7" s="1"/>
  <c r="ADB29" i="7" s="1"/>
  <c r="ADB30" i="7" s="1"/>
  <c r="ADB31" i="7" s="1"/>
  <c r="ADC2" i="6" s="1"/>
  <c r="YN21" i="7"/>
  <c r="YN22" i="7" s="1"/>
  <c r="YN23" i="7" s="1"/>
  <c r="YN24" i="7" s="1"/>
  <c r="YN25" i="7" s="1"/>
  <c r="YN26" i="7" s="1"/>
  <c r="YN27" i="7" s="1"/>
  <c r="YN28" i="7" s="1"/>
  <c r="YN29" i="7" s="1"/>
  <c r="YN30" i="7" s="1"/>
  <c r="YN31" i="7" s="1"/>
  <c r="YO2" i="6" s="1"/>
  <c r="AJI23" i="7"/>
  <c r="XZ21" i="7"/>
  <c r="XZ22" i="7" s="1"/>
  <c r="XZ23" i="7" s="1"/>
  <c r="XZ24" i="7" s="1"/>
  <c r="XZ25" i="7" s="1"/>
  <c r="XZ26" i="7" s="1"/>
  <c r="XZ27" i="7" s="1"/>
  <c r="XZ28" i="7" s="1"/>
  <c r="XZ29" i="7" s="1"/>
  <c r="XZ30" i="7" s="1"/>
  <c r="XZ31" i="7" s="1"/>
  <c r="YA2" i="6" s="1"/>
  <c r="ZO21" i="7"/>
  <c r="ZO22" i="7" s="1"/>
  <c r="ZO23" i="7" s="1"/>
  <c r="ZO24" i="7" s="1"/>
  <c r="ZO25" i="7" s="1"/>
  <c r="ZO26" i="7" s="1"/>
  <c r="ZO27" i="7" s="1"/>
  <c r="ZO28" i="7" s="1"/>
  <c r="ZO29" i="7" s="1"/>
  <c r="ZO30" i="7" s="1"/>
  <c r="ZO31" i="7" s="1"/>
  <c r="ZP2" i="6" s="1"/>
  <c r="AGT21" i="7"/>
  <c r="AGT22" i="7" s="1"/>
  <c r="AGT23" i="7" s="1"/>
  <c r="AGT24" i="7" s="1"/>
  <c r="AGT25" i="7" s="1"/>
  <c r="AGT26" i="7" s="1"/>
  <c r="AGT27" i="7" s="1"/>
  <c r="AGT28" i="7" s="1"/>
  <c r="AGT29" i="7" s="1"/>
  <c r="AGT30" i="7" s="1"/>
  <c r="AGT31" i="7" s="1"/>
  <c r="AGU2" i="6" s="1"/>
  <c r="AGL21" i="7"/>
  <c r="AGL22" i="7" s="1"/>
  <c r="AGL23" i="7" s="1"/>
  <c r="AGL24" i="7" s="1"/>
  <c r="AGL25" i="7" s="1"/>
  <c r="AGL26" i="7" s="1"/>
  <c r="AGL27" i="7" s="1"/>
  <c r="AGL28" i="7" s="1"/>
  <c r="AGL29" i="7" s="1"/>
  <c r="AGL30" i="7" s="1"/>
  <c r="AGL31" i="7" s="1"/>
  <c r="AGM2" i="6" s="1"/>
  <c r="RG21" i="7"/>
  <c r="RG22" i="7" s="1"/>
  <c r="RG23" i="7" s="1"/>
  <c r="RG24" i="7" s="1"/>
  <c r="RG25" i="7" s="1"/>
  <c r="RG26" i="7" s="1"/>
  <c r="RG27" i="7" s="1"/>
  <c r="RG28" i="7" s="1"/>
  <c r="RG29" i="7" s="1"/>
  <c r="RG30" i="7" s="1"/>
  <c r="RG31" i="7" s="1"/>
  <c r="RH2" i="6" s="1"/>
  <c r="J22" i="7"/>
  <c r="J23" i="7" s="1"/>
  <c r="J24" i="7" s="1"/>
  <c r="J25" i="7" s="1"/>
  <c r="J26" i="7" s="1"/>
  <c r="J27" i="7" s="1"/>
  <c r="J28" i="7" s="1"/>
  <c r="J29" i="7" s="1"/>
  <c r="J30" i="7" s="1"/>
  <c r="J31" i="7" s="1"/>
  <c r="K2" i="6" s="1"/>
  <c r="AIL21" i="7"/>
  <c r="AIL22" i="7" s="1"/>
  <c r="AIL23" i="7" s="1"/>
  <c r="AIL24" i="7" s="1"/>
  <c r="AIL25" i="7" s="1"/>
  <c r="AIL26" i="7" s="1"/>
  <c r="AIL27" i="7" s="1"/>
  <c r="AIL28" i="7" s="1"/>
  <c r="AIL29" i="7" s="1"/>
  <c r="AIL30" i="7" s="1"/>
  <c r="AIL31" i="7" s="1"/>
  <c r="AIM2" i="6" s="1"/>
  <c r="RZ22" i="7"/>
  <c r="RZ23" i="7" s="1"/>
  <c r="RZ24" i="7" s="1"/>
  <c r="RZ25" i="7" s="1"/>
  <c r="RZ26" i="7" s="1"/>
  <c r="RZ27" i="7" s="1"/>
  <c r="RZ28" i="7" s="1"/>
  <c r="RZ29" i="7" s="1"/>
  <c r="RZ30" i="7" s="1"/>
  <c r="RZ31" i="7" s="1"/>
  <c r="SA2" i="6" s="1"/>
  <c r="RM23" i="7"/>
  <c r="RM24" i="7" s="1"/>
  <c r="RM25" i="7" s="1"/>
  <c r="RM26" i="7" s="1"/>
  <c r="RM27" i="7" s="1"/>
  <c r="RM28" i="7" s="1"/>
  <c r="RM29" i="7" s="1"/>
  <c r="RM30" i="7" s="1"/>
  <c r="RM31" i="7" s="1"/>
  <c r="RN2" i="6" s="1"/>
  <c r="EK22" i="7"/>
  <c r="EK23" i="7" s="1"/>
  <c r="EK24" i="7" s="1"/>
  <c r="EK25" i="7" s="1"/>
  <c r="EK26" i="7" s="1"/>
  <c r="EK27" i="7" s="1"/>
  <c r="EK28" i="7" s="1"/>
  <c r="EK29" i="7" s="1"/>
  <c r="EK30" i="7" s="1"/>
  <c r="EK31" i="7" s="1"/>
  <c r="EL2" i="6" s="1"/>
  <c r="MI21" i="7"/>
  <c r="MI22" i="7" s="1"/>
  <c r="MI23" i="7" s="1"/>
  <c r="MI24" i="7" s="1"/>
  <c r="MI25" i="7" s="1"/>
  <c r="MI26" i="7" s="1"/>
  <c r="MI27" i="7" s="1"/>
  <c r="MI28" i="7" s="1"/>
  <c r="MI29" i="7" s="1"/>
  <c r="MI30" i="7" s="1"/>
  <c r="MI31" i="7" s="1"/>
  <c r="MJ2" i="6" s="1"/>
  <c r="FX21" i="7"/>
  <c r="FX22" i="7" s="1"/>
  <c r="FX23" i="7" s="1"/>
  <c r="FX24" i="7" s="1"/>
  <c r="FX25" i="7" s="1"/>
  <c r="FX26" i="7" s="1"/>
  <c r="FX27" i="7" s="1"/>
  <c r="FX28" i="7" s="1"/>
  <c r="FX29" i="7" s="1"/>
  <c r="FX30" i="7" s="1"/>
  <c r="FX31" i="7" s="1"/>
  <c r="FY2" i="6" s="1"/>
  <c r="AED21" i="7"/>
  <c r="AED22" i="7" s="1"/>
  <c r="AED23" i="7" s="1"/>
  <c r="AED24" i="7" s="1"/>
  <c r="AED25" i="7" s="1"/>
  <c r="AED26" i="7" s="1"/>
  <c r="AED27" i="7" s="1"/>
  <c r="AED28" i="7" s="1"/>
  <c r="AED29" i="7" s="1"/>
  <c r="AED30" i="7" s="1"/>
  <c r="AED31" i="7" s="1"/>
  <c r="AEE2" i="6" s="1"/>
  <c r="ABT21" i="7"/>
  <c r="ABT22" i="7" s="1"/>
  <c r="LR22" i="7"/>
  <c r="LR23" i="7" s="1"/>
  <c r="LR24" i="7" s="1"/>
  <c r="LR25" i="7" s="1"/>
  <c r="LR26" i="7" s="1"/>
  <c r="LR27" i="7" s="1"/>
  <c r="LR28" i="7" s="1"/>
  <c r="LR29" i="7" s="1"/>
  <c r="LR30" i="7" s="1"/>
  <c r="LR31" i="7" s="1"/>
  <c r="LS2" i="6" s="1"/>
  <c r="TC22" i="7"/>
  <c r="TC23" i="7" s="1"/>
  <c r="TC24" i="7" s="1"/>
  <c r="TC25" i="7" s="1"/>
  <c r="TC26" i="7" s="1"/>
  <c r="TC27" i="7" s="1"/>
  <c r="TC28" i="7" s="1"/>
  <c r="TC29" i="7" s="1"/>
  <c r="TC30" i="7" s="1"/>
  <c r="TC31" i="7" s="1"/>
  <c r="TD2" i="6" s="1"/>
  <c r="XK22" i="7"/>
  <c r="XK23" i="7" s="1"/>
  <c r="XK24" i="7" s="1"/>
  <c r="XK25" i="7" s="1"/>
  <c r="XK26" i="7" s="1"/>
  <c r="XK27" i="7" s="1"/>
  <c r="XK28" i="7" s="1"/>
  <c r="XK29" i="7" s="1"/>
  <c r="XK30" i="7" s="1"/>
  <c r="XK31" i="7" s="1"/>
  <c r="XL2" i="6" s="1"/>
  <c r="ACN22" i="7"/>
  <c r="ACN23" i="7" s="1"/>
  <c r="ACN24" i="7" s="1"/>
  <c r="ACN25" i="7" s="1"/>
  <c r="ACN26" i="7" s="1"/>
  <c r="ACN27" i="7" s="1"/>
  <c r="ACN28" i="7" s="1"/>
  <c r="ACN29" i="7" s="1"/>
  <c r="ACN30" i="7" s="1"/>
  <c r="ACN31" i="7" s="1"/>
  <c r="ACO2" i="6" s="1"/>
  <c r="ADT21" i="7"/>
  <c r="ADT22" i="7" s="1"/>
  <c r="ADT23" i="7" s="1"/>
  <c r="ADT24" i="7" s="1"/>
  <c r="ADT25" i="7" s="1"/>
  <c r="ADT26" i="7" s="1"/>
  <c r="ADT27" i="7" s="1"/>
  <c r="ADT28" i="7" s="1"/>
  <c r="ADT29" i="7" s="1"/>
  <c r="ADT30" i="7" s="1"/>
  <c r="ADT31" i="7" s="1"/>
  <c r="ADU2" i="6" s="1"/>
  <c r="MB22" i="7"/>
  <c r="MB23" i="7" s="1"/>
  <c r="MB24" i="7" s="1"/>
  <c r="MB25" i="7" s="1"/>
  <c r="MB26" i="7" s="1"/>
  <c r="MB27" i="7" s="1"/>
  <c r="MB28" i="7" s="1"/>
  <c r="MB29" i="7" s="1"/>
  <c r="MB30" i="7" s="1"/>
  <c r="MB31" i="7" s="1"/>
  <c r="MC2" i="6" s="1"/>
  <c r="ZU21" i="7"/>
  <c r="ZU22" i="7" s="1"/>
  <c r="ZU23" i="7" s="1"/>
  <c r="ZU24" i="7" s="1"/>
  <c r="ZU25" i="7" s="1"/>
  <c r="ZU26" i="7" s="1"/>
  <c r="ZU27" i="7" s="1"/>
  <c r="ZU28" i="7" s="1"/>
  <c r="ZU29" i="7" s="1"/>
  <c r="ZU30" i="7" s="1"/>
  <c r="ZU31" i="7" s="1"/>
  <c r="ZV2" i="6" s="1"/>
  <c r="PM21" i="7"/>
  <c r="PM22" i="7" s="1"/>
  <c r="PM23" i="7" s="1"/>
  <c r="PM24" i="7" s="1"/>
  <c r="PM25" i="7" s="1"/>
  <c r="PM26" i="7" s="1"/>
  <c r="PM27" i="7" s="1"/>
  <c r="PM28" i="7" s="1"/>
  <c r="PM29" i="7" s="1"/>
  <c r="PM30" i="7" s="1"/>
  <c r="PM31" i="7" s="1"/>
  <c r="PN2" i="6" s="1"/>
  <c r="WX21" i="7"/>
  <c r="WX22" i="7" s="1"/>
  <c r="WX23" i="7" s="1"/>
  <c r="WX24" i="7" s="1"/>
  <c r="WX25" i="7" s="1"/>
  <c r="WX26" i="7" s="1"/>
  <c r="WX27" i="7" s="1"/>
  <c r="WX28" i="7" s="1"/>
  <c r="WX29" i="7" s="1"/>
  <c r="WX30" i="7" s="1"/>
  <c r="WX31" i="7" s="1"/>
  <c r="WY2" i="6" s="1"/>
  <c r="EM22" i="7"/>
  <c r="EM23" i="7" s="1"/>
  <c r="EM24" i="7" s="1"/>
  <c r="EM25" i="7" s="1"/>
  <c r="EM26" i="7" s="1"/>
  <c r="EM27" i="7" s="1"/>
  <c r="EM28" i="7" s="1"/>
  <c r="EM29" i="7" s="1"/>
  <c r="EM30" i="7" s="1"/>
  <c r="EM31" i="7" s="1"/>
  <c r="EN2" i="6" s="1"/>
  <c r="JS22" i="7"/>
  <c r="JS23" i="7" s="1"/>
  <c r="JS24" i="7" s="1"/>
  <c r="JS25" i="7" s="1"/>
  <c r="JS26" i="7" s="1"/>
  <c r="JS27" i="7" s="1"/>
  <c r="JS28" i="7" s="1"/>
  <c r="JS29" i="7" s="1"/>
  <c r="JS30" i="7" s="1"/>
  <c r="JS31" i="7" s="1"/>
  <c r="JT2" i="6" s="1"/>
  <c r="ABU22" i="7"/>
  <c r="ABU23" i="7" s="1"/>
  <c r="ABU24" i="7" s="1"/>
  <c r="ABU25" i="7" s="1"/>
  <c r="ABU26" i="7" s="1"/>
  <c r="ABU27" i="7" s="1"/>
  <c r="ABU28" i="7" s="1"/>
  <c r="ABU29" i="7" s="1"/>
  <c r="ABU30" i="7" s="1"/>
  <c r="ABU31" i="7" s="1"/>
  <c r="ABV2" i="6" s="1"/>
  <c r="OQ21" i="7"/>
  <c r="OQ22" i="7" s="1"/>
  <c r="OQ23" i="7" s="1"/>
  <c r="OQ24" i="7" s="1"/>
  <c r="OQ25" i="7" s="1"/>
  <c r="OQ26" i="7" s="1"/>
  <c r="OQ27" i="7" s="1"/>
  <c r="OQ28" i="7" s="1"/>
  <c r="OQ29" i="7" s="1"/>
  <c r="OQ30" i="7" s="1"/>
  <c r="OQ31" i="7" s="1"/>
  <c r="OR2" i="6" s="1"/>
  <c r="NC21" i="7"/>
  <c r="NC22" i="7" s="1"/>
  <c r="NC23" i="7" s="1"/>
  <c r="NC24" i="7" s="1"/>
  <c r="NC25" i="7" s="1"/>
  <c r="NC26" i="7" s="1"/>
  <c r="NC27" i="7" s="1"/>
  <c r="NC28" i="7" s="1"/>
  <c r="NC29" i="7" s="1"/>
  <c r="NC30" i="7" s="1"/>
  <c r="NC31" i="7" s="1"/>
  <c r="ND2" i="6" s="1"/>
  <c r="NA22" i="7"/>
  <c r="NA23" i="7" s="1"/>
  <c r="NA24" i="7" s="1"/>
  <c r="NA25" i="7" s="1"/>
  <c r="NA26" i="7" s="1"/>
  <c r="NA27" i="7" s="1"/>
  <c r="NA28" i="7" s="1"/>
  <c r="NA29" i="7" s="1"/>
  <c r="NA30" i="7" s="1"/>
  <c r="NA31" i="7" s="1"/>
  <c r="NB2" i="6" s="1"/>
  <c r="MT21" i="7"/>
  <c r="MT22" i="7" s="1"/>
  <c r="MT23" i="7" s="1"/>
  <c r="MT24" i="7" s="1"/>
  <c r="MT25" i="7" s="1"/>
  <c r="MT26" i="7" s="1"/>
  <c r="MT27" i="7" s="1"/>
  <c r="MT28" i="7" s="1"/>
  <c r="MT29" i="7" s="1"/>
  <c r="MT30" i="7" s="1"/>
  <c r="MT31" i="7" s="1"/>
  <c r="MU2" i="6" s="1"/>
  <c r="ALB21" i="7"/>
  <c r="ALB22" i="7" s="1"/>
  <c r="ALB23" i="7" s="1"/>
  <c r="ALB24" i="7" s="1"/>
  <c r="ALB25" i="7" s="1"/>
  <c r="ALB26" i="7" s="1"/>
  <c r="ALB27" i="7" s="1"/>
  <c r="ALB28" i="7" s="1"/>
  <c r="ALB29" i="7" s="1"/>
  <c r="ALB30" i="7" s="1"/>
  <c r="ALB31" i="7" s="1"/>
  <c r="ALC2" i="6" s="1"/>
  <c r="BM22" i="7"/>
  <c r="BM23" i="7" s="1"/>
  <c r="BM24" i="7" s="1"/>
  <c r="BM25" i="7" s="1"/>
  <c r="BM26" i="7" s="1"/>
  <c r="BM27" i="7" s="1"/>
  <c r="BM28" i="7" s="1"/>
  <c r="BM29" i="7" s="1"/>
  <c r="BM30" i="7" s="1"/>
  <c r="BM31" i="7" s="1"/>
  <c r="BN2" i="6" s="1"/>
  <c r="ID22" i="7"/>
  <c r="ID23" i="7" s="1"/>
  <c r="ID24" i="7" s="1"/>
  <c r="ID25" i="7" s="1"/>
  <c r="ID26" i="7" s="1"/>
  <c r="ID27" i="7" s="1"/>
  <c r="ID28" i="7" s="1"/>
  <c r="ID29" i="7" s="1"/>
  <c r="ID30" i="7" s="1"/>
  <c r="ID31" i="7" s="1"/>
  <c r="IE2" i="6" s="1"/>
  <c r="AKZ21" i="7"/>
  <c r="AKZ22" i="7" s="1"/>
  <c r="AKZ23" i="7" s="1"/>
  <c r="AKZ24" i="7" s="1"/>
  <c r="AKZ25" i="7" s="1"/>
  <c r="AKZ26" i="7" s="1"/>
  <c r="AKZ27" i="7" s="1"/>
  <c r="AKZ28" i="7" s="1"/>
  <c r="AKZ29" i="7" s="1"/>
  <c r="AKZ30" i="7" s="1"/>
  <c r="AKZ31" i="7" s="1"/>
  <c r="ALA2" i="6" s="1"/>
  <c r="XC21" i="7"/>
  <c r="XC22" i="7" s="1"/>
  <c r="XC23" i="7" s="1"/>
  <c r="XC24" i="7" s="1"/>
  <c r="XC25" i="7" s="1"/>
  <c r="XC26" i="7" s="1"/>
  <c r="XC27" i="7" s="1"/>
  <c r="XC28" i="7" s="1"/>
  <c r="XC29" i="7" s="1"/>
  <c r="XC30" i="7" s="1"/>
  <c r="XC31" i="7" s="1"/>
  <c r="XD2" i="6" s="1"/>
  <c r="ALI21" i="7"/>
  <c r="ALI22" i="7" s="1"/>
  <c r="ALI23" i="7" s="1"/>
  <c r="ALI24" i="7" s="1"/>
  <c r="ALI25" i="7" s="1"/>
  <c r="ALI26" i="7" s="1"/>
  <c r="ALI27" i="7" s="1"/>
  <c r="ALI28" i="7" s="1"/>
  <c r="ALI29" i="7" s="1"/>
  <c r="ALI30" i="7" s="1"/>
  <c r="ALI31" i="7" s="1"/>
  <c r="ALJ2" i="6" s="1"/>
  <c r="XA21" i="7"/>
  <c r="XA22" i="7" s="1"/>
  <c r="XA23" i="7" s="1"/>
  <c r="XA24" i="7" s="1"/>
  <c r="XA25" i="7" s="1"/>
  <c r="XA26" i="7" s="1"/>
  <c r="XA27" i="7" s="1"/>
  <c r="XA28" i="7" s="1"/>
  <c r="XA29" i="7" s="1"/>
  <c r="XA30" i="7" s="1"/>
  <c r="XA31" i="7" s="1"/>
  <c r="XB2" i="6" s="1"/>
  <c r="RC21" i="7"/>
  <c r="RC22" i="7" s="1"/>
  <c r="RC23" i="7" s="1"/>
  <c r="RC24" i="7" s="1"/>
  <c r="RC25" i="7" s="1"/>
  <c r="RC26" i="7" s="1"/>
  <c r="RC27" i="7" s="1"/>
  <c r="RC28" i="7" s="1"/>
  <c r="RC29" i="7" s="1"/>
  <c r="RC30" i="7" s="1"/>
  <c r="RC31" i="7" s="1"/>
  <c r="RD2" i="6" s="1"/>
  <c r="ADO21" i="7"/>
  <c r="ADO22" i="7" s="1"/>
  <c r="ADO23" i="7" s="1"/>
  <c r="ADO24" i="7" s="1"/>
  <c r="ADO25" i="7" s="1"/>
  <c r="ADO26" i="7" s="1"/>
  <c r="ADO27" i="7" s="1"/>
  <c r="ADO28" i="7" s="1"/>
  <c r="ADO29" i="7" s="1"/>
  <c r="ADO30" i="7" s="1"/>
  <c r="ADO31" i="7" s="1"/>
  <c r="ADP2" i="6" s="1"/>
  <c r="JD22" i="7"/>
  <c r="JD23" i="7" s="1"/>
  <c r="JD24" i="7" s="1"/>
  <c r="JD25" i="7" s="1"/>
  <c r="JD26" i="7" s="1"/>
  <c r="JD27" i="7" s="1"/>
  <c r="JD28" i="7" s="1"/>
  <c r="JD29" i="7" s="1"/>
  <c r="JD30" i="7" s="1"/>
  <c r="JD31" i="7" s="1"/>
  <c r="JE2" i="6" s="1"/>
  <c r="EX21" i="7"/>
  <c r="EX22" i="7" s="1"/>
  <c r="EX23" i="7" s="1"/>
  <c r="EX24" i="7" s="1"/>
  <c r="EX25" i="7" s="1"/>
  <c r="EX26" i="7" s="1"/>
  <c r="EX27" i="7" s="1"/>
  <c r="EX28" i="7" s="1"/>
  <c r="EX29" i="7" s="1"/>
  <c r="EX30" i="7" s="1"/>
  <c r="EX31" i="7" s="1"/>
  <c r="EY2" i="6" s="1"/>
  <c r="AEH22" i="7"/>
  <c r="AEH23" i="7" s="1"/>
  <c r="AEH24" i="7" s="1"/>
  <c r="AEH25" i="7" s="1"/>
  <c r="AEH26" i="7" s="1"/>
  <c r="AEH27" i="7" s="1"/>
  <c r="AEH28" i="7" s="1"/>
  <c r="AEH29" i="7" s="1"/>
  <c r="AEH30" i="7" s="1"/>
  <c r="AEH31" i="7" s="1"/>
  <c r="AEI2" i="6" s="1"/>
  <c r="EA22" i="7"/>
  <c r="EA23" i="7" s="1"/>
  <c r="EA24" i="7" s="1"/>
  <c r="EA25" i="7" s="1"/>
  <c r="EA26" i="7" s="1"/>
  <c r="EA27" i="7" s="1"/>
  <c r="EA28" i="7" s="1"/>
  <c r="EA29" i="7" s="1"/>
  <c r="EA30" i="7" s="1"/>
  <c r="EA31" i="7" s="1"/>
  <c r="EB2" i="6" s="1"/>
  <c r="HI21" i="7"/>
  <c r="HI22" i="7" s="1"/>
  <c r="HI23" i="7" s="1"/>
  <c r="HI24" i="7" s="1"/>
  <c r="HI25" i="7" s="1"/>
  <c r="HI26" i="7" s="1"/>
  <c r="HI27" i="7" s="1"/>
  <c r="HI28" i="7" s="1"/>
  <c r="HI29" i="7" s="1"/>
  <c r="HI30" i="7" s="1"/>
  <c r="HI31" i="7" s="1"/>
  <c r="HJ2" i="6" s="1"/>
  <c r="LH21" i="7"/>
  <c r="LH22" i="7" s="1"/>
  <c r="LH23" i="7" s="1"/>
  <c r="LH24" i="7" s="1"/>
  <c r="LH25" i="7" s="1"/>
  <c r="LH26" i="7" s="1"/>
  <c r="LH27" i="7" s="1"/>
  <c r="LH28" i="7" s="1"/>
  <c r="LH29" i="7" s="1"/>
  <c r="LH30" i="7" s="1"/>
  <c r="LH31" i="7" s="1"/>
  <c r="LI2" i="6" s="1"/>
  <c r="R21" i="7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S2" i="6" s="1"/>
  <c r="HL21" i="7"/>
  <c r="DY21" i="7"/>
  <c r="DY22" i="7" s="1"/>
  <c r="DY23" i="7" s="1"/>
  <c r="DY24" i="7" s="1"/>
  <c r="DY25" i="7" s="1"/>
  <c r="DY26" i="7" s="1"/>
  <c r="DY27" i="7" s="1"/>
  <c r="DY28" i="7" s="1"/>
  <c r="DY29" i="7" s="1"/>
  <c r="DY30" i="7" s="1"/>
  <c r="DY31" i="7" s="1"/>
  <c r="DZ2" i="6" s="1"/>
  <c r="AHD21" i="7"/>
  <c r="AHD22" i="7" s="1"/>
  <c r="AHD23" i="7" s="1"/>
  <c r="AHD24" i="7" s="1"/>
  <c r="AHD25" i="7" s="1"/>
  <c r="AHD26" i="7" s="1"/>
  <c r="AHD27" i="7" s="1"/>
  <c r="AHD28" i="7" s="1"/>
  <c r="AHD29" i="7" s="1"/>
  <c r="AHD30" i="7" s="1"/>
  <c r="AHD31" i="7" s="1"/>
  <c r="AHE2" i="6" s="1"/>
  <c r="ACK21" i="7"/>
  <c r="ACK22" i="7" s="1"/>
  <c r="ACK23" i="7" s="1"/>
  <c r="ACK24" i="7" s="1"/>
  <c r="ACK25" i="7" s="1"/>
  <c r="ACK26" i="7" s="1"/>
  <c r="ACK27" i="7" s="1"/>
  <c r="ACK28" i="7" s="1"/>
  <c r="ACK29" i="7" s="1"/>
  <c r="ACK30" i="7" s="1"/>
  <c r="ACK31" i="7" s="1"/>
  <c r="ACL2" i="6" s="1"/>
  <c r="AFW21" i="7"/>
  <c r="AFW22" i="7" s="1"/>
  <c r="AFW23" i="7" s="1"/>
  <c r="AFW24" i="7" s="1"/>
  <c r="AFW25" i="7" s="1"/>
  <c r="AFW26" i="7" s="1"/>
  <c r="AFW27" i="7" s="1"/>
  <c r="AFW28" i="7" s="1"/>
  <c r="AFW29" i="7" s="1"/>
  <c r="AFW30" i="7" s="1"/>
  <c r="AFW31" i="7" s="1"/>
  <c r="AFX2" i="6" s="1"/>
  <c r="IY21" i="7"/>
  <c r="IY22" i="7" s="1"/>
  <c r="IY23" i="7" s="1"/>
  <c r="IY24" i="7" s="1"/>
  <c r="IY25" i="7" s="1"/>
  <c r="IY26" i="7" s="1"/>
  <c r="IY27" i="7" s="1"/>
  <c r="IY28" i="7" s="1"/>
  <c r="IY29" i="7" s="1"/>
  <c r="IY30" i="7" s="1"/>
  <c r="IY31" i="7" s="1"/>
  <c r="IZ2" i="6" s="1"/>
  <c r="VB21" i="7"/>
  <c r="VB22" i="7" s="1"/>
  <c r="VB23" i="7" s="1"/>
  <c r="VB24" i="7" s="1"/>
  <c r="VB25" i="7" s="1"/>
  <c r="VB26" i="7" s="1"/>
  <c r="VB27" i="7" s="1"/>
  <c r="VB28" i="7" s="1"/>
  <c r="VB29" i="7" s="1"/>
  <c r="VB30" i="7" s="1"/>
  <c r="VB31" i="7" s="1"/>
  <c r="VC2" i="6" s="1"/>
  <c r="FP21" i="7"/>
  <c r="FP22" i="7" s="1"/>
  <c r="FP23" i="7" s="1"/>
  <c r="FP24" i="7" s="1"/>
  <c r="FP25" i="7" s="1"/>
  <c r="FP26" i="7" s="1"/>
  <c r="FP27" i="7" s="1"/>
  <c r="FP28" i="7" s="1"/>
  <c r="FP29" i="7" s="1"/>
  <c r="FP30" i="7" s="1"/>
  <c r="FP31" i="7" s="1"/>
  <c r="FQ2" i="6" s="1"/>
  <c r="SH22" i="7"/>
  <c r="SH23" i="7" s="1"/>
  <c r="SH24" i="7" s="1"/>
  <c r="SH25" i="7" s="1"/>
  <c r="SH26" i="7" s="1"/>
  <c r="SH27" i="7" s="1"/>
  <c r="SH28" i="7" s="1"/>
  <c r="SH29" i="7" s="1"/>
  <c r="SH30" i="7" s="1"/>
  <c r="SH31" i="7" s="1"/>
  <c r="SI2" i="6" s="1"/>
  <c r="CF21" i="7"/>
  <c r="CF22" i="7" s="1"/>
  <c r="CF23" i="7" s="1"/>
  <c r="CF24" i="7" s="1"/>
  <c r="CF25" i="7" s="1"/>
  <c r="CF26" i="7" s="1"/>
  <c r="CF27" i="7" s="1"/>
  <c r="CF28" i="7" s="1"/>
  <c r="CF29" i="7" s="1"/>
  <c r="CF30" i="7" s="1"/>
  <c r="CF31" i="7" s="1"/>
  <c r="CG2" i="6" s="1"/>
  <c r="QD21" i="7"/>
  <c r="QD22" i="7" s="1"/>
  <c r="QD23" i="7" s="1"/>
  <c r="QD24" i="7" s="1"/>
  <c r="QD25" i="7" s="1"/>
  <c r="QD26" i="7" s="1"/>
  <c r="QD27" i="7" s="1"/>
  <c r="QD28" i="7" s="1"/>
  <c r="QD29" i="7" s="1"/>
  <c r="QD30" i="7" s="1"/>
  <c r="QD31" i="7" s="1"/>
  <c r="QE2" i="6" s="1"/>
  <c r="Y21" i="7"/>
  <c r="Y22" i="7" s="1"/>
  <c r="Y23" i="7" s="1"/>
  <c r="Y24" i="7" s="1"/>
  <c r="Y25" i="7" s="1"/>
  <c r="Y26" i="7" s="1"/>
  <c r="Y27" i="7" s="1"/>
  <c r="Y28" i="7" s="1"/>
  <c r="Y29" i="7" s="1"/>
  <c r="Y30" i="7" s="1"/>
  <c r="Y31" i="7" s="1"/>
  <c r="Z2" i="6" s="1"/>
  <c r="AI21" i="7"/>
  <c r="AI22" i="7" s="1"/>
  <c r="AI23" i="7" s="1"/>
  <c r="AI24" i="7" s="1"/>
  <c r="AI25" i="7" s="1"/>
  <c r="AI26" i="7" s="1"/>
  <c r="AI27" i="7" s="1"/>
  <c r="AI28" i="7" s="1"/>
  <c r="AI29" i="7" s="1"/>
  <c r="AI30" i="7" s="1"/>
  <c r="AI31" i="7" s="1"/>
  <c r="AJ2" i="6" s="1"/>
  <c r="UV21" i="7"/>
  <c r="UV22" i="7" s="1"/>
  <c r="UV23" i="7" s="1"/>
  <c r="UV24" i="7" s="1"/>
  <c r="UV25" i="7" s="1"/>
  <c r="UV26" i="7" s="1"/>
  <c r="UV27" i="7" s="1"/>
  <c r="UV28" i="7" s="1"/>
  <c r="UV29" i="7" s="1"/>
  <c r="UV30" i="7" s="1"/>
  <c r="UV31" i="7" s="1"/>
  <c r="UW2" i="6" s="1"/>
  <c r="AEU21" i="7"/>
  <c r="AEU22" i="7" s="1"/>
  <c r="AEU23" i="7" s="1"/>
  <c r="AEU24" i="7" s="1"/>
  <c r="AEU25" i="7" s="1"/>
  <c r="AEU26" i="7" s="1"/>
  <c r="AEU27" i="7" s="1"/>
  <c r="AEU28" i="7" s="1"/>
  <c r="AEU29" i="7" s="1"/>
  <c r="AEU30" i="7" s="1"/>
  <c r="AEU31" i="7" s="1"/>
  <c r="AEV2" i="6" s="1"/>
  <c r="AF21" i="7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AG2" i="6" s="1"/>
  <c r="AKK21" i="7"/>
  <c r="AKK22" i="7" s="1"/>
  <c r="AKK23" i="7" s="1"/>
  <c r="AKK24" i="7" s="1"/>
  <c r="AKK25" i="7" s="1"/>
  <c r="AKK26" i="7" s="1"/>
  <c r="AKK27" i="7" s="1"/>
  <c r="AKK28" i="7" s="1"/>
  <c r="AKK29" i="7" s="1"/>
  <c r="AKK30" i="7" s="1"/>
  <c r="AKK31" i="7" s="1"/>
  <c r="AKL2" i="6" s="1"/>
  <c r="KJ21" i="7"/>
  <c r="KJ22" i="7" s="1"/>
  <c r="KJ23" i="7" s="1"/>
  <c r="KJ24" i="7" s="1"/>
  <c r="KJ25" i="7" s="1"/>
  <c r="KJ26" i="7" s="1"/>
  <c r="KJ27" i="7" s="1"/>
  <c r="KJ28" i="7" s="1"/>
  <c r="KJ29" i="7" s="1"/>
  <c r="KJ30" i="7" s="1"/>
  <c r="KJ31" i="7" s="1"/>
  <c r="KK2" i="6" s="1"/>
  <c r="SO21" i="7"/>
  <c r="SO22" i="7" s="1"/>
  <c r="SO23" i="7" s="1"/>
  <c r="SO24" i="7" s="1"/>
  <c r="SO25" i="7" s="1"/>
  <c r="SO26" i="7" s="1"/>
  <c r="SO27" i="7" s="1"/>
  <c r="SO28" i="7" s="1"/>
  <c r="SO29" i="7" s="1"/>
  <c r="SO30" i="7" s="1"/>
  <c r="SO31" i="7" s="1"/>
  <c r="SP2" i="6" s="1"/>
  <c r="YR21" i="7"/>
  <c r="AIT21" i="7"/>
  <c r="AIT22" i="7" s="1"/>
  <c r="AIT23" i="7" s="1"/>
  <c r="AIT24" i="7" s="1"/>
  <c r="AIT25" i="7" s="1"/>
  <c r="AIT26" i="7" s="1"/>
  <c r="AIT27" i="7" s="1"/>
  <c r="AIT28" i="7" s="1"/>
  <c r="AIT29" i="7" s="1"/>
  <c r="AIT30" i="7" s="1"/>
  <c r="AIT31" i="7" s="1"/>
  <c r="AIU2" i="6" s="1"/>
  <c r="AGG22" i="7"/>
  <c r="AGG23" i="7" s="1"/>
  <c r="AGG24" i="7" s="1"/>
  <c r="AGG25" i="7" s="1"/>
  <c r="AGG26" i="7" s="1"/>
  <c r="AGG27" i="7" s="1"/>
  <c r="AGG28" i="7" s="1"/>
  <c r="AGG29" i="7" s="1"/>
  <c r="AGG30" i="7" s="1"/>
  <c r="AGG31" i="7" s="1"/>
  <c r="AGH2" i="6" s="1"/>
  <c r="FJ21" i="7"/>
  <c r="FJ22" i="7" s="1"/>
  <c r="FJ23" i="7" s="1"/>
  <c r="FJ24" i="7" s="1"/>
  <c r="FJ25" i="7" s="1"/>
  <c r="FJ26" i="7" s="1"/>
  <c r="FJ27" i="7" s="1"/>
  <c r="FJ28" i="7" s="1"/>
  <c r="FJ29" i="7" s="1"/>
  <c r="FJ30" i="7" s="1"/>
  <c r="FJ31" i="7" s="1"/>
  <c r="FK2" i="6" s="1"/>
  <c r="AKF21" i="7"/>
  <c r="AKF22" i="7" s="1"/>
  <c r="AKF23" i="7" s="1"/>
  <c r="AKF24" i="7" s="1"/>
  <c r="AKF25" i="7" s="1"/>
  <c r="AKF26" i="7" s="1"/>
  <c r="AKF27" i="7" s="1"/>
  <c r="AKF28" i="7" s="1"/>
  <c r="AKF29" i="7" s="1"/>
  <c r="AKF30" i="7" s="1"/>
  <c r="AKF31" i="7" s="1"/>
  <c r="AKG2" i="6" s="1"/>
  <c r="GS22" i="7"/>
  <c r="MO21" i="7"/>
  <c r="ZG21" i="7"/>
  <c r="AIB21" i="7"/>
  <c r="WC21" i="7"/>
  <c r="OF21" i="7"/>
  <c r="RU21" i="7"/>
  <c r="RU22" i="7" s="1"/>
  <c r="PX21" i="7"/>
  <c r="PX22" i="7" s="1"/>
  <c r="PX23" i="7" s="1"/>
  <c r="PX24" i="7" s="1"/>
  <c r="PX25" i="7" s="1"/>
  <c r="PX26" i="7" s="1"/>
  <c r="PX27" i="7" s="1"/>
  <c r="PX28" i="7" s="1"/>
  <c r="PX29" i="7" s="1"/>
  <c r="PX30" i="7" s="1"/>
  <c r="PX31" i="7" s="1"/>
  <c r="PY2" i="6" s="1"/>
  <c r="FZ21" i="7"/>
  <c r="FZ22" i="7" s="1"/>
  <c r="FZ23" i="7" s="1"/>
  <c r="AAK21" i="7"/>
  <c r="AHJ21" i="7"/>
  <c r="CS21" i="7"/>
  <c r="CS22" i="7" s="1"/>
  <c r="DH21" i="7"/>
  <c r="XQ21" i="7"/>
  <c r="AGF21" i="7"/>
  <c r="AGF22" i="7" s="1"/>
  <c r="AGF23" i="7" s="1"/>
  <c r="AGF24" i="7" s="1"/>
  <c r="AGF25" i="7" s="1"/>
  <c r="AGF26" i="7" s="1"/>
  <c r="AGF27" i="7" s="1"/>
  <c r="AGF28" i="7" s="1"/>
  <c r="AGF29" i="7" s="1"/>
  <c r="AGF30" i="7" s="1"/>
  <c r="AGF31" i="7" s="1"/>
  <c r="AGG2" i="6" s="1"/>
  <c r="ALJ21" i="7"/>
  <c r="ALJ22" i="7" s="1"/>
  <c r="ALJ23" i="7" s="1"/>
  <c r="ALJ24" i="7" s="1"/>
  <c r="ALJ25" i="7" s="1"/>
  <c r="ALJ26" i="7" s="1"/>
  <c r="ALJ27" i="7" s="1"/>
  <c r="ALJ28" i="7" s="1"/>
  <c r="ALJ29" i="7" s="1"/>
  <c r="ALJ30" i="7" s="1"/>
  <c r="ALJ31" i="7" s="1"/>
  <c r="ALK2" i="6" s="1"/>
  <c r="ZP21" i="7"/>
  <c r="ZP22" i="7" s="1"/>
  <c r="ZP23" i="7" s="1"/>
  <c r="ZP24" i="7" s="1"/>
  <c r="ZP25" i="7" s="1"/>
  <c r="ZP26" i="7" s="1"/>
  <c r="ZP27" i="7" s="1"/>
  <c r="ZP28" i="7" s="1"/>
  <c r="ZP29" i="7" s="1"/>
  <c r="ZP30" i="7" s="1"/>
  <c r="ZP31" i="7" s="1"/>
  <c r="ZQ2" i="6" s="1"/>
  <c r="AFP22" i="7"/>
  <c r="AFP23" i="7" s="1"/>
  <c r="AFP24" i="7" s="1"/>
  <c r="AFP25" i="7" s="1"/>
  <c r="AFP26" i="7" s="1"/>
  <c r="AFP27" i="7" s="1"/>
  <c r="AFP28" i="7" s="1"/>
  <c r="AFP29" i="7" s="1"/>
  <c r="AFP30" i="7" s="1"/>
  <c r="AFP31" i="7" s="1"/>
  <c r="AFQ2" i="6" s="1"/>
  <c r="AGK22" i="7"/>
  <c r="AGK23" i="7" s="1"/>
  <c r="AGK24" i="7" s="1"/>
  <c r="AGK25" i="7" s="1"/>
  <c r="AGK26" i="7" s="1"/>
  <c r="AGK27" i="7" s="1"/>
  <c r="AGK28" i="7" s="1"/>
  <c r="AGK29" i="7" s="1"/>
  <c r="AGK30" i="7" s="1"/>
  <c r="AGK31" i="7" s="1"/>
  <c r="AGL2" i="6" s="1"/>
  <c r="AIX22" i="7"/>
  <c r="AIX23" i="7" s="1"/>
  <c r="AIX24" i="7" s="1"/>
  <c r="AIX25" i="7" s="1"/>
  <c r="AIX26" i="7" s="1"/>
  <c r="AIX27" i="7" s="1"/>
  <c r="AIX28" i="7" s="1"/>
  <c r="AIX29" i="7" s="1"/>
  <c r="AIX30" i="7" s="1"/>
  <c r="AIX31" i="7" s="1"/>
  <c r="AIY2" i="6" s="1"/>
  <c r="AEC21" i="7"/>
  <c r="AEC22" i="7" s="1"/>
  <c r="AEC23" i="7" s="1"/>
  <c r="AEC24" i="7" s="1"/>
  <c r="AEC25" i="7" s="1"/>
  <c r="AEC26" i="7" s="1"/>
  <c r="AEC27" i="7" s="1"/>
  <c r="AEC28" i="7" s="1"/>
  <c r="AEC29" i="7" s="1"/>
  <c r="AEC30" i="7" s="1"/>
  <c r="AEC31" i="7" s="1"/>
  <c r="AED2" i="6" s="1"/>
  <c r="RF22" i="7"/>
  <c r="RF23" i="7" s="1"/>
  <c r="RF24" i="7" s="1"/>
  <c r="RF25" i="7" s="1"/>
  <c r="RF26" i="7" s="1"/>
  <c r="RF27" i="7" s="1"/>
  <c r="RF28" i="7" s="1"/>
  <c r="RF29" i="7" s="1"/>
  <c r="RF30" i="7" s="1"/>
  <c r="RF31" i="7" s="1"/>
  <c r="RG2" i="6" s="1"/>
  <c r="ADH21" i="7"/>
  <c r="ADH22" i="7" s="1"/>
  <c r="ADH23" i="7" s="1"/>
  <c r="ADH24" i="7" s="1"/>
  <c r="ADH25" i="7" s="1"/>
  <c r="ADH26" i="7" s="1"/>
  <c r="ADH27" i="7" s="1"/>
  <c r="ADH28" i="7" s="1"/>
  <c r="ADH29" i="7" s="1"/>
  <c r="ADH30" i="7" s="1"/>
  <c r="ADH31" i="7" s="1"/>
  <c r="ADI2" i="6" s="1"/>
  <c r="AAB21" i="7"/>
  <c r="AAB22" i="7" s="1"/>
  <c r="AAB23" i="7" s="1"/>
  <c r="AAB24" i="7" s="1"/>
  <c r="AAB25" i="7" s="1"/>
  <c r="AAB26" i="7" s="1"/>
  <c r="AAB27" i="7" s="1"/>
  <c r="AAB28" i="7" s="1"/>
  <c r="AAB29" i="7" s="1"/>
  <c r="AAB30" i="7" s="1"/>
  <c r="AAB31" i="7" s="1"/>
  <c r="AAC2" i="6" s="1"/>
  <c r="CK21" i="7"/>
  <c r="CK22" i="7" s="1"/>
  <c r="CK23" i="7" s="1"/>
  <c r="CK24" i="7" s="1"/>
  <c r="CK25" i="7" s="1"/>
  <c r="CK26" i="7" s="1"/>
  <c r="CK27" i="7" s="1"/>
  <c r="CK28" i="7" s="1"/>
  <c r="CK29" i="7" s="1"/>
  <c r="CK30" i="7" s="1"/>
  <c r="CK31" i="7" s="1"/>
  <c r="CL2" i="6" s="1"/>
  <c r="YP21" i="7"/>
  <c r="YP22" i="7" s="1"/>
  <c r="YP23" i="7" s="1"/>
  <c r="YP24" i="7" s="1"/>
  <c r="YP25" i="7" s="1"/>
  <c r="YP26" i="7" s="1"/>
  <c r="YP27" i="7" s="1"/>
  <c r="YP28" i="7" s="1"/>
  <c r="YP29" i="7" s="1"/>
  <c r="YP30" i="7" s="1"/>
  <c r="YP31" i="7" s="1"/>
  <c r="YQ2" i="6" s="1"/>
  <c r="AJP22" i="7"/>
  <c r="AJP23" i="7" s="1"/>
  <c r="AJP24" i="7" s="1"/>
  <c r="AJP25" i="7" s="1"/>
  <c r="AJP26" i="7" s="1"/>
  <c r="AJP27" i="7" s="1"/>
  <c r="AJP28" i="7" s="1"/>
  <c r="AJP29" i="7" s="1"/>
  <c r="AJP30" i="7" s="1"/>
  <c r="AJP31" i="7" s="1"/>
  <c r="AJQ2" i="6" s="1"/>
  <c r="BY22" i="7"/>
  <c r="BY23" i="7" s="1"/>
  <c r="BY24" i="7" s="1"/>
  <c r="BY25" i="7" s="1"/>
  <c r="BY26" i="7" s="1"/>
  <c r="BY27" i="7" s="1"/>
  <c r="BY28" i="7" s="1"/>
  <c r="BY29" i="7" s="1"/>
  <c r="BY30" i="7" s="1"/>
  <c r="BY31" i="7" s="1"/>
  <c r="BZ2" i="6" s="1"/>
  <c r="AIJ22" i="7"/>
  <c r="AIJ23" i="7" s="1"/>
  <c r="AIJ24" i="7" s="1"/>
  <c r="AIJ25" i="7" s="1"/>
  <c r="AIJ26" i="7" s="1"/>
  <c r="AIJ27" i="7" s="1"/>
  <c r="AIJ28" i="7" s="1"/>
  <c r="AIJ29" i="7" s="1"/>
  <c r="AIJ30" i="7" s="1"/>
  <c r="AIJ31" i="7" s="1"/>
  <c r="AIK2" i="6" s="1"/>
  <c r="YQ21" i="7"/>
  <c r="YQ22" i="7" s="1"/>
  <c r="YQ23" i="7" s="1"/>
  <c r="YQ24" i="7" s="1"/>
  <c r="YQ25" i="7" s="1"/>
  <c r="YQ26" i="7" s="1"/>
  <c r="YQ27" i="7" s="1"/>
  <c r="YQ28" i="7" s="1"/>
  <c r="YQ29" i="7" s="1"/>
  <c r="YQ30" i="7" s="1"/>
  <c r="YQ31" i="7" s="1"/>
  <c r="YR2" i="6" s="1"/>
  <c r="JM22" i="7"/>
  <c r="JM23" i="7" s="1"/>
  <c r="JM24" i="7" s="1"/>
  <c r="JM25" i="7" s="1"/>
  <c r="JM26" i="7" s="1"/>
  <c r="JM27" i="7" s="1"/>
  <c r="JM28" i="7" s="1"/>
  <c r="JM29" i="7" s="1"/>
  <c r="JM30" i="7" s="1"/>
  <c r="JM31" i="7" s="1"/>
  <c r="JN2" i="6" s="1"/>
  <c r="AIP21" i="7"/>
  <c r="AIP22" i="7" s="1"/>
  <c r="AIP23" i="7" s="1"/>
  <c r="AIP24" i="7" s="1"/>
  <c r="AIP25" i="7" s="1"/>
  <c r="AIP26" i="7" s="1"/>
  <c r="AIP27" i="7" s="1"/>
  <c r="AIP28" i="7" s="1"/>
  <c r="AIP29" i="7" s="1"/>
  <c r="AIP30" i="7" s="1"/>
  <c r="AIP31" i="7" s="1"/>
  <c r="AIQ2" i="6" s="1"/>
  <c r="EU21" i="7"/>
  <c r="EU22" i="7" s="1"/>
  <c r="EU23" i="7" s="1"/>
  <c r="EU24" i="7" s="1"/>
  <c r="EU25" i="7" s="1"/>
  <c r="EU26" i="7" s="1"/>
  <c r="EU27" i="7" s="1"/>
  <c r="EU28" i="7" s="1"/>
  <c r="EU29" i="7" s="1"/>
  <c r="EU30" i="7" s="1"/>
  <c r="EU31" i="7" s="1"/>
  <c r="EV2" i="6" s="1"/>
  <c r="AHP21" i="7"/>
  <c r="AHP22" i="7" s="1"/>
  <c r="AHP23" i="7" s="1"/>
  <c r="AHP24" i="7" s="1"/>
  <c r="AHP25" i="7" s="1"/>
  <c r="AHP26" i="7" s="1"/>
  <c r="AHP27" i="7" s="1"/>
  <c r="AHP28" i="7" s="1"/>
  <c r="AHP29" i="7" s="1"/>
  <c r="AHP30" i="7" s="1"/>
  <c r="AHP31" i="7" s="1"/>
  <c r="AHQ2" i="6" s="1"/>
  <c r="YU23" i="7"/>
  <c r="YU24" i="7" s="1"/>
  <c r="YU25" i="7" s="1"/>
  <c r="YU26" i="7" s="1"/>
  <c r="YU27" i="7" s="1"/>
  <c r="YU28" i="7" s="1"/>
  <c r="YU29" i="7" s="1"/>
  <c r="YU30" i="7" s="1"/>
  <c r="YU31" i="7" s="1"/>
  <c r="YV2" i="6" s="1"/>
  <c r="SI22" i="7"/>
  <c r="SI23" i="7" s="1"/>
  <c r="SI24" i="7" s="1"/>
  <c r="SI25" i="7" s="1"/>
  <c r="SI26" i="7" s="1"/>
  <c r="SI27" i="7" s="1"/>
  <c r="SI28" i="7" s="1"/>
  <c r="SI29" i="7" s="1"/>
  <c r="SI30" i="7" s="1"/>
  <c r="SI31" i="7" s="1"/>
  <c r="SJ2" i="6" s="1"/>
  <c r="WT22" i="7"/>
  <c r="WT23" i="7" s="1"/>
  <c r="WT24" i="7" s="1"/>
  <c r="WT25" i="7" s="1"/>
  <c r="WT26" i="7" s="1"/>
  <c r="WT27" i="7" s="1"/>
  <c r="WT28" i="7" s="1"/>
  <c r="WT29" i="7" s="1"/>
  <c r="WT30" i="7" s="1"/>
  <c r="WT31" i="7" s="1"/>
  <c r="WU2" i="6" s="1"/>
  <c r="AAU21" i="7"/>
  <c r="AAU22" i="7" s="1"/>
  <c r="AAU23" i="7" s="1"/>
  <c r="AAU24" i="7" s="1"/>
  <c r="AAU25" i="7" s="1"/>
  <c r="AAU26" i="7" s="1"/>
  <c r="AAU27" i="7" s="1"/>
  <c r="AAU28" i="7" s="1"/>
  <c r="AAU29" i="7" s="1"/>
  <c r="AAU30" i="7" s="1"/>
  <c r="AAU31" i="7" s="1"/>
  <c r="AAV2" i="6" s="1"/>
  <c r="ADX21" i="7"/>
  <c r="ADX22" i="7" s="1"/>
  <c r="ADX23" i="7" s="1"/>
  <c r="ADX24" i="7" s="1"/>
  <c r="ADX25" i="7" s="1"/>
  <c r="ADX26" i="7" s="1"/>
  <c r="ADX27" i="7" s="1"/>
  <c r="ADX28" i="7" s="1"/>
  <c r="ADX29" i="7" s="1"/>
  <c r="ADX30" i="7" s="1"/>
  <c r="ADX31" i="7" s="1"/>
  <c r="ADY2" i="6" s="1"/>
  <c r="AEA21" i="7"/>
  <c r="AEA22" i="7" s="1"/>
  <c r="AEA23" i="7" s="1"/>
  <c r="AEA24" i="7" s="1"/>
  <c r="AEA25" i="7" s="1"/>
  <c r="AEA26" i="7" s="1"/>
  <c r="AEA27" i="7" s="1"/>
  <c r="AEA28" i="7" s="1"/>
  <c r="AEA29" i="7" s="1"/>
  <c r="AEA30" i="7" s="1"/>
  <c r="AEA31" i="7" s="1"/>
  <c r="AEB2" i="6" s="1"/>
  <c r="VN22" i="7"/>
  <c r="VN23" i="7" s="1"/>
  <c r="VN24" i="7" s="1"/>
  <c r="VN25" i="7" s="1"/>
  <c r="VN26" i="7" s="1"/>
  <c r="VN27" i="7" s="1"/>
  <c r="VN28" i="7" s="1"/>
  <c r="VN29" i="7" s="1"/>
  <c r="VN30" i="7" s="1"/>
  <c r="VN31" i="7" s="1"/>
  <c r="VO2" i="6" s="1"/>
  <c r="AKD21" i="7"/>
  <c r="AKD22" i="7" s="1"/>
  <c r="AKD23" i="7" s="1"/>
  <c r="AKD24" i="7" s="1"/>
  <c r="AKD25" i="7" s="1"/>
  <c r="AKD26" i="7" s="1"/>
  <c r="AKD27" i="7" s="1"/>
  <c r="AKD28" i="7" s="1"/>
  <c r="AKD29" i="7" s="1"/>
  <c r="AKD30" i="7" s="1"/>
  <c r="AKD31" i="7" s="1"/>
  <c r="AKE2" i="6" s="1"/>
  <c r="RJ21" i="7"/>
  <c r="RJ22" i="7" s="1"/>
  <c r="RJ23" i="7" s="1"/>
  <c r="RJ24" i="7" s="1"/>
  <c r="RJ25" i="7" s="1"/>
  <c r="RJ26" i="7" s="1"/>
  <c r="RJ27" i="7" s="1"/>
  <c r="RJ28" i="7" s="1"/>
  <c r="RJ29" i="7" s="1"/>
  <c r="RJ30" i="7" s="1"/>
  <c r="RJ31" i="7" s="1"/>
  <c r="RK2" i="6" s="1"/>
  <c r="EW21" i="7"/>
  <c r="EW22" i="7" s="1"/>
  <c r="EW23" i="7" s="1"/>
  <c r="EW24" i="7" s="1"/>
  <c r="EW25" i="7" s="1"/>
  <c r="EW26" i="7" s="1"/>
  <c r="EW27" i="7" s="1"/>
  <c r="EW28" i="7" s="1"/>
  <c r="EW29" i="7" s="1"/>
  <c r="EW30" i="7" s="1"/>
  <c r="EW31" i="7" s="1"/>
  <c r="EX2" i="6" s="1"/>
  <c r="AKI22" i="7"/>
  <c r="AKI23" i="7" s="1"/>
  <c r="AKI24" i="7" s="1"/>
  <c r="AKI25" i="7" s="1"/>
  <c r="AKI26" i="7" s="1"/>
  <c r="AKI27" i="7" s="1"/>
  <c r="AKI28" i="7" s="1"/>
  <c r="AKI29" i="7" s="1"/>
  <c r="AKI30" i="7" s="1"/>
  <c r="AKI31" i="7" s="1"/>
  <c r="AKJ2" i="6" s="1"/>
  <c r="GR21" i="7"/>
  <c r="GR22" i="7" s="1"/>
  <c r="GR23" i="7" s="1"/>
  <c r="GR24" i="7" s="1"/>
  <c r="GR25" i="7" s="1"/>
  <c r="GR26" i="7" s="1"/>
  <c r="GR27" i="7" s="1"/>
  <c r="GR28" i="7" s="1"/>
  <c r="GR29" i="7" s="1"/>
  <c r="GR30" i="7" s="1"/>
  <c r="GR31" i="7" s="1"/>
  <c r="GS2" i="6" s="1"/>
  <c r="XS21" i="7"/>
  <c r="XS22" i="7" s="1"/>
  <c r="XS23" i="7" s="1"/>
  <c r="XS24" i="7" s="1"/>
  <c r="XS25" i="7" s="1"/>
  <c r="XS26" i="7" s="1"/>
  <c r="XS27" i="7" s="1"/>
  <c r="XS28" i="7" s="1"/>
  <c r="XS29" i="7" s="1"/>
  <c r="XS30" i="7" s="1"/>
  <c r="XS31" i="7" s="1"/>
  <c r="XT2" i="6" s="1"/>
  <c r="ABK21" i="7"/>
  <c r="ABK22" i="7" s="1"/>
  <c r="ABK23" i="7" s="1"/>
  <c r="ABK24" i="7" s="1"/>
  <c r="ABK25" i="7" s="1"/>
  <c r="ABK26" i="7" s="1"/>
  <c r="ABK27" i="7" s="1"/>
  <c r="ABK28" i="7" s="1"/>
  <c r="ABK29" i="7" s="1"/>
  <c r="ABK30" i="7" s="1"/>
  <c r="ABK31" i="7" s="1"/>
  <c r="ABL2" i="6" s="1"/>
  <c r="XU22" i="7"/>
  <c r="XU23" i="7" s="1"/>
  <c r="XU24" i="7" s="1"/>
  <c r="XU25" i="7" s="1"/>
  <c r="XU26" i="7" s="1"/>
  <c r="XU27" i="7" s="1"/>
  <c r="XU28" i="7" s="1"/>
  <c r="XU29" i="7" s="1"/>
  <c r="XU30" i="7" s="1"/>
  <c r="XU31" i="7" s="1"/>
  <c r="XV2" i="6" s="1"/>
  <c r="DR22" i="7"/>
  <c r="DR23" i="7" s="1"/>
  <c r="DR24" i="7" s="1"/>
  <c r="DR25" i="7" s="1"/>
  <c r="DR26" i="7" s="1"/>
  <c r="DR27" i="7" s="1"/>
  <c r="DR28" i="7" s="1"/>
  <c r="DR29" i="7" s="1"/>
  <c r="DR30" i="7" s="1"/>
  <c r="DR31" i="7" s="1"/>
  <c r="DS2" i="6" s="1"/>
  <c r="ALQ21" i="7"/>
  <c r="ALQ22" i="7" s="1"/>
  <c r="ALQ23" i="7" s="1"/>
  <c r="ALQ24" i="7" s="1"/>
  <c r="ALQ25" i="7" s="1"/>
  <c r="ALQ26" i="7" s="1"/>
  <c r="ALQ27" i="7" s="1"/>
  <c r="ALQ28" i="7" s="1"/>
  <c r="ALQ29" i="7" s="1"/>
  <c r="ALQ30" i="7" s="1"/>
  <c r="ALQ31" i="7" s="1"/>
  <c r="ALR2" i="6" s="1"/>
  <c r="YE22" i="7"/>
  <c r="YE23" i="7" s="1"/>
  <c r="YE24" i="7" s="1"/>
  <c r="YE25" i="7" s="1"/>
  <c r="YE26" i="7" s="1"/>
  <c r="YE27" i="7" s="1"/>
  <c r="YE28" i="7" s="1"/>
  <c r="YE29" i="7" s="1"/>
  <c r="YE30" i="7" s="1"/>
  <c r="YE31" i="7" s="1"/>
  <c r="YF2" i="6" s="1"/>
  <c r="OV21" i="7"/>
  <c r="OV22" i="7" s="1"/>
  <c r="OV23" i="7" s="1"/>
  <c r="OV24" i="7" s="1"/>
  <c r="OV25" i="7" s="1"/>
  <c r="OV26" i="7" s="1"/>
  <c r="OV27" i="7" s="1"/>
  <c r="OV28" i="7" s="1"/>
  <c r="OV29" i="7" s="1"/>
  <c r="OV30" i="7" s="1"/>
  <c r="OV31" i="7" s="1"/>
  <c r="OW2" i="6" s="1"/>
  <c r="ADU21" i="7"/>
  <c r="ADU22" i="7" s="1"/>
  <c r="ADU23" i="7" s="1"/>
  <c r="ADU24" i="7" s="1"/>
  <c r="ADU25" i="7" s="1"/>
  <c r="ADU26" i="7" s="1"/>
  <c r="ADU27" i="7" s="1"/>
  <c r="ADU28" i="7" s="1"/>
  <c r="ADU29" i="7" s="1"/>
  <c r="ADU30" i="7" s="1"/>
  <c r="ADU31" i="7" s="1"/>
  <c r="ADV2" i="6" s="1"/>
  <c r="AV22" i="7"/>
  <c r="AV23" i="7" s="1"/>
  <c r="AV24" i="7" s="1"/>
  <c r="AV25" i="7" s="1"/>
  <c r="AV26" i="7" s="1"/>
  <c r="AV27" i="7" s="1"/>
  <c r="AV28" i="7" s="1"/>
  <c r="AV29" i="7" s="1"/>
  <c r="AV30" i="7" s="1"/>
  <c r="AV31" i="7" s="1"/>
  <c r="AW2" i="6" s="1"/>
  <c r="QC21" i="7"/>
  <c r="QC22" i="7" s="1"/>
  <c r="QC23" i="7" s="1"/>
  <c r="QC24" i="7" s="1"/>
  <c r="QC25" i="7" s="1"/>
  <c r="QC26" i="7" s="1"/>
  <c r="QC27" i="7" s="1"/>
  <c r="QC28" i="7" s="1"/>
  <c r="QC29" i="7" s="1"/>
  <c r="QC30" i="7" s="1"/>
  <c r="QC31" i="7" s="1"/>
  <c r="QD2" i="6" s="1"/>
  <c r="NS21" i="7"/>
  <c r="NS22" i="7" s="1"/>
  <c r="NS23" i="7" s="1"/>
  <c r="NS24" i="7" s="1"/>
  <c r="NS25" i="7" s="1"/>
  <c r="NS26" i="7" s="1"/>
  <c r="NS27" i="7" s="1"/>
  <c r="NS28" i="7" s="1"/>
  <c r="NS29" i="7" s="1"/>
  <c r="NS30" i="7" s="1"/>
  <c r="NS31" i="7" s="1"/>
  <c r="NT2" i="6" s="1"/>
  <c r="JH21" i="7"/>
  <c r="JH22" i="7" s="1"/>
  <c r="JH23" i="7" s="1"/>
  <c r="JH24" i="7" s="1"/>
  <c r="JH25" i="7" s="1"/>
  <c r="JH26" i="7" s="1"/>
  <c r="JH27" i="7" s="1"/>
  <c r="JH28" i="7" s="1"/>
  <c r="JH29" i="7" s="1"/>
  <c r="JH30" i="7" s="1"/>
  <c r="JH31" i="7" s="1"/>
  <c r="JI2" i="6" s="1"/>
  <c r="AKY21" i="7"/>
  <c r="AKY22" i="7" s="1"/>
  <c r="AKY23" i="7" s="1"/>
  <c r="AKY24" i="7" s="1"/>
  <c r="AKY25" i="7" s="1"/>
  <c r="AKY26" i="7" s="1"/>
  <c r="AKY27" i="7" s="1"/>
  <c r="AKY28" i="7" s="1"/>
  <c r="AKY29" i="7" s="1"/>
  <c r="AKY30" i="7" s="1"/>
  <c r="AKY31" i="7" s="1"/>
  <c r="AKZ2" i="6" s="1"/>
  <c r="YX22" i="7"/>
  <c r="YX23" i="7" s="1"/>
  <c r="YX24" i="7" s="1"/>
  <c r="YX25" i="7" s="1"/>
  <c r="YX26" i="7" s="1"/>
  <c r="YX27" i="7" s="1"/>
  <c r="YX28" i="7" s="1"/>
  <c r="YX29" i="7" s="1"/>
  <c r="YX30" i="7" s="1"/>
  <c r="YX31" i="7" s="1"/>
  <c r="YY2" i="6" s="1"/>
  <c r="QP22" i="7"/>
  <c r="QP23" i="7" s="1"/>
  <c r="QP24" i="7" s="1"/>
  <c r="QP25" i="7" s="1"/>
  <c r="QP26" i="7" s="1"/>
  <c r="QP27" i="7" s="1"/>
  <c r="QP28" i="7" s="1"/>
  <c r="QP29" i="7" s="1"/>
  <c r="QP30" i="7" s="1"/>
  <c r="QP31" i="7" s="1"/>
  <c r="QQ2" i="6" s="1"/>
  <c r="V22" i="7"/>
  <c r="V23" i="7" s="1"/>
  <c r="V24" i="7" s="1"/>
  <c r="V25" i="7" s="1"/>
  <c r="V26" i="7" s="1"/>
  <c r="V27" i="7" s="1"/>
  <c r="V28" i="7" s="1"/>
  <c r="V29" i="7" s="1"/>
  <c r="V30" i="7" s="1"/>
  <c r="V31" i="7" s="1"/>
  <c r="W2" i="6" s="1"/>
  <c r="OL21" i="7"/>
  <c r="OL22" i="7" s="1"/>
  <c r="OL23" i="7" s="1"/>
  <c r="OL24" i="7" s="1"/>
  <c r="OL25" i="7" s="1"/>
  <c r="OL26" i="7" s="1"/>
  <c r="OL27" i="7" s="1"/>
  <c r="OL28" i="7" s="1"/>
  <c r="OL29" i="7" s="1"/>
  <c r="OL30" i="7" s="1"/>
  <c r="OL31" i="7" s="1"/>
  <c r="OM2" i="6" s="1"/>
  <c r="ADS22" i="7"/>
  <c r="ADS23" i="7" s="1"/>
  <c r="ADS24" i="7" s="1"/>
  <c r="ADS25" i="7" s="1"/>
  <c r="ADS26" i="7" s="1"/>
  <c r="ADS27" i="7" s="1"/>
  <c r="ADS28" i="7" s="1"/>
  <c r="ADS29" i="7" s="1"/>
  <c r="ADS30" i="7" s="1"/>
  <c r="ADS31" i="7" s="1"/>
  <c r="ADT2" i="6" s="1"/>
  <c r="AAJ22" i="7"/>
  <c r="AAJ23" i="7" s="1"/>
  <c r="AAJ24" i="7" s="1"/>
  <c r="AAJ25" i="7" s="1"/>
  <c r="AAJ26" i="7" s="1"/>
  <c r="AAJ27" i="7" s="1"/>
  <c r="AAJ28" i="7" s="1"/>
  <c r="AAJ29" i="7" s="1"/>
  <c r="AAJ30" i="7" s="1"/>
  <c r="AAJ31" i="7" s="1"/>
  <c r="AAK2" i="6" s="1"/>
  <c r="LB22" i="7"/>
  <c r="LB23" i="7" s="1"/>
  <c r="LB24" i="7" s="1"/>
  <c r="LB25" i="7" s="1"/>
  <c r="LB26" i="7" s="1"/>
  <c r="LB27" i="7" s="1"/>
  <c r="LB28" i="7" s="1"/>
  <c r="LB29" i="7" s="1"/>
  <c r="LB30" i="7" s="1"/>
  <c r="LB31" i="7" s="1"/>
  <c r="LC2" i="6" s="1"/>
  <c r="GG22" i="7"/>
  <c r="GG23" i="7" s="1"/>
  <c r="GG24" i="7" s="1"/>
  <c r="GG25" i="7" s="1"/>
  <c r="GG26" i="7" s="1"/>
  <c r="GG27" i="7" s="1"/>
  <c r="GG28" i="7" s="1"/>
  <c r="GG29" i="7" s="1"/>
  <c r="GG30" i="7" s="1"/>
  <c r="GG31" i="7" s="1"/>
  <c r="GH2" i="6" s="1"/>
  <c r="VM22" i="7"/>
  <c r="VM23" i="7" s="1"/>
  <c r="VM24" i="7" s="1"/>
  <c r="VM25" i="7" s="1"/>
  <c r="VM26" i="7" s="1"/>
  <c r="VM27" i="7" s="1"/>
  <c r="VM28" i="7" s="1"/>
  <c r="VM29" i="7" s="1"/>
  <c r="VM30" i="7" s="1"/>
  <c r="VM31" i="7" s="1"/>
  <c r="VN2" i="6" s="1"/>
  <c r="EF23" i="7"/>
  <c r="EF24" i="7" s="1"/>
  <c r="EF25" i="7" s="1"/>
  <c r="EF26" i="7" s="1"/>
  <c r="EF27" i="7" s="1"/>
  <c r="EF28" i="7" s="1"/>
  <c r="EF29" i="7" s="1"/>
  <c r="EF30" i="7" s="1"/>
  <c r="EF31" i="7" s="1"/>
  <c r="EG2" i="6" s="1"/>
  <c r="HE22" i="7"/>
  <c r="HE23" i="7" s="1"/>
  <c r="HE24" i="7" s="1"/>
  <c r="HE25" i="7" s="1"/>
  <c r="HE26" i="7" s="1"/>
  <c r="HE27" i="7" s="1"/>
  <c r="HE28" i="7" s="1"/>
  <c r="HE29" i="7" s="1"/>
  <c r="HE30" i="7" s="1"/>
  <c r="HE31" i="7" s="1"/>
  <c r="HF2" i="6" s="1"/>
  <c r="ALK21" i="7"/>
  <c r="ALK22" i="7" s="1"/>
  <c r="ALK23" i="7" s="1"/>
  <c r="ALK24" i="7" s="1"/>
  <c r="ALK25" i="7" s="1"/>
  <c r="ALK26" i="7" s="1"/>
  <c r="ALK27" i="7" s="1"/>
  <c r="ALK28" i="7" s="1"/>
  <c r="ALK29" i="7" s="1"/>
  <c r="ALK30" i="7" s="1"/>
  <c r="ALK31" i="7" s="1"/>
  <c r="ALL2" i="6" s="1"/>
  <c r="BD22" i="7"/>
  <c r="BD23" i="7" s="1"/>
  <c r="BD24" i="7" s="1"/>
  <c r="BD25" i="7" s="1"/>
  <c r="BD26" i="7" s="1"/>
  <c r="BD27" i="7" s="1"/>
  <c r="BD28" i="7" s="1"/>
  <c r="BD29" i="7" s="1"/>
  <c r="BD30" i="7" s="1"/>
  <c r="BD31" i="7" s="1"/>
  <c r="BE2" i="6" s="1"/>
  <c r="ACC21" i="7"/>
  <c r="ACC22" i="7" s="1"/>
  <c r="ACC23" i="7" s="1"/>
  <c r="ACC24" i="7" s="1"/>
  <c r="ACC25" i="7" s="1"/>
  <c r="ACC26" i="7" s="1"/>
  <c r="ACC27" i="7" s="1"/>
  <c r="ACC28" i="7" s="1"/>
  <c r="ACC29" i="7" s="1"/>
  <c r="ACC30" i="7" s="1"/>
  <c r="ACC31" i="7" s="1"/>
  <c r="ACD2" i="6" s="1"/>
  <c r="AN22" i="7"/>
  <c r="AN23" i="7" s="1"/>
  <c r="AN24" i="7" s="1"/>
  <c r="AN25" i="7" s="1"/>
  <c r="AN26" i="7" s="1"/>
  <c r="AN27" i="7" s="1"/>
  <c r="AN28" i="7" s="1"/>
  <c r="AN29" i="7" s="1"/>
  <c r="AN30" i="7" s="1"/>
  <c r="AN31" i="7" s="1"/>
  <c r="AO2" i="6" s="1"/>
  <c r="AFE21" i="7"/>
  <c r="AFE22" i="7" s="1"/>
  <c r="AFE23" i="7" s="1"/>
  <c r="AFE24" i="7" s="1"/>
  <c r="AFE25" i="7" s="1"/>
  <c r="AFE26" i="7" s="1"/>
  <c r="AFE27" i="7" s="1"/>
  <c r="AFE28" i="7" s="1"/>
  <c r="AFE29" i="7" s="1"/>
  <c r="AFE30" i="7" s="1"/>
  <c r="AFE31" i="7" s="1"/>
  <c r="AFF2" i="6" s="1"/>
  <c r="SN21" i="7"/>
  <c r="SN22" i="7" s="1"/>
  <c r="SN23" i="7" s="1"/>
  <c r="SN24" i="7" s="1"/>
  <c r="SN25" i="7" s="1"/>
  <c r="SN26" i="7" s="1"/>
  <c r="SN27" i="7" s="1"/>
  <c r="SN28" i="7" s="1"/>
  <c r="SN29" i="7" s="1"/>
  <c r="SN30" i="7" s="1"/>
  <c r="SN31" i="7" s="1"/>
  <c r="SO2" i="6" s="1"/>
  <c r="VC21" i="7"/>
  <c r="VC22" i="7" s="1"/>
  <c r="VC23" i="7" s="1"/>
  <c r="VC24" i="7" s="1"/>
  <c r="VC25" i="7" s="1"/>
  <c r="VC26" i="7" s="1"/>
  <c r="VC27" i="7" s="1"/>
  <c r="VC28" i="7" s="1"/>
  <c r="VC29" i="7" s="1"/>
  <c r="VC30" i="7" s="1"/>
  <c r="VC31" i="7" s="1"/>
  <c r="VD2" i="6" s="1"/>
  <c r="VL21" i="7"/>
  <c r="VL22" i="7" s="1"/>
  <c r="VL23" i="7" s="1"/>
  <c r="VL24" i="7" s="1"/>
  <c r="VL25" i="7" s="1"/>
  <c r="VL26" i="7" s="1"/>
  <c r="VL27" i="7" s="1"/>
  <c r="VL28" i="7" s="1"/>
  <c r="VL29" i="7" s="1"/>
  <c r="VL30" i="7" s="1"/>
  <c r="VL31" i="7" s="1"/>
  <c r="VM2" i="6" s="1"/>
  <c r="ACJ21" i="7"/>
  <c r="ACJ22" i="7" s="1"/>
  <c r="ACJ23" i="7" s="1"/>
  <c r="ACJ24" i="7" s="1"/>
  <c r="ACJ25" i="7" s="1"/>
  <c r="ACJ26" i="7" s="1"/>
  <c r="ACJ27" i="7" s="1"/>
  <c r="ACJ28" i="7" s="1"/>
  <c r="ACJ29" i="7" s="1"/>
  <c r="ACJ30" i="7" s="1"/>
  <c r="ACJ31" i="7" s="1"/>
  <c r="ACK2" i="6" s="1"/>
  <c r="ACG21" i="7"/>
  <c r="ACG22" i="7" s="1"/>
  <c r="ACG23" i="7" s="1"/>
  <c r="ACG24" i="7" s="1"/>
  <c r="ACG25" i="7" s="1"/>
  <c r="ACG26" i="7" s="1"/>
  <c r="ACG27" i="7" s="1"/>
  <c r="ACG28" i="7" s="1"/>
  <c r="ACG29" i="7" s="1"/>
  <c r="ACG30" i="7" s="1"/>
  <c r="ACG31" i="7" s="1"/>
  <c r="ACH2" i="6" s="1"/>
  <c r="PF22" i="7"/>
  <c r="PF23" i="7" s="1"/>
  <c r="PF24" i="7" s="1"/>
  <c r="PF25" i="7" s="1"/>
  <c r="PF26" i="7" s="1"/>
  <c r="PF27" i="7" s="1"/>
  <c r="PF28" i="7" s="1"/>
  <c r="PF29" i="7" s="1"/>
  <c r="PF30" i="7" s="1"/>
  <c r="PF31" i="7" s="1"/>
  <c r="PG2" i="6" s="1"/>
  <c r="HG22" i="7"/>
  <c r="HG23" i="7" s="1"/>
  <c r="HG24" i="7" s="1"/>
  <c r="HG25" i="7" s="1"/>
  <c r="HG26" i="7" s="1"/>
  <c r="HG27" i="7" s="1"/>
  <c r="HG28" i="7" s="1"/>
  <c r="HG29" i="7" s="1"/>
  <c r="HG30" i="7" s="1"/>
  <c r="HG31" i="7" s="1"/>
  <c r="HH2" i="6" s="1"/>
  <c r="ABW21" i="7"/>
  <c r="ABW22" i="7" s="1"/>
  <c r="ABW23" i="7" s="1"/>
  <c r="ABW24" i="7" s="1"/>
  <c r="ABW25" i="7" s="1"/>
  <c r="ABW26" i="7" s="1"/>
  <c r="ABW27" i="7" s="1"/>
  <c r="ABW28" i="7" s="1"/>
  <c r="ABW29" i="7" s="1"/>
  <c r="ABW30" i="7" s="1"/>
  <c r="ABW31" i="7" s="1"/>
  <c r="ABX2" i="6" s="1"/>
  <c r="N22" i="7"/>
  <c r="N23" i="7" s="1"/>
  <c r="N24" i="7" s="1"/>
  <c r="N25" i="7" s="1"/>
  <c r="N26" i="7" s="1"/>
  <c r="N27" i="7" s="1"/>
  <c r="N28" i="7" s="1"/>
  <c r="N29" i="7" s="1"/>
  <c r="N30" i="7" s="1"/>
  <c r="N31" i="7" s="1"/>
  <c r="O2" i="6" s="1"/>
  <c r="BU21" i="7"/>
  <c r="BU22" i="7" s="1"/>
  <c r="BU23" i="7" s="1"/>
  <c r="BU24" i="7" s="1"/>
  <c r="BU25" i="7" s="1"/>
  <c r="BU26" i="7" s="1"/>
  <c r="BU27" i="7" s="1"/>
  <c r="BU28" i="7" s="1"/>
  <c r="BU29" i="7" s="1"/>
  <c r="BU30" i="7" s="1"/>
  <c r="BU31" i="7" s="1"/>
  <c r="BV2" i="6" s="1"/>
  <c r="AAT21" i="7"/>
  <c r="AAT22" i="7" s="1"/>
  <c r="AAT23" i="7" s="1"/>
  <c r="AAT24" i="7" s="1"/>
  <c r="AAT25" i="7" s="1"/>
  <c r="AAT26" i="7" s="1"/>
  <c r="AAT27" i="7" s="1"/>
  <c r="AAT28" i="7" s="1"/>
  <c r="AAT29" i="7" s="1"/>
  <c r="AAT30" i="7" s="1"/>
  <c r="AAT31" i="7" s="1"/>
  <c r="AAU2" i="6" s="1"/>
  <c r="OX21" i="7"/>
  <c r="OX22" i="7" s="1"/>
  <c r="OX23" i="7" s="1"/>
  <c r="OX24" i="7" s="1"/>
  <c r="OX25" i="7" s="1"/>
  <c r="OX26" i="7" s="1"/>
  <c r="OX27" i="7" s="1"/>
  <c r="OX28" i="7" s="1"/>
  <c r="OX29" i="7" s="1"/>
  <c r="OX30" i="7" s="1"/>
  <c r="OX31" i="7" s="1"/>
  <c r="OY2" i="6" s="1"/>
  <c r="FC22" i="7"/>
  <c r="FC23" i="7" s="1"/>
  <c r="FC24" i="7" s="1"/>
  <c r="FC25" i="7" s="1"/>
  <c r="FC26" i="7" s="1"/>
  <c r="FC27" i="7" s="1"/>
  <c r="FC28" i="7" s="1"/>
  <c r="FC29" i="7" s="1"/>
  <c r="FC30" i="7" s="1"/>
  <c r="FC31" i="7" s="1"/>
  <c r="FD2" i="6" s="1"/>
  <c r="CC21" i="7"/>
  <c r="CC22" i="7" s="1"/>
  <c r="CC23" i="7" s="1"/>
  <c r="CC24" i="7" s="1"/>
  <c r="CC25" i="7" s="1"/>
  <c r="CC26" i="7" s="1"/>
  <c r="CC27" i="7" s="1"/>
  <c r="CC28" i="7" s="1"/>
  <c r="CC29" i="7" s="1"/>
  <c r="CC30" i="7" s="1"/>
  <c r="CC31" i="7" s="1"/>
  <c r="CD2" i="6" s="1"/>
  <c r="KL21" i="7"/>
  <c r="KL22" i="7" s="1"/>
  <c r="KL23" i="7" s="1"/>
  <c r="KL24" i="7" s="1"/>
  <c r="KL25" i="7" s="1"/>
  <c r="KL26" i="7" s="1"/>
  <c r="KL27" i="7" s="1"/>
  <c r="KL28" i="7" s="1"/>
  <c r="KL29" i="7" s="1"/>
  <c r="KL30" i="7" s="1"/>
  <c r="KL31" i="7" s="1"/>
  <c r="KM2" i="6" s="1"/>
  <c r="AJM21" i="7"/>
  <c r="AJM22" i="7" s="1"/>
  <c r="AJM23" i="7" s="1"/>
  <c r="AJM24" i="7" s="1"/>
  <c r="AJM25" i="7" s="1"/>
  <c r="AJM26" i="7" s="1"/>
  <c r="AJM27" i="7" s="1"/>
  <c r="AJM28" i="7" s="1"/>
  <c r="AJM29" i="7" s="1"/>
  <c r="AJM30" i="7" s="1"/>
  <c r="AJM31" i="7" s="1"/>
  <c r="AJN2" i="6" s="1"/>
  <c r="ABG22" i="7"/>
  <c r="ABG23" i="7" s="1"/>
  <c r="ABG24" i="7" s="1"/>
  <c r="ABG25" i="7" s="1"/>
  <c r="ABG26" i="7" s="1"/>
  <c r="ABG27" i="7" s="1"/>
  <c r="ABG28" i="7" s="1"/>
  <c r="ABG29" i="7" s="1"/>
  <c r="ABG30" i="7" s="1"/>
  <c r="ABG31" i="7" s="1"/>
  <c r="ABH2" i="6" s="1"/>
  <c r="OO22" i="7"/>
  <c r="OO23" i="7" s="1"/>
  <c r="OO24" i="7" s="1"/>
  <c r="OO25" i="7" s="1"/>
  <c r="OO26" i="7" s="1"/>
  <c r="OO27" i="7" s="1"/>
  <c r="OO28" i="7" s="1"/>
  <c r="OO29" i="7" s="1"/>
  <c r="OO30" i="7" s="1"/>
  <c r="OO31" i="7" s="1"/>
  <c r="OP2" i="6" s="1"/>
  <c r="TU22" i="7"/>
  <c r="TU23" i="7" s="1"/>
  <c r="TU24" i="7" s="1"/>
  <c r="TU25" i="7" s="1"/>
  <c r="TU26" i="7" s="1"/>
  <c r="TU27" i="7" s="1"/>
  <c r="TU28" i="7" s="1"/>
  <c r="TU29" i="7" s="1"/>
  <c r="TU30" i="7" s="1"/>
  <c r="TU31" i="7" s="1"/>
  <c r="TV2" i="6" s="1"/>
  <c r="IC21" i="7"/>
  <c r="IC22" i="7" s="1"/>
  <c r="IC23" i="7" s="1"/>
  <c r="IC24" i="7" s="1"/>
  <c r="IC25" i="7" s="1"/>
  <c r="IC26" i="7" s="1"/>
  <c r="IC27" i="7" s="1"/>
  <c r="IC28" i="7" s="1"/>
  <c r="IC29" i="7" s="1"/>
  <c r="IC30" i="7" s="1"/>
  <c r="IC31" i="7" s="1"/>
  <c r="ID2" i="6" s="1"/>
  <c r="RK21" i="7"/>
  <c r="RK22" i="7" s="1"/>
  <c r="RK23" i="7" s="1"/>
  <c r="RK24" i="7" s="1"/>
  <c r="RK25" i="7" s="1"/>
  <c r="RK26" i="7" s="1"/>
  <c r="RK27" i="7" s="1"/>
  <c r="RK28" i="7" s="1"/>
  <c r="RK29" i="7" s="1"/>
  <c r="RK30" i="7" s="1"/>
  <c r="RK31" i="7" s="1"/>
  <c r="RL2" i="6" s="1"/>
  <c r="JC22" i="7"/>
  <c r="JC23" i="7" s="1"/>
  <c r="JC24" i="7" s="1"/>
  <c r="JC25" i="7" s="1"/>
  <c r="JC26" i="7" s="1"/>
  <c r="JC27" i="7" s="1"/>
  <c r="JC28" i="7" s="1"/>
  <c r="JC29" i="7" s="1"/>
  <c r="JC30" i="7" s="1"/>
  <c r="JC31" i="7" s="1"/>
  <c r="JD2" i="6" s="1"/>
  <c r="AJX21" i="7"/>
  <c r="AJX22" i="7" s="1"/>
  <c r="AJX23" i="7" s="1"/>
  <c r="AJX24" i="7" s="1"/>
  <c r="AJX25" i="7" s="1"/>
  <c r="AJX26" i="7" s="1"/>
  <c r="AJX27" i="7" s="1"/>
  <c r="AJX28" i="7" s="1"/>
  <c r="AJX29" i="7" s="1"/>
  <c r="AJX30" i="7" s="1"/>
  <c r="AJX31" i="7" s="1"/>
  <c r="AJY2" i="6" s="1"/>
  <c r="IK21" i="7"/>
  <c r="IK22" i="7" s="1"/>
  <c r="IK23" i="7" s="1"/>
  <c r="IK24" i="7" s="1"/>
  <c r="IK25" i="7" s="1"/>
  <c r="IK26" i="7" s="1"/>
  <c r="IK27" i="7" s="1"/>
  <c r="IK28" i="7" s="1"/>
  <c r="IK29" i="7" s="1"/>
  <c r="IK30" i="7" s="1"/>
  <c r="IK31" i="7" s="1"/>
  <c r="IL2" i="6" s="1"/>
  <c r="GP21" i="7"/>
  <c r="GP22" i="7" s="1"/>
  <c r="GP23" i="7" s="1"/>
  <c r="GP24" i="7" s="1"/>
  <c r="GP25" i="7" s="1"/>
  <c r="GP26" i="7" s="1"/>
  <c r="GP27" i="7" s="1"/>
  <c r="GP28" i="7" s="1"/>
  <c r="GP29" i="7" s="1"/>
  <c r="GP30" i="7" s="1"/>
  <c r="GP31" i="7" s="1"/>
  <c r="GQ2" i="6" s="1"/>
  <c r="KA22" i="7"/>
  <c r="KA23" i="7" s="1"/>
  <c r="KA24" i="7" s="1"/>
  <c r="KA25" i="7" s="1"/>
  <c r="KA26" i="7" s="1"/>
  <c r="KA27" i="7" s="1"/>
  <c r="KA28" i="7" s="1"/>
  <c r="KA29" i="7" s="1"/>
  <c r="KA30" i="7" s="1"/>
  <c r="KA31" i="7" s="1"/>
  <c r="KB2" i="6" s="1"/>
  <c r="YS21" i="7"/>
  <c r="YS22" i="7" s="1"/>
  <c r="YS23" i="7" s="1"/>
  <c r="YS24" i="7" s="1"/>
  <c r="YS25" i="7" s="1"/>
  <c r="YS26" i="7" s="1"/>
  <c r="YS27" i="7" s="1"/>
  <c r="YS28" i="7" s="1"/>
  <c r="YS29" i="7" s="1"/>
  <c r="YS30" i="7" s="1"/>
  <c r="YS31" i="7" s="1"/>
  <c r="YT2" i="6" s="1"/>
  <c r="GC21" i="7"/>
  <c r="GC22" i="7" s="1"/>
  <c r="GC23" i="7" s="1"/>
  <c r="GC24" i="7" s="1"/>
  <c r="GC25" i="7" s="1"/>
  <c r="GC26" i="7" s="1"/>
  <c r="GC27" i="7" s="1"/>
  <c r="GC28" i="7" s="1"/>
  <c r="GC29" i="7" s="1"/>
  <c r="GC30" i="7" s="1"/>
  <c r="GC31" i="7" s="1"/>
  <c r="GD2" i="6" s="1"/>
  <c r="IJ21" i="7"/>
  <c r="IJ22" i="7" s="1"/>
  <c r="IJ23" i="7" s="1"/>
  <c r="IJ24" i="7" s="1"/>
  <c r="IJ25" i="7" s="1"/>
  <c r="IJ26" i="7" s="1"/>
  <c r="IJ27" i="7" s="1"/>
  <c r="IJ28" i="7" s="1"/>
  <c r="IJ29" i="7" s="1"/>
  <c r="IJ30" i="7" s="1"/>
  <c r="IJ31" i="7" s="1"/>
  <c r="IK2" i="6" s="1"/>
  <c r="K21" i="7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L2" i="6" s="1"/>
  <c r="MY21" i="7"/>
  <c r="MY22" i="7" s="1"/>
  <c r="MY23" i="7" s="1"/>
  <c r="MY24" i="7" s="1"/>
  <c r="MY25" i="7" s="1"/>
  <c r="MY26" i="7" s="1"/>
  <c r="MY27" i="7" s="1"/>
  <c r="MY28" i="7" s="1"/>
  <c r="MY29" i="7" s="1"/>
  <c r="MY30" i="7" s="1"/>
  <c r="MY31" i="7" s="1"/>
  <c r="MZ2" i="6" s="1"/>
  <c r="X21" i="7"/>
  <c r="X22" i="7" s="1"/>
  <c r="X23" i="7" s="1"/>
  <c r="X24" i="7" s="1"/>
  <c r="X25" i="7" s="1"/>
  <c r="X26" i="7" s="1"/>
  <c r="X27" i="7" s="1"/>
  <c r="X28" i="7" s="1"/>
  <c r="X29" i="7" s="1"/>
  <c r="X30" i="7" s="1"/>
  <c r="X31" i="7" s="1"/>
  <c r="Y2" i="6" s="1"/>
  <c r="AM22" i="7"/>
  <c r="AM23" i="7" s="1"/>
  <c r="AM24" i="7" s="1"/>
  <c r="AM25" i="7" s="1"/>
  <c r="AM26" i="7" s="1"/>
  <c r="AM27" i="7" s="1"/>
  <c r="AM28" i="7" s="1"/>
  <c r="AM29" i="7" s="1"/>
  <c r="AM30" i="7" s="1"/>
  <c r="AM31" i="7" s="1"/>
  <c r="AN2" i="6" s="1"/>
  <c r="UC21" i="7"/>
  <c r="UC22" i="7" s="1"/>
  <c r="UC23" i="7" s="1"/>
  <c r="UC24" i="7" s="1"/>
  <c r="UC25" i="7" s="1"/>
  <c r="UC26" i="7" s="1"/>
  <c r="UC27" i="7" s="1"/>
  <c r="UC28" i="7" s="1"/>
  <c r="UC29" i="7" s="1"/>
  <c r="UC30" i="7" s="1"/>
  <c r="UC31" i="7" s="1"/>
  <c r="UD2" i="6" s="1"/>
  <c r="XV21" i="7"/>
  <c r="XV22" i="7" s="1"/>
  <c r="XV23" i="7" s="1"/>
  <c r="XV24" i="7" s="1"/>
  <c r="XV25" i="7" s="1"/>
  <c r="XV26" i="7" s="1"/>
  <c r="XV27" i="7" s="1"/>
  <c r="XV28" i="7" s="1"/>
  <c r="XV29" i="7" s="1"/>
  <c r="XV30" i="7" s="1"/>
  <c r="XV31" i="7" s="1"/>
  <c r="XW2" i="6" s="1"/>
  <c r="IA21" i="7"/>
  <c r="IA22" i="7" s="1"/>
  <c r="IA23" i="7" s="1"/>
  <c r="IA24" i="7" s="1"/>
  <c r="IA25" i="7" s="1"/>
  <c r="IA26" i="7" s="1"/>
  <c r="IA27" i="7" s="1"/>
  <c r="IA28" i="7" s="1"/>
  <c r="IA29" i="7" s="1"/>
  <c r="IA30" i="7" s="1"/>
  <c r="IA31" i="7" s="1"/>
  <c r="IB2" i="6" s="1"/>
  <c r="AY21" i="7"/>
  <c r="AY22" i="7" s="1"/>
  <c r="AY23" i="7" s="1"/>
  <c r="AY24" i="7" s="1"/>
  <c r="AY25" i="7" s="1"/>
  <c r="AY26" i="7" s="1"/>
  <c r="AY27" i="7" s="1"/>
  <c r="AY28" i="7" s="1"/>
  <c r="AY29" i="7" s="1"/>
  <c r="AY30" i="7" s="1"/>
  <c r="AY31" i="7" s="1"/>
  <c r="AZ2" i="6" s="1"/>
  <c r="AFK22" i="7"/>
  <c r="AFK23" i="7" s="1"/>
  <c r="AFK24" i="7" s="1"/>
  <c r="AFK25" i="7" s="1"/>
  <c r="AFK26" i="7" s="1"/>
  <c r="AFK27" i="7" s="1"/>
  <c r="AFK28" i="7" s="1"/>
  <c r="AFK29" i="7" s="1"/>
  <c r="AFK30" i="7" s="1"/>
  <c r="AFK31" i="7" s="1"/>
  <c r="AFL2" i="6" s="1"/>
  <c r="ABX23" i="7"/>
  <c r="ABX24" i="7" s="1"/>
  <c r="ABX25" i="7" s="1"/>
  <c r="ABX26" i="7" s="1"/>
  <c r="ABX27" i="7" s="1"/>
  <c r="ABX28" i="7" s="1"/>
  <c r="ABX29" i="7" s="1"/>
  <c r="ABX30" i="7" s="1"/>
  <c r="ABX31" i="7" s="1"/>
  <c r="ABY2" i="6" s="1"/>
  <c r="AKV23" i="7"/>
  <c r="AKV24" i="7" s="1"/>
  <c r="AKV25" i="7" s="1"/>
  <c r="AKV26" i="7" s="1"/>
  <c r="AKV27" i="7" s="1"/>
  <c r="AKV28" i="7" s="1"/>
  <c r="AKV29" i="7" s="1"/>
  <c r="AKV30" i="7" s="1"/>
  <c r="AKV31" i="7" s="1"/>
  <c r="AKW2" i="6" s="1"/>
  <c r="PZ23" i="7"/>
  <c r="PZ24" i="7" s="1"/>
  <c r="PZ25" i="7" s="1"/>
  <c r="PZ26" i="7" s="1"/>
  <c r="PZ27" i="7" s="1"/>
  <c r="PZ28" i="7" s="1"/>
  <c r="PZ29" i="7" s="1"/>
  <c r="PZ30" i="7" s="1"/>
  <c r="PZ31" i="7" s="1"/>
  <c r="QA2" i="6" s="1"/>
  <c r="LJ22" i="7"/>
  <c r="LJ23" i="7" s="1"/>
  <c r="LJ24" i="7" s="1"/>
  <c r="LJ25" i="7" s="1"/>
  <c r="LJ26" i="7" s="1"/>
  <c r="LJ27" i="7" s="1"/>
  <c r="LJ28" i="7" s="1"/>
  <c r="LJ29" i="7" s="1"/>
  <c r="LJ30" i="7" s="1"/>
  <c r="LJ31" i="7" s="1"/>
  <c r="LK2" i="6" s="1"/>
  <c r="AJW21" i="7"/>
  <c r="AJW22" i="7" s="1"/>
  <c r="AJW23" i="7" s="1"/>
  <c r="AJW24" i="7" s="1"/>
  <c r="AJW25" i="7" s="1"/>
  <c r="AJW26" i="7" s="1"/>
  <c r="AJW27" i="7" s="1"/>
  <c r="AJW28" i="7" s="1"/>
  <c r="AJW29" i="7" s="1"/>
  <c r="AJW30" i="7" s="1"/>
  <c r="AJW31" i="7" s="1"/>
  <c r="AJX2" i="6" s="1"/>
  <c r="AFD22" i="7"/>
  <c r="AFD23" i="7" s="1"/>
  <c r="AFD24" i="7" s="1"/>
  <c r="AFD25" i="7" s="1"/>
  <c r="AFD26" i="7" s="1"/>
  <c r="AFD27" i="7" s="1"/>
  <c r="AFD28" i="7" s="1"/>
  <c r="AFD29" i="7" s="1"/>
  <c r="AFD30" i="7" s="1"/>
  <c r="AFD31" i="7" s="1"/>
  <c r="AFE2" i="6" s="1"/>
  <c r="JJ22" i="7"/>
  <c r="JJ23" i="7" s="1"/>
  <c r="JJ24" i="7" s="1"/>
  <c r="JJ25" i="7" s="1"/>
  <c r="JJ26" i="7" s="1"/>
  <c r="JJ27" i="7" s="1"/>
  <c r="JJ28" i="7" s="1"/>
  <c r="JJ29" i="7" s="1"/>
  <c r="JJ30" i="7" s="1"/>
  <c r="JJ31" i="7" s="1"/>
  <c r="JK2" i="6" s="1"/>
  <c r="AJY22" i="7"/>
  <c r="AJY23" i="7" s="1"/>
  <c r="AJY24" i="7" s="1"/>
  <c r="AJY25" i="7" s="1"/>
  <c r="AJY26" i="7" s="1"/>
  <c r="AJY27" i="7" s="1"/>
  <c r="AJY28" i="7" s="1"/>
  <c r="AJY29" i="7" s="1"/>
  <c r="AJY30" i="7" s="1"/>
  <c r="AJY31" i="7" s="1"/>
  <c r="AJZ2" i="6" s="1"/>
  <c r="AIC21" i="7"/>
  <c r="AIC22" i="7" s="1"/>
  <c r="AIC23" i="7" s="1"/>
  <c r="AIC24" i="7" s="1"/>
  <c r="AIC25" i="7" s="1"/>
  <c r="AIC26" i="7" s="1"/>
  <c r="AIC27" i="7" s="1"/>
  <c r="AIC28" i="7" s="1"/>
  <c r="AIC29" i="7" s="1"/>
  <c r="AIC30" i="7" s="1"/>
  <c r="AIC31" i="7" s="1"/>
  <c r="AID2" i="6" s="1"/>
  <c r="ZD22" i="7"/>
  <c r="ZD23" i="7" s="1"/>
  <c r="ZD24" i="7" s="1"/>
  <c r="ZD25" i="7" s="1"/>
  <c r="ZD26" i="7" s="1"/>
  <c r="ZD27" i="7" s="1"/>
  <c r="ZD28" i="7" s="1"/>
  <c r="ZD29" i="7" s="1"/>
  <c r="ZD30" i="7" s="1"/>
  <c r="ZD31" i="7" s="1"/>
  <c r="ZE2" i="6" s="1"/>
  <c r="ZT22" i="7"/>
  <c r="ZT23" i="7" s="1"/>
  <c r="ZT24" i="7" s="1"/>
  <c r="ZT25" i="7" s="1"/>
  <c r="ZT26" i="7" s="1"/>
  <c r="ZT27" i="7" s="1"/>
  <c r="ZT28" i="7" s="1"/>
  <c r="ZT29" i="7" s="1"/>
  <c r="ZT30" i="7" s="1"/>
  <c r="ZT31" i="7" s="1"/>
  <c r="ZU2" i="6" s="1"/>
  <c r="ABH22" i="7"/>
  <c r="ABH23" i="7" s="1"/>
  <c r="ABH24" i="7" s="1"/>
  <c r="ABH25" i="7" s="1"/>
  <c r="ABH26" i="7" s="1"/>
  <c r="ABH27" i="7" s="1"/>
  <c r="ABH28" i="7" s="1"/>
  <c r="ABH29" i="7" s="1"/>
  <c r="ABH30" i="7" s="1"/>
  <c r="ABH31" i="7" s="1"/>
  <c r="ABI2" i="6" s="1"/>
  <c r="AKU21" i="7"/>
  <c r="AKU22" i="7" s="1"/>
  <c r="AKU23" i="7" s="1"/>
  <c r="AKU24" i="7" s="1"/>
  <c r="AKU25" i="7" s="1"/>
  <c r="AKU26" i="7" s="1"/>
  <c r="AKU27" i="7" s="1"/>
  <c r="AKU28" i="7" s="1"/>
  <c r="AKU29" i="7" s="1"/>
  <c r="AKU30" i="7" s="1"/>
  <c r="AKU31" i="7" s="1"/>
  <c r="AKV2" i="6" s="1"/>
  <c r="ADZ23" i="7"/>
  <c r="ADZ24" i="7" s="1"/>
  <c r="ADZ25" i="7" s="1"/>
  <c r="ADZ26" i="7" s="1"/>
  <c r="ADZ27" i="7" s="1"/>
  <c r="ADZ28" i="7" s="1"/>
  <c r="ADZ29" i="7" s="1"/>
  <c r="ADZ30" i="7" s="1"/>
  <c r="ADZ31" i="7" s="1"/>
  <c r="AEA2" i="6" s="1"/>
  <c r="WF21" i="7"/>
  <c r="WF22" i="7" s="1"/>
  <c r="WF23" i="7" s="1"/>
  <c r="WF24" i="7" s="1"/>
  <c r="WF25" i="7" s="1"/>
  <c r="WF26" i="7" s="1"/>
  <c r="WF27" i="7" s="1"/>
  <c r="WF28" i="7" s="1"/>
  <c r="WF29" i="7" s="1"/>
  <c r="WF30" i="7" s="1"/>
  <c r="WF31" i="7" s="1"/>
  <c r="WG2" i="6" s="1"/>
  <c r="AKL21" i="7"/>
  <c r="AKL22" i="7" s="1"/>
  <c r="AKL23" i="7" s="1"/>
  <c r="AKL24" i="7" s="1"/>
  <c r="AKL25" i="7" s="1"/>
  <c r="AKL26" i="7" s="1"/>
  <c r="AKL27" i="7" s="1"/>
  <c r="AKL28" i="7" s="1"/>
  <c r="AKL29" i="7" s="1"/>
  <c r="AKL30" i="7" s="1"/>
  <c r="AKL31" i="7" s="1"/>
  <c r="AKM2" i="6" s="1"/>
  <c r="RE22" i="7"/>
  <c r="RE23" i="7" s="1"/>
  <c r="RE24" i="7" s="1"/>
  <c r="RE25" i="7" s="1"/>
  <c r="RE26" i="7" s="1"/>
  <c r="RE27" i="7" s="1"/>
  <c r="RE28" i="7" s="1"/>
  <c r="RE29" i="7" s="1"/>
  <c r="RE30" i="7" s="1"/>
  <c r="RE31" i="7" s="1"/>
  <c r="RF2" i="6" s="1"/>
  <c r="QF22" i="7"/>
  <c r="QF23" i="7" s="1"/>
  <c r="QF24" i="7" s="1"/>
  <c r="QF25" i="7" s="1"/>
  <c r="QF26" i="7" s="1"/>
  <c r="QF27" i="7" s="1"/>
  <c r="QF28" i="7" s="1"/>
  <c r="QF29" i="7" s="1"/>
  <c r="QF30" i="7" s="1"/>
  <c r="QF31" i="7" s="1"/>
  <c r="QG2" i="6" s="1"/>
  <c r="AGN23" i="7"/>
  <c r="AGN24" i="7" s="1"/>
  <c r="AGN25" i="7" s="1"/>
  <c r="AGN26" i="7" s="1"/>
  <c r="AGN27" i="7" s="1"/>
  <c r="AGN28" i="7" s="1"/>
  <c r="AGN29" i="7" s="1"/>
  <c r="AGN30" i="7" s="1"/>
  <c r="AGN31" i="7" s="1"/>
  <c r="AGO2" i="6" s="1"/>
  <c r="OJ22" i="7"/>
  <c r="OJ23" i="7" s="1"/>
  <c r="OJ24" i="7" s="1"/>
  <c r="OJ25" i="7" s="1"/>
  <c r="OJ26" i="7" s="1"/>
  <c r="OJ27" i="7" s="1"/>
  <c r="OJ28" i="7" s="1"/>
  <c r="OJ29" i="7" s="1"/>
  <c r="OJ30" i="7" s="1"/>
  <c r="OJ31" i="7" s="1"/>
  <c r="OK2" i="6" s="1"/>
  <c r="SC22" i="7"/>
  <c r="SC23" i="7" s="1"/>
  <c r="SC24" i="7" s="1"/>
  <c r="SC25" i="7" s="1"/>
  <c r="SC26" i="7" s="1"/>
  <c r="SC27" i="7" s="1"/>
  <c r="SC28" i="7" s="1"/>
  <c r="SC29" i="7" s="1"/>
  <c r="SC30" i="7" s="1"/>
  <c r="SC31" i="7" s="1"/>
  <c r="SD2" i="6" s="1"/>
  <c r="BJ21" i="7"/>
  <c r="BJ22" i="7" s="1"/>
  <c r="BJ23" i="7" s="1"/>
  <c r="BJ24" i="7" s="1"/>
  <c r="BJ25" i="7" s="1"/>
  <c r="BJ26" i="7" s="1"/>
  <c r="BJ27" i="7" s="1"/>
  <c r="BJ28" i="7" s="1"/>
  <c r="BJ29" i="7" s="1"/>
  <c r="BJ30" i="7" s="1"/>
  <c r="BJ31" i="7" s="1"/>
  <c r="BK2" i="6" s="1"/>
  <c r="ZR22" i="7"/>
  <c r="ZR23" i="7" s="1"/>
  <c r="ZR24" i="7" s="1"/>
  <c r="ZR25" i="7" s="1"/>
  <c r="ZR26" i="7" s="1"/>
  <c r="ZR27" i="7" s="1"/>
  <c r="ZR28" i="7" s="1"/>
  <c r="ZR29" i="7" s="1"/>
  <c r="ZR30" i="7" s="1"/>
  <c r="ZR31" i="7" s="1"/>
  <c r="ZS2" i="6" s="1"/>
  <c r="JE22" i="7"/>
  <c r="JE23" i="7" s="1"/>
  <c r="JE24" i="7" s="1"/>
  <c r="JE25" i="7" s="1"/>
  <c r="JE26" i="7" s="1"/>
  <c r="JE27" i="7" s="1"/>
  <c r="JE28" i="7" s="1"/>
  <c r="JE29" i="7" s="1"/>
  <c r="JE30" i="7" s="1"/>
  <c r="JE31" i="7" s="1"/>
  <c r="JF2" i="6" s="1"/>
  <c r="TE21" i="7"/>
  <c r="TE22" i="7" s="1"/>
  <c r="TE23" i="7" s="1"/>
  <c r="TE24" i="7" s="1"/>
  <c r="TE25" i="7" s="1"/>
  <c r="TE26" i="7" s="1"/>
  <c r="TE27" i="7" s="1"/>
  <c r="TE28" i="7" s="1"/>
  <c r="TE29" i="7" s="1"/>
  <c r="TE30" i="7" s="1"/>
  <c r="TE31" i="7" s="1"/>
  <c r="TF2" i="6" s="1"/>
  <c r="AEM21" i="7"/>
  <c r="AEM22" i="7" s="1"/>
  <c r="AEM23" i="7" s="1"/>
  <c r="AEM24" i="7" s="1"/>
  <c r="AEM25" i="7" s="1"/>
  <c r="AEM26" i="7" s="1"/>
  <c r="AEM27" i="7" s="1"/>
  <c r="AEM28" i="7" s="1"/>
  <c r="AEM29" i="7" s="1"/>
  <c r="AEM30" i="7" s="1"/>
  <c r="AEM31" i="7" s="1"/>
  <c r="AEN2" i="6" s="1"/>
  <c r="DU21" i="7"/>
  <c r="DU22" i="7" s="1"/>
  <c r="DU23" i="7" s="1"/>
  <c r="DU24" i="7" s="1"/>
  <c r="DU25" i="7" s="1"/>
  <c r="DU26" i="7" s="1"/>
  <c r="DU27" i="7" s="1"/>
  <c r="DU28" i="7" s="1"/>
  <c r="DU29" i="7" s="1"/>
  <c r="DU30" i="7" s="1"/>
  <c r="DU31" i="7" s="1"/>
  <c r="DV2" i="6" s="1"/>
  <c r="YK22" i="7"/>
  <c r="YK23" i="7" s="1"/>
  <c r="YK24" i="7" s="1"/>
  <c r="YK25" i="7" s="1"/>
  <c r="YK26" i="7" s="1"/>
  <c r="YK27" i="7" s="1"/>
  <c r="YK28" i="7" s="1"/>
  <c r="YK29" i="7" s="1"/>
  <c r="YK30" i="7" s="1"/>
  <c r="YK31" i="7" s="1"/>
  <c r="YL2" i="6" s="1"/>
  <c r="ABN21" i="7"/>
  <c r="ABN22" i="7" s="1"/>
  <c r="ABN23" i="7" s="1"/>
  <c r="ABN24" i="7" s="1"/>
  <c r="ABN25" i="7" s="1"/>
  <c r="ABN26" i="7" s="1"/>
  <c r="ABN27" i="7" s="1"/>
  <c r="ABN28" i="7" s="1"/>
  <c r="ABN29" i="7" s="1"/>
  <c r="ABN30" i="7" s="1"/>
  <c r="ABN31" i="7" s="1"/>
  <c r="ABO2" i="6" s="1"/>
  <c r="GA22" i="7"/>
  <c r="GA23" i="7" s="1"/>
  <c r="GA24" i="7" s="1"/>
  <c r="GA25" i="7" s="1"/>
  <c r="GA26" i="7" s="1"/>
  <c r="GA27" i="7" s="1"/>
  <c r="GA28" i="7" s="1"/>
  <c r="GA29" i="7" s="1"/>
  <c r="GA30" i="7" s="1"/>
  <c r="GA31" i="7" s="1"/>
  <c r="GB2" i="6" s="1"/>
  <c r="ABI21" i="7"/>
  <c r="ABI22" i="7" s="1"/>
  <c r="ABI23" i="7" s="1"/>
  <c r="ABI24" i="7" s="1"/>
  <c r="ABI25" i="7" s="1"/>
  <c r="ABI26" i="7" s="1"/>
  <c r="ABI27" i="7" s="1"/>
  <c r="ABI28" i="7" s="1"/>
  <c r="ABI29" i="7" s="1"/>
  <c r="ABI30" i="7" s="1"/>
  <c r="ABI31" i="7" s="1"/>
  <c r="ABJ2" i="6" s="1"/>
  <c r="AGA21" i="7"/>
  <c r="AGA22" i="7" s="1"/>
  <c r="AGA23" i="7" s="1"/>
  <c r="AGA24" i="7" s="1"/>
  <c r="AGA25" i="7" s="1"/>
  <c r="AGA26" i="7" s="1"/>
  <c r="AGA27" i="7" s="1"/>
  <c r="AGA28" i="7" s="1"/>
  <c r="AGA29" i="7" s="1"/>
  <c r="AGA30" i="7" s="1"/>
  <c r="AGA31" i="7" s="1"/>
  <c r="AGB2" i="6" s="1"/>
  <c r="ADE21" i="7"/>
  <c r="ADE22" i="7" s="1"/>
  <c r="ADE23" i="7" s="1"/>
  <c r="ADE24" i="7" s="1"/>
  <c r="ADE25" i="7" s="1"/>
  <c r="ADE26" i="7" s="1"/>
  <c r="ADE27" i="7" s="1"/>
  <c r="ADE28" i="7" s="1"/>
  <c r="ADE29" i="7" s="1"/>
  <c r="ADE30" i="7" s="1"/>
  <c r="ADE31" i="7" s="1"/>
  <c r="ADF2" i="6" s="1"/>
  <c r="AAW21" i="7"/>
  <c r="AAW22" i="7" s="1"/>
  <c r="AAW23" i="7" s="1"/>
  <c r="AAW24" i="7" s="1"/>
  <c r="AAW25" i="7" s="1"/>
  <c r="AAW26" i="7" s="1"/>
  <c r="AAW27" i="7" s="1"/>
  <c r="AAW28" i="7" s="1"/>
  <c r="AAW29" i="7" s="1"/>
  <c r="AAW30" i="7" s="1"/>
  <c r="AAW31" i="7" s="1"/>
  <c r="AAX2" i="6" s="1"/>
  <c r="GM21" i="7"/>
  <c r="GM22" i="7" s="1"/>
  <c r="GM23" i="7" s="1"/>
  <c r="GM24" i="7" s="1"/>
  <c r="GM25" i="7" s="1"/>
  <c r="GM26" i="7" s="1"/>
  <c r="GM27" i="7" s="1"/>
  <c r="GM28" i="7" s="1"/>
  <c r="GM29" i="7" s="1"/>
  <c r="GM30" i="7" s="1"/>
  <c r="GM31" i="7" s="1"/>
  <c r="GN2" i="6" s="1"/>
  <c r="LK21" i="7"/>
  <c r="LK22" i="7" s="1"/>
  <c r="LK23" i="7" s="1"/>
  <c r="LK24" i="7" s="1"/>
  <c r="LK25" i="7" s="1"/>
  <c r="LK26" i="7" s="1"/>
  <c r="LK27" i="7" s="1"/>
  <c r="LK28" i="7" s="1"/>
  <c r="LK29" i="7" s="1"/>
  <c r="LK30" i="7" s="1"/>
  <c r="LK31" i="7" s="1"/>
  <c r="LL2" i="6" s="1"/>
  <c r="FO22" i="7"/>
  <c r="FO23" i="7" s="1"/>
  <c r="FO24" i="7" s="1"/>
  <c r="FO25" i="7" s="1"/>
  <c r="FO26" i="7" s="1"/>
  <c r="FO27" i="7" s="1"/>
  <c r="FO28" i="7" s="1"/>
  <c r="FO29" i="7" s="1"/>
  <c r="FO30" i="7" s="1"/>
  <c r="FO31" i="7" s="1"/>
  <c r="FP2" i="6" s="1"/>
  <c r="ZK21" i="7"/>
  <c r="ZK22" i="7" s="1"/>
  <c r="ZK23" i="7" s="1"/>
  <c r="ZK24" i="7" s="1"/>
  <c r="ZK25" i="7" s="1"/>
  <c r="ZK26" i="7" s="1"/>
  <c r="ZK27" i="7" s="1"/>
  <c r="ZK28" i="7" s="1"/>
  <c r="ZK29" i="7" s="1"/>
  <c r="ZK30" i="7" s="1"/>
  <c r="ZK31" i="7" s="1"/>
  <c r="ZL2" i="6" s="1"/>
  <c r="SP21" i="7"/>
  <c r="SP22" i="7" s="1"/>
  <c r="SP23" i="7" s="1"/>
  <c r="SP24" i="7" s="1"/>
  <c r="SP25" i="7" s="1"/>
  <c r="SP26" i="7" s="1"/>
  <c r="SP27" i="7" s="1"/>
  <c r="SP28" i="7" s="1"/>
  <c r="SP29" i="7" s="1"/>
  <c r="SP30" i="7" s="1"/>
  <c r="SP31" i="7" s="1"/>
  <c r="SQ2" i="6" s="1"/>
  <c r="QG22" i="7"/>
  <c r="QG23" i="7" s="1"/>
  <c r="QG24" i="7" s="1"/>
  <c r="QG25" i="7" s="1"/>
  <c r="QG26" i="7" s="1"/>
  <c r="QG27" i="7" s="1"/>
  <c r="QG28" i="7" s="1"/>
  <c r="QG29" i="7" s="1"/>
  <c r="QG30" i="7" s="1"/>
  <c r="QG31" i="7" s="1"/>
  <c r="QH2" i="6" s="1"/>
  <c r="AO21" i="7"/>
  <c r="AO22" i="7" s="1"/>
  <c r="AO23" i="7" s="1"/>
  <c r="AO24" i="7" s="1"/>
  <c r="AO25" i="7" s="1"/>
  <c r="AO26" i="7" s="1"/>
  <c r="AO27" i="7" s="1"/>
  <c r="AO28" i="7" s="1"/>
  <c r="AO29" i="7" s="1"/>
  <c r="AO30" i="7" s="1"/>
  <c r="AO31" i="7" s="1"/>
  <c r="AP2" i="6" s="1"/>
  <c r="GF21" i="7"/>
  <c r="GF22" i="7" s="1"/>
  <c r="GF23" i="7" s="1"/>
  <c r="GF24" i="7" s="1"/>
  <c r="GF25" i="7" s="1"/>
  <c r="GF26" i="7" s="1"/>
  <c r="GF27" i="7" s="1"/>
  <c r="GF28" i="7" s="1"/>
  <c r="GF29" i="7" s="1"/>
  <c r="GF30" i="7" s="1"/>
  <c r="GF31" i="7" s="1"/>
  <c r="GG2" i="6" s="1"/>
  <c r="TN25" i="7"/>
  <c r="TN26" i="7" s="1"/>
  <c r="TN27" i="7" s="1"/>
  <c r="TN28" i="7" s="1"/>
  <c r="TN29" i="7" s="1"/>
  <c r="TN30" i="7" s="1"/>
  <c r="TN31" i="7" s="1"/>
  <c r="TO2" i="6" s="1"/>
  <c r="IZ22" i="7"/>
  <c r="IZ23" i="7" s="1"/>
  <c r="IZ24" i="7" s="1"/>
  <c r="IZ25" i="7" s="1"/>
  <c r="IZ26" i="7" s="1"/>
  <c r="IZ27" i="7" s="1"/>
  <c r="IZ28" i="7" s="1"/>
  <c r="IZ29" i="7" s="1"/>
  <c r="IZ30" i="7" s="1"/>
  <c r="IZ31" i="7" s="1"/>
  <c r="JA2" i="6" s="1"/>
  <c r="ABD21" i="7"/>
  <c r="ABD22" i="7" s="1"/>
  <c r="ABD23" i="7" s="1"/>
  <c r="ABD24" i="7" s="1"/>
  <c r="ABD25" i="7" s="1"/>
  <c r="ABD26" i="7" s="1"/>
  <c r="ABD27" i="7" s="1"/>
  <c r="ABD28" i="7" s="1"/>
  <c r="ABD29" i="7" s="1"/>
  <c r="ABD30" i="7" s="1"/>
  <c r="ABD31" i="7" s="1"/>
  <c r="ABE2" i="6" s="1"/>
  <c r="WR23" i="7"/>
  <c r="WR24" i="7" s="1"/>
  <c r="WR25" i="7" s="1"/>
  <c r="WR26" i="7" s="1"/>
  <c r="WR27" i="7" s="1"/>
  <c r="WR28" i="7" s="1"/>
  <c r="WR29" i="7" s="1"/>
  <c r="WR30" i="7" s="1"/>
  <c r="WR31" i="7" s="1"/>
  <c r="WS2" i="6" s="1"/>
  <c r="AHR21" i="7"/>
  <c r="AHR22" i="7" s="1"/>
  <c r="AHR23" i="7" s="1"/>
  <c r="AHR24" i="7" s="1"/>
  <c r="AHR25" i="7" s="1"/>
  <c r="AHR26" i="7" s="1"/>
  <c r="AHR27" i="7" s="1"/>
  <c r="AHR28" i="7" s="1"/>
  <c r="AHR29" i="7" s="1"/>
  <c r="AHR30" i="7" s="1"/>
  <c r="AHR31" i="7" s="1"/>
  <c r="AHS2" i="6" s="1"/>
  <c r="QO24" i="7"/>
  <c r="QO25" i="7" s="1"/>
  <c r="QO26" i="7" s="1"/>
  <c r="QO27" i="7" s="1"/>
  <c r="QO28" i="7" s="1"/>
  <c r="QO29" i="7" s="1"/>
  <c r="QO30" i="7" s="1"/>
  <c r="QO31" i="7" s="1"/>
  <c r="QP2" i="6" s="1"/>
  <c r="WD21" i="7"/>
  <c r="WD22" i="7" s="1"/>
  <c r="WD23" i="7" s="1"/>
  <c r="WD24" i="7" s="1"/>
  <c r="WD25" i="7" s="1"/>
  <c r="WD26" i="7" s="1"/>
  <c r="WD27" i="7" s="1"/>
  <c r="WD28" i="7" s="1"/>
  <c r="WD29" i="7" s="1"/>
  <c r="WD30" i="7" s="1"/>
  <c r="WD31" i="7" s="1"/>
  <c r="WE2" i="6" s="1"/>
  <c r="WW22" i="7"/>
  <c r="WW23" i="7" s="1"/>
  <c r="WW24" i="7" s="1"/>
  <c r="WW25" i="7" s="1"/>
  <c r="WW26" i="7" s="1"/>
  <c r="WW27" i="7" s="1"/>
  <c r="WW28" i="7" s="1"/>
  <c r="WW29" i="7" s="1"/>
  <c r="WW30" i="7" s="1"/>
  <c r="WW31" i="7" s="1"/>
  <c r="WX2" i="6" s="1"/>
  <c r="T22" i="7"/>
  <c r="T23" i="7" s="1"/>
  <c r="T24" i="7" s="1"/>
  <c r="T25" i="7" s="1"/>
  <c r="T26" i="7" s="1"/>
  <c r="T27" i="7" s="1"/>
  <c r="T28" i="7" s="1"/>
  <c r="T29" i="7" s="1"/>
  <c r="T30" i="7" s="1"/>
  <c r="T31" i="7" s="1"/>
  <c r="U2" i="6" s="1"/>
  <c r="AKQ22" i="7"/>
  <c r="AKQ23" i="7" s="1"/>
  <c r="AKQ24" i="7" s="1"/>
  <c r="AKQ25" i="7" s="1"/>
  <c r="AKQ26" i="7" s="1"/>
  <c r="AKQ27" i="7" s="1"/>
  <c r="AKQ28" i="7" s="1"/>
  <c r="AKQ29" i="7" s="1"/>
  <c r="AKQ30" i="7" s="1"/>
  <c r="AKQ31" i="7" s="1"/>
  <c r="AKR2" i="6" s="1"/>
  <c r="ABV22" i="7"/>
  <c r="ABV23" i="7" s="1"/>
  <c r="ABV24" i="7" s="1"/>
  <c r="ABV25" i="7" s="1"/>
  <c r="ABV26" i="7" s="1"/>
  <c r="ABV27" i="7" s="1"/>
  <c r="ABV28" i="7" s="1"/>
  <c r="ABV29" i="7" s="1"/>
  <c r="ABV30" i="7" s="1"/>
  <c r="ABV31" i="7" s="1"/>
  <c r="ABW2" i="6" s="1"/>
  <c r="UH22" i="7"/>
  <c r="UH23" i="7" s="1"/>
  <c r="UH24" i="7" s="1"/>
  <c r="UH25" i="7" s="1"/>
  <c r="UH26" i="7" s="1"/>
  <c r="UH27" i="7" s="1"/>
  <c r="UH28" i="7" s="1"/>
  <c r="UH29" i="7" s="1"/>
  <c r="UH30" i="7" s="1"/>
  <c r="UH31" i="7" s="1"/>
  <c r="UI2" i="6" s="1"/>
  <c r="AJR21" i="7"/>
  <c r="AJR22" i="7" s="1"/>
  <c r="AJR23" i="7" s="1"/>
  <c r="AJR24" i="7" s="1"/>
  <c r="AJR25" i="7" s="1"/>
  <c r="AJR26" i="7" s="1"/>
  <c r="AJR27" i="7" s="1"/>
  <c r="AJR28" i="7" s="1"/>
  <c r="AJR29" i="7" s="1"/>
  <c r="AJR30" i="7" s="1"/>
  <c r="AJR31" i="7" s="1"/>
  <c r="AJS2" i="6" s="1"/>
  <c r="ME23" i="7"/>
  <c r="ME24" i="7" s="1"/>
  <c r="ME25" i="7" s="1"/>
  <c r="ME26" i="7" s="1"/>
  <c r="ME27" i="7" s="1"/>
  <c r="ME28" i="7" s="1"/>
  <c r="ME29" i="7" s="1"/>
  <c r="ME30" i="7" s="1"/>
  <c r="ME31" i="7" s="1"/>
  <c r="MF2" i="6" s="1"/>
  <c r="ABL21" i="7"/>
  <c r="ABL22" i="7" s="1"/>
  <c r="ABL23" i="7" s="1"/>
  <c r="ABL24" i="7" s="1"/>
  <c r="ABL25" i="7" s="1"/>
  <c r="ABL26" i="7" s="1"/>
  <c r="ABL27" i="7" s="1"/>
  <c r="ABL28" i="7" s="1"/>
  <c r="ABL29" i="7" s="1"/>
  <c r="ABL30" i="7" s="1"/>
  <c r="ABL31" i="7" s="1"/>
  <c r="ABM2" i="6" s="1"/>
  <c r="KD21" i="7"/>
  <c r="KD22" i="7" s="1"/>
  <c r="KD23" i="7" s="1"/>
  <c r="KD24" i="7" s="1"/>
  <c r="KD25" i="7" s="1"/>
  <c r="KD26" i="7" s="1"/>
  <c r="KD27" i="7" s="1"/>
  <c r="KD28" i="7" s="1"/>
  <c r="KD29" i="7" s="1"/>
  <c r="KD30" i="7" s="1"/>
  <c r="KD31" i="7" s="1"/>
  <c r="KE2" i="6" s="1"/>
  <c r="MF21" i="7"/>
  <c r="MF22" i="7" s="1"/>
  <c r="MF23" i="7" s="1"/>
  <c r="MF24" i="7" s="1"/>
  <c r="MF25" i="7" s="1"/>
  <c r="MF26" i="7" s="1"/>
  <c r="MF27" i="7" s="1"/>
  <c r="MF28" i="7" s="1"/>
  <c r="MF29" i="7" s="1"/>
  <c r="MF30" i="7" s="1"/>
  <c r="MF31" i="7" s="1"/>
  <c r="MG2" i="6" s="1"/>
  <c r="AEB23" i="7"/>
  <c r="AEB24" i="7" s="1"/>
  <c r="AEB25" i="7" s="1"/>
  <c r="AEB26" i="7" s="1"/>
  <c r="AEB27" i="7" s="1"/>
  <c r="AEB28" i="7" s="1"/>
  <c r="AEB29" i="7" s="1"/>
  <c r="AEB30" i="7" s="1"/>
  <c r="AEB31" i="7" s="1"/>
  <c r="AEC2" i="6" s="1"/>
  <c r="AU22" i="7"/>
  <c r="AU23" i="7" s="1"/>
  <c r="AU24" i="7" s="1"/>
  <c r="AU25" i="7" s="1"/>
  <c r="AU26" i="7" s="1"/>
  <c r="AU27" i="7" s="1"/>
  <c r="AU28" i="7" s="1"/>
  <c r="AU29" i="7" s="1"/>
  <c r="AU30" i="7" s="1"/>
  <c r="AU31" i="7" s="1"/>
  <c r="AV2" i="6" s="1"/>
  <c r="ACV21" i="7"/>
  <c r="ACV22" i="7" s="1"/>
  <c r="ACV23" i="7" s="1"/>
  <c r="ACV24" i="7" s="1"/>
  <c r="ACV25" i="7" s="1"/>
  <c r="ACV26" i="7" s="1"/>
  <c r="ACV27" i="7" s="1"/>
  <c r="ACV28" i="7" s="1"/>
  <c r="ACV29" i="7" s="1"/>
  <c r="ACV30" i="7" s="1"/>
  <c r="ACV31" i="7" s="1"/>
  <c r="ACW2" i="6" s="1"/>
  <c r="YG21" i="7"/>
  <c r="YG22" i="7" s="1"/>
  <c r="YG23" i="7" s="1"/>
  <c r="YG24" i="7" s="1"/>
  <c r="YG25" i="7" s="1"/>
  <c r="YG26" i="7" s="1"/>
  <c r="YG27" i="7" s="1"/>
  <c r="YG28" i="7" s="1"/>
  <c r="YG29" i="7" s="1"/>
  <c r="YG30" i="7" s="1"/>
  <c r="YG31" i="7" s="1"/>
  <c r="YH2" i="6" s="1"/>
  <c r="ACZ21" i="7"/>
  <c r="ACZ22" i="7" s="1"/>
  <c r="ACZ23" i="7" s="1"/>
  <c r="ACZ24" i="7" s="1"/>
  <c r="ACZ25" i="7" s="1"/>
  <c r="ACZ26" i="7" s="1"/>
  <c r="ACZ27" i="7" s="1"/>
  <c r="ACZ28" i="7" s="1"/>
  <c r="ACZ29" i="7" s="1"/>
  <c r="ACZ30" i="7" s="1"/>
  <c r="ACZ31" i="7" s="1"/>
  <c r="ADA2" i="6" s="1"/>
  <c r="LU22" i="7"/>
  <c r="LU23" i="7" s="1"/>
  <c r="LU24" i="7" s="1"/>
  <c r="LU25" i="7" s="1"/>
  <c r="LU26" i="7" s="1"/>
  <c r="LU27" i="7" s="1"/>
  <c r="LU28" i="7" s="1"/>
  <c r="LU29" i="7" s="1"/>
  <c r="LU30" i="7" s="1"/>
  <c r="LU31" i="7" s="1"/>
  <c r="LV2" i="6" s="1"/>
  <c r="QE23" i="7"/>
  <c r="QE24" i="7" s="1"/>
  <c r="QE25" i="7" s="1"/>
  <c r="QE26" i="7" s="1"/>
  <c r="QE27" i="7" s="1"/>
  <c r="QE28" i="7" s="1"/>
  <c r="QE29" i="7" s="1"/>
  <c r="QE30" i="7" s="1"/>
  <c r="QE31" i="7" s="1"/>
  <c r="QF2" i="6" s="1"/>
  <c r="QJ22" i="7"/>
  <c r="QJ23" i="7" s="1"/>
  <c r="QJ24" i="7" s="1"/>
  <c r="QJ25" i="7" s="1"/>
  <c r="QJ26" i="7" s="1"/>
  <c r="QJ27" i="7" s="1"/>
  <c r="QJ28" i="7" s="1"/>
  <c r="QJ29" i="7" s="1"/>
  <c r="QJ30" i="7" s="1"/>
  <c r="QJ31" i="7" s="1"/>
  <c r="QK2" i="6" s="1"/>
  <c r="WZ22" i="7"/>
  <c r="WZ23" i="7" s="1"/>
  <c r="WZ24" i="7" s="1"/>
  <c r="WZ25" i="7" s="1"/>
  <c r="WZ26" i="7" s="1"/>
  <c r="WZ27" i="7" s="1"/>
  <c r="WZ28" i="7" s="1"/>
  <c r="WZ29" i="7" s="1"/>
  <c r="WZ30" i="7" s="1"/>
  <c r="WZ31" i="7" s="1"/>
  <c r="XA2" i="6" s="1"/>
  <c r="XL22" i="7"/>
  <c r="XL23" i="7" s="1"/>
  <c r="XL24" i="7" s="1"/>
  <c r="XL25" i="7" s="1"/>
  <c r="XL26" i="7" s="1"/>
  <c r="XL27" i="7" s="1"/>
  <c r="XL28" i="7" s="1"/>
  <c r="XL29" i="7" s="1"/>
  <c r="XL30" i="7" s="1"/>
  <c r="XL31" i="7" s="1"/>
  <c r="XM2" i="6" s="1"/>
  <c r="CD22" i="7"/>
  <c r="CD23" i="7" s="1"/>
  <c r="CD24" i="7" s="1"/>
  <c r="CD25" i="7" s="1"/>
  <c r="CD26" i="7" s="1"/>
  <c r="CD27" i="7" s="1"/>
  <c r="CD28" i="7" s="1"/>
  <c r="CD29" i="7" s="1"/>
  <c r="CD30" i="7" s="1"/>
  <c r="CD31" i="7" s="1"/>
  <c r="CE2" i="6" s="1"/>
  <c r="JV21" i="7"/>
  <c r="JV22" i="7" s="1"/>
  <c r="JV23" i="7" s="1"/>
  <c r="JV24" i="7" s="1"/>
  <c r="JV25" i="7" s="1"/>
  <c r="JV26" i="7" s="1"/>
  <c r="JV27" i="7" s="1"/>
  <c r="JV28" i="7" s="1"/>
  <c r="JV29" i="7" s="1"/>
  <c r="JV30" i="7" s="1"/>
  <c r="JV31" i="7" s="1"/>
  <c r="JW2" i="6" s="1"/>
  <c r="ON21" i="7"/>
  <c r="ON22" i="7" s="1"/>
  <c r="ON23" i="7" s="1"/>
  <c r="ON24" i="7" s="1"/>
  <c r="ON25" i="7" s="1"/>
  <c r="ON26" i="7" s="1"/>
  <c r="ON27" i="7" s="1"/>
  <c r="ON28" i="7" s="1"/>
  <c r="ON29" i="7" s="1"/>
  <c r="ON30" i="7" s="1"/>
  <c r="ON31" i="7" s="1"/>
  <c r="OO2" i="6" s="1"/>
  <c r="AGM21" i="7"/>
  <c r="AGM22" i="7" s="1"/>
  <c r="AGM23" i="7" s="1"/>
  <c r="AGM24" i="7" s="1"/>
  <c r="AGM25" i="7" s="1"/>
  <c r="AGM26" i="7" s="1"/>
  <c r="AGM27" i="7" s="1"/>
  <c r="AGM28" i="7" s="1"/>
  <c r="AGM29" i="7" s="1"/>
  <c r="AGM30" i="7" s="1"/>
  <c r="AGM31" i="7" s="1"/>
  <c r="AGN2" i="6" s="1"/>
  <c r="IF23" i="7"/>
  <c r="IF24" i="7" s="1"/>
  <c r="IF25" i="7" s="1"/>
  <c r="IF26" i="7" s="1"/>
  <c r="IF27" i="7" s="1"/>
  <c r="IF28" i="7" s="1"/>
  <c r="IF29" i="7" s="1"/>
  <c r="IF30" i="7" s="1"/>
  <c r="IF31" i="7" s="1"/>
  <c r="IG2" i="6" s="1"/>
  <c r="SG22" i="7"/>
  <c r="SG23" i="7" s="1"/>
  <c r="SG24" i="7" s="1"/>
  <c r="SG25" i="7" s="1"/>
  <c r="SG26" i="7" s="1"/>
  <c r="SG27" i="7" s="1"/>
  <c r="SG28" i="7" s="1"/>
  <c r="SG29" i="7" s="1"/>
  <c r="SG30" i="7" s="1"/>
  <c r="SG31" i="7" s="1"/>
  <c r="SH2" i="6" s="1"/>
  <c r="AE22" i="7"/>
  <c r="AE23" i="7" s="1"/>
  <c r="AE24" i="7" s="1"/>
  <c r="AE25" i="7" s="1"/>
  <c r="AE26" i="7" s="1"/>
  <c r="AE27" i="7" s="1"/>
  <c r="AE28" i="7" s="1"/>
  <c r="AE29" i="7" s="1"/>
  <c r="AE30" i="7" s="1"/>
  <c r="AE31" i="7" s="1"/>
  <c r="AF2" i="6" s="1"/>
  <c r="QZ21" i="7"/>
  <c r="QZ22" i="7" s="1"/>
  <c r="QZ23" i="7" s="1"/>
  <c r="QZ24" i="7" s="1"/>
  <c r="QZ25" i="7" s="1"/>
  <c r="QZ26" i="7" s="1"/>
  <c r="QZ27" i="7" s="1"/>
  <c r="QZ28" i="7" s="1"/>
  <c r="QZ29" i="7" s="1"/>
  <c r="QZ30" i="7" s="1"/>
  <c r="QZ31" i="7" s="1"/>
  <c r="RA2" i="6" s="1"/>
  <c r="SA22" i="7"/>
  <c r="SA23" i="7" s="1"/>
  <c r="SA24" i="7" s="1"/>
  <c r="SA25" i="7" s="1"/>
  <c r="SA26" i="7" s="1"/>
  <c r="SA27" i="7" s="1"/>
  <c r="SA28" i="7" s="1"/>
  <c r="SA29" i="7" s="1"/>
  <c r="SA30" i="7" s="1"/>
  <c r="SA31" i="7" s="1"/>
  <c r="SB2" i="6" s="1"/>
  <c r="FY21" i="7"/>
  <c r="FY22" i="7" s="1"/>
  <c r="FY23" i="7" s="1"/>
  <c r="FY24" i="7" s="1"/>
  <c r="FY25" i="7" s="1"/>
  <c r="FY26" i="7" s="1"/>
  <c r="FY27" i="7" s="1"/>
  <c r="FY28" i="7" s="1"/>
  <c r="FY29" i="7" s="1"/>
  <c r="FY30" i="7" s="1"/>
  <c r="FY31" i="7" s="1"/>
  <c r="FZ2" i="6" s="1"/>
  <c r="NE21" i="7"/>
  <c r="NE22" i="7" s="1"/>
  <c r="NE23" i="7" s="1"/>
  <c r="NE24" i="7" s="1"/>
  <c r="NE25" i="7" s="1"/>
  <c r="NE26" i="7" s="1"/>
  <c r="NE27" i="7" s="1"/>
  <c r="NE28" i="7" s="1"/>
  <c r="NE29" i="7" s="1"/>
  <c r="NE30" i="7" s="1"/>
  <c r="NE31" i="7" s="1"/>
  <c r="NF2" i="6" s="1"/>
  <c r="GL21" i="7"/>
  <c r="GL22" i="7" s="1"/>
  <c r="GL23" i="7" s="1"/>
  <c r="GL24" i="7" s="1"/>
  <c r="GL25" i="7" s="1"/>
  <c r="GL26" i="7" s="1"/>
  <c r="GL27" i="7" s="1"/>
  <c r="GL28" i="7" s="1"/>
  <c r="GL29" i="7" s="1"/>
  <c r="GL30" i="7" s="1"/>
  <c r="GL31" i="7" s="1"/>
  <c r="GM2" i="6" s="1"/>
  <c r="EC21" i="7"/>
  <c r="EC22" i="7" s="1"/>
  <c r="EC23" i="7" s="1"/>
  <c r="EC24" i="7" s="1"/>
  <c r="EC25" i="7" s="1"/>
  <c r="EC26" i="7" s="1"/>
  <c r="EC27" i="7" s="1"/>
  <c r="EC28" i="7" s="1"/>
  <c r="EC29" i="7" s="1"/>
  <c r="EC30" i="7" s="1"/>
  <c r="EC31" i="7" s="1"/>
  <c r="ED2" i="6" s="1"/>
  <c r="DC21" i="7"/>
  <c r="DC22" i="7" s="1"/>
  <c r="DC23" i="7" s="1"/>
  <c r="DC24" i="7" s="1"/>
  <c r="DC25" i="7" s="1"/>
  <c r="DC26" i="7" s="1"/>
  <c r="DC27" i="7" s="1"/>
  <c r="DC28" i="7" s="1"/>
  <c r="DC29" i="7" s="1"/>
  <c r="DC30" i="7" s="1"/>
  <c r="DC31" i="7" s="1"/>
  <c r="DD2" i="6" s="1"/>
  <c r="YO21" i="7"/>
  <c r="YO22" i="7" s="1"/>
  <c r="YO23" i="7" s="1"/>
  <c r="YO24" i="7" s="1"/>
  <c r="YO25" i="7" s="1"/>
  <c r="YO26" i="7" s="1"/>
  <c r="YO27" i="7" s="1"/>
  <c r="YO28" i="7" s="1"/>
  <c r="YO29" i="7" s="1"/>
  <c r="YO30" i="7" s="1"/>
  <c r="YO31" i="7" s="1"/>
  <c r="YP2" i="6" s="1"/>
  <c r="VE22" i="7"/>
  <c r="VE23" i="7" s="1"/>
  <c r="VE24" i="7" s="1"/>
  <c r="VE25" i="7" s="1"/>
  <c r="VE26" i="7" s="1"/>
  <c r="VE27" i="7" s="1"/>
  <c r="VE28" i="7" s="1"/>
  <c r="VE29" i="7" s="1"/>
  <c r="VE30" i="7" s="1"/>
  <c r="VE31" i="7" s="1"/>
  <c r="VF2" i="6" s="1"/>
  <c r="AHQ22" i="7"/>
  <c r="AHQ23" i="7" s="1"/>
  <c r="AHQ24" i="7" s="1"/>
  <c r="AHQ25" i="7" s="1"/>
  <c r="AHQ26" i="7" s="1"/>
  <c r="AHQ27" i="7" s="1"/>
  <c r="AHQ28" i="7" s="1"/>
  <c r="AHQ29" i="7" s="1"/>
  <c r="AHQ30" i="7" s="1"/>
  <c r="AHQ31" i="7" s="1"/>
  <c r="AHR2" i="6" s="1"/>
  <c r="JY23" i="7"/>
  <c r="JY24" i="7" s="1"/>
  <c r="JY25" i="7" s="1"/>
  <c r="JY26" i="7" s="1"/>
  <c r="JY27" i="7" s="1"/>
  <c r="JY28" i="7" s="1"/>
  <c r="JY29" i="7" s="1"/>
  <c r="JY30" i="7" s="1"/>
  <c r="JY31" i="7" s="1"/>
  <c r="JZ2" i="6" s="1"/>
  <c r="HP22" i="7"/>
  <c r="HP23" i="7" s="1"/>
  <c r="HP24" i="7" s="1"/>
  <c r="HP25" i="7" s="1"/>
  <c r="HP26" i="7" s="1"/>
  <c r="HP27" i="7" s="1"/>
  <c r="HP28" i="7" s="1"/>
  <c r="HP29" i="7" s="1"/>
  <c r="HP30" i="7" s="1"/>
  <c r="HP31" i="7" s="1"/>
  <c r="HQ2" i="6" s="1"/>
  <c r="AJI24" i="7"/>
  <c r="AJI25" i="7" s="1"/>
  <c r="AJI26" i="7" s="1"/>
  <c r="AJI27" i="7" s="1"/>
  <c r="AJI28" i="7" s="1"/>
  <c r="AJI29" i="7" s="1"/>
  <c r="AJI30" i="7" s="1"/>
  <c r="AJI31" i="7" s="1"/>
  <c r="AJJ2" i="6" s="1"/>
  <c r="ZQ21" i="7"/>
  <c r="ZQ22" i="7" s="1"/>
  <c r="ZQ23" i="7" s="1"/>
  <c r="ZQ24" i="7" s="1"/>
  <c r="ZQ25" i="7" s="1"/>
  <c r="ZQ26" i="7" s="1"/>
  <c r="ZQ27" i="7" s="1"/>
  <c r="ZQ28" i="7" s="1"/>
  <c r="ZQ29" i="7" s="1"/>
  <c r="ZQ30" i="7" s="1"/>
  <c r="ZQ31" i="7" s="1"/>
  <c r="ZR2" i="6" s="1"/>
  <c r="ALE21" i="7"/>
  <c r="ALE22" i="7" s="1"/>
  <c r="ALE23" i="7" s="1"/>
  <c r="ALE24" i="7" s="1"/>
  <c r="ALE25" i="7" s="1"/>
  <c r="ALE26" i="7" s="1"/>
  <c r="ALE27" i="7" s="1"/>
  <c r="ALE28" i="7" s="1"/>
  <c r="ALE29" i="7" s="1"/>
  <c r="ALE30" i="7" s="1"/>
  <c r="ALE31" i="7" s="1"/>
  <c r="ALF2" i="6" s="1"/>
  <c r="AEN21" i="7"/>
  <c r="AEN22" i="7" s="1"/>
  <c r="AEN23" i="7" s="1"/>
  <c r="AEN24" i="7" s="1"/>
  <c r="AEN25" i="7" s="1"/>
  <c r="AEN26" i="7" s="1"/>
  <c r="AEN27" i="7" s="1"/>
  <c r="AEN28" i="7" s="1"/>
  <c r="AEN29" i="7" s="1"/>
  <c r="AEN30" i="7" s="1"/>
  <c r="AEN31" i="7" s="1"/>
  <c r="AEO2" i="6" s="1"/>
  <c r="YA22" i="7"/>
  <c r="YA23" i="7" s="1"/>
  <c r="YA24" i="7" s="1"/>
  <c r="YA25" i="7" s="1"/>
  <c r="YA26" i="7" s="1"/>
  <c r="YA27" i="7" s="1"/>
  <c r="YA28" i="7" s="1"/>
  <c r="YA29" i="7" s="1"/>
  <c r="YA30" i="7" s="1"/>
  <c r="YA31" i="7" s="1"/>
  <c r="YB2" i="6" s="1"/>
  <c r="ABT23" i="7"/>
  <c r="ABT24" i="7" s="1"/>
  <c r="ABT25" i="7" s="1"/>
  <c r="ABT26" i="7" s="1"/>
  <c r="ABT27" i="7" s="1"/>
  <c r="ABT28" i="7" s="1"/>
  <c r="ABT29" i="7" s="1"/>
  <c r="ABT30" i="7" s="1"/>
  <c r="ABT31" i="7" s="1"/>
  <c r="ABU2" i="6" s="1"/>
  <c r="AJV21" i="7"/>
  <c r="AJV22" i="7" s="1"/>
  <c r="AJV23" i="7" s="1"/>
  <c r="AJV24" i="7" s="1"/>
  <c r="AJV25" i="7" s="1"/>
  <c r="AJV26" i="7" s="1"/>
  <c r="AJV27" i="7" s="1"/>
  <c r="AJV28" i="7" s="1"/>
  <c r="AJV29" i="7" s="1"/>
  <c r="AJV30" i="7" s="1"/>
  <c r="AJV31" i="7" s="1"/>
  <c r="AJW2" i="6" s="1"/>
  <c r="AID22" i="7"/>
  <c r="AID23" i="7" s="1"/>
  <c r="AID24" i="7" s="1"/>
  <c r="AID25" i="7" s="1"/>
  <c r="AID26" i="7" s="1"/>
  <c r="AID27" i="7" s="1"/>
  <c r="AID28" i="7" s="1"/>
  <c r="AID29" i="7" s="1"/>
  <c r="AID30" i="7" s="1"/>
  <c r="AID31" i="7" s="1"/>
  <c r="AIE2" i="6" s="1"/>
  <c r="PH22" i="7"/>
  <c r="PH23" i="7" s="1"/>
  <c r="PH24" i="7" s="1"/>
  <c r="PH25" i="7" s="1"/>
  <c r="PH26" i="7" s="1"/>
  <c r="PH27" i="7" s="1"/>
  <c r="PH28" i="7" s="1"/>
  <c r="PH29" i="7" s="1"/>
  <c r="PH30" i="7" s="1"/>
  <c r="PH31" i="7" s="1"/>
  <c r="PI2" i="6" s="1"/>
  <c r="AFS21" i="7"/>
  <c r="AFS22" i="7" s="1"/>
  <c r="AFS23" i="7" s="1"/>
  <c r="AFS24" i="7" s="1"/>
  <c r="AFS25" i="7" s="1"/>
  <c r="AFS26" i="7" s="1"/>
  <c r="AFS27" i="7" s="1"/>
  <c r="AFS28" i="7" s="1"/>
  <c r="AFS29" i="7" s="1"/>
  <c r="AFS30" i="7" s="1"/>
  <c r="AFS31" i="7" s="1"/>
  <c r="AFT2" i="6" s="1"/>
  <c r="XH21" i="7"/>
  <c r="XH22" i="7" s="1"/>
  <c r="XH23" i="7" s="1"/>
  <c r="XH24" i="7" s="1"/>
  <c r="XH25" i="7" s="1"/>
  <c r="XH26" i="7" s="1"/>
  <c r="XH27" i="7" s="1"/>
  <c r="XH28" i="7" s="1"/>
  <c r="XH29" i="7" s="1"/>
  <c r="XH30" i="7" s="1"/>
  <c r="XH31" i="7" s="1"/>
  <c r="XI2" i="6" s="1"/>
  <c r="IG22" i="7"/>
  <c r="IG23" i="7" s="1"/>
  <c r="IG24" i="7" s="1"/>
  <c r="IG25" i="7" s="1"/>
  <c r="IG26" i="7" s="1"/>
  <c r="IG27" i="7" s="1"/>
  <c r="IG28" i="7" s="1"/>
  <c r="IG29" i="7" s="1"/>
  <c r="IG30" i="7" s="1"/>
  <c r="IG31" i="7" s="1"/>
  <c r="IH2" i="6" s="1"/>
  <c r="MU22" i="7"/>
  <c r="MU23" i="7" s="1"/>
  <c r="MU24" i="7" s="1"/>
  <c r="MU25" i="7" s="1"/>
  <c r="MU26" i="7" s="1"/>
  <c r="MU27" i="7" s="1"/>
  <c r="MU28" i="7" s="1"/>
  <c r="MU29" i="7" s="1"/>
  <c r="MU30" i="7" s="1"/>
  <c r="MU31" i="7" s="1"/>
  <c r="MV2" i="6" s="1"/>
  <c r="ZY21" i="7"/>
  <c r="ZY22" i="7" s="1"/>
  <c r="ZY23" i="7" s="1"/>
  <c r="ZY24" i="7" s="1"/>
  <c r="ZY25" i="7" s="1"/>
  <c r="ZY26" i="7" s="1"/>
  <c r="ZY27" i="7" s="1"/>
  <c r="ZY28" i="7" s="1"/>
  <c r="ZY29" i="7" s="1"/>
  <c r="ZY30" i="7" s="1"/>
  <c r="ZY31" i="7" s="1"/>
  <c r="ZZ2" i="6" s="1"/>
  <c r="AFT21" i="7"/>
  <c r="AFT22" i="7" s="1"/>
  <c r="AFT23" i="7" s="1"/>
  <c r="AFT24" i="7" s="1"/>
  <c r="AFT25" i="7" s="1"/>
  <c r="AFT26" i="7" s="1"/>
  <c r="AFT27" i="7" s="1"/>
  <c r="AFT28" i="7" s="1"/>
  <c r="AFT29" i="7" s="1"/>
  <c r="AFT30" i="7" s="1"/>
  <c r="AFT31" i="7" s="1"/>
  <c r="AFU2" i="6" s="1"/>
  <c r="LD22" i="7"/>
  <c r="LD23" i="7" s="1"/>
  <c r="LD24" i="7" s="1"/>
  <c r="LD25" i="7" s="1"/>
  <c r="LD26" i="7" s="1"/>
  <c r="LD27" i="7" s="1"/>
  <c r="LD28" i="7" s="1"/>
  <c r="LD29" i="7" s="1"/>
  <c r="LD30" i="7" s="1"/>
  <c r="LD31" i="7" s="1"/>
  <c r="LE2" i="6" s="1"/>
  <c r="AEO21" i="7"/>
  <c r="AEO22" i="7" s="1"/>
  <c r="AEO23" i="7" s="1"/>
  <c r="AEO24" i="7" s="1"/>
  <c r="AEO25" i="7" s="1"/>
  <c r="AEO26" i="7" s="1"/>
  <c r="AEO27" i="7" s="1"/>
  <c r="AEO28" i="7" s="1"/>
  <c r="AEO29" i="7" s="1"/>
  <c r="AEO30" i="7" s="1"/>
  <c r="AEO31" i="7" s="1"/>
  <c r="AEP2" i="6" s="1"/>
  <c r="RX21" i="7"/>
  <c r="RX22" i="7" s="1"/>
  <c r="RX23" i="7" s="1"/>
  <c r="RX24" i="7" s="1"/>
  <c r="RX25" i="7" s="1"/>
  <c r="RX26" i="7" s="1"/>
  <c r="RX27" i="7" s="1"/>
  <c r="RX28" i="7" s="1"/>
  <c r="RX29" i="7" s="1"/>
  <c r="RX30" i="7" s="1"/>
  <c r="RX31" i="7" s="1"/>
  <c r="RY2" i="6" s="1"/>
  <c r="SZ21" i="7"/>
  <c r="SZ22" i="7" s="1"/>
  <c r="SZ23" i="7" s="1"/>
  <c r="SZ24" i="7" s="1"/>
  <c r="SZ25" i="7" s="1"/>
  <c r="SZ26" i="7" s="1"/>
  <c r="SZ27" i="7" s="1"/>
  <c r="SZ28" i="7" s="1"/>
  <c r="SZ29" i="7" s="1"/>
  <c r="SZ30" i="7" s="1"/>
  <c r="SZ31" i="7" s="1"/>
  <c r="TA2" i="6" s="1"/>
  <c r="OK22" i="7"/>
  <c r="OK23" i="7" s="1"/>
  <c r="OK24" i="7" s="1"/>
  <c r="OK25" i="7" s="1"/>
  <c r="OK26" i="7" s="1"/>
  <c r="OK27" i="7" s="1"/>
  <c r="OK28" i="7" s="1"/>
  <c r="OK29" i="7" s="1"/>
  <c r="OK30" i="7" s="1"/>
  <c r="OK31" i="7" s="1"/>
  <c r="OL2" i="6" s="1"/>
  <c r="PR22" i="7"/>
  <c r="PR23" i="7" s="1"/>
  <c r="PR24" i="7" s="1"/>
  <c r="PR25" i="7" s="1"/>
  <c r="PR26" i="7" s="1"/>
  <c r="PR27" i="7" s="1"/>
  <c r="PR28" i="7" s="1"/>
  <c r="PR29" i="7" s="1"/>
  <c r="PR30" i="7" s="1"/>
  <c r="PR31" i="7" s="1"/>
  <c r="PS2" i="6" s="1"/>
  <c r="XM21" i="7"/>
  <c r="XM22" i="7" s="1"/>
  <c r="XM23" i="7" s="1"/>
  <c r="XM24" i="7" s="1"/>
  <c r="XM25" i="7" s="1"/>
  <c r="XM26" i="7" s="1"/>
  <c r="XM27" i="7" s="1"/>
  <c r="XM28" i="7" s="1"/>
  <c r="XM29" i="7" s="1"/>
  <c r="XM30" i="7" s="1"/>
  <c r="XM31" i="7" s="1"/>
  <c r="XN2" i="6" s="1"/>
  <c r="AAY22" i="7"/>
  <c r="AAY23" i="7" s="1"/>
  <c r="AAY24" i="7" s="1"/>
  <c r="AAY25" i="7" s="1"/>
  <c r="AAY26" i="7" s="1"/>
  <c r="AAY27" i="7" s="1"/>
  <c r="AAY28" i="7" s="1"/>
  <c r="AAY29" i="7" s="1"/>
  <c r="AAY30" i="7" s="1"/>
  <c r="AAY31" i="7" s="1"/>
  <c r="AAZ2" i="6" s="1"/>
  <c r="HD21" i="7"/>
  <c r="HD22" i="7" s="1"/>
  <c r="HD23" i="7" s="1"/>
  <c r="HD24" i="7" s="1"/>
  <c r="HD25" i="7" s="1"/>
  <c r="HD26" i="7" s="1"/>
  <c r="HD27" i="7" s="1"/>
  <c r="HD28" i="7" s="1"/>
  <c r="HD29" i="7" s="1"/>
  <c r="HD30" i="7" s="1"/>
  <c r="HD31" i="7" s="1"/>
  <c r="HE2" i="6" s="1"/>
  <c r="ACD21" i="7"/>
  <c r="ACD22" i="7" s="1"/>
  <c r="ACD23" i="7" s="1"/>
  <c r="ACD24" i="7" s="1"/>
  <c r="ACD25" i="7" s="1"/>
  <c r="ACD26" i="7" s="1"/>
  <c r="ACD27" i="7" s="1"/>
  <c r="ACD28" i="7" s="1"/>
  <c r="ACD29" i="7" s="1"/>
  <c r="ACD30" i="7" s="1"/>
  <c r="ACD31" i="7" s="1"/>
  <c r="ACE2" i="6" s="1"/>
  <c r="ALC21" i="7"/>
  <c r="ALC22" i="7" s="1"/>
  <c r="ALC23" i="7" s="1"/>
  <c r="ALC24" i="7" s="1"/>
  <c r="ALC25" i="7" s="1"/>
  <c r="ALC26" i="7" s="1"/>
  <c r="ALC27" i="7" s="1"/>
  <c r="ALC28" i="7" s="1"/>
  <c r="ALC29" i="7" s="1"/>
  <c r="ALC30" i="7" s="1"/>
  <c r="ALC31" i="7" s="1"/>
  <c r="ALD2" i="6" s="1"/>
  <c r="XE22" i="7"/>
  <c r="XE23" i="7" s="1"/>
  <c r="XE24" i="7" s="1"/>
  <c r="XE25" i="7" s="1"/>
  <c r="XE26" i="7" s="1"/>
  <c r="XE27" i="7" s="1"/>
  <c r="XE28" i="7" s="1"/>
  <c r="XE29" i="7" s="1"/>
  <c r="XE30" i="7" s="1"/>
  <c r="XE31" i="7" s="1"/>
  <c r="XF2" i="6" s="1"/>
  <c r="ZS21" i="7"/>
  <c r="ZS22" i="7" s="1"/>
  <c r="ZS23" i="7" s="1"/>
  <c r="ZS24" i="7" s="1"/>
  <c r="ZS25" i="7" s="1"/>
  <c r="ZS26" i="7" s="1"/>
  <c r="ZS27" i="7" s="1"/>
  <c r="ZS28" i="7" s="1"/>
  <c r="ZS29" i="7" s="1"/>
  <c r="ZS30" i="7" s="1"/>
  <c r="ZS31" i="7" s="1"/>
  <c r="ZT2" i="6" s="1"/>
  <c r="ADP21" i="7"/>
  <c r="ADP22" i="7" s="1"/>
  <c r="ADP23" i="7" s="1"/>
  <c r="ADP24" i="7" s="1"/>
  <c r="ADP25" i="7" s="1"/>
  <c r="ADP26" i="7" s="1"/>
  <c r="ADP27" i="7" s="1"/>
  <c r="ADP28" i="7" s="1"/>
  <c r="ADP29" i="7" s="1"/>
  <c r="ADP30" i="7" s="1"/>
  <c r="ADP31" i="7" s="1"/>
  <c r="ADQ2" i="6" s="1"/>
  <c r="LC21" i="7"/>
  <c r="LC22" i="7" s="1"/>
  <c r="LC23" i="7" s="1"/>
  <c r="LC24" i="7" s="1"/>
  <c r="LC25" i="7" s="1"/>
  <c r="LC26" i="7" s="1"/>
  <c r="LC27" i="7" s="1"/>
  <c r="LC28" i="7" s="1"/>
  <c r="LC29" i="7" s="1"/>
  <c r="LC30" i="7" s="1"/>
  <c r="LC31" i="7" s="1"/>
  <c r="LD2" i="6" s="1"/>
  <c r="AG22" i="7"/>
  <c r="AG23" i="7" s="1"/>
  <c r="AG24" i="7" s="1"/>
  <c r="AG25" i="7" s="1"/>
  <c r="AG26" i="7" s="1"/>
  <c r="AG27" i="7" s="1"/>
  <c r="AG28" i="7" s="1"/>
  <c r="AG29" i="7" s="1"/>
  <c r="AG30" i="7" s="1"/>
  <c r="AG31" i="7" s="1"/>
  <c r="AH2" i="6" s="1"/>
  <c r="ZC22" i="7"/>
  <c r="ZC23" i="7" s="1"/>
  <c r="ZC24" i="7" s="1"/>
  <c r="ZC25" i="7" s="1"/>
  <c r="ZC26" i="7" s="1"/>
  <c r="ZC27" i="7" s="1"/>
  <c r="ZC28" i="7" s="1"/>
  <c r="ZC29" i="7" s="1"/>
  <c r="ZC30" i="7" s="1"/>
  <c r="ZC31" i="7" s="1"/>
  <c r="ZD2" i="6" s="1"/>
  <c r="OG21" i="7"/>
  <c r="OG22" i="7" s="1"/>
  <c r="OG23" i="7" s="1"/>
  <c r="OG24" i="7" s="1"/>
  <c r="OG25" i="7" s="1"/>
  <c r="OG26" i="7" s="1"/>
  <c r="OG27" i="7" s="1"/>
  <c r="OG28" i="7" s="1"/>
  <c r="OG29" i="7" s="1"/>
  <c r="OG30" i="7" s="1"/>
  <c r="OG31" i="7" s="1"/>
  <c r="OH2" i="6" s="1"/>
  <c r="L21" i="7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M2" i="6" s="1"/>
  <c r="UE22" i="7"/>
  <c r="UE23" i="7" s="1"/>
  <c r="UE24" i="7" s="1"/>
  <c r="UE25" i="7" s="1"/>
  <c r="UE26" i="7" s="1"/>
  <c r="UE27" i="7" s="1"/>
  <c r="UE28" i="7" s="1"/>
  <c r="UE29" i="7" s="1"/>
  <c r="UE30" i="7" s="1"/>
  <c r="UE31" i="7" s="1"/>
  <c r="UF2" i="6" s="1"/>
  <c r="FH21" i="7"/>
  <c r="FH22" i="7" s="1"/>
  <c r="FH23" i="7" s="1"/>
  <c r="FH24" i="7" s="1"/>
  <c r="FH25" i="7" s="1"/>
  <c r="FH26" i="7" s="1"/>
  <c r="FH27" i="7" s="1"/>
  <c r="FH28" i="7" s="1"/>
  <c r="FH29" i="7" s="1"/>
  <c r="FH30" i="7" s="1"/>
  <c r="FH31" i="7" s="1"/>
  <c r="FI2" i="6" s="1"/>
  <c r="HX23" i="7"/>
  <c r="HX24" i="7" s="1"/>
  <c r="HX25" i="7" s="1"/>
  <c r="HX26" i="7" s="1"/>
  <c r="HX27" i="7" s="1"/>
  <c r="HX28" i="7" s="1"/>
  <c r="HX29" i="7" s="1"/>
  <c r="HX30" i="7" s="1"/>
  <c r="HX31" i="7" s="1"/>
  <c r="HY2" i="6" s="1"/>
  <c r="SE24" i="7"/>
  <c r="SE25" i="7" s="1"/>
  <c r="SE26" i="7" s="1"/>
  <c r="SE27" i="7" s="1"/>
  <c r="SE28" i="7" s="1"/>
  <c r="SE29" i="7" s="1"/>
  <c r="SE30" i="7" s="1"/>
  <c r="SE31" i="7" s="1"/>
  <c r="SF2" i="6" s="1"/>
  <c r="YB22" i="7"/>
  <c r="YB23" i="7" s="1"/>
  <c r="YB24" i="7" s="1"/>
  <c r="YB25" i="7" s="1"/>
  <c r="YB26" i="7" s="1"/>
  <c r="YB27" i="7" s="1"/>
  <c r="YB28" i="7" s="1"/>
  <c r="YB29" i="7" s="1"/>
  <c r="YB30" i="7" s="1"/>
  <c r="YB31" i="7" s="1"/>
  <c r="YC2" i="6" s="1"/>
  <c r="AGD24" i="7"/>
  <c r="AGD25" i="7" s="1"/>
  <c r="AGD26" i="7" s="1"/>
  <c r="AGD27" i="7" s="1"/>
  <c r="AGD28" i="7" s="1"/>
  <c r="AGD29" i="7" s="1"/>
  <c r="AGD30" i="7" s="1"/>
  <c r="AGD31" i="7" s="1"/>
  <c r="AGE2" i="6" s="1"/>
  <c r="MC25" i="7"/>
  <c r="MC26" i="7" s="1"/>
  <c r="MC27" i="7" s="1"/>
  <c r="MC28" i="7" s="1"/>
  <c r="MC29" i="7" s="1"/>
  <c r="MC30" i="7" s="1"/>
  <c r="MC31" i="7" s="1"/>
  <c r="MD2" i="6" s="1"/>
  <c r="TR23" i="7"/>
  <c r="TR24" i="7" s="1"/>
  <c r="TR25" i="7" s="1"/>
  <c r="TR26" i="7" s="1"/>
  <c r="TR27" i="7" s="1"/>
  <c r="TR28" i="7" s="1"/>
  <c r="TR29" i="7" s="1"/>
  <c r="TR30" i="7" s="1"/>
  <c r="TR31" i="7" s="1"/>
  <c r="TS2" i="6" s="1"/>
  <c r="SL22" i="7"/>
  <c r="SL23" i="7" s="1"/>
  <c r="SL24" i="7" s="1"/>
  <c r="SL25" i="7" s="1"/>
  <c r="SL26" i="7" s="1"/>
  <c r="SL27" i="7" s="1"/>
  <c r="SL28" i="7" s="1"/>
  <c r="SL29" i="7" s="1"/>
  <c r="SL30" i="7" s="1"/>
  <c r="SL31" i="7" s="1"/>
  <c r="SM2" i="6" s="1"/>
  <c r="YV23" i="7"/>
  <c r="YV24" i="7" s="1"/>
  <c r="YV25" i="7" s="1"/>
  <c r="YV26" i="7" s="1"/>
  <c r="YV27" i="7" s="1"/>
  <c r="YV28" i="7" s="1"/>
  <c r="YV29" i="7" s="1"/>
  <c r="YV30" i="7" s="1"/>
  <c r="YV31" i="7" s="1"/>
  <c r="YW2" i="6" s="1"/>
  <c r="GI22" i="7"/>
  <c r="GI23" i="7" s="1"/>
  <c r="GI24" i="7" s="1"/>
  <c r="GI25" i="7" s="1"/>
  <c r="GI26" i="7" s="1"/>
  <c r="GI27" i="7" s="1"/>
  <c r="GI28" i="7" s="1"/>
  <c r="GI29" i="7" s="1"/>
  <c r="GI30" i="7" s="1"/>
  <c r="GI31" i="7" s="1"/>
  <c r="GJ2" i="6" s="1"/>
  <c r="UK24" i="7"/>
  <c r="UK25" i="7" s="1"/>
  <c r="UK26" i="7" s="1"/>
  <c r="UK27" i="7" s="1"/>
  <c r="UK28" i="7" s="1"/>
  <c r="UK29" i="7" s="1"/>
  <c r="UK30" i="7" s="1"/>
  <c r="UK31" i="7" s="1"/>
  <c r="UL2" i="6" s="1"/>
  <c r="OI22" i="7"/>
  <c r="OI23" i="7" s="1"/>
  <c r="OI24" i="7" s="1"/>
  <c r="OI25" i="7" s="1"/>
  <c r="OI26" i="7" s="1"/>
  <c r="OI27" i="7" s="1"/>
  <c r="OI28" i="7" s="1"/>
  <c r="OI29" i="7" s="1"/>
  <c r="OI30" i="7" s="1"/>
  <c r="OI31" i="7" s="1"/>
  <c r="OJ2" i="6" s="1"/>
  <c r="PN21" i="7"/>
  <c r="PN22" i="7" s="1"/>
  <c r="PN23" i="7" s="1"/>
  <c r="PN24" i="7" s="1"/>
  <c r="PN25" i="7" s="1"/>
  <c r="PN26" i="7" s="1"/>
  <c r="PN27" i="7" s="1"/>
  <c r="PN28" i="7" s="1"/>
  <c r="PN29" i="7" s="1"/>
  <c r="PN30" i="7" s="1"/>
  <c r="PN31" i="7" s="1"/>
  <c r="PO2" i="6" s="1"/>
  <c r="ACX23" i="7"/>
  <c r="ACX24" i="7" s="1"/>
  <c r="ACX25" i="7" s="1"/>
  <c r="ACX26" i="7" s="1"/>
  <c r="ACX27" i="7" s="1"/>
  <c r="ACX28" i="7" s="1"/>
  <c r="ACX29" i="7" s="1"/>
  <c r="ACX30" i="7" s="1"/>
  <c r="ACX31" i="7" s="1"/>
  <c r="ACY2" i="6" s="1"/>
  <c r="OM23" i="7"/>
  <c r="OM24" i="7" s="1"/>
  <c r="OM25" i="7" s="1"/>
  <c r="OM26" i="7" s="1"/>
  <c r="OM27" i="7" s="1"/>
  <c r="OM28" i="7" s="1"/>
  <c r="OM29" i="7" s="1"/>
  <c r="OM30" i="7" s="1"/>
  <c r="OM31" i="7" s="1"/>
  <c r="ON2" i="6" s="1"/>
  <c r="WG24" i="7"/>
  <c r="WG25" i="7" s="1"/>
  <c r="WG26" i="7" s="1"/>
  <c r="WG27" i="7" s="1"/>
  <c r="WG28" i="7" s="1"/>
  <c r="WG29" i="7" s="1"/>
  <c r="WG30" i="7" s="1"/>
  <c r="WG31" i="7" s="1"/>
  <c r="WH2" i="6" s="1"/>
  <c r="UO22" i="7"/>
  <c r="UO23" i="7" s="1"/>
  <c r="UO24" i="7" s="1"/>
  <c r="UO25" i="7" s="1"/>
  <c r="UO26" i="7" s="1"/>
  <c r="UO27" i="7" s="1"/>
  <c r="UO28" i="7" s="1"/>
  <c r="UO29" i="7" s="1"/>
  <c r="UO30" i="7" s="1"/>
  <c r="UO31" i="7" s="1"/>
  <c r="UP2" i="6" s="1"/>
  <c r="RY23" i="7"/>
  <c r="RY24" i="7" s="1"/>
  <c r="RY25" i="7" s="1"/>
  <c r="RY26" i="7" s="1"/>
  <c r="RY27" i="7" s="1"/>
  <c r="RY28" i="7" s="1"/>
  <c r="RY29" i="7" s="1"/>
  <c r="RY30" i="7" s="1"/>
  <c r="RY31" i="7" s="1"/>
  <c r="RZ2" i="6" s="1"/>
  <c r="ABP22" i="7"/>
  <c r="ABP23" i="7" s="1"/>
  <c r="ABP24" i="7" s="1"/>
  <c r="ABP25" i="7" s="1"/>
  <c r="ABP26" i="7" s="1"/>
  <c r="ABP27" i="7" s="1"/>
  <c r="ABP28" i="7" s="1"/>
  <c r="ABP29" i="7" s="1"/>
  <c r="ABP30" i="7" s="1"/>
  <c r="ABP31" i="7" s="1"/>
  <c r="ABQ2" i="6" s="1"/>
  <c r="ACA22" i="7"/>
  <c r="ACA23" i="7" s="1"/>
  <c r="ACA24" i="7" s="1"/>
  <c r="ACA25" i="7" s="1"/>
  <c r="ACA26" i="7" s="1"/>
  <c r="ACA27" i="7" s="1"/>
  <c r="ACA28" i="7" s="1"/>
  <c r="ACA29" i="7" s="1"/>
  <c r="ACA30" i="7" s="1"/>
  <c r="ACA31" i="7" s="1"/>
  <c r="ACB2" i="6" s="1"/>
  <c r="AGJ22" i="7"/>
  <c r="AGJ23" i="7" s="1"/>
  <c r="AGJ24" i="7" s="1"/>
  <c r="AGJ25" i="7" s="1"/>
  <c r="AGJ26" i="7" s="1"/>
  <c r="AGJ27" i="7" s="1"/>
  <c r="AGJ28" i="7" s="1"/>
  <c r="AGJ29" i="7" s="1"/>
  <c r="AGJ30" i="7" s="1"/>
  <c r="AGJ31" i="7" s="1"/>
  <c r="AGK2" i="6" s="1"/>
  <c r="GW22" i="7"/>
  <c r="GW23" i="7" s="1"/>
  <c r="GW24" i="7" s="1"/>
  <c r="GW25" i="7" s="1"/>
  <c r="GW26" i="7" s="1"/>
  <c r="GW27" i="7" s="1"/>
  <c r="GW28" i="7" s="1"/>
  <c r="GW29" i="7" s="1"/>
  <c r="GW30" i="7" s="1"/>
  <c r="GW31" i="7" s="1"/>
  <c r="GX2" i="6" s="1"/>
  <c r="ACM21" i="7"/>
  <c r="ACM22" i="7" s="1"/>
  <c r="ACM23" i="7" s="1"/>
  <c r="ACM24" i="7" s="1"/>
  <c r="ACM25" i="7" s="1"/>
  <c r="ACM26" i="7" s="1"/>
  <c r="ACM27" i="7" s="1"/>
  <c r="ACM28" i="7" s="1"/>
  <c r="ACM29" i="7" s="1"/>
  <c r="ACM30" i="7" s="1"/>
  <c r="ACM31" i="7" s="1"/>
  <c r="ACN2" i="6" s="1"/>
  <c r="QM23" i="7"/>
  <c r="QM24" i="7" s="1"/>
  <c r="QM25" i="7" s="1"/>
  <c r="QM26" i="7" s="1"/>
  <c r="QM27" i="7" s="1"/>
  <c r="QM28" i="7" s="1"/>
  <c r="QM29" i="7" s="1"/>
  <c r="QM30" i="7" s="1"/>
  <c r="QM31" i="7" s="1"/>
  <c r="QN2" i="6" s="1"/>
  <c r="NB23" i="7"/>
  <c r="NB24" i="7" s="1"/>
  <c r="NB25" i="7" s="1"/>
  <c r="NB26" i="7" s="1"/>
  <c r="NB27" i="7" s="1"/>
  <c r="NB28" i="7" s="1"/>
  <c r="NB29" i="7" s="1"/>
  <c r="NB30" i="7" s="1"/>
  <c r="NB31" i="7" s="1"/>
  <c r="NC2" i="6" s="1"/>
  <c r="PC21" i="7"/>
  <c r="PC22" i="7" s="1"/>
  <c r="PC23" i="7" s="1"/>
  <c r="PC24" i="7" s="1"/>
  <c r="PC25" i="7" s="1"/>
  <c r="PC26" i="7" s="1"/>
  <c r="PC27" i="7" s="1"/>
  <c r="PC28" i="7" s="1"/>
  <c r="PC29" i="7" s="1"/>
  <c r="PC30" i="7" s="1"/>
  <c r="PC31" i="7" s="1"/>
  <c r="PD2" i="6" s="1"/>
  <c r="TP22" i="7"/>
  <c r="TP23" i="7" s="1"/>
  <c r="TP24" i="7" s="1"/>
  <c r="TP25" i="7" s="1"/>
  <c r="TP26" i="7" s="1"/>
  <c r="TP27" i="7" s="1"/>
  <c r="TP28" i="7" s="1"/>
  <c r="TP29" i="7" s="1"/>
  <c r="TP30" i="7" s="1"/>
  <c r="TP31" i="7" s="1"/>
  <c r="TQ2" i="6" s="1"/>
  <c r="ACP22" i="7"/>
  <c r="ACP23" i="7" s="1"/>
  <c r="ACP24" i="7" s="1"/>
  <c r="ACP25" i="7" s="1"/>
  <c r="ACP26" i="7" s="1"/>
  <c r="ACP27" i="7" s="1"/>
  <c r="ACP28" i="7" s="1"/>
  <c r="ACP29" i="7" s="1"/>
  <c r="ACP30" i="7" s="1"/>
  <c r="ACP31" i="7" s="1"/>
  <c r="ACQ2" i="6" s="1"/>
  <c r="TW22" i="7"/>
  <c r="TW23" i="7" s="1"/>
  <c r="TW24" i="7" s="1"/>
  <c r="TW25" i="7" s="1"/>
  <c r="TW26" i="7" s="1"/>
  <c r="TW27" i="7" s="1"/>
  <c r="TW28" i="7" s="1"/>
  <c r="TW29" i="7" s="1"/>
  <c r="TW30" i="7" s="1"/>
  <c r="TW31" i="7" s="1"/>
  <c r="TX2" i="6" s="1"/>
  <c r="VY22" i="7"/>
  <c r="VY23" i="7" s="1"/>
  <c r="VY24" i="7" s="1"/>
  <c r="VY25" i="7" s="1"/>
  <c r="VY26" i="7" s="1"/>
  <c r="VY27" i="7" s="1"/>
  <c r="VY28" i="7" s="1"/>
  <c r="VY29" i="7" s="1"/>
  <c r="VY30" i="7" s="1"/>
  <c r="VY31" i="7" s="1"/>
  <c r="VZ2" i="6" s="1"/>
  <c r="JQ22" i="7"/>
  <c r="JQ23" i="7" s="1"/>
  <c r="JQ24" i="7" s="1"/>
  <c r="JQ25" i="7" s="1"/>
  <c r="JQ26" i="7" s="1"/>
  <c r="JQ27" i="7" s="1"/>
  <c r="JQ28" i="7" s="1"/>
  <c r="JQ29" i="7" s="1"/>
  <c r="JQ30" i="7" s="1"/>
  <c r="JQ31" i="7" s="1"/>
  <c r="JR2" i="6" s="1"/>
  <c r="ADF22" i="7"/>
  <c r="ADF23" i="7" s="1"/>
  <c r="ADF24" i="7" s="1"/>
  <c r="ADF25" i="7" s="1"/>
  <c r="ADF26" i="7" s="1"/>
  <c r="ADF27" i="7" s="1"/>
  <c r="ADF28" i="7" s="1"/>
  <c r="ADF29" i="7" s="1"/>
  <c r="ADF30" i="7" s="1"/>
  <c r="ADF31" i="7" s="1"/>
  <c r="ADG2" i="6" s="1"/>
  <c r="UY22" i="7"/>
  <c r="UY23" i="7" s="1"/>
  <c r="UY24" i="7" s="1"/>
  <c r="UY25" i="7" s="1"/>
  <c r="UY26" i="7" s="1"/>
  <c r="UY27" i="7" s="1"/>
  <c r="UY28" i="7" s="1"/>
  <c r="UY29" i="7" s="1"/>
  <c r="UY30" i="7" s="1"/>
  <c r="UY31" i="7" s="1"/>
  <c r="UZ2" i="6" s="1"/>
  <c r="CW22" i="7"/>
  <c r="CW23" i="7" s="1"/>
  <c r="CW24" i="7" s="1"/>
  <c r="CW25" i="7" s="1"/>
  <c r="CW26" i="7" s="1"/>
  <c r="CW27" i="7" s="1"/>
  <c r="CW28" i="7" s="1"/>
  <c r="CW29" i="7" s="1"/>
  <c r="CW30" i="7" s="1"/>
  <c r="CW31" i="7" s="1"/>
  <c r="CX2" i="6" s="1"/>
  <c r="PJ22" i="7"/>
  <c r="PJ23" i="7" s="1"/>
  <c r="PJ24" i="7" s="1"/>
  <c r="PJ25" i="7" s="1"/>
  <c r="PJ26" i="7" s="1"/>
  <c r="PJ27" i="7" s="1"/>
  <c r="PJ28" i="7" s="1"/>
  <c r="PJ29" i="7" s="1"/>
  <c r="PJ30" i="7" s="1"/>
  <c r="PJ31" i="7" s="1"/>
  <c r="PK2" i="6" s="1"/>
  <c r="LI22" i="7"/>
  <c r="LI23" i="7" s="1"/>
  <c r="LI24" i="7" s="1"/>
  <c r="LI25" i="7" s="1"/>
  <c r="LI26" i="7" s="1"/>
  <c r="LI27" i="7" s="1"/>
  <c r="LI28" i="7" s="1"/>
  <c r="LI29" i="7" s="1"/>
  <c r="LI30" i="7" s="1"/>
  <c r="LI31" i="7" s="1"/>
  <c r="LJ2" i="6" s="1"/>
  <c r="RR22" i="7"/>
  <c r="RR23" i="7" s="1"/>
  <c r="RR24" i="7" s="1"/>
  <c r="RR25" i="7" s="1"/>
  <c r="RR26" i="7" s="1"/>
  <c r="RR27" i="7" s="1"/>
  <c r="RR28" i="7" s="1"/>
  <c r="RR29" i="7" s="1"/>
  <c r="RR30" i="7" s="1"/>
  <c r="RR31" i="7" s="1"/>
  <c r="RS2" i="6" s="1"/>
  <c r="GU23" i="7"/>
  <c r="GU24" i="7" s="1"/>
  <c r="GU25" i="7" s="1"/>
  <c r="GU26" i="7" s="1"/>
  <c r="GU27" i="7" s="1"/>
  <c r="GU28" i="7" s="1"/>
  <c r="GU29" i="7" s="1"/>
  <c r="GU30" i="7" s="1"/>
  <c r="GU31" i="7" s="1"/>
  <c r="GV2" i="6" s="1"/>
  <c r="HS21" i="7"/>
  <c r="HS22" i="7" s="1"/>
  <c r="HS23" i="7" s="1"/>
  <c r="HS24" i="7" s="1"/>
  <c r="HS25" i="7" s="1"/>
  <c r="HS26" i="7" s="1"/>
  <c r="HS27" i="7" s="1"/>
  <c r="HS28" i="7" s="1"/>
  <c r="HS29" i="7" s="1"/>
  <c r="HS30" i="7" s="1"/>
  <c r="HS31" i="7" s="1"/>
  <c r="HT2" i="6" s="1"/>
  <c r="CG21" i="7"/>
  <c r="CG22" i="7" s="1"/>
  <c r="CG23" i="7" s="1"/>
  <c r="CG24" i="7" s="1"/>
  <c r="CG25" i="7" s="1"/>
  <c r="CG26" i="7" s="1"/>
  <c r="CG27" i="7" s="1"/>
  <c r="CG28" i="7" s="1"/>
  <c r="CG29" i="7" s="1"/>
  <c r="CG30" i="7" s="1"/>
  <c r="CG31" i="7" s="1"/>
  <c r="CH2" i="6" s="1"/>
  <c r="OA22" i="7"/>
  <c r="OA23" i="7" s="1"/>
  <c r="OA24" i="7" s="1"/>
  <c r="OA25" i="7" s="1"/>
  <c r="OA26" i="7" s="1"/>
  <c r="OA27" i="7" s="1"/>
  <c r="OA28" i="7" s="1"/>
  <c r="OA29" i="7" s="1"/>
  <c r="OA30" i="7" s="1"/>
  <c r="OA31" i="7" s="1"/>
  <c r="OB2" i="6" s="1"/>
  <c r="AEQ21" i="7"/>
  <c r="AEQ22" i="7" s="1"/>
  <c r="AEQ23" i="7" s="1"/>
  <c r="AEQ24" i="7" s="1"/>
  <c r="AEQ25" i="7" s="1"/>
  <c r="AEQ26" i="7" s="1"/>
  <c r="AEQ27" i="7" s="1"/>
  <c r="AEQ28" i="7" s="1"/>
  <c r="AEQ29" i="7" s="1"/>
  <c r="AEQ30" i="7" s="1"/>
  <c r="AEQ31" i="7" s="1"/>
  <c r="AER2" i="6" s="1"/>
  <c r="KG21" i="7"/>
  <c r="KG22" i="7" s="1"/>
  <c r="KG23" i="7" s="1"/>
  <c r="KG24" i="7" s="1"/>
  <c r="KG25" i="7" s="1"/>
  <c r="KG26" i="7" s="1"/>
  <c r="KG27" i="7" s="1"/>
  <c r="KG28" i="7" s="1"/>
  <c r="KG29" i="7" s="1"/>
  <c r="KG30" i="7" s="1"/>
  <c r="KG31" i="7" s="1"/>
  <c r="KH2" i="6" s="1"/>
  <c r="ER22" i="7"/>
  <c r="ER23" i="7" s="1"/>
  <c r="ER24" i="7" s="1"/>
  <c r="ER25" i="7" s="1"/>
  <c r="ER26" i="7" s="1"/>
  <c r="ER27" i="7" s="1"/>
  <c r="ER28" i="7" s="1"/>
  <c r="ER29" i="7" s="1"/>
  <c r="ER30" i="7" s="1"/>
  <c r="ER31" i="7" s="1"/>
  <c r="ES2" i="6" s="1"/>
  <c r="YJ21" i="7"/>
  <c r="YJ22" i="7" s="1"/>
  <c r="YJ23" i="7" s="1"/>
  <c r="YJ24" i="7" s="1"/>
  <c r="YJ25" i="7" s="1"/>
  <c r="YJ26" i="7" s="1"/>
  <c r="YJ27" i="7" s="1"/>
  <c r="YJ28" i="7" s="1"/>
  <c r="YJ29" i="7" s="1"/>
  <c r="YJ30" i="7" s="1"/>
  <c r="YJ31" i="7" s="1"/>
  <c r="YK2" i="6" s="1"/>
  <c r="VZ21" i="7"/>
  <c r="VZ22" i="7" s="1"/>
  <c r="VZ23" i="7" s="1"/>
  <c r="VZ24" i="7" s="1"/>
  <c r="VZ25" i="7" s="1"/>
  <c r="VZ26" i="7" s="1"/>
  <c r="VZ27" i="7" s="1"/>
  <c r="VZ28" i="7" s="1"/>
  <c r="VZ29" i="7" s="1"/>
  <c r="VZ30" i="7" s="1"/>
  <c r="VZ31" i="7" s="1"/>
  <c r="WA2" i="6" s="1"/>
  <c r="AIO21" i="7"/>
  <c r="AIO22" i="7" s="1"/>
  <c r="AIO23" i="7" s="1"/>
  <c r="AIO24" i="7" s="1"/>
  <c r="AIO25" i="7" s="1"/>
  <c r="AIO26" i="7" s="1"/>
  <c r="AIO27" i="7" s="1"/>
  <c r="AIO28" i="7" s="1"/>
  <c r="AIO29" i="7" s="1"/>
  <c r="AIO30" i="7" s="1"/>
  <c r="AIO31" i="7" s="1"/>
  <c r="AIP2" i="6" s="1"/>
  <c r="AEL22" i="7"/>
  <c r="AEL23" i="7" s="1"/>
  <c r="AEL24" i="7" s="1"/>
  <c r="AEL25" i="7" s="1"/>
  <c r="AEL26" i="7" s="1"/>
  <c r="AEL27" i="7" s="1"/>
  <c r="AEL28" i="7" s="1"/>
  <c r="AEL29" i="7" s="1"/>
  <c r="AEL30" i="7" s="1"/>
  <c r="AEL31" i="7" s="1"/>
  <c r="AEM2" i="6" s="1"/>
  <c r="AKM21" i="7"/>
  <c r="AKM22" i="7" s="1"/>
  <c r="AKM23" i="7" s="1"/>
  <c r="AKM24" i="7" s="1"/>
  <c r="AKM25" i="7" s="1"/>
  <c r="AKM26" i="7" s="1"/>
  <c r="AKM27" i="7" s="1"/>
  <c r="AKM28" i="7" s="1"/>
  <c r="AKM29" i="7" s="1"/>
  <c r="AKM30" i="7" s="1"/>
  <c r="AKM31" i="7" s="1"/>
  <c r="AKN2" i="6" s="1"/>
  <c r="WK21" i="7"/>
  <c r="WK22" i="7" s="1"/>
  <c r="WK23" i="7" s="1"/>
  <c r="WK24" i="7" s="1"/>
  <c r="WK25" i="7" s="1"/>
  <c r="WK26" i="7" s="1"/>
  <c r="WK27" i="7" s="1"/>
  <c r="WK28" i="7" s="1"/>
  <c r="WK29" i="7" s="1"/>
  <c r="WK30" i="7" s="1"/>
  <c r="WK31" i="7" s="1"/>
  <c r="WL2" i="6" s="1"/>
  <c r="WP22" i="7"/>
  <c r="WP23" i="7" s="1"/>
  <c r="WP24" i="7" s="1"/>
  <c r="WP25" i="7" s="1"/>
  <c r="WP26" i="7" s="1"/>
  <c r="WP27" i="7" s="1"/>
  <c r="WP28" i="7" s="1"/>
  <c r="WP29" i="7" s="1"/>
  <c r="WP30" i="7" s="1"/>
  <c r="WP31" i="7" s="1"/>
  <c r="WQ2" i="6" s="1"/>
  <c r="JG22" i="7"/>
  <c r="JG23" i="7" s="1"/>
  <c r="JG24" i="7" s="1"/>
  <c r="JG25" i="7" s="1"/>
  <c r="JG26" i="7" s="1"/>
  <c r="JG27" i="7" s="1"/>
  <c r="JG28" i="7" s="1"/>
  <c r="JG29" i="7" s="1"/>
  <c r="JG30" i="7" s="1"/>
  <c r="JG31" i="7" s="1"/>
  <c r="JH2" i="6" s="1"/>
  <c r="KE21" i="7"/>
  <c r="KE22" i="7" s="1"/>
  <c r="KE23" i="7" s="1"/>
  <c r="KE24" i="7" s="1"/>
  <c r="KE25" i="7" s="1"/>
  <c r="KE26" i="7" s="1"/>
  <c r="KE27" i="7" s="1"/>
  <c r="KE28" i="7" s="1"/>
  <c r="KE29" i="7" s="1"/>
  <c r="KE30" i="7" s="1"/>
  <c r="KE31" i="7" s="1"/>
  <c r="KF2" i="6" s="1"/>
  <c r="NR22" i="7"/>
  <c r="NR23" i="7" s="1"/>
  <c r="NR24" i="7" s="1"/>
  <c r="NR25" i="7" s="1"/>
  <c r="NR26" i="7" s="1"/>
  <c r="NR27" i="7" s="1"/>
  <c r="NR28" i="7" s="1"/>
  <c r="NR29" i="7" s="1"/>
  <c r="NR30" i="7" s="1"/>
  <c r="NR31" i="7" s="1"/>
  <c r="NS2" i="6" s="1"/>
  <c r="RS22" i="7"/>
  <c r="RS23" i="7" s="1"/>
  <c r="RS24" i="7" s="1"/>
  <c r="RS25" i="7" s="1"/>
  <c r="RS26" i="7" s="1"/>
  <c r="RS27" i="7" s="1"/>
  <c r="RS28" i="7" s="1"/>
  <c r="RS29" i="7" s="1"/>
  <c r="RS30" i="7" s="1"/>
  <c r="RS31" i="7" s="1"/>
  <c r="RT2" i="6" s="1"/>
  <c r="CQ22" i="7"/>
  <c r="CQ23" i="7" s="1"/>
  <c r="CQ24" i="7" s="1"/>
  <c r="CQ25" i="7" s="1"/>
  <c r="CQ26" i="7" s="1"/>
  <c r="CQ27" i="7" s="1"/>
  <c r="CQ28" i="7" s="1"/>
  <c r="CQ29" i="7" s="1"/>
  <c r="CQ30" i="7" s="1"/>
  <c r="CQ31" i="7" s="1"/>
  <c r="CR2" i="6" s="1"/>
  <c r="EJ21" i="7"/>
  <c r="EJ22" i="7" s="1"/>
  <c r="EJ23" i="7" s="1"/>
  <c r="EJ24" i="7" s="1"/>
  <c r="EJ25" i="7" s="1"/>
  <c r="EJ26" i="7" s="1"/>
  <c r="EJ27" i="7" s="1"/>
  <c r="EJ28" i="7" s="1"/>
  <c r="EJ29" i="7" s="1"/>
  <c r="EJ30" i="7" s="1"/>
  <c r="EJ31" i="7" s="1"/>
  <c r="EK2" i="6" s="1"/>
  <c r="PQ21" i="7"/>
  <c r="PQ22" i="7" s="1"/>
  <c r="PQ23" i="7" s="1"/>
  <c r="PQ24" i="7" s="1"/>
  <c r="PQ25" i="7" s="1"/>
  <c r="PQ26" i="7" s="1"/>
  <c r="PQ27" i="7" s="1"/>
  <c r="PQ28" i="7" s="1"/>
  <c r="PQ29" i="7" s="1"/>
  <c r="PQ30" i="7" s="1"/>
  <c r="PQ31" i="7" s="1"/>
  <c r="PR2" i="6" s="1"/>
  <c r="IB22" i="7"/>
  <c r="IB23" i="7" s="1"/>
  <c r="IB24" i="7" s="1"/>
  <c r="IB25" i="7" s="1"/>
  <c r="IB26" i="7" s="1"/>
  <c r="IB27" i="7" s="1"/>
  <c r="IB28" i="7" s="1"/>
  <c r="IB29" i="7" s="1"/>
  <c r="IB30" i="7" s="1"/>
  <c r="IB31" i="7" s="1"/>
  <c r="IC2" i="6" s="1"/>
  <c r="ACU21" i="7"/>
  <c r="ACU22" i="7" s="1"/>
  <c r="ACU23" i="7" s="1"/>
  <c r="ACU24" i="7" s="1"/>
  <c r="ACU25" i="7" s="1"/>
  <c r="ACU26" i="7" s="1"/>
  <c r="ACU27" i="7" s="1"/>
  <c r="ACU28" i="7" s="1"/>
  <c r="ACU29" i="7" s="1"/>
  <c r="ACU30" i="7" s="1"/>
  <c r="ACU31" i="7" s="1"/>
  <c r="ACV2" i="6" s="1"/>
  <c r="DM21" i="7"/>
  <c r="DM22" i="7" s="1"/>
  <c r="DM23" i="7" s="1"/>
  <c r="DM24" i="7" s="1"/>
  <c r="DM25" i="7" s="1"/>
  <c r="DM26" i="7" s="1"/>
  <c r="DM27" i="7" s="1"/>
  <c r="DM28" i="7" s="1"/>
  <c r="DM29" i="7" s="1"/>
  <c r="DM30" i="7" s="1"/>
  <c r="DM31" i="7" s="1"/>
  <c r="DN2" i="6" s="1"/>
  <c r="FS23" i="7"/>
  <c r="FS24" i="7" s="1"/>
  <c r="FS25" i="7" s="1"/>
  <c r="FS26" i="7" s="1"/>
  <c r="FS27" i="7" s="1"/>
  <c r="FS28" i="7" s="1"/>
  <c r="FS29" i="7" s="1"/>
  <c r="FS30" i="7" s="1"/>
  <c r="FS31" i="7" s="1"/>
  <c r="FT2" i="6" s="1"/>
  <c r="UB22" i="7"/>
  <c r="UB23" i="7" s="1"/>
  <c r="UB24" i="7" s="1"/>
  <c r="UB25" i="7" s="1"/>
  <c r="UB26" i="7" s="1"/>
  <c r="UB27" i="7" s="1"/>
  <c r="UB28" i="7" s="1"/>
  <c r="UB29" i="7" s="1"/>
  <c r="UB30" i="7" s="1"/>
  <c r="UB31" i="7" s="1"/>
  <c r="UC2" i="6" s="1"/>
  <c r="QY23" i="7"/>
  <c r="QY24" i="7" s="1"/>
  <c r="QY25" i="7" s="1"/>
  <c r="QY26" i="7" s="1"/>
  <c r="QY27" i="7" s="1"/>
  <c r="QY28" i="7" s="1"/>
  <c r="QY29" i="7" s="1"/>
  <c r="QY30" i="7" s="1"/>
  <c r="QY31" i="7" s="1"/>
  <c r="QZ2" i="6" s="1"/>
  <c r="AHE21" i="7"/>
  <c r="AHE22" i="7" s="1"/>
  <c r="AHE23" i="7" s="1"/>
  <c r="AHE24" i="7" s="1"/>
  <c r="AHE25" i="7" s="1"/>
  <c r="AHE26" i="7" s="1"/>
  <c r="AHE27" i="7" s="1"/>
  <c r="AHE28" i="7" s="1"/>
  <c r="AHE29" i="7" s="1"/>
  <c r="AHE30" i="7" s="1"/>
  <c r="AHE31" i="7" s="1"/>
  <c r="AHF2" i="6" s="1"/>
  <c r="FR22" i="7"/>
  <c r="FR23" i="7" s="1"/>
  <c r="FR24" i="7" s="1"/>
  <c r="FR25" i="7" s="1"/>
  <c r="FR26" i="7" s="1"/>
  <c r="FR27" i="7" s="1"/>
  <c r="FR28" i="7" s="1"/>
  <c r="FR29" i="7" s="1"/>
  <c r="FR30" i="7" s="1"/>
  <c r="FR31" i="7" s="1"/>
  <c r="FS2" i="6" s="1"/>
  <c r="AKO21" i="7"/>
  <c r="AKO22" i="7" s="1"/>
  <c r="AKO23" i="7" s="1"/>
  <c r="AKO24" i="7" s="1"/>
  <c r="AKO25" i="7" s="1"/>
  <c r="AKO26" i="7" s="1"/>
  <c r="AKO27" i="7" s="1"/>
  <c r="AKO28" i="7" s="1"/>
  <c r="AKO29" i="7" s="1"/>
  <c r="AKO30" i="7" s="1"/>
  <c r="AKO31" i="7" s="1"/>
  <c r="AKP2" i="6" s="1"/>
  <c r="PK22" i="7"/>
  <c r="PK23" i="7" s="1"/>
  <c r="PK24" i="7" s="1"/>
  <c r="PK25" i="7" s="1"/>
  <c r="PK26" i="7" s="1"/>
  <c r="PK27" i="7" s="1"/>
  <c r="PK28" i="7" s="1"/>
  <c r="PK29" i="7" s="1"/>
  <c r="PK30" i="7" s="1"/>
  <c r="PK31" i="7" s="1"/>
  <c r="PL2" i="6" s="1"/>
  <c r="QB22" i="7"/>
  <c r="QB23" i="7" s="1"/>
  <c r="QB24" i="7" s="1"/>
  <c r="QB25" i="7" s="1"/>
  <c r="QB26" i="7" s="1"/>
  <c r="QB27" i="7" s="1"/>
  <c r="QB28" i="7" s="1"/>
  <c r="QB29" i="7" s="1"/>
  <c r="QB30" i="7" s="1"/>
  <c r="QB31" i="7" s="1"/>
  <c r="QC2" i="6" s="1"/>
  <c r="WN22" i="7"/>
  <c r="WN23" i="7" s="1"/>
  <c r="WN24" i="7" s="1"/>
  <c r="WN25" i="7" s="1"/>
  <c r="WN26" i="7" s="1"/>
  <c r="WN27" i="7" s="1"/>
  <c r="WN28" i="7" s="1"/>
  <c r="WN29" i="7" s="1"/>
  <c r="WN30" i="7" s="1"/>
  <c r="WN31" i="7" s="1"/>
  <c r="WO2" i="6" s="1"/>
  <c r="ADI21" i="7"/>
  <c r="ADI22" i="7" s="1"/>
  <c r="ADI23" i="7" s="1"/>
  <c r="ADI24" i="7" s="1"/>
  <c r="ADI25" i="7" s="1"/>
  <c r="ADI26" i="7" s="1"/>
  <c r="ADI27" i="7" s="1"/>
  <c r="ADI28" i="7" s="1"/>
  <c r="ADI29" i="7" s="1"/>
  <c r="ADI30" i="7" s="1"/>
  <c r="ADI31" i="7" s="1"/>
  <c r="ADJ2" i="6" s="1"/>
  <c r="AAF21" i="7"/>
  <c r="AAF22" i="7" s="1"/>
  <c r="AAF23" i="7" s="1"/>
  <c r="AAF24" i="7" s="1"/>
  <c r="AAF25" i="7" s="1"/>
  <c r="AAF26" i="7" s="1"/>
  <c r="AAF27" i="7" s="1"/>
  <c r="AAF28" i="7" s="1"/>
  <c r="AAF29" i="7" s="1"/>
  <c r="AAF30" i="7" s="1"/>
  <c r="AAF31" i="7" s="1"/>
  <c r="AAG2" i="6" s="1"/>
  <c r="AIF21" i="7"/>
  <c r="AIF22" i="7" s="1"/>
  <c r="AIF23" i="7" s="1"/>
  <c r="AIF24" i="7" s="1"/>
  <c r="AIF25" i="7" s="1"/>
  <c r="AIF26" i="7" s="1"/>
  <c r="AIF27" i="7" s="1"/>
  <c r="AIF28" i="7" s="1"/>
  <c r="AIF29" i="7" s="1"/>
  <c r="AIF30" i="7" s="1"/>
  <c r="AIF31" i="7" s="1"/>
  <c r="AIG2" i="6" s="1"/>
  <c r="ABY22" i="7"/>
  <c r="ABY23" i="7" s="1"/>
  <c r="ABY24" i="7" s="1"/>
  <c r="ABY25" i="7" s="1"/>
  <c r="ABY26" i="7" s="1"/>
  <c r="ABY27" i="7" s="1"/>
  <c r="ABY28" i="7" s="1"/>
  <c r="ABY29" i="7" s="1"/>
  <c r="ABY30" i="7" s="1"/>
  <c r="ABY31" i="7" s="1"/>
  <c r="ABZ2" i="6" s="1"/>
  <c r="AB22" i="7"/>
  <c r="AB23" i="7" s="1"/>
  <c r="AB24" i="7" s="1"/>
  <c r="AB25" i="7" s="1"/>
  <c r="AB26" i="7" s="1"/>
  <c r="AB27" i="7" s="1"/>
  <c r="AB28" i="7" s="1"/>
  <c r="AB29" i="7" s="1"/>
  <c r="AB30" i="7" s="1"/>
  <c r="AB31" i="7" s="1"/>
  <c r="AC2" i="6" s="1"/>
  <c r="KX22" i="7"/>
  <c r="KX23" i="7" s="1"/>
  <c r="KX24" i="7" s="1"/>
  <c r="KX25" i="7" s="1"/>
  <c r="KX26" i="7" s="1"/>
  <c r="KX27" i="7" s="1"/>
  <c r="KX28" i="7" s="1"/>
  <c r="KX29" i="7" s="1"/>
  <c r="KX30" i="7" s="1"/>
  <c r="KX31" i="7" s="1"/>
  <c r="KY2" i="6" s="1"/>
  <c r="GD22" i="7"/>
  <c r="GD23" i="7" s="1"/>
  <c r="GD24" i="7" s="1"/>
  <c r="GD25" i="7" s="1"/>
  <c r="GD26" i="7" s="1"/>
  <c r="GD27" i="7" s="1"/>
  <c r="GD28" i="7" s="1"/>
  <c r="GD29" i="7" s="1"/>
  <c r="GD30" i="7" s="1"/>
  <c r="GD31" i="7" s="1"/>
  <c r="GE2" i="6" s="1"/>
  <c r="ALN22" i="7"/>
  <c r="ALN23" i="7" s="1"/>
  <c r="ALN24" i="7" s="1"/>
  <c r="ALN25" i="7" s="1"/>
  <c r="ALN26" i="7" s="1"/>
  <c r="ALN27" i="7" s="1"/>
  <c r="ALN28" i="7" s="1"/>
  <c r="ALN29" i="7" s="1"/>
  <c r="ALN30" i="7" s="1"/>
  <c r="ALN31" i="7" s="1"/>
  <c r="ALO2" i="6" s="1"/>
  <c r="VU23" i="7"/>
  <c r="VU24" i="7" s="1"/>
  <c r="VU25" i="7" s="1"/>
  <c r="VU26" i="7" s="1"/>
  <c r="VU27" i="7" s="1"/>
  <c r="VU28" i="7" s="1"/>
  <c r="VU29" i="7" s="1"/>
  <c r="VU30" i="7" s="1"/>
  <c r="VU31" i="7" s="1"/>
  <c r="VV2" i="6" s="1"/>
  <c r="HC22" i="7"/>
  <c r="HC23" i="7" s="1"/>
  <c r="HC24" i="7" s="1"/>
  <c r="HC25" i="7" s="1"/>
  <c r="HC26" i="7" s="1"/>
  <c r="HC27" i="7" s="1"/>
  <c r="HC28" i="7" s="1"/>
  <c r="HC29" i="7" s="1"/>
  <c r="HC30" i="7" s="1"/>
  <c r="HC31" i="7" s="1"/>
  <c r="HD2" i="6" s="1"/>
  <c r="ZM22" i="7"/>
  <c r="ZM23" i="7" s="1"/>
  <c r="ZM24" i="7" s="1"/>
  <c r="ZM25" i="7" s="1"/>
  <c r="ZM26" i="7" s="1"/>
  <c r="ZM27" i="7" s="1"/>
  <c r="ZM28" i="7" s="1"/>
  <c r="ZM29" i="7" s="1"/>
  <c r="ZM30" i="7" s="1"/>
  <c r="ZM31" i="7" s="1"/>
  <c r="ZN2" i="6" s="1"/>
  <c r="JF22" i="7"/>
  <c r="JF23" i="7" s="1"/>
  <c r="JF24" i="7" s="1"/>
  <c r="JF25" i="7" s="1"/>
  <c r="JF26" i="7" s="1"/>
  <c r="JF27" i="7" s="1"/>
  <c r="JF28" i="7" s="1"/>
  <c r="JF29" i="7" s="1"/>
  <c r="JF30" i="7" s="1"/>
  <c r="JF31" i="7" s="1"/>
  <c r="JG2" i="6" s="1"/>
  <c r="CI21" i="7"/>
  <c r="CI22" i="7" s="1"/>
  <c r="CI23" i="7" s="1"/>
  <c r="CI24" i="7" s="1"/>
  <c r="CI25" i="7" s="1"/>
  <c r="CI26" i="7" s="1"/>
  <c r="CI27" i="7" s="1"/>
  <c r="CI28" i="7" s="1"/>
  <c r="CI29" i="7" s="1"/>
  <c r="CI30" i="7" s="1"/>
  <c r="CI31" i="7" s="1"/>
  <c r="CJ2" i="6" s="1"/>
  <c r="GY22" i="7"/>
  <c r="GY23" i="7" s="1"/>
  <c r="GY24" i="7" s="1"/>
  <c r="GY25" i="7" s="1"/>
  <c r="GY26" i="7" s="1"/>
  <c r="GY27" i="7" s="1"/>
  <c r="GY28" i="7" s="1"/>
  <c r="GY29" i="7" s="1"/>
  <c r="GY30" i="7" s="1"/>
  <c r="GY31" i="7" s="1"/>
  <c r="GZ2" i="6" s="1"/>
  <c r="ZB22" i="7"/>
  <c r="ZB23" i="7" s="1"/>
  <c r="ZB24" i="7" s="1"/>
  <c r="ZB25" i="7" s="1"/>
  <c r="ZB26" i="7" s="1"/>
  <c r="ZB27" i="7" s="1"/>
  <c r="ZB28" i="7" s="1"/>
  <c r="ZB29" i="7" s="1"/>
  <c r="ZB30" i="7" s="1"/>
  <c r="ZB31" i="7" s="1"/>
  <c r="ZC2" i="6" s="1"/>
  <c r="SF22" i="7"/>
  <c r="SF23" i="7" s="1"/>
  <c r="SF24" i="7" s="1"/>
  <c r="SF25" i="7" s="1"/>
  <c r="SF26" i="7" s="1"/>
  <c r="SF27" i="7" s="1"/>
  <c r="SF28" i="7" s="1"/>
  <c r="SF29" i="7" s="1"/>
  <c r="SF30" i="7" s="1"/>
  <c r="SF31" i="7" s="1"/>
  <c r="SG2" i="6" s="1"/>
  <c r="HV22" i="7"/>
  <c r="HV23" i="7" s="1"/>
  <c r="HV24" i="7" s="1"/>
  <c r="HV25" i="7" s="1"/>
  <c r="HV26" i="7" s="1"/>
  <c r="HV27" i="7" s="1"/>
  <c r="HV28" i="7" s="1"/>
  <c r="HV29" i="7" s="1"/>
  <c r="HV30" i="7" s="1"/>
  <c r="HV31" i="7" s="1"/>
  <c r="HW2" i="6" s="1"/>
  <c r="UL22" i="7"/>
  <c r="UL23" i="7" s="1"/>
  <c r="UL24" i="7" s="1"/>
  <c r="UL25" i="7" s="1"/>
  <c r="UL26" i="7" s="1"/>
  <c r="UL27" i="7" s="1"/>
  <c r="UL28" i="7" s="1"/>
  <c r="UL29" i="7" s="1"/>
  <c r="UL30" i="7" s="1"/>
  <c r="UL31" i="7" s="1"/>
  <c r="UM2" i="6" s="1"/>
  <c r="JT23" i="7"/>
  <c r="JT24" i="7" s="1"/>
  <c r="JT25" i="7" s="1"/>
  <c r="JT26" i="7" s="1"/>
  <c r="JT27" i="7" s="1"/>
  <c r="JT28" i="7" s="1"/>
  <c r="JT29" i="7" s="1"/>
  <c r="JT30" i="7" s="1"/>
  <c r="JT31" i="7" s="1"/>
  <c r="JU2" i="6" s="1"/>
  <c r="IL22" i="7"/>
  <c r="IL23" i="7" s="1"/>
  <c r="IL24" i="7" s="1"/>
  <c r="IL25" i="7" s="1"/>
  <c r="IL26" i="7" s="1"/>
  <c r="IL27" i="7" s="1"/>
  <c r="IL28" i="7" s="1"/>
  <c r="IL29" i="7" s="1"/>
  <c r="IL30" i="7" s="1"/>
  <c r="IL31" i="7" s="1"/>
  <c r="IM2" i="6" s="1"/>
  <c r="AFV21" i="7"/>
  <c r="AFV22" i="7" s="1"/>
  <c r="AFV23" i="7" s="1"/>
  <c r="AFV24" i="7" s="1"/>
  <c r="AFV25" i="7" s="1"/>
  <c r="AFV26" i="7" s="1"/>
  <c r="AFV27" i="7" s="1"/>
  <c r="AFV28" i="7" s="1"/>
  <c r="AFV29" i="7" s="1"/>
  <c r="AFV30" i="7" s="1"/>
  <c r="AFV31" i="7" s="1"/>
  <c r="AFW2" i="6" s="1"/>
  <c r="ZZ22" i="7"/>
  <c r="ZZ23" i="7" s="1"/>
  <c r="ZZ24" i="7" s="1"/>
  <c r="ZZ25" i="7" s="1"/>
  <c r="ZZ26" i="7" s="1"/>
  <c r="ZZ27" i="7" s="1"/>
  <c r="ZZ28" i="7" s="1"/>
  <c r="ZZ29" i="7" s="1"/>
  <c r="ZZ30" i="7" s="1"/>
  <c r="ZZ31" i="7" s="1"/>
  <c r="AAA2" i="6" s="1"/>
  <c r="HQ22" i="7"/>
  <c r="HQ23" i="7" s="1"/>
  <c r="HQ24" i="7" s="1"/>
  <c r="HQ25" i="7" s="1"/>
  <c r="HQ26" i="7" s="1"/>
  <c r="HQ27" i="7" s="1"/>
  <c r="HQ28" i="7" s="1"/>
  <c r="HQ29" i="7" s="1"/>
  <c r="HQ30" i="7" s="1"/>
  <c r="HQ31" i="7" s="1"/>
  <c r="HR2" i="6" s="1"/>
  <c r="AHU22" i="7"/>
  <c r="AHU23" i="7" s="1"/>
  <c r="AHU24" i="7" s="1"/>
  <c r="AHU25" i="7" s="1"/>
  <c r="AHU26" i="7" s="1"/>
  <c r="AHU27" i="7" s="1"/>
  <c r="AHU28" i="7" s="1"/>
  <c r="AHU29" i="7" s="1"/>
  <c r="AHU30" i="7" s="1"/>
  <c r="AHU31" i="7" s="1"/>
  <c r="AHV2" i="6" s="1"/>
  <c r="AFX21" i="7"/>
  <c r="AFX22" i="7" s="1"/>
  <c r="AFX23" i="7" s="1"/>
  <c r="AFX24" i="7" s="1"/>
  <c r="AFX25" i="7" s="1"/>
  <c r="AFX26" i="7" s="1"/>
  <c r="AFX27" i="7" s="1"/>
  <c r="AFX28" i="7" s="1"/>
  <c r="AFX29" i="7" s="1"/>
  <c r="AFX30" i="7" s="1"/>
  <c r="AFX31" i="7" s="1"/>
  <c r="AFY2" i="6" s="1"/>
  <c r="ZX21" i="7"/>
  <c r="ZX22" i="7" s="1"/>
  <c r="ZX23" i="7" s="1"/>
  <c r="ZX24" i="7" s="1"/>
  <c r="ZX25" i="7" s="1"/>
  <c r="ZX26" i="7" s="1"/>
  <c r="ZX27" i="7" s="1"/>
  <c r="ZX28" i="7" s="1"/>
  <c r="ZX29" i="7" s="1"/>
  <c r="ZX30" i="7" s="1"/>
  <c r="ZX31" i="7" s="1"/>
  <c r="ZY2" i="6" s="1"/>
  <c r="RT21" i="7"/>
  <c r="RT22" i="7" s="1"/>
  <c r="RT23" i="7" s="1"/>
  <c r="RT24" i="7" s="1"/>
  <c r="RT25" i="7" s="1"/>
  <c r="RT26" i="7" s="1"/>
  <c r="RT27" i="7" s="1"/>
  <c r="RT28" i="7" s="1"/>
  <c r="RT29" i="7" s="1"/>
  <c r="RT30" i="7" s="1"/>
  <c r="RT31" i="7" s="1"/>
  <c r="RU2" i="6" s="1"/>
  <c r="XI22" i="7"/>
  <c r="XI23" i="7" s="1"/>
  <c r="XI24" i="7" s="1"/>
  <c r="XI25" i="7" s="1"/>
  <c r="XI26" i="7" s="1"/>
  <c r="XI27" i="7" s="1"/>
  <c r="XI28" i="7" s="1"/>
  <c r="XI29" i="7" s="1"/>
  <c r="XI30" i="7" s="1"/>
  <c r="XI31" i="7" s="1"/>
  <c r="XJ2" i="6" s="1"/>
  <c r="CJ22" i="7"/>
  <c r="CJ23" i="7" s="1"/>
  <c r="CJ24" i="7" s="1"/>
  <c r="CJ25" i="7" s="1"/>
  <c r="CJ26" i="7" s="1"/>
  <c r="CJ27" i="7" s="1"/>
  <c r="CJ28" i="7" s="1"/>
  <c r="CJ29" i="7" s="1"/>
  <c r="CJ30" i="7" s="1"/>
  <c r="CJ31" i="7" s="1"/>
  <c r="CK2" i="6" s="1"/>
  <c r="AAE21" i="7"/>
  <c r="AAE22" i="7" s="1"/>
  <c r="AAE23" i="7" s="1"/>
  <c r="AAE24" i="7" s="1"/>
  <c r="AAE25" i="7" s="1"/>
  <c r="AAE26" i="7" s="1"/>
  <c r="AAE27" i="7" s="1"/>
  <c r="AAE28" i="7" s="1"/>
  <c r="AAE29" i="7" s="1"/>
  <c r="AAE30" i="7" s="1"/>
  <c r="AAE31" i="7" s="1"/>
  <c r="AAF2" i="6" s="1"/>
  <c r="TX21" i="7"/>
  <c r="TX22" i="7" s="1"/>
  <c r="TX23" i="7" s="1"/>
  <c r="TX24" i="7" s="1"/>
  <c r="TX25" i="7" s="1"/>
  <c r="TX26" i="7" s="1"/>
  <c r="TX27" i="7" s="1"/>
  <c r="TX28" i="7" s="1"/>
  <c r="TX29" i="7" s="1"/>
  <c r="TX30" i="7" s="1"/>
  <c r="TX31" i="7" s="1"/>
  <c r="TY2" i="6" s="1"/>
  <c r="AEF21" i="7"/>
  <c r="AEF22" i="7" s="1"/>
  <c r="AEF23" i="7" s="1"/>
  <c r="AEF24" i="7" s="1"/>
  <c r="AEF25" i="7" s="1"/>
  <c r="AEF26" i="7" s="1"/>
  <c r="AEF27" i="7" s="1"/>
  <c r="AEF28" i="7" s="1"/>
  <c r="AEF29" i="7" s="1"/>
  <c r="AEF30" i="7" s="1"/>
  <c r="AEF31" i="7" s="1"/>
  <c r="AEG2" i="6" s="1"/>
  <c r="ES22" i="7"/>
  <c r="ES23" i="7" s="1"/>
  <c r="ES24" i="7" s="1"/>
  <c r="ES25" i="7" s="1"/>
  <c r="ES26" i="7" s="1"/>
  <c r="ES27" i="7" s="1"/>
  <c r="ES28" i="7" s="1"/>
  <c r="ES29" i="7" s="1"/>
  <c r="ES30" i="7" s="1"/>
  <c r="ES31" i="7" s="1"/>
  <c r="ET2" i="6" s="1"/>
  <c r="AES22" i="7"/>
  <c r="AES23" i="7" s="1"/>
  <c r="AES24" i="7" s="1"/>
  <c r="AES25" i="7" s="1"/>
  <c r="AES26" i="7" s="1"/>
  <c r="AES27" i="7" s="1"/>
  <c r="AES28" i="7" s="1"/>
  <c r="AES29" i="7" s="1"/>
  <c r="AES30" i="7" s="1"/>
  <c r="AES31" i="7" s="1"/>
  <c r="AET2" i="6" s="1"/>
  <c r="AEG21" i="7"/>
  <c r="AEG22" i="7" s="1"/>
  <c r="AEG23" i="7" s="1"/>
  <c r="AEG24" i="7" s="1"/>
  <c r="AEG25" i="7" s="1"/>
  <c r="AEG26" i="7" s="1"/>
  <c r="AEG27" i="7" s="1"/>
  <c r="AEG28" i="7" s="1"/>
  <c r="AEG29" i="7" s="1"/>
  <c r="AEG30" i="7" s="1"/>
  <c r="AEG31" i="7" s="1"/>
  <c r="AEH2" i="6" s="1"/>
  <c r="AIA22" i="7"/>
  <c r="AIA23" i="7" s="1"/>
  <c r="AIA24" i="7" s="1"/>
  <c r="AIA25" i="7" s="1"/>
  <c r="AIA26" i="7" s="1"/>
  <c r="AIA27" i="7" s="1"/>
  <c r="AIA28" i="7" s="1"/>
  <c r="AIA29" i="7" s="1"/>
  <c r="AIA30" i="7" s="1"/>
  <c r="AIA31" i="7" s="1"/>
  <c r="AIB2" i="6" s="1"/>
  <c r="MM22" i="7"/>
  <c r="MM23" i="7" s="1"/>
  <c r="MM24" i="7" s="1"/>
  <c r="MM25" i="7" s="1"/>
  <c r="MM26" i="7" s="1"/>
  <c r="MM27" i="7" s="1"/>
  <c r="MM28" i="7" s="1"/>
  <c r="MM29" i="7" s="1"/>
  <c r="MM30" i="7" s="1"/>
  <c r="MM31" i="7" s="1"/>
  <c r="MN2" i="6" s="1"/>
  <c r="MZ21" i="7"/>
  <c r="MZ22" i="7" s="1"/>
  <c r="MZ23" i="7" s="1"/>
  <c r="MZ24" i="7" s="1"/>
  <c r="MZ25" i="7" s="1"/>
  <c r="MZ26" i="7" s="1"/>
  <c r="MZ27" i="7" s="1"/>
  <c r="MZ28" i="7" s="1"/>
  <c r="MZ29" i="7" s="1"/>
  <c r="MZ30" i="7" s="1"/>
  <c r="MZ31" i="7" s="1"/>
  <c r="NA2" i="6" s="1"/>
  <c r="AHT21" i="7"/>
  <c r="AHT22" i="7" s="1"/>
  <c r="AHT23" i="7" s="1"/>
  <c r="AHT24" i="7" s="1"/>
  <c r="AHT25" i="7" s="1"/>
  <c r="AHT26" i="7" s="1"/>
  <c r="AHT27" i="7" s="1"/>
  <c r="AHT28" i="7" s="1"/>
  <c r="AHT29" i="7" s="1"/>
  <c r="AHT30" i="7" s="1"/>
  <c r="AHT31" i="7" s="1"/>
  <c r="AHU2" i="6" s="1"/>
  <c r="VX21" i="7"/>
  <c r="VX22" i="7" s="1"/>
  <c r="VX23" i="7" s="1"/>
  <c r="VX24" i="7" s="1"/>
  <c r="VX25" i="7" s="1"/>
  <c r="VX26" i="7" s="1"/>
  <c r="VX27" i="7" s="1"/>
  <c r="VX28" i="7" s="1"/>
  <c r="VX29" i="7" s="1"/>
  <c r="VX30" i="7" s="1"/>
  <c r="VX31" i="7" s="1"/>
  <c r="VY2" i="6" s="1"/>
  <c r="PI21" i="7"/>
  <c r="PI22" i="7" s="1"/>
  <c r="PI23" i="7" s="1"/>
  <c r="PI24" i="7" s="1"/>
  <c r="PI25" i="7" s="1"/>
  <c r="PI26" i="7" s="1"/>
  <c r="PI27" i="7" s="1"/>
  <c r="PI28" i="7" s="1"/>
  <c r="PI29" i="7" s="1"/>
  <c r="PI30" i="7" s="1"/>
  <c r="PI31" i="7" s="1"/>
  <c r="PJ2" i="6" s="1"/>
  <c r="DQ22" i="7"/>
  <c r="DQ23" i="7" s="1"/>
  <c r="DQ24" i="7" s="1"/>
  <c r="DQ25" i="7" s="1"/>
  <c r="DQ26" i="7" s="1"/>
  <c r="DQ27" i="7" s="1"/>
  <c r="DQ28" i="7" s="1"/>
  <c r="DQ29" i="7" s="1"/>
  <c r="DQ30" i="7" s="1"/>
  <c r="DQ31" i="7" s="1"/>
  <c r="DR2" i="6" s="1"/>
  <c r="BC22" i="7"/>
  <c r="BC23" i="7" s="1"/>
  <c r="BC24" i="7" s="1"/>
  <c r="BC25" i="7" s="1"/>
  <c r="BC26" i="7" s="1"/>
  <c r="BC27" i="7" s="1"/>
  <c r="BC28" i="7" s="1"/>
  <c r="BC29" i="7" s="1"/>
  <c r="BC30" i="7" s="1"/>
  <c r="BC31" i="7" s="1"/>
  <c r="BD2" i="6" s="1"/>
  <c r="FM21" i="7"/>
  <c r="FM22" i="7" s="1"/>
  <c r="FM23" i="7" s="1"/>
  <c r="FM24" i="7" s="1"/>
  <c r="FM25" i="7" s="1"/>
  <c r="FM26" i="7" s="1"/>
  <c r="FM27" i="7" s="1"/>
  <c r="FM28" i="7" s="1"/>
  <c r="FM29" i="7" s="1"/>
  <c r="FM30" i="7" s="1"/>
  <c r="FM31" i="7" s="1"/>
  <c r="FN2" i="6" s="1"/>
  <c r="BB22" i="7"/>
  <c r="BB23" i="7" s="1"/>
  <c r="BB24" i="7" s="1"/>
  <c r="BB25" i="7" s="1"/>
  <c r="BB26" i="7" s="1"/>
  <c r="BB27" i="7" s="1"/>
  <c r="BB28" i="7" s="1"/>
  <c r="BB29" i="7" s="1"/>
  <c r="BB30" i="7" s="1"/>
  <c r="BB31" i="7" s="1"/>
  <c r="BC2" i="6" s="1"/>
  <c r="HZ22" i="7"/>
  <c r="HZ23" i="7" s="1"/>
  <c r="HZ24" i="7" s="1"/>
  <c r="HZ25" i="7" s="1"/>
  <c r="HZ26" i="7" s="1"/>
  <c r="HZ27" i="7" s="1"/>
  <c r="HZ28" i="7" s="1"/>
  <c r="HZ29" i="7" s="1"/>
  <c r="HZ30" i="7" s="1"/>
  <c r="HZ31" i="7" s="1"/>
  <c r="IA2" i="6" s="1"/>
  <c r="AFI21" i="7"/>
  <c r="AFI22" i="7" s="1"/>
  <c r="AFI23" i="7" s="1"/>
  <c r="AFI24" i="7" s="1"/>
  <c r="AFI25" i="7" s="1"/>
  <c r="AFI26" i="7" s="1"/>
  <c r="AFI27" i="7" s="1"/>
  <c r="AFI28" i="7" s="1"/>
  <c r="AFI29" i="7" s="1"/>
  <c r="AFI30" i="7" s="1"/>
  <c r="AFI31" i="7" s="1"/>
  <c r="AFJ2" i="6" s="1"/>
  <c r="HY22" i="7"/>
  <c r="HY23" i="7" s="1"/>
  <c r="HY24" i="7" s="1"/>
  <c r="HY25" i="7" s="1"/>
  <c r="HY26" i="7" s="1"/>
  <c r="HY27" i="7" s="1"/>
  <c r="HY28" i="7" s="1"/>
  <c r="HY29" i="7" s="1"/>
  <c r="HY30" i="7" s="1"/>
  <c r="HY31" i="7" s="1"/>
  <c r="HZ2" i="6" s="1"/>
  <c r="UJ21" i="7"/>
  <c r="UJ22" i="7" s="1"/>
  <c r="UJ23" i="7" s="1"/>
  <c r="UJ24" i="7" s="1"/>
  <c r="UJ25" i="7" s="1"/>
  <c r="UJ26" i="7" s="1"/>
  <c r="UJ27" i="7" s="1"/>
  <c r="UJ28" i="7" s="1"/>
  <c r="UJ29" i="7" s="1"/>
  <c r="UJ30" i="7" s="1"/>
  <c r="UJ31" i="7" s="1"/>
  <c r="UK2" i="6" s="1"/>
  <c r="MH22" i="7"/>
  <c r="MH23" i="7" s="1"/>
  <c r="MH24" i="7" s="1"/>
  <c r="MH25" i="7" s="1"/>
  <c r="MH26" i="7" s="1"/>
  <c r="MH27" i="7" s="1"/>
  <c r="MH28" i="7" s="1"/>
  <c r="MH29" i="7" s="1"/>
  <c r="MH30" i="7" s="1"/>
  <c r="MH31" i="7" s="1"/>
  <c r="MI2" i="6" s="1"/>
  <c r="DA21" i="7"/>
  <c r="DA22" i="7" s="1"/>
  <c r="DA23" i="7" s="1"/>
  <c r="DA24" i="7" s="1"/>
  <c r="DA25" i="7" s="1"/>
  <c r="DA26" i="7" s="1"/>
  <c r="DA27" i="7" s="1"/>
  <c r="DA28" i="7" s="1"/>
  <c r="DA29" i="7" s="1"/>
  <c r="DA30" i="7" s="1"/>
  <c r="DA31" i="7" s="1"/>
  <c r="DB2" i="6" s="1"/>
  <c r="ADK21" i="7"/>
  <c r="ADK22" i="7" s="1"/>
  <c r="ADK23" i="7" s="1"/>
  <c r="ADK24" i="7" s="1"/>
  <c r="ADK25" i="7" s="1"/>
  <c r="ADK26" i="7" s="1"/>
  <c r="ADK27" i="7" s="1"/>
  <c r="ADK28" i="7" s="1"/>
  <c r="ADK29" i="7" s="1"/>
  <c r="ADK30" i="7" s="1"/>
  <c r="ADK31" i="7" s="1"/>
  <c r="ADL2" i="6" s="1"/>
  <c r="HB22" i="7"/>
  <c r="HB23" i="7" s="1"/>
  <c r="HB24" i="7" s="1"/>
  <c r="HB25" i="7" s="1"/>
  <c r="HB26" i="7" s="1"/>
  <c r="HB27" i="7" s="1"/>
  <c r="HB28" i="7" s="1"/>
  <c r="HB29" i="7" s="1"/>
  <c r="HB30" i="7" s="1"/>
  <c r="HB31" i="7" s="1"/>
  <c r="HC2" i="6" s="1"/>
  <c r="YZ21" i="7"/>
  <c r="YZ22" i="7" s="1"/>
  <c r="YZ23" i="7" s="1"/>
  <c r="YZ24" i="7" s="1"/>
  <c r="YZ25" i="7" s="1"/>
  <c r="YZ26" i="7" s="1"/>
  <c r="YZ27" i="7" s="1"/>
  <c r="YZ28" i="7" s="1"/>
  <c r="YZ29" i="7" s="1"/>
  <c r="YZ30" i="7" s="1"/>
  <c r="YZ31" i="7" s="1"/>
  <c r="ZA2" i="6" s="1"/>
  <c r="AFQ22" i="7"/>
  <c r="AFQ23" i="7" s="1"/>
  <c r="AFQ24" i="7" s="1"/>
  <c r="AFQ25" i="7" s="1"/>
  <c r="AFQ26" i="7" s="1"/>
  <c r="AFQ27" i="7" s="1"/>
  <c r="AFQ28" i="7" s="1"/>
  <c r="AFQ29" i="7" s="1"/>
  <c r="AFQ30" i="7" s="1"/>
  <c r="AFQ31" i="7" s="1"/>
  <c r="AFR2" i="6" s="1"/>
  <c r="ALD21" i="7"/>
  <c r="ALD22" i="7" s="1"/>
  <c r="ALD23" i="7" s="1"/>
  <c r="ALD24" i="7" s="1"/>
  <c r="ALD25" i="7" s="1"/>
  <c r="ALD26" i="7" s="1"/>
  <c r="ALD27" i="7" s="1"/>
  <c r="ALD28" i="7" s="1"/>
  <c r="ALD29" i="7" s="1"/>
  <c r="ALD30" i="7" s="1"/>
  <c r="ALD31" i="7" s="1"/>
  <c r="ALE2" i="6" s="1"/>
  <c r="EH22" i="7"/>
  <c r="EH23" i="7" s="1"/>
  <c r="EH24" i="7" s="1"/>
  <c r="EH25" i="7" s="1"/>
  <c r="EH26" i="7" s="1"/>
  <c r="EH27" i="7" s="1"/>
  <c r="EH28" i="7" s="1"/>
  <c r="EH29" i="7" s="1"/>
  <c r="EH30" i="7" s="1"/>
  <c r="EH31" i="7" s="1"/>
  <c r="EI2" i="6" s="1"/>
  <c r="XJ21" i="7"/>
  <c r="XJ22" i="7" s="1"/>
  <c r="XJ23" i="7" s="1"/>
  <c r="XJ24" i="7" s="1"/>
  <c r="XJ25" i="7" s="1"/>
  <c r="XJ26" i="7" s="1"/>
  <c r="XJ27" i="7" s="1"/>
  <c r="XJ28" i="7" s="1"/>
  <c r="XJ29" i="7" s="1"/>
  <c r="XJ30" i="7" s="1"/>
  <c r="XJ31" i="7" s="1"/>
  <c r="XK2" i="6" s="1"/>
  <c r="VS22" i="7"/>
  <c r="VS23" i="7" s="1"/>
  <c r="VS24" i="7" s="1"/>
  <c r="VS25" i="7" s="1"/>
  <c r="VS26" i="7" s="1"/>
  <c r="VS27" i="7" s="1"/>
  <c r="VS28" i="7" s="1"/>
  <c r="VS29" i="7" s="1"/>
  <c r="VS30" i="7" s="1"/>
  <c r="VS31" i="7" s="1"/>
  <c r="VT2" i="6" s="1"/>
  <c r="ADN21" i="7"/>
  <c r="ADN22" i="7" s="1"/>
  <c r="ADN23" i="7" s="1"/>
  <c r="ADN24" i="7" s="1"/>
  <c r="ADN25" i="7" s="1"/>
  <c r="ADN26" i="7" s="1"/>
  <c r="ADN27" i="7" s="1"/>
  <c r="ADN28" i="7" s="1"/>
  <c r="ADN29" i="7" s="1"/>
  <c r="ADN30" i="7" s="1"/>
  <c r="ADN31" i="7" s="1"/>
  <c r="ADO2" i="6" s="1"/>
  <c r="AGW21" i="7"/>
  <c r="AGW22" i="7" s="1"/>
  <c r="AGW23" i="7" s="1"/>
  <c r="AGW24" i="7" s="1"/>
  <c r="AGW25" i="7" s="1"/>
  <c r="AGW26" i="7" s="1"/>
  <c r="AGW27" i="7" s="1"/>
  <c r="AGW28" i="7" s="1"/>
  <c r="AGW29" i="7" s="1"/>
  <c r="AGW30" i="7" s="1"/>
  <c r="AGW31" i="7" s="1"/>
  <c r="AGX2" i="6" s="1"/>
  <c r="IR22" i="7"/>
  <c r="IR23" i="7" s="1"/>
  <c r="IR24" i="7" s="1"/>
  <c r="IR25" i="7" s="1"/>
  <c r="IR26" i="7" s="1"/>
  <c r="IR27" i="7" s="1"/>
  <c r="IR28" i="7" s="1"/>
  <c r="IR29" i="7" s="1"/>
  <c r="IR30" i="7" s="1"/>
  <c r="IR31" i="7" s="1"/>
  <c r="IS2" i="6" s="1"/>
  <c r="ALM22" i="7"/>
  <c r="ALM23" i="7" s="1"/>
  <c r="ALM24" i="7" s="1"/>
  <c r="ALM25" i="7" s="1"/>
  <c r="ALM26" i="7" s="1"/>
  <c r="ALM27" i="7" s="1"/>
  <c r="ALM28" i="7" s="1"/>
  <c r="ALM29" i="7" s="1"/>
  <c r="ALM30" i="7" s="1"/>
  <c r="ALM31" i="7" s="1"/>
  <c r="ALN2" i="6" s="1"/>
  <c r="YR22" i="7"/>
  <c r="YR23" i="7" s="1"/>
  <c r="YR24" i="7" s="1"/>
  <c r="YR25" i="7" s="1"/>
  <c r="YR26" i="7" s="1"/>
  <c r="YR27" i="7" s="1"/>
  <c r="YR28" i="7" s="1"/>
  <c r="YR29" i="7" s="1"/>
  <c r="YR30" i="7" s="1"/>
  <c r="YR31" i="7" s="1"/>
  <c r="YS2" i="6" s="1"/>
  <c r="NW21" i="7"/>
  <c r="NW22" i="7" s="1"/>
  <c r="NW23" i="7" s="1"/>
  <c r="NW24" i="7" s="1"/>
  <c r="NW25" i="7" s="1"/>
  <c r="NW26" i="7" s="1"/>
  <c r="NW27" i="7" s="1"/>
  <c r="NW28" i="7" s="1"/>
  <c r="NW29" i="7" s="1"/>
  <c r="NW30" i="7" s="1"/>
  <c r="NW31" i="7" s="1"/>
  <c r="NX2" i="6" s="1"/>
  <c r="OB21" i="7"/>
  <c r="OB22" i="7" s="1"/>
  <c r="OB23" i="7" s="1"/>
  <c r="OB24" i="7" s="1"/>
  <c r="OB25" i="7" s="1"/>
  <c r="OB26" i="7" s="1"/>
  <c r="OB27" i="7" s="1"/>
  <c r="OB28" i="7" s="1"/>
  <c r="OB29" i="7" s="1"/>
  <c r="OB30" i="7" s="1"/>
  <c r="OB31" i="7" s="1"/>
  <c r="OC2" i="6" s="1"/>
  <c r="MX21" i="7"/>
  <c r="MX22" i="7" s="1"/>
  <c r="MX23" i="7" s="1"/>
  <c r="MX24" i="7" s="1"/>
  <c r="MX25" i="7" s="1"/>
  <c r="MX26" i="7" s="1"/>
  <c r="MX27" i="7" s="1"/>
  <c r="MX28" i="7" s="1"/>
  <c r="MX29" i="7" s="1"/>
  <c r="MX30" i="7" s="1"/>
  <c r="MX31" i="7" s="1"/>
  <c r="MY2" i="6" s="1"/>
  <c r="HF21" i="7"/>
  <c r="HF22" i="7" s="1"/>
  <c r="HF23" i="7" s="1"/>
  <c r="HF24" i="7" s="1"/>
  <c r="HF25" i="7" s="1"/>
  <c r="HF26" i="7" s="1"/>
  <c r="HF27" i="7" s="1"/>
  <c r="HF28" i="7" s="1"/>
  <c r="HF29" i="7" s="1"/>
  <c r="HF30" i="7" s="1"/>
  <c r="HF31" i="7" s="1"/>
  <c r="HG2" i="6" s="1"/>
  <c r="ST21" i="7"/>
  <c r="ST22" i="7" s="1"/>
  <c r="ST23" i="7" s="1"/>
  <c r="ST24" i="7" s="1"/>
  <c r="ST25" i="7" s="1"/>
  <c r="ST26" i="7" s="1"/>
  <c r="ST27" i="7" s="1"/>
  <c r="ST28" i="7" s="1"/>
  <c r="ST29" i="7" s="1"/>
  <c r="ST30" i="7" s="1"/>
  <c r="ST31" i="7" s="1"/>
  <c r="SU2" i="6" s="1"/>
  <c r="FN21" i="7"/>
  <c r="FN22" i="7" s="1"/>
  <c r="FN23" i="7" s="1"/>
  <c r="FN24" i="7" s="1"/>
  <c r="FN25" i="7" s="1"/>
  <c r="FN26" i="7" s="1"/>
  <c r="FN27" i="7" s="1"/>
  <c r="FN28" i="7" s="1"/>
  <c r="FN29" i="7" s="1"/>
  <c r="FN30" i="7" s="1"/>
  <c r="FN31" i="7" s="1"/>
  <c r="FO2" i="6" s="1"/>
  <c r="KO21" i="7"/>
  <c r="KO22" i="7" s="1"/>
  <c r="KO23" i="7" s="1"/>
  <c r="KO24" i="7" s="1"/>
  <c r="KO25" i="7" s="1"/>
  <c r="KO26" i="7" s="1"/>
  <c r="KO27" i="7" s="1"/>
  <c r="KO28" i="7" s="1"/>
  <c r="KO29" i="7" s="1"/>
  <c r="KO30" i="7" s="1"/>
  <c r="KO31" i="7" s="1"/>
  <c r="KP2" i="6" s="1"/>
  <c r="ACW21" i="7"/>
  <c r="ACW22" i="7" s="1"/>
  <c r="ACW23" i="7" s="1"/>
  <c r="ACW24" i="7" s="1"/>
  <c r="ACW25" i="7" s="1"/>
  <c r="ACW26" i="7" s="1"/>
  <c r="ACW27" i="7" s="1"/>
  <c r="ACW28" i="7" s="1"/>
  <c r="ACW29" i="7" s="1"/>
  <c r="ACW30" i="7" s="1"/>
  <c r="ACW31" i="7" s="1"/>
  <c r="ACX2" i="6" s="1"/>
  <c r="WM22" i="7"/>
  <c r="WM23" i="7" s="1"/>
  <c r="WM24" i="7" s="1"/>
  <c r="WM25" i="7" s="1"/>
  <c r="WM26" i="7" s="1"/>
  <c r="WM27" i="7" s="1"/>
  <c r="WM28" i="7" s="1"/>
  <c r="WM29" i="7" s="1"/>
  <c r="WM30" i="7" s="1"/>
  <c r="WM31" i="7" s="1"/>
  <c r="WN2" i="6" s="1"/>
  <c r="HJ21" i="7"/>
  <c r="HJ22" i="7" s="1"/>
  <c r="HJ23" i="7" s="1"/>
  <c r="HJ24" i="7" s="1"/>
  <c r="HJ25" i="7" s="1"/>
  <c r="HJ26" i="7" s="1"/>
  <c r="HJ27" i="7" s="1"/>
  <c r="HJ28" i="7" s="1"/>
  <c r="HJ29" i="7" s="1"/>
  <c r="HJ30" i="7" s="1"/>
  <c r="HJ31" i="7" s="1"/>
  <c r="HK2" i="6" s="1"/>
  <c r="AAI21" i="7"/>
  <c r="AAI22" i="7" s="1"/>
  <c r="AAI23" i="7" s="1"/>
  <c r="AAI24" i="7" s="1"/>
  <c r="AAI25" i="7" s="1"/>
  <c r="AAI26" i="7" s="1"/>
  <c r="AAI27" i="7" s="1"/>
  <c r="AAI28" i="7" s="1"/>
  <c r="AAI29" i="7" s="1"/>
  <c r="AAI30" i="7" s="1"/>
  <c r="AAI31" i="7" s="1"/>
  <c r="AAJ2" i="6" s="1"/>
  <c r="AGU22" i="7"/>
  <c r="AGU23" i="7" s="1"/>
  <c r="AGU24" i="7" s="1"/>
  <c r="AGU25" i="7" s="1"/>
  <c r="AGU26" i="7" s="1"/>
  <c r="AGU27" i="7" s="1"/>
  <c r="AGU28" i="7" s="1"/>
  <c r="AGU29" i="7" s="1"/>
  <c r="AGU30" i="7" s="1"/>
  <c r="AGU31" i="7" s="1"/>
  <c r="AGV2" i="6" s="1"/>
  <c r="HU21" i="7"/>
  <c r="HU22" i="7" s="1"/>
  <c r="HU23" i="7" s="1"/>
  <c r="HU24" i="7" s="1"/>
  <c r="HU25" i="7" s="1"/>
  <c r="HU26" i="7" s="1"/>
  <c r="HU27" i="7" s="1"/>
  <c r="HU28" i="7" s="1"/>
  <c r="HU29" i="7" s="1"/>
  <c r="HU30" i="7" s="1"/>
  <c r="HU31" i="7" s="1"/>
  <c r="HV2" i="6" s="1"/>
  <c r="DK22" i="7"/>
  <c r="DK23" i="7" s="1"/>
  <c r="DK24" i="7" s="1"/>
  <c r="DK25" i="7" s="1"/>
  <c r="DK26" i="7" s="1"/>
  <c r="DK27" i="7" s="1"/>
  <c r="DK28" i="7" s="1"/>
  <c r="DK29" i="7" s="1"/>
  <c r="DK30" i="7" s="1"/>
  <c r="DK31" i="7" s="1"/>
  <c r="DL2" i="6" s="1"/>
  <c r="AD21" i="7"/>
  <c r="AD22" i="7" s="1"/>
  <c r="AD23" i="7" s="1"/>
  <c r="AD24" i="7" s="1"/>
  <c r="AD25" i="7" s="1"/>
  <c r="AD26" i="7" s="1"/>
  <c r="AD27" i="7" s="1"/>
  <c r="AD28" i="7" s="1"/>
  <c r="AD29" i="7" s="1"/>
  <c r="AD30" i="7" s="1"/>
  <c r="AD31" i="7" s="1"/>
  <c r="AE2" i="6" s="1"/>
  <c r="ACI21" i="7"/>
  <c r="ACI22" i="7" s="1"/>
  <c r="ACI23" i="7" s="1"/>
  <c r="ACI24" i="7" s="1"/>
  <c r="ACI25" i="7" s="1"/>
  <c r="ACI26" i="7" s="1"/>
  <c r="ACI27" i="7" s="1"/>
  <c r="ACI28" i="7" s="1"/>
  <c r="ACI29" i="7" s="1"/>
  <c r="ACI30" i="7" s="1"/>
  <c r="ACI31" i="7" s="1"/>
  <c r="ACJ2" i="6" s="1"/>
  <c r="AAX21" i="7"/>
  <c r="AAX22" i="7" s="1"/>
  <c r="AAX23" i="7" s="1"/>
  <c r="AAX24" i="7" s="1"/>
  <c r="AAX25" i="7" s="1"/>
  <c r="AAX26" i="7" s="1"/>
  <c r="AAX27" i="7" s="1"/>
  <c r="AAX28" i="7" s="1"/>
  <c r="AAX29" i="7" s="1"/>
  <c r="AAX30" i="7" s="1"/>
  <c r="AAX31" i="7" s="1"/>
  <c r="AAY2" i="6" s="1"/>
  <c r="DP21" i="7"/>
  <c r="DP22" i="7" s="1"/>
  <c r="DP23" i="7" s="1"/>
  <c r="DP24" i="7" s="1"/>
  <c r="DP25" i="7" s="1"/>
  <c r="DP26" i="7" s="1"/>
  <c r="DP27" i="7" s="1"/>
  <c r="DP28" i="7" s="1"/>
  <c r="DP29" i="7" s="1"/>
  <c r="DP30" i="7" s="1"/>
  <c r="DP31" i="7" s="1"/>
  <c r="DQ2" i="6" s="1"/>
  <c r="DZ21" i="7"/>
  <c r="DZ22" i="7" s="1"/>
  <c r="DZ23" i="7" s="1"/>
  <c r="DZ24" i="7" s="1"/>
  <c r="DZ25" i="7" s="1"/>
  <c r="DZ26" i="7" s="1"/>
  <c r="DZ27" i="7" s="1"/>
  <c r="DZ28" i="7" s="1"/>
  <c r="DZ29" i="7" s="1"/>
  <c r="DZ30" i="7" s="1"/>
  <c r="DZ31" i="7" s="1"/>
  <c r="EA2" i="6" s="1"/>
  <c r="MK22" i="7"/>
  <c r="MK23" i="7" s="1"/>
  <c r="MK24" i="7" s="1"/>
  <c r="MK25" i="7" s="1"/>
  <c r="MK26" i="7" s="1"/>
  <c r="MK27" i="7" s="1"/>
  <c r="MK28" i="7" s="1"/>
  <c r="MK29" i="7" s="1"/>
  <c r="MK30" i="7" s="1"/>
  <c r="MK31" i="7" s="1"/>
  <c r="ML2" i="6" s="1"/>
  <c r="AIK21" i="7"/>
  <c r="AIK22" i="7" s="1"/>
  <c r="AIK23" i="7" s="1"/>
  <c r="AIK24" i="7" s="1"/>
  <c r="AIK25" i="7" s="1"/>
  <c r="AIK26" i="7" s="1"/>
  <c r="AIK27" i="7" s="1"/>
  <c r="AIK28" i="7" s="1"/>
  <c r="AIK29" i="7" s="1"/>
  <c r="AIK30" i="7" s="1"/>
  <c r="AIK31" i="7" s="1"/>
  <c r="AIL2" i="6" s="1"/>
  <c r="KY22" i="7"/>
  <c r="KY23" i="7" s="1"/>
  <c r="KY24" i="7" s="1"/>
  <c r="KY25" i="7" s="1"/>
  <c r="KY26" i="7" s="1"/>
  <c r="KY27" i="7" s="1"/>
  <c r="KY28" i="7" s="1"/>
  <c r="KY29" i="7" s="1"/>
  <c r="KY30" i="7" s="1"/>
  <c r="KY31" i="7" s="1"/>
  <c r="KZ2" i="6" s="1"/>
  <c r="PD21" i="7"/>
  <c r="PD22" i="7" s="1"/>
  <c r="PD23" i="7" s="1"/>
  <c r="PD24" i="7" s="1"/>
  <c r="PD25" i="7" s="1"/>
  <c r="PD26" i="7" s="1"/>
  <c r="PD27" i="7" s="1"/>
  <c r="PD28" i="7" s="1"/>
  <c r="PD29" i="7" s="1"/>
  <c r="PD30" i="7" s="1"/>
  <c r="PD31" i="7" s="1"/>
  <c r="PE2" i="6" s="1"/>
  <c r="AFR21" i="7"/>
  <c r="AFR22" i="7" s="1"/>
  <c r="AFR23" i="7" s="1"/>
  <c r="AFR24" i="7" s="1"/>
  <c r="AFR25" i="7" s="1"/>
  <c r="AFR26" i="7" s="1"/>
  <c r="AFR27" i="7" s="1"/>
  <c r="AFR28" i="7" s="1"/>
  <c r="AFR29" i="7" s="1"/>
  <c r="AFR30" i="7" s="1"/>
  <c r="AFR31" i="7" s="1"/>
  <c r="AFS2" i="6" s="1"/>
  <c r="AAL21" i="7"/>
  <c r="AAL22" i="7" s="1"/>
  <c r="AAL23" i="7" s="1"/>
  <c r="AAL24" i="7" s="1"/>
  <c r="AAL25" i="7" s="1"/>
  <c r="AAL26" i="7" s="1"/>
  <c r="AAL27" i="7" s="1"/>
  <c r="AAL28" i="7" s="1"/>
  <c r="AAL29" i="7" s="1"/>
  <c r="AAL30" i="7" s="1"/>
  <c r="AAL31" i="7" s="1"/>
  <c r="AAM2" i="6" s="1"/>
  <c r="NI21" i="7"/>
  <c r="NI22" i="7" s="1"/>
  <c r="NI23" i="7" s="1"/>
  <c r="NI24" i="7" s="1"/>
  <c r="NI25" i="7" s="1"/>
  <c r="NI26" i="7" s="1"/>
  <c r="NI27" i="7" s="1"/>
  <c r="NI28" i="7" s="1"/>
  <c r="NI29" i="7" s="1"/>
  <c r="NI30" i="7" s="1"/>
  <c r="NI31" i="7" s="1"/>
  <c r="NJ2" i="6" s="1"/>
  <c r="AFG21" i="7"/>
  <c r="AFG22" i="7" s="1"/>
  <c r="AFG23" i="7" s="1"/>
  <c r="AFG24" i="7" s="1"/>
  <c r="AFG25" i="7" s="1"/>
  <c r="AFG26" i="7" s="1"/>
  <c r="AFG27" i="7" s="1"/>
  <c r="AFG28" i="7" s="1"/>
  <c r="AFG29" i="7" s="1"/>
  <c r="AFG30" i="7" s="1"/>
  <c r="AFG31" i="7" s="1"/>
  <c r="AFH2" i="6" s="1"/>
  <c r="AJG21" i="7"/>
  <c r="AJG22" i="7" s="1"/>
  <c r="AJG23" i="7" s="1"/>
  <c r="AJG24" i="7" s="1"/>
  <c r="AJG25" i="7" s="1"/>
  <c r="AJG26" i="7" s="1"/>
  <c r="AJG27" i="7" s="1"/>
  <c r="AJG28" i="7" s="1"/>
  <c r="AJG29" i="7" s="1"/>
  <c r="AJG30" i="7" s="1"/>
  <c r="AJG31" i="7" s="1"/>
  <c r="AJH2" i="6" s="1"/>
  <c r="BA21" i="7"/>
  <c r="BA22" i="7" s="1"/>
  <c r="BA23" i="7" s="1"/>
  <c r="BA24" i="7" s="1"/>
  <c r="BA25" i="7" s="1"/>
  <c r="BA26" i="7" s="1"/>
  <c r="BA27" i="7" s="1"/>
  <c r="BA28" i="7" s="1"/>
  <c r="BA29" i="7" s="1"/>
  <c r="BA30" i="7" s="1"/>
  <c r="BA31" i="7" s="1"/>
  <c r="BB2" i="6" s="1"/>
  <c r="QS21" i="7"/>
  <c r="QS22" i="7" s="1"/>
  <c r="QS23" i="7" s="1"/>
  <c r="QS24" i="7" s="1"/>
  <c r="QS25" i="7" s="1"/>
  <c r="QS26" i="7" s="1"/>
  <c r="QS27" i="7" s="1"/>
  <c r="QS28" i="7" s="1"/>
  <c r="QS29" i="7" s="1"/>
  <c r="QS30" i="7" s="1"/>
  <c r="QS31" i="7" s="1"/>
  <c r="QT2" i="6" s="1"/>
  <c r="UT21" i="7"/>
  <c r="UT22" i="7" s="1"/>
  <c r="UT23" i="7" s="1"/>
  <c r="UT24" i="7" s="1"/>
  <c r="UT25" i="7" s="1"/>
  <c r="UT26" i="7" s="1"/>
  <c r="UT27" i="7" s="1"/>
  <c r="UT28" i="7" s="1"/>
  <c r="UT29" i="7" s="1"/>
  <c r="UT30" i="7" s="1"/>
  <c r="UT31" i="7" s="1"/>
  <c r="UU2" i="6" s="1"/>
  <c r="NY21" i="7"/>
  <c r="NY22" i="7" s="1"/>
  <c r="NY23" i="7" s="1"/>
  <c r="NY24" i="7" s="1"/>
  <c r="NY25" i="7" s="1"/>
  <c r="NY26" i="7" s="1"/>
  <c r="NY27" i="7" s="1"/>
  <c r="NY28" i="7" s="1"/>
  <c r="NY29" i="7" s="1"/>
  <c r="NY30" i="7" s="1"/>
  <c r="NY31" i="7" s="1"/>
  <c r="NZ2" i="6" s="1"/>
  <c r="NG21" i="7"/>
  <c r="NG22" i="7" s="1"/>
  <c r="NG23" i="7" s="1"/>
  <c r="NG24" i="7" s="1"/>
  <c r="NG25" i="7" s="1"/>
  <c r="NG26" i="7" s="1"/>
  <c r="NG27" i="7" s="1"/>
  <c r="NG28" i="7" s="1"/>
  <c r="NG29" i="7" s="1"/>
  <c r="NG30" i="7" s="1"/>
  <c r="NG31" i="7" s="1"/>
  <c r="NH2" i="6" s="1"/>
  <c r="EB21" i="7"/>
  <c r="EB22" i="7" s="1"/>
  <c r="EB23" i="7" s="1"/>
  <c r="EB24" i="7" s="1"/>
  <c r="EB25" i="7" s="1"/>
  <c r="EB26" i="7" s="1"/>
  <c r="EB27" i="7" s="1"/>
  <c r="EB28" i="7" s="1"/>
  <c r="EB29" i="7" s="1"/>
  <c r="EB30" i="7" s="1"/>
  <c r="EB31" i="7" s="1"/>
  <c r="EC2" i="6" s="1"/>
  <c r="AX21" i="7"/>
  <c r="AX22" i="7" s="1"/>
  <c r="AX23" i="7" s="1"/>
  <c r="AX24" i="7" s="1"/>
  <c r="AX25" i="7" s="1"/>
  <c r="AX26" i="7" s="1"/>
  <c r="AX27" i="7" s="1"/>
  <c r="AX28" i="7" s="1"/>
  <c r="AX29" i="7" s="1"/>
  <c r="AX30" i="7" s="1"/>
  <c r="AX31" i="7" s="1"/>
  <c r="AY2" i="6" s="1"/>
  <c r="EY21" i="7"/>
  <c r="EY22" i="7" s="1"/>
  <c r="EY23" i="7" s="1"/>
  <c r="EY24" i="7" s="1"/>
  <c r="EY25" i="7" s="1"/>
  <c r="EY26" i="7" s="1"/>
  <c r="EY27" i="7" s="1"/>
  <c r="EY28" i="7" s="1"/>
  <c r="EY29" i="7" s="1"/>
  <c r="EY30" i="7" s="1"/>
  <c r="EY31" i="7" s="1"/>
  <c r="EZ2" i="6" s="1"/>
  <c r="IM21" i="7"/>
  <c r="IM22" i="7" s="1"/>
  <c r="IM23" i="7" s="1"/>
  <c r="IM24" i="7" s="1"/>
  <c r="IM25" i="7" s="1"/>
  <c r="IM26" i="7" s="1"/>
  <c r="IM27" i="7" s="1"/>
  <c r="IM28" i="7" s="1"/>
  <c r="IM29" i="7" s="1"/>
  <c r="IM30" i="7" s="1"/>
  <c r="IM31" i="7" s="1"/>
  <c r="IN2" i="6" s="1"/>
  <c r="AR21" i="7"/>
  <c r="AR22" i="7" s="1"/>
  <c r="AR23" i="7" s="1"/>
  <c r="AR24" i="7" s="1"/>
  <c r="AR25" i="7" s="1"/>
  <c r="AR26" i="7" s="1"/>
  <c r="AR27" i="7" s="1"/>
  <c r="AR28" i="7" s="1"/>
  <c r="AR29" i="7" s="1"/>
  <c r="AR30" i="7" s="1"/>
  <c r="AR31" i="7" s="1"/>
  <c r="AS2" i="6" s="1"/>
  <c r="LO21" i="7"/>
  <c r="LO22" i="7" s="1"/>
  <c r="LO23" i="7" s="1"/>
  <c r="LO24" i="7" s="1"/>
  <c r="LO25" i="7" s="1"/>
  <c r="LO26" i="7" s="1"/>
  <c r="LO27" i="7" s="1"/>
  <c r="LO28" i="7" s="1"/>
  <c r="LO29" i="7" s="1"/>
  <c r="LO30" i="7" s="1"/>
  <c r="LO31" i="7" s="1"/>
  <c r="LP2" i="6" s="1"/>
  <c r="PV21" i="7"/>
  <c r="PV22" i="7" s="1"/>
  <c r="PV23" i="7" s="1"/>
  <c r="PV24" i="7" s="1"/>
  <c r="PV25" i="7" s="1"/>
  <c r="PV26" i="7" s="1"/>
  <c r="PV27" i="7" s="1"/>
  <c r="PV28" i="7" s="1"/>
  <c r="PV29" i="7" s="1"/>
  <c r="PV30" i="7" s="1"/>
  <c r="PV31" i="7" s="1"/>
  <c r="PW2" i="6" s="1"/>
  <c r="HT21" i="7"/>
  <c r="HT22" i="7" s="1"/>
  <c r="HT23" i="7" s="1"/>
  <c r="HT24" i="7" s="1"/>
  <c r="HT25" i="7" s="1"/>
  <c r="HT26" i="7" s="1"/>
  <c r="HT27" i="7" s="1"/>
  <c r="HT28" i="7" s="1"/>
  <c r="HT29" i="7" s="1"/>
  <c r="HT30" i="7" s="1"/>
  <c r="HT31" i="7" s="1"/>
  <c r="HU2" i="6" s="1"/>
  <c r="G21" i="7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BI24" i="7"/>
  <c r="BI25" i="7" s="1"/>
  <c r="BI26" i="7" s="1"/>
  <c r="BI27" i="7" s="1"/>
  <c r="BI28" i="7" s="1"/>
  <c r="BI29" i="7" s="1"/>
  <c r="BI30" i="7" s="1"/>
  <c r="BI31" i="7" s="1"/>
  <c r="BJ2" i="6" s="1"/>
  <c r="ABS22" i="7"/>
  <c r="ABS23" i="7" s="1"/>
  <c r="ABS24" i="7" s="1"/>
  <c r="ABS25" i="7" s="1"/>
  <c r="ABS26" i="7" s="1"/>
  <c r="ABS27" i="7" s="1"/>
  <c r="ABS28" i="7" s="1"/>
  <c r="ABS29" i="7" s="1"/>
  <c r="ABS30" i="7" s="1"/>
  <c r="ABS31" i="7" s="1"/>
  <c r="ABT2" i="6" s="1"/>
  <c r="RD23" i="7"/>
  <c r="RD24" i="7" s="1"/>
  <c r="RD25" i="7" s="1"/>
  <c r="RD26" i="7" s="1"/>
  <c r="RD27" i="7" s="1"/>
  <c r="RD28" i="7" s="1"/>
  <c r="RD29" i="7" s="1"/>
  <c r="RD30" i="7" s="1"/>
  <c r="RD31" i="7" s="1"/>
  <c r="RE2" i="6" s="1"/>
  <c r="ADV21" i="7"/>
  <c r="ADV22" i="7" s="1"/>
  <c r="ADV23" i="7" s="1"/>
  <c r="ADV24" i="7" s="1"/>
  <c r="ADV25" i="7" s="1"/>
  <c r="ADV26" i="7" s="1"/>
  <c r="ADV27" i="7" s="1"/>
  <c r="ADV28" i="7" s="1"/>
  <c r="ADV29" i="7" s="1"/>
  <c r="ADV30" i="7" s="1"/>
  <c r="ADV31" i="7" s="1"/>
  <c r="ADW2" i="6" s="1"/>
  <c r="IX23" i="7"/>
  <c r="IX24" i="7" s="1"/>
  <c r="IX25" i="7" s="1"/>
  <c r="IX26" i="7" s="1"/>
  <c r="IX27" i="7" s="1"/>
  <c r="IX28" i="7" s="1"/>
  <c r="IX29" i="7" s="1"/>
  <c r="IX30" i="7" s="1"/>
  <c r="IX31" i="7" s="1"/>
  <c r="IY2" i="6" s="1"/>
  <c r="KQ23" i="7"/>
  <c r="KQ24" i="7" s="1"/>
  <c r="KQ25" i="7" s="1"/>
  <c r="KQ26" i="7" s="1"/>
  <c r="KQ27" i="7" s="1"/>
  <c r="KQ28" i="7" s="1"/>
  <c r="KQ29" i="7" s="1"/>
  <c r="KQ30" i="7" s="1"/>
  <c r="KQ31" i="7" s="1"/>
  <c r="KR2" i="6" s="1"/>
  <c r="AET22" i="7"/>
  <c r="AET23" i="7" s="1"/>
  <c r="AET24" i="7" s="1"/>
  <c r="AET25" i="7" s="1"/>
  <c r="AET26" i="7" s="1"/>
  <c r="AET27" i="7" s="1"/>
  <c r="AET28" i="7" s="1"/>
  <c r="AET29" i="7" s="1"/>
  <c r="AET30" i="7" s="1"/>
  <c r="AET31" i="7" s="1"/>
  <c r="AEU2" i="6" s="1"/>
  <c r="OU23" i="7"/>
  <c r="OU24" i="7" s="1"/>
  <c r="OU25" i="7" s="1"/>
  <c r="OU26" i="7" s="1"/>
  <c r="OU27" i="7" s="1"/>
  <c r="OU28" i="7" s="1"/>
  <c r="OU29" i="7" s="1"/>
  <c r="OU30" i="7" s="1"/>
  <c r="OU31" i="7" s="1"/>
  <c r="OV2" i="6" s="1"/>
  <c r="TB22" i="7"/>
  <c r="TB23" i="7" s="1"/>
  <c r="TB24" i="7" s="1"/>
  <c r="TB25" i="7" s="1"/>
  <c r="TB26" i="7" s="1"/>
  <c r="TB27" i="7" s="1"/>
  <c r="TB28" i="7" s="1"/>
  <c r="TB29" i="7" s="1"/>
  <c r="TB30" i="7" s="1"/>
  <c r="TB31" i="7" s="1"/>
  <c r="TC2" i="6" s="1"/>
  <c r="ABQ22" i="7"/>
  <c r="ABQ23" i="7" s="1"/>
  <c r="ABQ24" i="7" s="1"/>
  <c r="ABQ25" i="7" s="1"/>
  <c r="ABQ26" i="7" s="1"/>
  <c r="ABQ27" i="7" s="1"/>
  <c r="ABQ28" i="7" s="1"/>
  <c r="ABQ29" i="7" s="1"/>
  <c r="ABQ30" i="7" s="1"/>
  <c r="ABQ31" i="7" s="1"/>
  <c r="ABR2" i="6" s="1"/>
  <c r="AAR23" i="7"/>
  <c r="AAR24" i="7" s="1"/>
  <c r="AAR25" i="7" s="1"/>
  <c r="AAR26" i="7" s="1"/>
  <c r="AAR27" i="7" s="1"/>
  <c r="AAR28" i="7" s="1"/>
  <c r="AAR29" i="7" s="1"/>
  <c r="AAR30" i="7" s="1"/>
  <c r="AAR31" i="7" s="1"/>
  <c r="AAS2" i="6" s="1"/>
  <c r="ALH21" i="7"/>
  <c r="ALH22" i="7" s="1"/>
  <c r="ALH23" i="7" s="1"/>
  <c r="ALH24" i="7" s="1"/>
  <c r="ALH25" i="7" s="1"/>
  <c r="ALH26" i="7" s="1"/>
  <c r="ALH27" i="7" s="1"/>
  <c r="ALH28" i="7" s="1"/>
  <c r="ALH29" i="7" s="1"/>
  <c r="ALH30" i="7" s="1"/>
  <c r="ALH31" i="7" s="1"/>
  <c r="ALI2" i="6" s="1"/>
  <c r="LT22" i="7"/>
  <c r="LT23" i="7" s="1"/>
  <c r="LT24" i="7" s="1"/>
  <c r="LT25" i="7" s="1"/>
  <c r="LT26" i="7" s="1"/>
  <c r="LT27" i="7" s="1"/>
  <c r="LT28" i="7" s="1"/>
  <c r="LT29" i="7" s="1"/>
  <c r="LT30" i="7" s="1"/>
  <c r="LT31" i="7" s="1"/>
  <c r="LU2" i="6" s="1"/>
  <c r="AAN21" i="7"/>
  <c r="AAN22" i="7" s="1"/>
  <c r="AAN23" i="7" s="1"/>
  <c r="AAN24" i="7" s="1"/>
  <c r="AAN25" i="7" s="1"/>
  <c r="AAN26" i="7" s="1"/>
  <c r="AAN27" i="7" s="1"/>
  <c r="AAN28" i="7" s="1"/>
  <c r="AAN29" i="7" s="1"/>
  <c r="AAN30" i="7" s="1"/>
  <c r="AAN31" i="7" s="1"/>
  <c r="AAO2" i="6" s="1"/>
  <c r="ADL21" i="7"/>
  <c r="ADL22" i="7" s="1"/>
  <c r="ADL23" i="7" s="1"/>
  <c r="ADL24" i="7" s="1"/>
  <c r="ADL25" i="7" s="1"/>
  <c r="ADL26" i="7" s="1"/>
  <c r="ADL27" i="7" s="1"/>
  <c r="ADL28" i="7" s="1"/>
  <c r="ADL29" i="7" s="1"/>
  <c r="ADL30" i="7" s="1"/>
  <c r="ADL31" i="7" s="1"/>
  <c r="ADM2" i="6" s="1"/>
  <c r="ABR23" i="7"/>
  <c r="ABR24" i="7" s="1"/>
  <c r="ABR25" i="7" s="1"/>
  <c r="ABR26" i="7" s="1"/>
  <c r="ABR27" i="7" s="1"/>
  <c r="ABR28" i="7" s="1"/>
  <c r="ABR29" i="7" s="1"/>
  <c r="ABR30" i="7" s="1"/>
  <c r="ABR31" i="7" s="1"/>
  <c r="ABS2" i="6" s="1"/>
  <c r="XP21" i="7"/>
  <c r="XP22" i="7" s="1"/>
  <c r="XP23" i="7" s="1"/>
  <c r="XP24" i="7" s="1"/>
  <c r="XP25" i="7" s="1"/>
  <c r="XP26" i="7" s="1"/>
  <c r="XP27" i="7" s="1"/>
  <c r="XP28" i="7" s="1"/>
  <c r="XP29" i="7" s="1"/>
  <c r="XP30" i="7" s="1"/>
  <c r="XP31" i="7" s="1"/>
  <c r="XQ2" i="6" s="1"/>
  <c r="UQ21" i="7"/>
  <c r="UQ22" i="7" s="1"/>
  <c r="UQ23" i="7" s="1"/>
  <c r="UQ24" i="7" s="1"/>
  <c r="UQ25" i="7" s="1"/>
  <c r="UQ26" i="7" s="1"/>
  <c r="UQ27" i="7" s="1"/>
  <c r="UQ28" i="7" s="1"/>
  <c r="UQ29" i="7" s="1"/>
  <c r="UQ30" i="7" s="1"/>
  <c r="UQ31" i="7" s="1"/>
  <c r="UR2" i="6" s="1"/>
  <c r="YT22" i="7"/>
  <c r="YT23" i="7" s="1"/>
  <c r="YT24" i="7" s="1"/>
  <c r="YT25" i="7" s="1"/>
  <c r="YT26" i="7" s="1"/>
  <c r="YT27" i="7" s="1"/>
  <c r="YT28" i="7" s="1"/>
  <c r="YT29" i="7" s="1"/>
  <c r="YT30" i="7" s="1"/>
  <c r="YT31" i="7" s="1"/>
  <c r="YU2" i="6" s="1"/>
  <c r="CA21" i="7"/>
  <c r="CA22" i="7" s="1"/>
  <c r="CA23" i="7" s="1"/>
  <c r="CA24" i="7" s="1"/>
  <c r="CA25" i="7" s="1"/>
  <c r="CA26" i="7" s="1"/>
  <c r="CA27" i="7" s="1"/>
  <c r="CA28" i="7" s="1"/>
  <c r="CA29" i="7" s="1"/>
  <c r="CA30" i="7" s="1"/>
  <c r="CA31" i="7" s="1"/>
  <c r="CB2" i="6" s="1"/>
  <c r="CR22" i="7"/>
  <c r="CR23" i="7" s="1"/>
  <c r="CR24" i="7" s="1"/>
  <c r="CR25" i="7" s="1"/>
  <c r="CR26" i="7" s="1"/>
  <c r="CR27" i="7" s="1"/>
  <c r="CR28" i="7" s="1"/>
  <c r="CR29" i="7" s="1"/>
  <c r="CR30" i="7" s="1"/>
  <c r="CR31" i="7" s="1"/>
  <c r="CS2" i="6" s="1"/>
  <c r="EP22" i="7"/>
  <c r="EP23" i="7" s="1"/>
  <c r="EP24" i="7" s="1"/>
  <c r="EP25" i="7" s="1"/>
  <c r="EP26" i="7" s="1"/>
  <c r="EP27" i="7" s="1"/>
  <c r="EP28" i="7" s="1"/>
  <c r="EP29" i="7" s="1"/>
  <c r="EP30" i="7" s="1"/>
  <c r="EP31" i="7" s="1"/>
  <c r="EQ2" i="6" s="1"/>
  <c r="KS21" i="7"/>
  <c r="KS22" i="7" s="1"/>
  <c r="KS23" i="7" s="1"/>
  <c r="KS24" i="7" s="1"/>
  <c r="KS25" i="7" s="1"/>
  <c r="KS26" i="7" s="1"/>
  <c r="KS27" i="7" s="1"/>
  <c r="KS28" i="7" s="1"/>
  <c r="KS29" i="7" s="1"/>
  <c r="KS30" i="7" s="1"/>
  <c r="KS31" i="7" s="1"/>
  <c r="KT2" i="6" s="1"/>
  <c r="VO22" i="7"/>
  <c r="VO23" i="7" s="1"/>
  <c r="VO24" i="7" s="1"/>
  <c r="VO25" i="7" s="1"/>
  <c r="VO26" i="7" s="1"/>
  <c r="VO27" i="7" s="1"/>
  <c r="VO28" i="7" s="1"/>
  <c r="VO29" i="7" s="1"/>
  <c r="VO30" i="7" s="1"/>
  <c r="VO31" i="7" s="1"/>
  <c r="VP2" i="6" s="1"/>
  <c r="LV21" i="7"/>
  <c r="LV22" i="7" s="1"/>
  <c r="LV23" i="7" s="1"/>
  <c r="LV24" i="7" s="1"/>
  <c r="LV25" i="7" s="1"/>
  <c r="LV26" i="7" s="1"/>
  <c r="LV27" i="7" s="1"/>
  <c r="LV28" i="7" s="1"/>
  <c r="LV29" i="7" s="1"/>
  <c r="LV30" i="7" s="1"/>
  <c r="LV31" i="7" s="1"/>
  <c r="LW2" i="6" s="1"/>
  <c r="AGX21" i="7"/>
  <c r="AGX22" i="7" s="1"/>
  <c r="AGX23" i="7" s="1"/>
  <c r="AGX24" i="7" s="1"/>
  <c r="AGX25" i="7" s="1"/>
  <c r="AGX26" i="7" s="1"/>
  <c r="AGX27" i="7" s="1"/>
  <c r="AGX28" i="7" s="1"/>
  <c r="AGX29" i="7" s="1"/>
  <c r="AGX30" i="7" s="1"/>
  <c r="AGX31" i="7" s="1"/>
  <c r="AGY2" i="6" s="1"/>
  <c r="IH22" i="7"/>
  <c r="IH23" i="7" s="1"/>
  <c r="IH24" i="7" s="1"/>
  <c r="IH25" i="7" s="1"/>
  <c r="IH26" i="7" s="1"/>
  <c r="IH27" i="7" s="1"/>
  <c r="IH28" i="7" s="1"/>
  <c r="IH29" i="7" s="1"/>
  <c r="IH30" i="7" s="1"/>
  <c r="IH31" i="7" s="1"/>
  <c r="II2" i="6" s="1"/>
  <c r="AKJ22" i="7"/>
  <c r="AKJ23" i="7" s="1"/>
  <c r="AKJ24" i="7" s="1"/>
  <c r="AKJ25" i="7" s="1"/>
  <c r="AKJ26" i="7" s="1"/>
  <c r="AKJ27" i="7" s="1"/>
  <c r="AKJ28" i="7" s="1"/>
  <c r="AKJ29" i="7" s="1"/>
  <c r="AKJ30" i="7" s="1"/>
  <c r="AKJ31" i="7" s="1"/>
  <c r="AKK2" i="6" s="1"/>
  <c r="AIN21" i="7"/>
  <c r="AIN22" i="7" s="1"/>
  <c r="AIN23" i="7" s="1"/>
  <c r="AIN24" i="7" s="1"/>
  <c r="AIN25" i="7" s="1"/>
  <c r="AIN26" i="7" s="1"/>
  <c r="AIN27" i="7" s="1"/>
  <c r="AIN28" i="7" s="1"/>
  <c r="AIN29" i="7" s="1"/>
  <c r="AIN30" i="7" s="1"/>
  <c r="AIN31" i="7" s="1"/>
  <c r="AIO2" i="6" s="1"/>
  <c r="UF22" i="7"/>
  <c r="UF23" i="7" s="1"/>
  <c r="UF24" i="7" s="1"/>
  <c r="UF25" i="7" s="1"/>
  <c r="UF26" i="7" s="1"/>
  <c r="UF27" i="7" s="1"/>
  <c r="UF28" i="7" s="1"/>
  <c r="UF29" i="7" s="1"/>
  <c r="UF30" i="7" s="1"/>
  <c r="UF31" i="7" s="1"/>
  <c r="UG2" i="6" s="1"/>
  <c r="AJL21" i="7"/>
  <c r="AJL22" i="7" s="1"/>
  <c r="AJL23" i="7" s="1"/>
  <c r="AJL24" i="7" s="1"/>
  <c r="AJL25" i="7" s="1"/>
  <c r="AJL26" i="7" s="1"/>
  <c r="AJL27" i="7" s="1"/>
  <c r="AJL28" i="7" s="1"/>
  <c r="AJL29" i="7" s="1"/>
  <c r="AJL30" i="7" s="1"/>
  <c r="AJL31" i="7" s="1"/>
  <c r="AJM2" i="6" s="1"/>
  <c r="GS23" i="7"/>
  <c r="GS24" i="7" s="1"/>
  <c r="GS25" i="7" s="1"/>
  <c r="GS26" i="7" s="1"/>
  <c r="GS27" i="7" s="1"/>
  <c r="GS28" i="7" s="1"/>
  <c r="GS29" i="7" s="1"/>
  <c r="GS30" i="7" s="1"/>
  <c r="GS31" i="7" s="1"/>
  <c r="GT2" i="6" s="1"/>
  <c r="SV22" i="7"/>
  <c r="SV23" i="7" s="1"/>
  <c r="SV24" i="7" s="1"/>
  <c r="SV25" i="7" s="1"/>
  <c r="SV26" i="7" s="1"/>
  <c r="SV27" i="7" s="1"/>
  <c r="SV28" i="7" s="1"/>
  <c r="SV29" i="7" s="1"/>
  <c r="SV30" i="7" s="1"/>
  <c r="SV31" i="7" s="1"/>
  <c r="SW2" i="6" s="1"/>
  <c r="AKR21" i="7"/>
  <c r="AKR22" i="7" s="1"/>
  <c r="AKR23" i="7" s="1"/>
  <c r="AKR24" i="7" s="1"/>
  <c r="AKR25" i="7" s="1"/>
  <c r="AKR26" i="7" s="1"/>
  <c r="AKR27" i="7" s="1"/>
  <c r="AKR28" i="7" s="1"/>
  <c r="AKR29" i="7" s="1"/>
  <c r="AKR30" i="7" s="1"/>
  <c r="AKR31" i="7" s="1"/>
  <c r="AKS2" i="6" s="1"/>
  <c r="NT22" i="7"/>
  <c r="NT23" i="7" s="1"/>
  <c r="NT24" i="7" s="1"/>
  <c r="NT25" i="7" s="1"/>
  <c r="NT26" i="7" s="1"/>
  <c r="NT27" i="7" s="1"/>
  <c r="NT28" i="7" s="1"/>
  <c r="NT29" i="7" s="1"/>
  <c r="NT30" i="7" s="1"/>
  <c r="NT31" i="7" s="1"/>
  <c r="NU2" i="6" s="1"/>
  <c r="AAA22" i="7"/>
  <c r="AAA23" i="7" s="1"/>
  <c r="AAA24" i="7" s="1"/>
  <c r="AAA25" i="7" s="1"/>
  <c r="AAA26" i="7" s="1"/>
  <c r="AAA27" i="7" s="1"/>
  <c r="AAA28" i="7" s="1"/>
  <c r="AAA29" i="7" s="1"/>
  <c r="AAA30" i="7" s="1"/>
  <c r="AAA31" i="7" s="1"/>
  <c r="AAB2" i="6" s="1"/>
  <c r="NO21" i="7"/>
  <c r="NO22" i="7" s="1"/>
  <c r="NO23" i="7" s="1"/>
  <c r="NO24" i="7" s="1"/>
  <c r="NO25" i="7" s="1"/>
  <c r="NO26" i="7" s="1"/>
  <c r="NO27" i="7" s="1"/>
  <c r="NO28" i="7" s="1"/>
  <c r="NO29" i="7" s="1"/>
  <c r="NO30" i="7" s="1"/>
  <c r="NO31" i="7" s="1"/>
  <c r="NP2" i="6" s="1"/>
  <c r="AAV21" i="7"/>
  <c r="AAV22" i="7" s="1"/>
  <c r="AAV23" i="7" s="1"/>
  <c r="AAV24" i="7" s="1"/>
  <c r="AAV25" i="7" s="1"/>
  <c r="AAV26" i="7" s="1"/>
  <c r="AAV27" i="7" s="1"/>
  <c r="AAV28" i="7" s="1"/>
  <c r="AAV29" i="7" s="1"/>
  <c r="AAV30" i="7" s="1"/>
  <c r="AAV31" i="7" s="1"/>
  <c r="AAW2" i="6" s="1"/>
  <c r="ZJ21" i="7"/>
  <c r="ZJ22" i="7" s="1"/>
  <c r="ZJ23" i="7" s="1"/>
  <c r="ZJ24" i="7" s="1"/>
  <c r="ZJ25" i="7" s="1"/>
  <c r="ZJ26" i="7" s="1"/>
  <c r="ZJ27" i="7" s="1"/>
  <c r="ZJ28" i="7" s="1"/>
  <c r="ZJ29" i="7" s="1"/>
  <c r="ZJ30" i="7" s="1"/>
  <c r="ZJ31" i="7" s="1"/>
  <c r="ZK2" i="6" s="1"/>
  <c r="MO22" i="7"/>
  <c r="MO23" i="7" s="1"/>
  <c r="MO24" i="7" s="1"/>
  <c r="MO25" i="7" s="1"/>
  <c r="MO26" i="7" s="1"/>
  <c r="MO27" i="7" s="1"/>
  <c r="MO28" i="7" s="1"/>
  <c r="MO29" i="7" s="1"/>
  <c r="MO30" i="7" s="1"/>
  <c r="MO31" i="7" s="1"/>
  <c r="MP2" i="6" s="1"/>
  <c r="NK22" i="7"/>
  <c r="NK23" i="7" s="1"/>
  <c r="NK24" i="7" s="1"/>
  <c r="NK25" i="7" s="1"/>
  <c r="NK26" i="7" s="1"/>
  <c r="NK27" i="7" s="1"/>
  <c r="NK28" i="7" s="1"/>
  <c r="NK29" i="7" s="1"/>
  <c r="NK30" i="7" s="1"/>
  <c r="NK31" i="7" s="1"/>
  <c r="NL2" i="6" s="1"/>
  <c r="LP22" i="7"/>
  <c r="LP23" i="7" s="1"/>
  <c r="LP24" i="7" s="1"/>
  <c r="LP25" i="7" s="1"/>
  <c r="LP26" i="7" s="1"/>
  <c r="LP27" i="7" s="1"/>
  <c r="LP28" i="7" s="1"/>
  <c r="LP29" i="7" s="1"/>
  <c r="LP30" i="7" s="1"/>
  <c r="LP31" i="7" s="1"/>
  <c r="LQ2" i="6" s="1"/>
  <c r="CX23" i="7"/>
  <c r="CX24" i="7" s="1"/>
  <c r="CX25" i="7" s="1"/>
  <c r="CX26" i="7" s="1"/>
  <c r="CX27" i="7" s="1"/>
  <c r="CX28" i="7" s="1"/>
  <c r="CX29" i="7" s="1"/>
  <c r="CX30" i="7" s="1"/>
  <c r="CX31" i="7" s="1"/>
  <c r="CY2" i="6" s="1"/>
  <c r="DL21" i="7"/>
  <c r="DL22" i="7" s="1"/>
  <c r="DL23" i="7" s="1"/>
  <c r="DL24" i="7" s="1"/>
  <c r="DL25" i="7" s="1"/>
  <c r="DL26" i="7" s="1"/>
  <c r="DL27" i="7" s="1"/>
  <c r="DL28" i="7" s="1"/>
  <c r="DL29" i="7" s="1"/>
  <c r="DL30" i="7" s="1"/>
  <c r="DL31" i="7" s="1"/>
  <c r="DM2" i="6" s="1"/>
  <c r="XY21" i="7"/>
  <c r="XY22" i="7" s="1"/>
  <c r="XY23" i="7" s="1"/>
  <c r="XY24" i="7" s="1"/>
  <c r="XY25" i="7" s="1"/>
  <c r="XY26" i="7" s="1"/>
  <c r="XY27" i="7" s="1"/>
  <c r="XY28" i="7" s="1"/>
  <c r="XY29" i="7" s="1"/>
  <c r="XY30" i="7" s="1"/>
  <c r="XY31" i="7" s="1"/>
  <c r="XZ2" i="6" s="1"/>
  <c r="WL21" i="7"/>
  <c r="WL22" i="7" s="1"/>
  <c r="WL23" i="7" s="1"/>
  <c r="WL24" i="7" s="1"/>
  <c r="WL25" i="7" s="1"/>
  <c r="WL26" i="7" s="1"/>
  <c r="WL27" i="7" s="1"/>
  <c r="WL28" i="7" s="1"/>
  <c r="WL29" i="7" s="1"/>
  <c r="WL30" i="7" s="1"/>
  <c r="WL31" i="7" s="1"/>
  <c r="WM2" i="6" s="1"/>
  <c r="RH21" i="7"/>
  <c r="RH22" i="7" s="1"/>
  <c r="RH23" i="7" s="1"/>
  <c r="RH24" i="7" s="1"/>
  <c r="RH25" i="7" s="1"/>
  <c r="RH26" i="7" s="1"/>
  <c r="RH27" i="7" s="1"/>
  <c r="RH28" i="7" s="1"/>
  <c r="RH29" i="7" s="1"/>
  <c r="RH30" i="7" s="1"/>
  <c r="RH31" i="7" s="1"/>
  <c r="RI2" i="6" s="1"/>
  <c r="PG22" i="7"/>
  <c r="PG23" i="7" s="1"/>
  <c r="PG24" i="7" s="1"/>
  <c r="PG25" i="7" s="1"/>
  <c r="PG26" i="7" s="1"/>
  <c r="PG27" i="7" s="1"/>
  <c r="PG28" i="7" s="1"/>
  <c r="PG29" i="7" s="1"/>
  <c r="PG30" i="7" s="1"/>
  <c r="PG31" i="7" s="1"/>
  <c r="PH2" i="6" s="1"/>
  <c r="AJK21" i="7"/>
  <c r="AJK22" i="7" s="1"/>
  <c r="AJK23" i="7" s="1"/>
  <c r="AJK24" i="7" s="1"/>
  <c r="AJK25" i="7" s="1"/>
  <c r="AJK26" i="7" s="1"/>
  <c r="AJK27" i="7" s="1"/>
  <c r="AJK28" i="7" s="1"/>
  <c r="AJK29" i="7" s="1"/>
  <c r="AJK30" i="7" s="1"/>
  <c r="AJK31" i="7" s="1"/>
  <c r="AJL2" i="6" s="1"/>
  <c r="QN21" i="7"/>
  <c r="QN22" i="7" s="1"/>
  <c r="QN23" i="7" s="1"/>
  <c r="QN24" i="7" s="1"/>
  <c r="QN25" i="7" s="1"/>
  <c r="QN26" i="7" s="1"/>
  <c r="QN27" i="7" s="1"/>
  <c r="QN28" i="7" s="1"/>
  <c r="QN29" i="7" s="1"/>
  <c r="QN30" i="7" s="1"/>
  <c r="QN31" i="7" s="1"/>
  <c r="QO2" i="6" s="1"/>
  <c r="OT22" i="7"/>
  <c r="OT23" i="7" s="1"/>
  <c r="OT24" i="7" s="1"/>
  <c r="OT25" i="7" s="1"/>
  <c r="OT26" i="7" s="1"/>
  <c r="OT27" i="7" s="1"/>
  <c r="OT28" i="7" s="1"/>
  <c r="OT29" i="7" s="1"/>
  <c r="OT30" i="7" s="1"/>
  <c r="OT31" i="7" s="1"/>
  <c r="OU2" i="6" s="1"/>
  <c r="VP21" i="7"/>
  <c r="VP22" i="7" s="1"/>
  <c r="VP23" i="7" s="1"/>
  <c r="VP24" i="7" s="1"/>
  <c r="VP25" i="7" s="1"/>
  <c r="VP26" i="7" s="1"/>
  <c r="VP27" i="7" s="1"/>
  <c r="VP28" i="7" s="1"/>
  <c r="VP29" i="7" s="1"/>
  <c r="VP30" i="7" s="1"/>
  <c r="VP31" i="7" s="1"/>
  <c r="VQ2" i="6" s="1"/>
  <c r="WB21" i="7"/>
  <c r="WB22" i="7" s="1"/>
  <c r="WB23" i="7" s="1"/>
  <c r="WB24" i="7" s="1"/>
  <c r="WB25" i="7" s="1"/>
  <c r="WB26" i="7" s="1"/>
  <c r="WB27" i="7" s="1"/>
  <c r="WB28" i="7" s="1"/>
  <c r="WB29" i="7" s="1"/>
  <c r="WB30" i="7" s="1"/>
  <c r="WB31" i="7" s="1"/>
  <c r="WC2" i="6" s="1"/>
  <c r="OD22" i="7"/>
  <c r="OD23" i="7" s="1"/>
  <c r="OD24" i="7" s="1"/>
  <c r="OD25" i="7" s="1"/>
  <c r="OD26" i="7" s="1"/>
  <c r="OD27" i="7" s="1"/>
  <c r="OD28" i="7" s="1"/>
  <c r="OD29" i="7" s="1"/>
  <c r="OD30" i="7" s="1"/>
  <c r="OD31" i="7" s="1"/>
  <c r="OE2" i="6" s="1"/>
  <c r="VA21" i="7"/>
  <c r="VA22" i="7" s="1"/>
  <c r="VA23" i="7" s="1"/>
  <c r="VA24" i="7" s="1"/>
  <c r="VA25" i="7" s="1"/>
  <c r="VA26" i="7" s="1"/>
  <c r="VA27" i="7" s="1"/>
  <c r="VA28" i="7" s="1"/>
  <c r="VA29" i="7" s="1"/>
  <c r="VA30" i="7" s="1"/>
  <c r="VA31" i="7" s="1"/>
  <c r="VB2" i="6" s="1"/>
  <c r="SQ21" i="7"/>
  <c r="SQ22" i="7" s="1"/>
  <c r="SQ23" i="7" s="1"/>
  <c r="SQ24" i="7" s="1"/>
  <c r="SQ25" i="7" s="1"/>
  <c r="SQ26" i="7" s="1"/>
  <c r="SQ27" i="7" s="1"/>
  <c r="SQ28" i="7" s="1"/>
  <c r="SQ29" i="7" s="1"/>
  <c r="SQ30" i="7" s="1"/>
  <c r="SQ31" i="7" s="1"/>
  <c r="SR2" i="6" s="1"/>
  <c r="TK21" i="7"/>
  <c r="TK22" i="7" s="1"/>
  <c r="TK23" i="7" s="1"/>
  <c r="TK24" i="7" s="1"/>
  <c r="TK25" i="7" s="1"/>
  <c r="TK26" i="7" s="1"/>
  <c r="TK27" i="7" s="1"/>
  <c r="TK28" i="7" s="1"/>
  <c r="TK29" i="7" s="1"/>
  <c r="TK30" i="7" s="1"/>
  <c r="TK31" i="7" s="1"/>
  <c r="TL2" i="6" s="1"/>
  <c r="AFU22" i="7"/>
  <c r="AFU23" i="7" s="1"/>
  <c r="AFU24" i="7" s="1"/>
  <c r="AFU25" i="7" s="1"/>
  <c r="AFU26" i="7" s="1"/>
  <c r="AFU27" i="7" s="1"/>
  <c r="AFU28" i="7" s="1"/>
  <c r="AFU29" i="7" s="1"/>
  <c r="AFU30" i="7" s="1"/>
  <c r="AFU31" i="7" s="1"/>
  <c r="AFV2" i="6" s="1"/>
  <c r="TI21" i="7"/>
  <c r="TI22" i="7" s="1"/>
  <c r="TI23" i="7" s="1"/>
  <c r="TI24" i="7" s="1"/>
  <c r="TI25" i="7" s="1"/>
  <c r="TI26" i="7" s="1"/>
  <c r="TI27" i="7" s="1"/>
  <c r="TI28" i="7" s="1"/>
  <c r="TI29" i="7" s="1"/>
  <c r="TI30" i="7" s="1"/>
  <c r="TI31" i="7" s="1"/>
  <c r="TJ2" i="6" s="1"/>
  <c r="RN21" i="7"/>
  <c r="RN22" i="7" s="1"/>
  <c r="RN23" i="7" s="1"/>
  <c r="RN24" i="7" s="1"/>
  <c r="RN25" i="7" s="1"/>
  <c r="RN26" i="7" s="1"/>
  <c r="RN27" i="7" s="1"/>
  <c r="RN28" i="7" s="1"/>
  <c r="RN29" i="7" s="1"/>
  <c r="RN30" i="7" s="1"/>
  <c r="RN31" i="7" s="1"/>
  <c r="RO2" i="6" s="1"/>
  <c r="AIR21" i="7"/>
  <c r="AIR22" i="7" s="1"/>
  <c r="AIR23" i="7" s="1"/>
  <c r="AIR24" i="7" s="1"/>
  <c r="AIR25" i="7" s="1"/>
  <c r="AIR26" i="7" s="1"/>
  <c r="AIR27" i="7" s="1"/>
  <c r="AIR28" i="7" s="1"/>
  <c r="AIR29" i="7" s="1"/>
  <c r="AIR30" i="7" s="1"/>
  <c r="AIR31" i="7" s="1"/>
  <c r="AIS2" i="6" s="1"/>
  <c r="FT21" i="7"/>
  <c r="FT22" i="7" s="1"/>
  <c r="FT23" i="7" s="1"/>
  <c r="FT24" i="7" s="1"/>
  <c r="FT25" i="7" s="1"/>
  <c r="FT26" i="7" s="1"/>
  <c r="FT27" i="7" s="1"/>
  <c r="FT28" i="7" s="1"/>
  <c r="FT29" i="7" s="1"/>
  <c r="FT30" i="7" s="1"/>
  <c r="FT31" i="7" s="1"/>
  <c r="FU2" i="6" s="1"/>
  <c r="AGO21" i="7"/>
  <c r="AGO22" i="7" s="1"/>
  <c r="AGO23" i="7" s="1"/>
  <c r="AGO24" i="7" s="1"/>
  <c r="AGO25" i="7" s="1"/>
  <c r="AGO26" i="7" s="1"/>
  <c r="AGO27" i="7" s="1"/>
  <c r="AGO28" i="7" s="1"/>
  <c r="AGO29" i="7" s="1"/>
  <c r="AGO30" i="7" s="1"/>
  <c r="AGO31" i="7" s="1"/>
  <c r="AGP2" i="6" s="1"/>
  <c r="ZG22" i="7"/>
  <c r="ZG23" i="7" s="1"/>
  <c r="ZG24" i="7" s="1"/>
  <c r="ZG25" i="7" s="1"/>
  <c r="ZG26" i="7" s="1"/>
  <c r="ZG27" i="7" s="1"/>
  <c r="ZG28" i="7" s="1"/>
  <c r="ZG29" i="7" s="1"/>
  <c r="ZG30" i="7" s="1"/>
  <c r="ZG31" i="7" s="1"/>
  <c r="ZH2" i="6" s="1"/>
  <c r="AKA22" i="7"/>
  <c r="AKA23" i="7" s="1"/>
  <c r="AKA24" i="7" s="1"/>
  <c r="AKA25" i="7" s="1"/>
  <c r="AKA26" i="7" s="1"/>
  <c r="AKA27" i="7" s="1"/>
  <c r="AKA28" i="7" s="1"/>
  <c r="AKA29" i="7" s="1"/>
  <c r="AKA30" i="7" s="1"/>
  <c r="AKA31" i="7" s="1"/>
  <c r="AKB2" i="6" s="1"/>
  <c r="RI22" i="7"/>
  <c r="RI23" i="7" s="1"/>
  <c r="RI24" i="7" s="1"/>
  <c r="RI25" i="7" s="1"/>
  <c r="RI26" i="7" s="1"/>
  <c r="RI27" i="7" s="1"/>
  <c r="RI28" i="7" s="1"/>
  <c r="RI29" i="7" s="1"/>
  <c r="RI30" i="7" s="1"/>
  <c r="RI31" i="7" s="1"/>
  <c r="RJ2" i="6" s="1"/>
  <c r="DX22" i="7"/>
  <c r="DX23" i="7" s="1"/>
  <c r="DX24" i="7" s="1"/>
  <c r="DX25" i="7" s="1"/>
  <c r="DX26" i="7" s="1"/>
  <c r="DX27" i="7" s="1"/>
  <c r="DX28" i="7" s="1"/>
  <c r="DX29" i="7" s="1"/>
  <c r="DX30" i="7" s="1"/>
  <c r="DX31" i="7" s="1"/>
  <c r="DY2" i="6" s="1"/>
  <c r="AEZ22" i="7"/>
  <c r="AEZ23" i="7" s="1"/>
  <c r="AEZ24" i="7" s="1"/>
  <c r="AEZ25" i="7" s="1"/>
  <c r="AEZ26" i="7" s="1"/>
  <c r="AEZ27" i="7" s="1"/>
  <c r="AEZ28" i="7" s="1"/>
  <c r="AEZ29" i="7" s="1"/>
  <c r="AEZ30" i="7" s="1"/>
  <c r="AEZ31" i="7" s="1"/>
  <c r="AFA2" i="6" s="1"/>
  <c r="AFJ22" i="7"/>
  <c r="AFJ23" i="7" s="1"/>
  <c r="AFJ24" i="7" s="1"/>
  <c r="AFJ25" i="7" s="1"/>
  <c r="AFJ26" i="7" s="1"/>
  <c r="AFJ27" i="7" s="1"/>
  <c r="AFJ28" i="7" s="1"/>
  <c r="AFJ29" i="7" s="1"/>
  <c r="AFJ30" i="7" s="1"/>
  <c r="AFJ31" i="7" s="1"/>
  <c r="AFK2" i="6" s="1"/>
  <c r="DI22" i="7"/>
  <c r="DI23" i="7" s="1"/>
  <c r="DI24" i="7" s="1"/>
  <c r="DI25" i="7" s="1"/>
  <c r="DI26" i="7" s="1"/>
  <c r="DI27" i="7" s="1"/>
  <c r="DI28" i="7" s="1"/>
  <c r="DI29" i="7" s="1"/>
  <c r="DI30" i="7" s="1"/>
  <c r="DI31" i="7" s="1"/>
  <c r="DJ2" i="6" s="1"/>
  <c r="YY22" i="7"/>
  <c r="YY23" i="7" s="1"/>
  <c r="YY24" i="7" s="1"/>
  <c r="YY25" i="7" s="1"/>
  <c r="YY26" i="7" s="1"/>
  <c r="YY27" i="7" s="1"/>
  <c r="YY28" i="7" s="1"/>
  <c r="YY29" i="7" s="1"/>
  <c r="YY30" i="7" s="1"/>
  <c r="YY31" i="7" s="1"/>
  <c r="YZ2" i="6" s="1"/>
  <c r="RV23" i="7"/>
  <c r="RV24" i="7" s="1"/>
  <c r="RV25" i="7" s="1"/>
  <c r="RV26" i="7" s="1"/>
  <c r="RV27" i="7" s="1"/>
  <c r="RV28" i="7" s="1"/>
  <c r="RV29" i="7" s="1"/>
  <c r="RV30" i="7" s="1"/>
  <c r="RV31" i="7" s="1"/>
  <c r="RW2" i="6" s="1"/>
  <c r="SJ22" i="7"/>
  <c r="SJ23" i="7" s="1"/>
  <c r="SJ24" i="7" s="1"/>
  <c r="SJ25" i="7" s="1"/>
  <c r="SJ26" i="7" s="1"/>
  <c r="SJ27" i="7" s="1"/>
  <c r="SJ28" i="7" s="1"/>
  <c r="SJ29" i="7" s="1"/>
  <c r="SJ30" i="7" s="1"/>
  <c r="SJ31" i="7" s="1"/>
  <c r="SK2" i="6" s="1"/>
  <c r="WV22" i="7"/>
  <c r="WV23" i="7" s="1"/>
  <c r="WV24" i="7" s="1"/>
  <c r="WV25" i="7" s="1"/>
  <c r="WV26" i="7" s="1"/>
  <c r="WV27" i="7" s="1"/>
  <c r="WV28" i="7" s="1"/>
  <c r="WV29" i="7" s="1"/>
  <c r="WV30" i="7" s="1"/>
  <c r="WV31" i="7" s="1"/>
  <c r="WW2" i="6" s="1"/>
  <c r="AEY21" i="7"/>
  <c r="AEY22" i="7" s="1"/>
  <c r="AEY23" i="7" s="1"/>
  <c r="AEY24" i="7" s="1"/>
  <c r="AEY25" i="7" s="1"/>
  <c r="AEY26" i="7" s="1"/>
  <c r="AEY27" i="7" s="1"/>
  <c r="AEY28" i="7" s="1"/>
  <c r="AEY29" i="7" s="1"/>
  <c r="AEY30" i="7" s="1"/>
  <c r="AEY31" i="7" s="1"/>
  <c r="AEZ2" i="6" s="1"/>
  <c r="S21" i="7"/>
  <c r="S22" i="7" s="1"/>
  <c r="S23" i="7" s="1"/>
  <c r="S24" i="7" s="1"/>
  <c r="S25" i="7" s="1"/>
  <c r="S26" i="7" s="1"/>
  <c r="S27" i="7" s="1"/>
  <c r="S28" i="7" s="1"/>
  <c r="S29" i="7" s="1"/>
  <c r="S30" i="7" s="1"/>
  <c r="S31" i="7" s="1"/>
  <c r="T2" i="6" s="1"/>
  <c r="ADC23" i="7"/>
  <c r="ADC24" i="7" s="1"/>
  <c r="ADC25" i="7" s="1"/>
  <c r="ADC26" i="7" s="1"/>
  <c r="ADC27" i="7" s="1"/>
  <c r="ADC28" i="7" s="1"/>
  <c r="ADC29" i="7" s="1"/>
  <c r="ADC30" i="7" s="1"/>
  <c r="ADC31" i="7" s="1"/>
  <c r="ADD2" i="6" s="1"/>
  <c r="ADQ21" i="7"/>
  <c r="ADQ22" i="7" s="1"/>
  <c r="ADQ23" i="7" s="1"/>
  <c r="ADQ24" i="7" s="1"/>
  <c r="ADQ25" i="7" s="1"/>
  <c r="ADQ26" i="7" s="1"/>
  <c r="ADQ27" i="7" s="1"/>
  <c r="ADQ28" i="7" s="1"/>
  <c r="ADQ29" i="7" s="1"/>
  <c r="ADQ30" i="7" s="1"/>
  <c r="ADQ31" i="7" s="1"/>
  <c r="ADR2" i="6" s="1"/>
  <c r="MV22" i="7"/>
  <c r="MV23" i="7" s="1"/>
  <c r="MV24" i="7" s="1"/>
  <c r="MV25" i="7" s="1"/>
  <c r="MV26" i="7" s="1"/>
  <c r="MV27" i="7" s="1"/>
  <c r="MV28" i="7" s="1"/>
  <c r="MV29" i="7" s="1"/>
  <c r="MV30" i="7" s="1"/>
  <c r="MV31" i="7" s="1"/>
  <c r="MW2" i="6" s="1"/>
  <c r="ED22" i="7"/>
  <c r="ED23" i="7" s="1"/>
  <c r="ED24" i="7" s="1"/>
  <c r="ED25" i="7" s="1"/>
  <c r="ED26" i="7" s="1"/>
  <c r="ED27" i="7" s="1"/>
  <c r="ED28" i="7" s="1"/>
  <c r="ED29" i="7" s="1"/>
  <c r="ED30" i="7" s="1"/>
  <c r="ED31" i="7" s="1"/>
  <c r="EE2" i="6" s="1"/>
  <c r="AZ21" i="7"/>
  <c r="AZ22" i="7" s="1"/>
  <c r="AZ23" i="7" s="1"/>
  <c r="AZ24" i="7" s="1"/>
  <c r="AZ25" i="7" s="1"/>
  <c r="AZ26" i="7" s="1"/>
  <c r="AZ27" i="7" s="1"/>
  <c r="AZ28" i="7" s="1"/>
  <c r="AZ29" i="7" s="1"/>
  <c r="AZ30" i="7" s="1"/>
  <c r="AZ31" i="7" s="1"/>
  <c r="BA2" i="6" s="1"/>
  <c r="FD22" i="7"/>
  <c r="FD23" i="7" s="1"/>
  <c r="FD24" i="7" s="1"/>
  <c r="FD25" i="7" s="1"/>
  <c r="FD26" i="7" s="1"/>
  <c r="FD27" i="7" s="1"/>
  <c r="FD28" i="7" s="1"/>
  <c r="FD29" i="7" s="1"/>
  <c r="FD30" i="7" s="1"/>
  <c r="FD31" i="7" s="1"/>
  <c r="FE2" i="6" s="1"/>
  <c r="FW22" i="7"/>
  <c r="FW23" i="7" s="1"/>
  <c r="FW24" i="7" s="1"/>
  <c r="FW25" i="7" s="1"/>
  <c r="FW26" i="7" s="1"/>
  <c r="FW27" i="7" s="1"/>
  <c r="FW28" i="7" s="1"/>
  <c r="FW29" i="7" s="1"/>
  <c r="FW30" i="7" s="1"/>
  <c r="FW31" i="7" s="1"/>
  <c r="FX2" i="6" s="1"/>
  <c r="BK22" i="7"/>
  <c r="BK23" i="7" s="1"/>
  <c r="BK24" i="7" s="1"/>
  <c r="BK25" i="7" s="1"/>
  <c r="BK26" i="7" s="1"/>
  <c r="BK27" i="7" s="1"/>
  <c r="BK28" i="7" s="1"/>
  <c r="BK29" i="7" s="1"/>
  <c r="BK30" i="7" s="1"/>
  <c r="BK31" i="7" s="1"/>
  <c r="BL2" i="6" s="1"/>
  <c r="RQ21" i="7"/>
  <c r="RQ22" i="7" s="1"/>
  <c r="RQ23" i="7" s="1"/>
  <c r="RQ24" i="7" s="1"/>
  <c r="RQ25" i="7" s="1"/>
  <c r="RQ26" i="7" s="1"/>
  <c r="RQ27" i="7" s="1"/>
  <c r="RQ28" i="7" s="1"/>
  <c r="RQ29" i="7" s="1"/>
  <c r="RQ30" i="7" s="1"/>
  <c r="RQ31" i="7" s="1"/>
  <c r="RR2" i="6" s="1"/>
  <c r="YI22" i="7"/>
  <c r="YI23" i="7" s="1"/>
  <c r="YI24" i="7" s="1"/>
  <c r="YI25" i="7" s="1"/>
  <c r="YI26" i="7" s="1"/>
  <c r="YI27" i="7" s="1"/>
  <c r="YI28" i="7" s="1"/>
  <c r="YI29" i="7" s="1"/>
  <c r="YI30" i="7" s="1"/>
  <c r="YI31" i="7" s="1"/>
  <c r="YJ2" i="6" s="1"/>
  <c r="AGB21" i="7"/>
  <c r="AGB22" i="7" s="1"/>
  <c r="AGB23" i="7" s="1"/>
  <c r="AGB24" i="7" s="1"/>
  <c r="AGB25" i="7" s="1"/>
  <c r="AGB26" i="7" s="1"/>
  <c r="AGB27" i="7" s="1"/>
  <c r="AGB28" i="7" s="1"/>
  <c r="AGB29" i="7" s="1"/>
  <c r="AGB30" i="7" s="1"/>
  <c r="AGB31" i="7" s="1"/>
  <c r="AGC2" i="6" s="1"/>
  <c r="XX21" i="7"/>
  <c r="XX22" i="7" s="1"/>
  <c r="XX23" i="7" s="1"/>
  <c r="XX24" i="7" s="1"/>
  <c r="XX25" i="7" s="1"/>
  <c r="XX26" i="7" s="1"/>
  <c r="XX27" i="7" s="1"/>
  <c r="XX28" i="7" s="1"/>
  <c r="XX29" i="7" s="1"/>
  <c r="XX30" i="7" s="1"/>
  <c r="XX31" i="7" s="1"/>
  <c r="XY2" i="6" s="1"/>
  <c r="AIB22" i="7"/>
  <c r="AIB23" i="7" s="1"/>
  <c r="AIB24" i="7" s="1"/>
  <c r="AIB25" i="7" s="1"/>
  <c r="AIB26" i="7" s="1"/>
  <c r="AIB27" i="7" s="1"/>
  <c r="AIB28" i="7" s="1"/>
  <c r="AIB29" i="7" s="1"/>
  <c r="AIB30" i="7" s="1"/>
  <c r="AIB31" i="7" s="1"/>
  <c r="AIC2" i="6" s="1"/>
  <c r="UD21" i="7"/>
  <c r="UD22" i="7" s="1"/>
  <c r="UD23" i="7" s="1"/>
  <c r="UD24" i="7" s="1"/>
  <c r="UD25" i="7" s="1"/>
  <c r="UD26" i="7" s="1"/>
  <c r="UD27" i="7" s="1"/>
  <c r="UD28" i="7" s="1"/>
  <c r="UD29" i="7" s="1"/>
  <c r="UD30" i="7" s="1"/>
  <c r="UD31" i="7" s="1"/>
  <c r="UE2" i="6" s="1"/>
  <c r="SD21" i="7"/>
  <c r="SD22" i="7" s="1"/>
  <c r="SD23" i="7" s="1"/>
  <c r="SD24" i="7" s="1"/>
  <c r="SD25" i="7" s="1"/>
  <c r="SD26" i="7" s="1"/>
  <c r="SD27" i="7" s="1"/>
  <c r="SD28" i="7" s="1"/>
  <c r="SD29" i="7" s="1"/>
  <c r="SD30" i="7" s="1"/>
  <c r="SD31" i="7" s="1"/>
  <c r="SE2" i="6" s="1"/>
  <c r="XW23" i="7"/>
  <c r="XW24" i="7" s="1"/>
  <c r="XW25" i="7" s="1"/>
  <c r="XW26" i="7" s="1"/>
  <c r="XW27" i="7" s="1"/>
  <c r="XW28" i="7" s="1"/>
  <c r="XW29" i="7" s="1"/>
  <c r="XW30" i="7" s="1"/>
  <c r="XW31" i="7" s="1"/>
  <c r="XX2" i="6" s="1"/>
  <c r="AEI21" i="7"/>
  <c r="AEI22" i="7" s="1"/>
  <c r="AEI23" i="7" s="1"/>
  <c r="AEI24" i="7" s="1"/>
  <c r="AEI25" i="7" s="1"/>
  <c r="AEI26" i="7" s="1"/>
  <c r="AEI27" i="7" s="1"/>
  <c r="AEI28" i="7" s="1"/>
  <c r="AEI29" i="7" s="1"/>
  <c r="AEI30" i="7" s="1"/>
  <c r="AEI31" i="7" s="1"/>
  <c r="AEJ2" i="6" s="1"/>
  <c r="HR21" i="7"/>
  <c r="HR22" i="7" s="1"/>
  <c r="HR23" i="7" s="1"/>
  <c r="HR24" i="7" s="1"/>
  <c r="HR25" i="7" s="1"/>
  <c r="HR26" i="7" s="1"/>
  <c r="HR27" i="7" s="1"/>
  <c r="HR28" i="7" s="1"/>
  <c r="HR29" i="7" s="1"/>
  <c r="HR30" i="7" s="1"/>
  <c r="HR31" i="7" s="1"/>
  <c r="HS2" i="6" s="1"/>
  <c r="KR22" i="7"/>
  <c r="KR23" i="7" s="1"/>
  <c r="KR24" i="7" s="1"/>
  <c r="KR25" i="7" s="1"/>
  <c r="KR26" i="7" s="1"/>
  <c r="KR27" i="7" s="1"/>
  <c r="KR28" i="7" s="1"/>
  <c r="KR29" i="7" s="1"/>
  <c r="KR30" i="7" s="1"/>
  <c r="KR31" i="7" s="1"/>
  <c r="KS2" i="6" s="1"/>
  <c r="AEE21" i="7"/>
  <c r="AEE22" i="7" s="1"/>
  <c r="AEE23" i="7" s="1"/>
  <c r="AEE24" i="7" s="1"/>
  <c r="AEE25" i="7" s="1"/>
  <c r="AEE26" i="7" s="1"/>
  <c r="AEE27" i="7" s="1"/>
  <c r="AEE28" i="7" s="1"/>
  <c r="AEE29" i="7" s="1"/>
  <c r="AEE30" i="7" s="1"/>
  <c r="AEE31" i="7" s="1"/>
  <c r="AEF2" i="6" s="1"/>
  <c r="TG23" i="7"/>
  <c r="TG24" i="7" s="1"/>
  <c r="TG25" i="7" s="1"/>
  <c r="TG26" i="7" s="1"/>
  <c r="TG27" i="7" s="1"/>
  <c r="TG28" i="7" s="1"/>
  <c r="TG29" i="7" s="1"/>
  <c r="TG30" i="7" s="1"/>
  <c r="TG31" i="7" s="1"/>
  <c r="TH2" i="6" s="1"/>
  <c r="QA21" i="7"/>
  <c r="QA22" i="7" s="1"/>
  <c r="QA23" i="7" s="1"/>
  <c r="QA24" i="7" s="1"/>
  <c r="QA25" i="7" s="1"/>
  <c r="QA26" i="7" s="1"/>
  <c r="QA27" i="7" s="1"/>
  <c r="QA28" i="7" s="1"/>
  <c r="QA29" i="7" s="1"/>
  <c r="QA30" i="7" s="1"/>
  <c r="QA31" i="7" s="1"/>
  <c r="QB2" i="6" s="1"/>
  <c r="ABA22" i="7"/>
  <c r="ABA23" i="7" s="1"/>
  <c r="ABA24" i="7" s="1"/>
  <c r="ABA25" i="7" s="1"/>
  <c r="ABA26" i="7" s="1"/>
  <c r="ABA27" i="7" s="1"/>
  <c r="ABA28" i="7" s="1"/>
  <c r="ABA29" i="7" s="1"/>
  <c r="ABA30" i="7" s="1"/>
  <c r="ABA31" i="7" s="1"/>
  <c r="ABB2" i="6" s="1"/>
  <c r="JN21" i="7"/>
  <c r="JN22" i="7" s="1"/>
  <c r="JN23" i="7" s="1"/>
  <c r="JN24" i="7" s="1"/>
  <c r="JN25" i="7" s="1"/>
  <c r="JN26" i="7" s="1"/>
  <c r="JN27" i="7" s="1"/>
  <c r="JN28" i="7" s="1"/>
  <c r="JN29" i="7" s="1"/>
  <c r="JN30" i="7" s="1"/>
  <c r="JN31" i="7" s="1"/>
  <c r="JO2" i="6" s="1"/>
  <c r="NH21" i="7"/>
  <c r="NH22" i="7" s="1"/>
  <c r="NH23" i="7" s="1"/>
  <c r="NH24" i="7" s="1"/>
  <c r="NH25" i="7" s="1"/>
  <c r="NH26" i="7" s="1"/>
  <c r="NH27" i="7" s="1"/>
  <c r="NH28" i="7" s="1"/>
  <c r="NH29" i="7" s="1"/>
  <c r="NH30" i="7" s="1"/>
  <c r="NH31" i="7" s="1"/>
  <c r="NI2" i="6" s="1"/>
  <c r="O22" i="7"/>
  <c r="O23" i="7" s="1"/>
  <c r="O24" i="7" s="1"/>
  <c r="O25" i="7" s="1"/>
  <c r="O26" i="7" s="1"/>
  <c r="O27" i="7" s="1"/>
  <c r="O28" i="7" s="1"/>
  <c r="O29" i="7" s="1"/>
  <c r="O30" i="7" s="1"/>
  <c r="O31" i="7" s="1"/>
  <c r="P2" i="6" s="1"/>
  <c r="AGE22" i="7"/>
  <c r="AGE23" i="7" s="1"/>
  <c r="AGE24" i="7" s="1"/>
  <c r="AGE25" i="7" s="1"/>
  <c r="AGE26" i="7" s="1"/>
  <c r="AGE27" i="7" s="1"/>
  <c r="AGE28" i="7" s="1"/>
  <c r="AGE29" i="7" s="1"/>
  <c r="AGE30" i="7" s="1"/>
  <c r="AGE31" i="7" s="1"/>
  <c r="AGF2" i="6" s="1"/>
  <c r="RA21" i="7"/>
  <c r="RA22" i="7" s="1"/>
  <c r="RA23" i="7" s="1"/>
  <c r="RA24" i="7" s="1"/>
  <c r="RA25" i="7" s="1"/>
  <c r="RA26" i="7" s="1"/>
  <c r="RA27" i="7" s="1"/>
  <c r="RA28" i="7" s="1"/>
  <c r="RA29" i="7" s="1"/>
  <c r="RA30" i="7" s="1"/>
  <c r="RA31" i="7" s="1"/>
  <c r="RB2" i="6" s="1"/>
  <c r="AJS22" i="7"/>
  <c r="AJS23" i="7" s="1"/>
  <c r="AJS24" i="7" s="1"/>
  <c r="AJS25" i="7" s="1"/>
  <c r="AJS26" i="7" s="1"/>
  <c r="AJS27" i="7" s="1"/>
  <c r="AJS28" i="7" s="1"/>
  <c r="AJS29" i="7" s="1"/>
  <c r="AJS30" i="7" s="1"/>
  <c r="AJS31" i="7" s="1"/>
  <c r="AJT2" i="6" s="1"/>
  <c r="KK22" i="7"/>
  <c r="KK23" i="7" s="1"/>
  <c r="KK24" i="7" s="1"/>
  <c r="KK25" i="7" s="1"/>
  <c r="KK26" i="7" s="1"/>
  <c r="KK27" i="7" s="1"/>
  <c r="KK28" i="7" s="1"/>
  <c r="KK29" i="7" s="1"/>
  <c r="KK30" i="7" s="1"/>
  <c r="KK31" i="7" s="1"/>
  <c r="KL2" i="6" s="1"/>
  <c r="NN22" i="7"/>
  <c r="NN23" i="7" s="1"/>
  <c r="NN24" i="7" s="1"/>
  <c r="NN25" i="7" s="1"/>
  <c r="NN26" i="7" s="1"/>
  <c r="NN27" i="7" s="1"/>
  <c r="NN28" i="7" s="1"/>
  <c r="NN29" i="7" s="1"/>
  <c r="NN30" i="7" s="1"/>
  <c r="NN31" i="7" s="1"/>
  <c r="NO2" i="6" s="1"/>
  <c r="ZL22" i="7"/>
  <c r="ZL23" i="7" s="1"/>
  <c r="ZL24" i="7" s="1"/>
  <c r="ZL25" i="7" s="1"/>
  <c r="ZL26" i="7" s="1"/>
  <c r="ZL27" i="7" s="1"/>
  <c r="ZL28" i="7" s="1"/>
  <c r="ZL29" i="7" s="1"/>
  <c r="ZL30" i="7" s="1"/>
  <c r="ZL31" i="7" s="1"/>
  <c r="ZM2" i="6" s="1"/>
  <c r="LA22" i="7"/>
  <c r="LA23" i="7" s="1"/>
  <c r="LA24" i="7" s="1"/>
  <c r="LA25" i="7" s="1"/>
  <c r="LA26" i="7" s="1"/>
  <c r="LA27" i="7" s="1"/>
  <c r="LA28" i="7" s="1"/>
  <c r="LA29" i="7" s="1"/>
  <c r="LA30" i="7" s="1"/>
  <c r="LA31" i="7" s="1"/>
  <c r="LB2" i="6" s="1"/>
  <c r="AJO21" i="7"/>
  <c r="AJO22" i="7" s="1"/>
  <c r="AJO23" i="7" s="1"/>
  <c r="AJO24" i="7" s="1"/>
  <c r="AJO25" i="7" s="1"/>
  <c r="AJO26" i="7" s="1"/>
  <c r="AJO27" i="7" s="1"/>
  <c r="AJO28" i="7" s="1"/>
  <c r="AJO29" i="7" s="1"/>
  <c r="AJO30" i="7" s="1"/>
  <c r="AJO31" i="7" s="1"/>
  <c r="AJP2" i="6" s="1"/>
  <c r="VK22" i="7"/>
  <c r="VK23" i="7" s="1"/>
  <c r="VK24" i="7" s="1"/>
  <c r="VK25" i="7" s="1"/>
  <c r="VK26" i="7" s="1"/>
  <c r="VK27" i="7" s="1"/>
  <c r="VK28" i="7" s="1"/>
  <c r="VK29" i="7" s="1"/>
  <c r="VK30" i="7" s="1"/>
  <c r="VK31" i="7" s="1"/>
  <c r="VL2" i="6" s="1"/>
  <c r="AP21" i="7"/>
  <c r="AP22" i="7" s="1"/>
  <c r="AP23" i="7" s="1"/>
  <c r="AP24" i="7" s="1"/>
  <c r="AP25" i="7" s="1"/>
  <c r="AP26" i="7" s="1"/>
  <c r="AP27" i="7" s="1"/>
  <c r="AP28" i="7" s="1"/>
  <c r="AP29" i="7" s="1"/>
  <c r="AP30" i="7" s="1"/>
  <c r="AP31" i="7" s="1"/>
  <c r="AQ2" i="6" s="1"/>
  <c r="UU22" i="7"/>
  <c r="UU23" i="7" s="1"/>
  <c r="UU24" i="7" s="1"/>
  <c r="UU25" i="7" s="1"/>
  <c r="UU26" i="7" s="1"/>
  <c r="UU27" i="7" s="1"/>
  <c r="UU28" i="7" s="1"/>
  <c r="UU29" i="7" s="1"/>
  <c r="UU30" i="7" s="1"/>
  <c r="UU31" i="7" s="1"/>
  <c r="UV2" i="6" s="1"/>
  <c r="ACL21" i="7"/>
  <c r="ACL22" i="7" s="1"/>
  <c r="ACL23" i="7" s="1"/>
  <c r="ACL24" i="7" s="1"/>
  <c r="ACL25" i="7" s="1"/>
  <c r="ACL26" i="7" s="1"/>
  <c r="ACL27" i="7" s="1"/>
  <c r="ACL28" i="7" s="1"/>
  <c r="ACL29" i="7" s="1"/>
  <c r="ACL30" i="7" s="1"/>
  <c r="ACL31" i="7" s="1"/>
  <c r="ACM2" i="6" s="1"/>
  <c r="BG22" i="7"/>
  <c r="BG23" i="7" s="1"/>
  <c r="BG24" i="7" s="1"/>
  <c r="BG25" i="7" s="1"/>
  <c r="BG26" i="7" s="1"/>
  <c r="BG27" i="7" s="1"/>
  <c r="BG28" i="7" s="1"/>
  <c r="BG29" i="7" s="1"/>
  <c r="BG30" i="7" s="1"/>
  <c r="BG31" i="7" s="1"/>
  <c r="BH2" i="6" s="1"/>
  <c r="RL22" i="7"/>
  <c r="RL23" i="7" s="1"/>
  <c r="RL24" i="7" s="1"/>
  <c r="RL25" i="7" s="1"/>
  <c r="RL26" i="7" s="1"/>
  <c r="RL27" i="7" s="1"/>
  <c r="RL28" i="7" s="1"/>
  <c r="RL29" i="7" s="1"/>
  <c r="RL30" i="7" s="1"/>
  <c r="RL31" i="7" s="1"/>
  <c r="RM2" i="6" s="1"/>
  <c r="SX22" i="7"/>
  <c r="SX23" i="7" s="1"/>
  <c r="SX24" i="7" s="1"/>
  <c r="SX25" i="7" s="1"/>
  <c r="SX26" i="7" s="1"/>
  <c r="SX27" i="7" s="1"/>
  <c r="SX28" i="7" s="1"/>
  <c r="SX29" i="7" s="1"/>
  <c r="SX30" i="7" s="1"/>
  <c r="SX31" i="7" s="1"/>
  <c r="SY2" i="6" s="1"/>
  <c r="FK21" i="7"/>
  <c r="FK22" i="7" s="1"/>
  <c r="FK23" i="7" s="1"/>
  <c r="FK24" i="7" s="1"/>
  <c r="FK25" i="7" s="1"/>
  <c r="FK26" i="7" s="1"/>
  <c r="FK27" i="7" s="1"/>
  <c r="FK28" i="7" s="1"/>
  <c r="FK29" i="7" s="1"/>
  <c r="FK30" i="7" s="1"/>
  <c r="FK31" i="7" s="1"/>
  <c r="FL2" i="6" s="1"/>
  <c r="AFZ22" i="7"/>
  <c r="AFZ23" i="7" s="1"/>
  <c r="AFZ24" i="7" s="1"/>
  <c r="AFZ25" i="7" s="1"/>
  <c r="AFZ26" i="7" s="1"/>
  <c r="AFZ27" i="7" s="1"/>
  <c r="AFZ28" i="7" s="1"/>
  <c r="AFZ29" i="7" s="1"/>
  <c r="AFZ30" i="7" s="1"/>
  <c r="AFZ31" i="7" s="1"/>
  <c r="AGA2" i="6" s="1"/>
  <c r="JO21" i="7"/>
  <c r="JO22" i="7" s="1"/>
  <c r="JO23" i="7" s="1"/>
  <c r="JO24" i="7" s="1"/>
  <c r="JO25" i="7" s="1"/>
  <c r="JO26" i="7" s="1"/>
  <c r="JO27" i="7" s="1"/>
  <c r="JO28" i="7" s="1"/>
  <c r="JO29" i="7" s="1"/>
  <c r="JO30" i="7" s="1"/>
  <c r="JO31" i="7" s="1"/>
  <c r="JP2" i="6" s="1"/>
  <c r="MP21" i="7"/>
  <c r="MP22" i="7" s="1"/>
  <c r="MP23" i="7" s="1"/>
  <c r="MP24" i="7" s="1"/>
  <c r="MP25" i="7" s="1"/>
  <c r="MP26" i="7" s="1"/>
  <c r="MP27" i="7" s="1"/>
  <c r="MP28" i="7" s="1"/>
  <c r="MP29" i="7" s="1"/>
  <c r="MP30" i="7" s="1"/>
  <c r="MP31" i="7" s="1"/>
  <c r="MQ2" i="6" s="1"/>
  <c r="AA22" i="7"/>
  <c r="AA23" i="7" s="1"/>
  <c r="AA24" i="7" s="1"/>
  <c r="AA25" i="7" s="1"/>
  <c r="AA26" i="7" s="1"/>
  <c r="AA27" i="7" s="1"/>
  <c r="AA28" i="7" s="1"/>
  <c r="AA29" i="7" s="1"/>
  <c r="AA30" i="7" s="1"/>
  <c r="AA31" i="7" s="1"/>
  <c r="AB2" i="6" s="1"/>
  <c r="AAC22" i="7"/>
  <c r="AAC23" i="7" s="1"/>
  <c r="AAC24" i="7" s="1"/>
  <c r="AAC25" i="7" s="1"/>
  <c r="AAC26" i="7" s="1"/>
  <c r="AAC27" i="7" s="1"/>
  <c r="AAC28" i="7" s="1"/>
  <c r="AAC29" i="7" s="1"/>
  <c r="AAC30" i="7" s="1"/>
  <c r="AAC31" i="7" s="1"/>
  <c r="AAD2" i="6" s="1"/>
  <c r="TD21" i="7"/>
  <c r="TD22" i="7" s="1"/>
  <c r="TD23" i="7" s="1"/>
  <c r="TD24" i="7" s="1"/>
  <c r="TD25" i="7" s="1"/>
  <c r="TD26" i="7" s="1"/>
  <c r="TD27" i="7" s="1"/>
  <c r="TD28" i="7" s="1"/>
  <c r="TD29" i="7" s="1"/>
  <c r="TD30" i="7" s="1"/>
  <c r="TD31" i="7" s="1"/>
  <c r="TE2" i="6" s="1"/>
  <c r="ABE21" i="7"/>
  <c r="ABE22" i="7" s="1"/>
  <c r="ABE23" i="7" s="1"/>
  <c r="ABE24" i="7" s="1"/>
  <c r="ABE25" i="7" s="1"/>
  <c r="ABE26" i="7" s="1"/>
  <c r="ABE27" i="7" s="1"/>
  <c r="ABE28" i="7" s="1"/>
  <c r="ABE29" i="7" s="1"/>
  <c r="ABE30" i="7" s="1"/>
  <c r="ABE31" i="7" s="1"/>
  <c r="ABF2" i="6" s="1"/>
  <c r="AJN21" i="7"/>
  <c r="AJN22" i="7" s="1"/>
  <c r="AJN23" i="7" s="1"/>
  <c r="AJN24" i="7" s="1"/>
  <c r="AJN25" i="7" s="1"/>
  <c r="AJN26" i="7" s="1"/>
  <c r="AJN27" i="7" s="1"/>
  <c r="AJN28" i="7" s="1"/>
  <c r="AJN29" i="7" s="1"/>
  <c r="AJN30" i="7" s="1"/>
  <c r="AJN31" i="7" s="1"/>
  <c r="AJO2" i="6" s="1"/>
  <c r="AHK21" i="7"/>
  <c r="AHK22" i="7" s="1"/>
  <c r="AHK23" i="7" s="1"/>
  <c r="AHK24" i="7" s="1"/>
  <c r="AHK25" i="7" s="1"/>
  <c r="AHK26" i="7" s="1"/>
  <c r="AHK27" i="7" s="1"/>
  <c r="AHK28" i="7" s="1"/>
  <c r="AHK29" i="7" s="1"/>
  <c r="AHK30" i="7" s="1"/>
  <c r="AHK31" i="7" s="1"/>
  <c r="AHL2" i="6" s="1"/>
  <c r="EO21" i="7"/>
  <c r="EO22" i="7" s="1"/>
  <c r="EO23" i="7" s="1"/>
  <c r="EO24" i="7" s="1"/>
  <c r="EO25" i="7" s="1"/>
  <c r="EO26" i="7" s="1"/>
  <c r="EO27" i="7" s="1"/>
  <c r="EO28" i="7" s="1"/>
  <c r="EO29" i="7" s="1"/>
  <c r="EO30" i="7" s="1"/>
  <c r="EO31" i="7" s="1"/>
  <c r="EP2" i="6" s="1"/>
  <c r="XG21" i="7"/>
  <c r="XG22" i="7" s="1"/>
  <c r="XG23" i="7" s="1"/>
  <c r="XG24" i="7" s="1"/>
  <c r="XG25" i="7" s="1"/>
  <c r="XG26" i="7" s="1"/>
  <c r="XG27" i="7" s="1"/>
  <c r="XG28" i="7" s="1"/>
  <c r="XG29" i="7" s="1"/>
  <c r="XG30" i="7" s="1"/>
  <c r="XG31" i="7" s="1"/>
  <c r="XH2" i="6" s="1"/>
  <c r="GE21" i="7"/>
  <c r="GE22" i="7" s="1"/>
  <c r="GE23" i="7" s="1"/>
  <c r="GE24" i="7" s="1"/>
  <c r="GE25" i="7" s="1"/>
  <c r="GE26" i="7" s="1"/>
  <c r="GE27" i="7" s="1"/>
  <c r="GE28" i="7" s="1"/>
  <c r="GE29" i="7" s="1"/>
  <c r="GE30" i="7" s="1"/>
  <c r="GE31" i="7" s="1"/>
  <c r="GF2" i="6" s="1"/>
  <c r="IT21" i="7"/>
  <c r="IT22" i="7" s="1"/>
  <c r="IT23" i="7" s="1"/>
  <c r="IT24" i="7" s="1"/>
  <c r="IT25" i="7" s="1"/>
  <c r="IT26" i="7" s="1"/>
  <c r="IT27" i="7" s="1"/>
  <c r="IT28" i="7" s="1"/>
  <c r="IT29" i="7" s="1"/>
  <c r="IT30" i="7" s="1"/>
  <c r="IT31" i="7" s="1"/>
  <c r="IU2" i="6" s="1"/>
  <c r="CV21" i="7"/>
  <c r="CV22" i="7" s="1"/>
  <c r="CV23" i="7" s="1"/>
  <c r="CV24" i="7" s="1"/>
  <c r="CV25" i="7" s="1"/>
  <c r="CV26" i="7" s="1"/>
  <c r="CV27" i="7" s="1"/>
  <c r="CV28" i="7" s="1"/>
  <c r="CV29" i="7" s="1"/>
  <c r="CV30" i="7" s="1"/>
  <c r="CV31" i="7" s="1"/>
  <c r="CW2" i="6" s="1"/>
  <c r="CE21" i="7"/>
  <c r="CE22" i="7" s="1"/>
  <c r="CE23" i="7" s="1"/>
  <c r="CE24" i="7" s="1"/>
  <c r="CE25" i="7" s="1"/>
  <c r="CE26" i="7" s="1"/>
  <c r="CE27" i="7" s="1"/>
  <c r="CE28" i="7" s="1"/>
  <c r="CE29" i="7" s="1"/>
  <c r="CE30" i="7" s="1"/>
  <c r="CE31" i="7" s="1"/>
  <c r="CF2" i="6" s="1"/>
  <c r="GV22" i="7"/>
  <c r="GV23" i="7" s="1"/>
  <c r="GV24" i="7" s="1"/>
  <c r="GV25" i="7" s="1"/>
  <c r="GV26" i="7" s="1"/>
  <c r="GV27" i="7" s="1"/>
  <c r="GV28" i="7" s="1"/>
  <c r="GV29" i="7" s="1"/>
  <c r="GV30" i="7" s="1"/>
  <c r="GV31" i="7" s="1"/>
  <c r="GW2" i="6" s="1"/>
  <c r="BH21" i="7"/>
  <c r="BH22" i="7" s="1"/>
  <c r="BH23" i="7" s="1"/>
  <c r="BH24" i="7" s="1"/>
  <c r="BH25" i="7" s="1"/>
  <c r="BH26" i="7" s="1"/>
  <c r="BH27" i="7" s="1"/>
  <c r="BH28" i="7" s="1"/>
  <c r="BH29" i="7" s="1"/>
  <c r="BH30" i="7" s="1"/>
  <c r="BH31" i="7" s="1"/>
  <c r="BI2" i="6" s="1"/>
  <c r="KM22" i="7"/>
  <c r="KM23" i="7" s="1"/>
  <c r="KM24" i="7" s="1"/>
  <c r="KM25" i="7" s="1"/>
  <c r="KM26" i="7" s="1"/>
  <c r="KM27" i="7" s="1"/>
  <c r="KM28" i="7" s="1"/>
  <c r="KM29" i="7" s="1"/>
  <c r="KM30" i="7" s="1"/>
  <c r="KM31" i="7" s="1"/>
  <c r="KN2" i="6" s="1"/>
  <c r="YL21" i="7"/>
  <c r="YL22" i="7" s="1"/>
  <c r="YL23" i="7" s="1"/>
  <c r="YL24" i="7" s="1"/>
  <c r="YL25" i="7" s="1"/>
  <c r="YL26" i="7" s="1"/>
  <c r="YL27" i="7" s="1"/>
  <c r="YL28" i="7" s="1"/>
  <c r="YL29" i="7" s="1"/>
  <c r="YL30" i="7" s="1"/>
  <c r="YL31" i="7" s="1"/>
  <c r="YM2" i="6" s="1"/>
  <c r="ACE21" i="7"/>
  <c r="ACE22" i="7" s="1"/>
  <c r="ACE23" i="7" s="1"/>
  <c r="ACE24" i="7" s="1"/>
  <c r="ACE25" i="7" s="1"/>
  <c r="ACE26" i="7" s="1"/>
  <c r="ACE27" i="7" s="1"/>
  <c r="ACE28" i="7" s="1"/>
  <c r="ACE29" i="7" s="1"/>
  <c r="ACE30" i="7" s="1"/>
  <c r="ACE31" i="7" s="1"/>
  <c r="ACF2" i="6" s="1"/>
  <c r="BX21" i="7"/>
  <c r="BX22" i="7" s="1"/>
  <c r="BX23" i="7" s="1"/>
  <c r="BX24" i="7" s="1"/>
  <c r="BX25" i="7" s="1"/>
  <c r="BX26" i="7" s="1"/>
  <c r="BX27" i="7" s="1"/>
  <c r="BX28" i="7" s="1"/>
  <c r="BX29" i="7" s="1"/>
  <c r="BX30" i="7" s="1"/>
  <c r="BX31" i="7" s="1"/>
  <c r="BY2" i="6" s="1"/>
  <c r="CU21" i="7"/>
  <c r="CU22" i="7" s="1"/>
  <c r="CU23" i="7" s="1"/>
  <c r="CU24" i="7" s="1"/>
  <c r="CU25" i="7" s="1"/>
  <c r="CU26" i="7" s="1"/>
  <c r="CU27" i="7" s="1"/>
  <c r="CU28" i="7" s="1"/>
  <c r="CU29" i="7" s="1"/>
  <c r="CU30" i="7" s="1"/>
  <c r="CU31" i="7" s="1"/>
  <c r="CV2" i="6" s="1"/>
  <c r="VF22" i="7"/>
  <c r="VF23" i="7" s="1"/>
  <c r="VF24" i="7" s="1"/>
  <c r="VF25" i="7" s="1"/>
  <c r="VF26" i="7" s="1"/>
  <c r="VF27" i="7" s="1"/>
  <c r="VF28" i="7" s="1"/>
  <c r="VF29" i="7" s="1"/>
  <c r="VF30" i="7" s="1"/>
  <c r="VF31" i="7" s="1"/>
  <c r="VG2" i="6" s="1"/>
  <c r="PP22" i="7"/>
  <c r="PP23" i="7" s="1"/>
  <c r="PP24" i="7" s="1"/>
  <c r="PP25" i="7" s="1"/>
  <c r="PP26" i="7" s="1"/>
  <c r="PP27" i="7" s="1"/>
  <c r="PP28" i="7" s="1"/>
  <c r="PP29" i="7" s="1"/>
  <c r="PP30" i="7" s="1"/>
  <c r="PP31" i="7" s="1"/>
  <c r="PQ2" i="6" s="1"/>
  <c r="IP22" i="7"/>
  <c r="IP23" i="7" s="1"/>
  <c r="IP24" i="7" s="1"/>
  <c r="IP25" i="7" s="1"/>
  <c r="IP26" i="7" s="1"/>
  <c r="IP27" i="7" s="1"/>
  <c r="IP28" i="7" s="1"/>
  <c r="IP29" i="7" s="1"/>
  <c r="IP30" i="7" s="1"/>
  <c r="IP31" i="7" s="1"/>
  <c r="IQ2" i="6" s="1"/>
  <c r="ALL22" i="7"/>
  <c r="ALL23" i="7" s="1"/>
  <c r="ALL24" i="7" s="1"/>
  <c r="ALL25" i="7" s="1"/>
  <c r="ALL26" i="7" s="1"/>
  <c r="ALL27" i="7" s="1"/>
  <c r="ALL28" i="7" s="1"/>
  <c r="ALL29" i="7" s="1"/>
  <c r="ALL30" i="7" s="1"/>
  <c r="ALL31" i="7" s="1"/>
  <c r="ALM2" i="6" s="1"/>
  <c r="QH22" i="7"/>
  <c r="QH23" i="7" s="1"/>
  <c r="QH24" i="7" s="1"/>
  <c r="QH25" i="7" s="1"/>
  <c r="QH26" i="7" s="1"/>
  <c r="QH27" i="7" s="1"/>
  <c r="QH28" i="7" s="1"/>
  <c r="QH29" i="7" s="1"/>
  <c r="QH30" i="7" s="1"/>
  <c r="QH31" i="7" s="1"/>
  <c r="QI2" i="6" s="1"/>
  <c r="ABC21" i="7"/>
  <c r="ABC22" i="7" s="1"/>
  <c r="ABC23" i="7" s="1"/>
  <c r="ABC24" i="7" s="1"/>
  <c r="ABC25" i="7" s="1"/>
  <c r="ABC26" i="7" s="1"/>
  <c r="ABC27" i="7" s="1"/>
  <c r="ABC28" i="7" s="1"/>
  <c r="ABC29" i="7" s="1"/>
  <c r="ABC30" i="7" s="1"/>
  <c r="ABC31" i="7" s="1"/>
  <c r="ABD2" i="6" s="1"/>
  <c r="ACO23" i="7"/>
  <c r="ACO24" i="7" s="1"/>
  <c r="ACO25" i="7" s="1"/>
  <c r="ACO26" i="7" s="1"/>
  <c r="ACO27" i="7" s="1"/>
  <c r="ACO28" i="7" s="1"/>
  <c r="ACO29" i="7" s="1"/>
  <c r="ACO30" i="7" s="1"/>
  <c r="ACO31" i="7" s="1"/>
  <c r="ACP2" i="6" s="1"/>
  <c r="AJB22" i="7"/>
  <c r="AJB23" i="7" s="1"/>
  <c r="AJB24" i="7" s="1"/>
  <c r="AJB25" i="7" s="1"/>
  <c r="AJB26" i="7" s="1"/>
  <c r="AJB27" i="7" s="1"/>
  <c r="AJB28" i="7" s="1"/>
  <c r="AJB29" i="7" s="1"/>
  <c r="AJB30" i="7" s="1"/>
  <c r="AJB31" i="7" s="1"/>
  <c r="AJC2" i="6" s="1"/>
  <c r="VG23" i="7"/>
  <c r="VG24" i="7" s="1"/>
  <c r="VG25" i="7" s="1"/>
  <c r="VG26" i="7" s="1"/>
  <c r="VG27" i="7" s="1"/>
  <c r="VG28" i="7" s="1"/>
  <c r="VG29" i="7" s="1"/>
  <c r="VG30" i="7" s="1"/>
  <c r="VG31" i="7" s="1"/>
  <c r="VH2" i="6" s="1"/>
  <c r="ALF22" i="7"/>
  <c r="ALF23" i="7" s="1"/>
  <c r="ALF24" i="7" s="1"/>
  <c r="ALF25" i="7" s="1"/>
  <c r="ALF26" i="7" s="1"/>
  <c r="ALF27" i="7" s="1"/>
  <c r="ALF28" i="7" s="1"/>
  <c r="ALF29" i="7" s="1"/>
  <c r="ALF30" i="7" s="1"/>
  <c r="ALF31" i="7" s="1"/>
  <c r="ALG2" i="6" s="1"/>
  <c r="AHI21" i="7"/>
  <c r="AHI22" i="7" s="1"/>
  <c r="AHI23" i="7" s="1"/>
  <c r="AHI24" i="7" s="1"/>
  <c r="AHI25" i="7" s="1"/>
  <c r="AHI26" i="7" s="1"/>
  <c r="AHI27" i="7" s="1"/>
  <c r="AHI28" i="7" s="1"/>
  <c r="AHI29" i="7" s="1"/>
  <c r="AHI30" i="7" s="1"/>
  <c r="AHI31" i="7" s="1"/>
  <c r="AHJ2" i="6" s="1"/>
  <c r="AJH22" i="7"/>
  <c r="AJH23" i="7" s="1"/>
  <c r="AJH24" i="7" s="1"/>
  <c r="AJH25" i="7" s="1"/>
  <c r="AJH26" i="7" s="1"/>
  <c r="AJH27" i="7" s="1"/>
  <c r="AJH28" i="7" s="1"/>
  <c r="AJH29" i="7" s="1"/>
  <c r="AJH30" i="7" s="1"/>
  <c r="AJH31" i="7" s="1"/>
  <c r="AJI2" i="6" s="1"/>
  <c r="AHN23" i="7"/>
  <c r="AHN24" i="7" s="1"/>
  <c r="AHN25" i="7" s="1"/>
  <c r="AHN26" i="7" s="1"/>
  <c r="AHN27" i="7" s="1"/>
  <c r="AHN28" i="7" s="1"/>
  <c r="AHN29" i="7" s="1"/>
  <c r="AHN30" i="7" s="1"/>
  <c r="AHN31" i="7" s="1"/>
  <c r="AHO2" i="6" s="1"/>
  <c r="ADD22" i="7"/>
  <c r="ADD23" i="7" s="1"/>
  <c r="ADD24" i="7" s="1"/>
  <c r="ADD25" i="7" s="1"/>
  <c r="ADD26" i="7" s="1"/>
  <c r="ADD27" i="7" s="1"/>
  <c r="ADD28" i="7" s="1"/>
  <c r="ADD29" i="7" s="1"/>
  <c r="ADD30" i="7" s="1"/>
  <c r="ADD31" i="7" s="1"/>
  <c r="ADE2" i="6" s="1"/>
  <c r="ADR22" i="7"/>
  <c r="ADR23" i="7" s="1"/>
  <c r="ADR24" i="7" s="1"/>
  <c r="ADR25" i="7" s="1"/>
  <c r="ADR26" i="7" s="1"/>
  <c r="ADR27" i="7" s="1"/>
  <c r="ADR28" i="7" s="1"/>
  <c r="ADR29" i="7" s="1"/>
  <c r="ADR30" i="7" s="1"/>
  <c r="ADR31" i="7" s="1"/>
  <c r="ADS2" i="6" s="1"/>
  <c r="ALO22" i="7"/>
  <c r="ALO23" i="7" s="1"/>
  <c r="ALO24" i="7" s="1"/>
  <c r="ALO25" i="7" s="1"/>
  <c r="ALO26" i="7" s="1"/>
  <c r="ALO27" i="7" s="1"/>
  <c r="ALO28" i="7" s="1"/>
  <c r="ALO29" i="7" s="1"/>
  <c r="ALO30" i="7" s="1"/>
  <c r="ALO31" i="7" s="1"/>
  <c r="ALP2" i="6" s="1"/>
  <c r="AHL21" i="7"/>
  <c r="AHL22" i="7" s="1"/>
  <c r="AHL23" i="7" s="1"/>
  <c r="AHL24" i="7" s="1"/>
  <c r="AHL25" i="7" s="1"/>
  <c r="AHL26" i="7" s="1"/>
  <c r="AHL27" i="7" s="1"/>
  <c r="AHL28" i="7" s="1"/>
  <c r="AHL29" i="7" s="1"/>
  <c r="AHL30" i="7" s="1"/>
  <c r="AHL31" i="7" s="1"/>
  <c r="AHM2" i="6" s="1"/>
  <c r="WC22" i="7"/>
  <c r="WC23" i="7" s="1"/>
  <c r="WC24" i="7" s="1"/>
  <c r="WC25" i="7" s="1"/>
  <c r="WC26" i="7" s="1"/>
  <c r="WC27" i="7" s="1"/>
  <c r="WC28" i="7" s="1"/>
  <c r="WC29" i="7" s="1"/>
  <c r="WC30" i="7" s="1"/>
  <c r="WC31" i="7" s="1"/>
  <c r="WD2" i="6" s="1"/>
  <c r="AAM22" i="7"/>
  <c r="AAM23" i="7" s="1"/>
  <c r="AAM24" i="7" s="1"/>
  <c r="AAM25" i="7" s="1"/>
  <c r="AAM26" i="7" s="1"/>
  <c r="AAM27" i="7" s="1"/>
  <c r="AAM28" i="7" s="1"/>
  <c r="AAM29" i="7" s="1"/>
  <c r="AAM30" i="7" s="1"/>
  <c r="AAM31" i="7" s="1"/>
  <c r="AAN2" i="6" s="1"/>
  <c r="OF22" i="7"/>
  <c r="OF23" i="7" s="1"/>
  <c r="OF24" i="7" s="1"/>
  <c r="OF25" i="7" s="1"/>
  <c r="OF26" i="7" s="1"/>
  <c r="OF27" i="7" s="1"/>
  <c r="OF28" i="7" s="1"/>
  <c r="OF29" i="7" s="1"/>
  <c r="OF30" i="7" s="1"/>
  <c r="OF31" i="7" s="1"/>
  <c r="OG2" i="6" s="1"/>
  <c r="HL22" i="7"/>
  <c r="HL23" i="7" s="1"/>
  <c r="HL24" i="7" s="1"/>
  <c r="HL25" i="7" s="1"/>
  <c r="HL26" i="7" s="1"/>
  <c r="HL27" i="7" s="1"/>
  <c r="HL28" i="7" s="1"/>
  <c r="HL29" i="7" s="1"/>
  <c r="HL30" i="7" s="1"/>
  <c r="HL31" i="7" s="1"/>
  <c r="HM2" i="6" s="1"/>
  <c r="AGY22" i="7"/>
  <c r="AGY23" i="7" s="1"/>
  <c r="AGY24" i="7" s="1"/>
  <c r="AGY25" i="7" s="1"/>
  <c r="AGY26" i="7" s="1"/>
  <c r="AGY27" i="7" s="1"/>
  <c r="AGY28" i="7" s="1"/>
  <c r="AGY29" i="7" s="1"/>
  <c r="AGY30" i="7" s="1"/>
  <c r="AGY31" i="7" s="1"/>
  <c r="AGZ2" i="6" s="1"/>
  <c r="LL22" i="7"/>
  <c r="LL23" i="7" s="1"/>
  <c r="LL24" i="7" s="1"/>
  <c r="LL25" i="7" s="1"/>
  <c r="LL26" i="7" s="1"/>
  <c r="LL27" i="7" s="1"/>
  <c r="LL28" i="7" s="1"/>
  <c r="LL29" i="7" s="1"/>
  <c r="LL30" i="7" s="1"/>
  <c r="LL31" i="7" s="1"/>
  <c r="LM2" i="6" s="1"/>
  <c r="SK21" i="7"/>
  <c r="SK22" i="7" s="1"/>
  <c r="SK23" i="7" s="1"/>
  <c r="SK24" i="7" s="1"/>
  <c r="SK25" i="7" s="1"/>
  <c r="SK26" i="7" s="1"/>
  <c r="SK27" i="7" s="1"/>
  <c r="SK28" i="7" s="1"/>
  <c r="SK29" i="7" s="1"/>
  <c r="SK30" i="7" s="1"/>
  <c r="SK31" i="7" s="1"/>
  <c r="SL2" i="6" s="1"/>
  <c r="ZW22" i="7"/>
  <c r="ZW23" i="7" s="1"/>
  <c r="ZW24" i="7" s="1"/>
  <c r="ZW25" i="7" s="1"/>
  <c r="ZW26" i="7" s="1"/>
  <c r="ZW27" i="7" s="1"/>
  <c r="ZW28" i="7" s="1"/>
  <c r="ZW29" i="7" s="1"/>
  <c r="ZW30" i="7" s="1"/>
  <c r="ZW31" i="7" s="1"/>
  <c r="ZX2" i="6" s="1"/>
  <c r="BZ23" i="7"/>
  <c r="BZ24" i="7" s="1"/>
  <c r="BZ25" i="7" s="1"/>
  <c r="BZ26" i="7" s="1"/>
  <c r="BZ27" i="7" s="1"/>
  <c r="BZ28" i="7" s="1"/>
  <c r="BZ29" i="7" s="1"/>
  <c r="BZ30" i="7" s="1"/>
  <c r="BZ31" i="7" s="1"/>
  <c r="CA2" i="6" s="1"/>
  <c r="HH22" i="7"/>
  <c r="HH23" i="7" s="1"/>
  <c r="HH24" i="7" s="1"/>
  <c r="HH25" i="7" s="1"/>
  <c r="HH26" i="7" s="1"/>
  <c r="HH27" i="7" s="1"/>
  <c r="HH28" i="7" s="1"/>
  <c r="HH29" i="7" s="1"/>
  <c r="HH30" i="7" s="1"/>
  <c r="HH31" i="7" s="1"/>
  <c r="HI2" i="6" s="1"/>
  <c r="AIW21" i="7"/>
  <c r="AIW22" i="7" s="1"/>
  <c r="AIW23" i="7" s="1"/>
  <c r="AIW24" i="7" s="1"/>
  <c r="AIW25" i="7" s="1"/>
  <c r="AIW26" i="7" s="1"/>
  <c r="AIW27" i="7" s="1"/>
  <c r="AIW28" i="7" s="1"/>
  <c r="AIW29" i="7" s="1"/>
  <c r="AIW30" i="7" s="1"/>
  <c r="AIW31" i="7" s="1"/>
  <c r="AIX2" i="6" s="1"/>
  <c r="RU23" i="7"/>
  <c r="RU24" i="7" s="1"/>
  <c r="RU25" i="7" s="1"/>
  <c r="RU26" i="7" s="1"/>
  <c r="RU27" i="7" s="1"/>
  <c r="RU28" i="7" s="1"/>
  <c r="RU29" i="7" s="1"/>
  <c r="RU30" i="7" s="1"/>
  <c r="RU31" i="7" s="1"/>
  <c r="RV2" i="6" s="1"/>
  <c r="VT22" i="7"/>
  <c r="VT23" i="7" s="1"/>
  <c r="VT24" i="7" s="1"/>
  <c r="VT25" i="7" s="1"/>
  <c r="VT26" i="7" s="1"/>
  <c r="VT27" i="7" s="1"/>
  <c r="VT28" i="7" s="1"/>
  <c r="VT29" i="7" s="1"/>
  <c r="VT30" i="7" s="1"/>
  <c r="VT31" i="7" s="1"/>
  <c r="VU2" i="6" s="1"/>
  <c r="JZ21" i="7"/>
  <c r="JZ22" i="7" s="1"/>
  <c r="JZ23" i="7" s="1"/>
  <c r="JZ24" i="7" s="1"/>
  <c r="JZ25" i="7" s="1"/>
  <c r="JZ26" i="7" s="1"/>
  <c r="JZ27" i="7" s="1"/>
  <c r="JZ28" i="7" s="1"/>
  <c r="JZ29" i="7" s="1"/>
  <c r="JZ30" i="7" s="1"/>
  <c r="JZ31" i="7" s="1"/>
  <c r="KA2" i="6" s="1"/>
  <c r="FZ24" i="7"/>
  <c r="FZ25" i="7" s="1"/>
  <c r="FZ26" i="7" s="1"/>
  <c r="FZ27" i="7" s="1"/>
  <c r="FZ28" i="7" s="1"/>
  <c r="FZ29" i="7" s="1"/>
  <c r="FZ30" i="7" s="1"/>
  <c r="FZ31" i="7" s="1"/>
  <c r="GA2" i="6" s="1"/>
  <c r="QW22" i="7"/>
  <c r="QW23" i="7" s="1"/>
  <c r="QW24" i="7" s="1"/>
  <c r="QW25" i="7" s="1"/>
  <c r="QW26" i="7" s="1"/>
  <c r="QW27" i="7" s="1"/>
  <c r="QW28" i="7" s="1"/>
  <c r="QW29" i="7" s="1"/>
  <c r="QW30" i="7" s="1"/>
  <c r="QW31" i="7" s="1"/>
  <c r="QX2" i="6" s="1"/>
  <c r="ZA22" i="7"/>
  <c r="ZA23" i="7" s="1"/>
  <c r="ZA24" i="7" s="1"/>
  <c r="ZA25" i="7" s="1"/>
  <c r="ZA26" i="7" s="1"/>
  <c r="ZA27" i="7" s="1"/>
  <c r="ZA28" i="7" s="1"/>
  <c r="ZA29" i="7" s="1"/>
  <c r="ZA30" i="7" s="1"/>
  <c r="ZA31" i="7" s="1"/>
  <c r="ZB2" i="6" s="1"/>
  <c r="KB22" i="7"/>
  <c r="KB23" i="7" s="1"/>
  <c r="KB24" i="7" s="1"/>
  <c r="KB25" i="7" s="1"/>
  <c r="KB26" i="7" s="1"/>
  <c r="KB27" i="7" s="1"/>
  <c r="KB28" i="7" s="1"/>
  <c r="KB29" i="7" s="1"/>
  <c r="KB30" i="7" s="1"/>
  <c r="KB31" i="7" s="1"/>
  <c r="KC2" i="6" s="1"/>
  <c r="JU22" i="7"/>
  <c r="JU23" i="7" s="1"/>
  <c r="JU24" i="7" s="1"/>
  <c r="JU25" i="7" s="1"/>
  <c r="JU26" i="7" s="1"/>
  <c r="JU27" i="7" s="1"/>
  <c r="JU28" i="7" s="1"/>
  <c r="JU29" i="7" s="1"/>
  <c r="JU30" i="7" s="1"/>
  <c r="JU31" i="7" s="1"/>
  <c r="JV2" i="6" s="1"/>
  <c r="AAK22" i="7"/>
  <c r="AAK23" i="7" s="1"/>
  <c r="AAK24" i="7" s="1"/>
  <c r="AAK25" i="7" s="1"/>
  <c r="AAK26" i="7" s="1"/>
  <c r="AAK27" i="7" s="1"/>
  <c r="AAK28" i="7" s="1"/>
  <c r="AAK29" i="7" s="1"/>
  <c r="AAK30" i="7" s="1"/>
  <c r="AAK31" i="7" s="1"/>
  <c r="AAL2" i="6" s="1"/>
  <c r="TT23" i="7"/>
  <c r="TT24" i="7" s="1"/>
  <c r="TT25" i="7" s="1"/>
  <c r="TT26" i="7" s="1"/>
  <c r="TT27" i="7" s="1"/>
  <c r="TT28" i="7" s="1"/>
  <c r="TT29" i="7" s="1"/>
  <c r="TT30" i="7" s="1"/>
  <c r="TT31" i="7" s="1"/>
  <c r="TU2" i="6" s="1"/>
  <c r="ABO21" i="7"/>
  <c r="ABO22" i="7" s="1"/>
  <c r="ABO23" i="7" s="1"/>
  <c r="ABO24" i="7" s="1"/>
  <c r="ABO25" i="7" s="1"/>
  <c r="ABO26" i="7" s="1"/>
  <c r="ABO27" i="7" s="1"/>
  <c r="ABO28" i="7" s="1"/>
  <c r="ABO29" i="7" s="1"/>
  <c r="ABO30" i="7" s="1"/>
  <c r="ABO31" i="7" s="1"/>
  <c r="ABP2" i="6" s="1"/>
  <c r="FF21" i="7"/>
  <c r="FF22" i="7" s="1"/>
  <c r="FF23" i="7" s="1"/>
  <c r="FF24" i="7" s="1"/>
  <c r="FF25" i="7" s="1"/>
  <c r="FF26" i="7" s="1"/>
  <c r="FF27" i="7" s="1"/>
  <c r="FF28" i="7" s="1"/>
  <c r="FF29" i="7" s="1"/>
  <c r="FF30" i="7" s="1"/>
  <c r="FF31" i="7" s="1"/>
  <c r="FG2" i="6" s="1"/>
  <c r="VD21" i="7"/>
  <c r="VD22" i="7" s="1"/>
  <c r="VD23" i="7" s="1"/>
  <c r="VD24" i="7" s="1"/>
  <c r="VD25" i="7" s="1"/>
  <c r="VD26" i="7" s="1"/>
  <c r="VD27" i="7" s="1"/>
  <c r="VD28" i="7" s="1"/>
  <c r="VD29" i="7" s="1"/>
  <c r="VD30" i="7" s="1"/>
  <c r="VD31" i="7" s="1"/>
  <c r="VE2" i="6" s="1"/>
  <c r="AHJ22" i="7"/>
  <c r="AHJ23" i="7" s="1"/>
  <c r="AHJ24" i="7" s="1"/>
  <c r="AHJ25" i="7" s="1"/>
  <c r="AHJ26" i="7" s="1"/>
  <c r="AHJ27" i="7" s="1"/>
  <c r="AHJ28" i="7" s="1"/>
  <c r="AHJ29" i="7" s="1"/>
  <c r="AHJ30" i="7" s="1"/>
  <c r="AHJ31" i="7" s="1"/>
  <c r="AHK2" i="6" s="1"/>
  <c r="AFC22" i="7"/>
  <c r="AFC23" i="7" s="1"/>
  <c r="AFC24" i="7" s="1"/>
  <c r="AFC25" i="7" s="1"/>
  <c r="AFC26" i="7" s="1"/>
  <c r="AFC27" i="7" s="1"/>
  <c r="AFC28" i="7" s="1"/>
  <c r="AFC29" i="7" s="1"/>
  <c r="AFC30" i="7" s="1"/>
  <c r="AFC31" i="7" s="1"/>
  <c r="AFD2" i="6" s="1"/>
  <c r="ADM21" i="7"/>
  <c r="ADM22" i="7" s="1"/>
  <c r="ADM23" i="7" s="1"/>
  <c r="ADM24" i="7" s="1"/>
  <c r="ADM25" i="7" s="1"/>
  <c r="ADM26" i="7" s="1"/>
  <c r="ADM27" i="7" s="1"/>
  <c r="ADM28" i="7" s="1"/>
  <c r="ADM29" i="7" s="1"/>
  <c r="ADM30" i="7" s="1"/>
  <c r="ADM31" i="7" s="1"/>
  <c r="ADN2" i="6" s="1"/>
  <c r="SU21" i="7"/>
  <c r="SU22" i="7" s="1"/>
  <c r="SU23" i="7" s="1"/>
  <c r="SU24" i="7" s="1"/>
  <c r="SU25" i="7" s="1"/>
  <c r="SU26" i="7" s="1"/>
  <c r="SU27" i="7" s="1"/>
  <c r="SU28" i="7" s="1"/>
  <c r="SU29" i="7" s="1"/>
  <c r="SU30" i="7" s="1"/>
  <c r="SU31" i="7" s="1"/>
  <c r="SV2" i="6" s="1"/>
  <c r="ML22" i="7"/>
  <c r="ML23" i="7" s="1"/>
  <c r="ML24" i="7" s="1"/>
  <c r="ML25" i="7" s="1"/>
  <c r="ML26" i="7" s="1"/>
  <c r="ML27" i="7" s="1"/>
  <c r="ML28" i="7" s="1"/>
  <c r="ML29" i="7" s="1"/>
  <c r="ML30" i="7" s="1"/>
  <c r="ML31" i="7" s="1"/>
  <c r="MM2" i="6" s="1"/>
  <c r="CS23" i="7"/>
  <c r="CS24" i="7" s="1"/>
  <c r="CS25" i="7" s="1"/>
  <c r="CS26" i="7" s="1"/>
  <c r="CS27" i="7" s="1"/>
  <c r="CS28" i="7" s="1"/>
  <c r="CS29" i="7" s="1"/>
  <c r="CS30" i="7" s="1"/>
  <c r="CS31" i="7" s="1"/>
  <c r="CT2" i="6" s="1"/>
  <c r="DH22" i="7"/>
  <c r="DH23" i="7" s="1"/>
  <c r="DH24" i="7" s="1"/>
  <c r="DH25" i="7" s="1"/>
  <c r="DH26" i="7" s="1"/>
  <c r="DH27" i="7" s="1"/>
  <c r="DH28" i="7" s="1"/>
  <c r="DH29" i="7" s="1"/>
  <c r="DH30" i="7" s="1"/>
  <c r="DH31" i="7" s="1"/>
  <c r="DI2" i="6" s="1"/>
  <c r="XN24" i="7"/>
  <c r="XN25" i="7" s="1"/>
  <c r="XN26" i="7" s="1"/>
  <c r="XN27" i="7" s="1"/>
  <c r="XN28" i="7" s="1"/>
  <c r="XN29" i="7" s="1"/>
  <c r="XN30" i="7" s="1"/>
  <c r="XN31" i="7" s="1"/>
  <c r="XO2" i="6" s="1"/>
  <c r="XR22" i="7"/>
  <c r="XR23" i="7" s="1"/>
  <c r="XR24" i="7" s="1"/>
  <c r="XR25" i="7" s="1"/>
  <c r="XR26" i="7" s="1"/>
  <c r="XR27" i="7" s="1"/>
  <c r="XR28" i="7" s="1"/>
  <c r="XR29" i="7" s="1"/>
  <c r="XR30" i="7" s="1"/>
  <c r="XR31" i="7" s="1"/>
  <c r="XS2" i="6" s="1"/>
  <c r="U22" i="7"/>
  <c r="U23" i="7" s="1"/>
  <c r="U24" i="7" s="1"/>
  <c r="U25" i="7" s="1"/>
  <c r="U26" i="7" s="1"/>
  <c r="U27" i="7" s="1"/>
  <c r="U28" i="7" s="1"/>
  <c r="U29" i="7" s="1"/>
  <c r="U30" i="7" s="1"/>
  <c r="U31" i="7" s="1"/>
  <c r="V2" i="6" s="1"/>
  <c r="HM22" i="7"/>
  <c r="HM23" i="7" s="1"/>
  <c r="HM24" i="7" s="1"/>
  <c r="HM25" i="7" s="1"/>
  <c r="HM26" i="7" s="1"/>
  <c r="HM27" i="7" s="1"/>
  <c r="HM28" i="7" s="1"/>
  <c r="HM29" i="7" s="1"/>
  <c r="HM30" i="7" s="1"/>
  <c r="HM31" i="7" s="1"/>
  <c r="HN2" i="6" s="1"/>
  <c r="ZF22" i="7"/>
  <c r="ZF23" i="7" s="1"/>
  <c r="ZF24" i="7" s="1"/>
  <c r="ZF25" i="7" s="1"/>
  <c r="ZF26" i="7" s="1"/>
  <c r="ZF27" i="7" s="1"/>
  <c r="ZF28" i="7" s="1"/>
  <c r="ZF29" i="7" s="1"/>
  <c r="ZF30" i="7" s="1"/>
  <c r="ZF31" i="7" s="1"/>
  <c r="ZG2" i="6" s="1"/>
  <c r="CH22" i="7"/>
  <c r="CH23" i="7" s="1"/>
  <c r="CH24" i="7" s="1"/>
  <c r="CH25" i="7" s="1"/>
  <c r="CH26" i="7" s="1"/>
  <c r="CH27" i="7" s="1"/>
  <c r="CH28" i="7" s="1"/>
  <c r="CH29" i="7" s="1"/>
  <c r="CH30" i="7" s="1"/>
  <c r="CH31" i="7" s="1"/>
  <c r="CI2" i="6" s="1"/>
  <c r="UZ22" i="7"/>
  <c r="UZ23" i="7" s="1"/>
  <c r="UZ24" i="7" s="1"/>
  <c r="UZ25" i="7" s="1"/>
  <c r="UZ26" i="7" s="1"/>
  <c r="UZ27" i="7" s="1"/>
  <c r="UZ28" i="7" s="1"/>
  <c r="UZ29" i="7" s="1"/>
  <c r="UZ30" i="7" s="1"/>
  <c r="UZ31" i="7" s="1"/>
  <c r="VA2" i="6" s="1"/>
  <c r="GQ23" i="7"/>
  <c r="GQ24" i="7" s="1"/>
  <c r="GQ25" i="7" s="1"/>
  <c r="GQ26" i="7" s="1"/>
  <c r="GQ27" i="7" s="1"/>
  <c r="GQ28" i="7" s="1"/>
  <c r="GQ29" i="7" s="1"/>
  <c r="GQ30" i="7" s="1"/>
  <c r="GQ31" i="7" s="1"/>
  <c r="GR2" i="6" s="1"/>
  <c r="AIQ21" i="7"/>
  <c r="AIQ22" i="7" s="1"/>
  <c r="AIQ23" i="7" s="1"/>
  <c r="AIQ24" i="7" s="1"/>
  <c r="AIQ25" i="7" s="1"/>
  <c r="AIQ26" i="7" s="1"/>
  <c r="AIQ27" i="7" s="1"/>
  <c r="AIQ28" i="7" s="1"/>
  <c r="AIQ29" i="7" s="1"/>
  <c r="AIQ30" i="7" s="1"/>
  <c r="AIQ31" i="7" s="1"/>
  <c r="AIR2" i="6" s="1"/>
  <c r="ADW21" i="7"/>
  <c r="ADW22" i="7" s="1"/>
  <c r="ADW23" i="7" s="1"/>
  <c r="ADW24" i="7" s="1"/>
  <c r="ADW25" i="7" s="1"/>
  <c r="ADW26" i="7" s="1"/>
  <c r="ADW27" i="7" s="1"/>
  <c r="ADW28" i="7" s="1"/>
  <c r="ADW29" i="7" s="1"/>
  <c r="ADW30" i="7" s="1"/>
  <c r="ADW31" i="7" s="1"/>
  <c r="ADX2" i="6" s="1"/>
  <c r="ALP21" i="7"/>
  <c r="ALP22" i="7" s="1"/>
  <c r="ALP23" i="7" s="1"/>
  <c r="ALP24" i="7" s="1"/>
  <c r="ALP25" i="7" s="1"/>
  <c r="ALP26" i="7" s="1"/>
  <c r="ALP27" i="7" s="1"/>
  <c r="ALP28" i="7" s="1"/>
  <c r="ALP29" i="7" s="1"/>
  <c r="ALP30" i="7" s="1"/>
  <c r="ALP31" i="7" s="1"/>
  <c r="ALQ2" i="6" s="1"/>
  <c r="AKT21" i="7"/>
  <c r="AKT22" i="7" s="1"/>
  <c r="AKT23" i="7" s="1"/>
  <c r="AKT24" i="7" s="1"/>
  <c r="AKT25" i="7" s="1"/>
  <c r="AKT26" i="7" s="1"/>
  <c r="AKT27" i="7" s="1"/>
  <c r="AKT28" i="7" s="1"/>
  <c r="AKT29" i="7" s="1"/>
  <c r="AKT30" i="7" s="1"/>
  <c r="AKT31" i="7" s="1"/>
  <c r="AKU2" i="6" s="1"/>
  <c r="ACB21" i="7"/>
  <c r="ACB22" i="7" s="1"/>
  <c r="ACB23" i="7" s="1"/>
  <c r="ACB24" i="7" s="1"/>
  <c r="ACB25" i="7" s="1"/>
  <c r="ACB26" i="7" s="1"/>
  <c r="ACB27" i="7" s="1"/>
  <c r="ACB28" i="7" s="1"/>
  <c r="ACB29" i="7" s="1"/>
  <c r="ACB30" i="7" s="1"/>
  <c r="ACB31" i="7" s="1"/>
  <c r="ACC2" i="6" s="1"/>
  <c r="AJA21" i="7"/>
  <c r="AJA22" i="7" s="1"/>
  <c r="AJA23" i="7" s="1"/>
  <c r="AJA24" i="7" s="1"/>
  <c r="AJA25" i="7" s="1"/>
  <c r="AJA26" i="7" s="1"/>
  <c r="AJA27" i="7" s="1"/>
  <c r="AJA28" i="7" s="1"/>
  <c r="AJA29" i="7" s="1"/>
  <c r="AJA30" i="7" s="1"/>
  <c r="AJA31" i="7" s="1"/>
  <c r="AJB2" i="6" s="1"/>
  <c r="AFL21" i="7"/>
  <c r="AFL22" i="7" s="1"/>
  <c r="AFL23" i="7" s="1"/>
  <c r="AFL24" i="7" s="1"/>
  <c r="AFL25" i="7" s="1"/>
  <c r="AFL26" i="7" s="1"/>
  <c r="AFL27" i="7" s="1"/>
  <c r="AFL28" i="7" s="1"/>
  <c r="AFL29" i="7" s="1"/>
  <c r="AFL30" i="7" s="1"/>
  <c r="AFL31" i="7" s="1"/>
  <c r="AFM2" i="6" s="1"/>
  <c r="ZE21" i="7"/>
  <c r="ZE22" i="7" s="1"/>
  <c r="ZE23" i="7" s="1"/>
  <c r="ZE24" i="7" s="1"/>
  <c r="ZE25" i="7" s="1"/>
  <c r="ZE26" i="7" s="1"/>
  <c r="ZE27" i="7" s="1"/>
  <c r="ZE28" i="7" s="1"/>
  <c r="ZE29" i="7" s="1"/>
  <c r="ZE30" i="7" s="1"/>
  <c r="ZE31" i="7" s="1"/>
  <c r="ZF2" i="6" s="1"/>
  <c r="XD23" i="7"/>
  <c r="XD24" i="7" s="1"/>
  <c r="XD25" i="7" s="1"/>
  <c r="XD26" i="7" s="1"/>
  <c r="XD27" i="7" s="1"/>
  <c r="XD28" i="7" s="1"/>
  <c r="XD29" i="7" s="1"/>
  <c r="XD30" i="7" s="1"/>
  <c r="XD31" i="7" s="1"/>
  <c r="XE2" i="6" s="1"/>
  <c r="MG21" i="7"/>
  <c r="MG22" i="7" s="1"/>
  <c r="MG23" i="7" s="1"/>
  <c r="MG24" i="7" s="1"/>
  <c r="MG25" i="7" s="1"/>
  <c r="MG26" i="7" s="1"/>
  <c r="MG27" i="7" s="1"/>
  <c r="MG28" i="7" s="1"/>
  <c r="MG29" i="7" s="1"/>
  <c r="MG30" i="7" s="1"/>
  <c r="MG31" i="7" s="1"/>
  <c r="MH2" i="6" s="1"/>
  <c r="ABM21" i="7"/>
  <c r="ABM22" i="7" s="1"/>
  <c r="ABM23" i="7" s="1"/>
  <c r="ABM24" i="7" s="1"/>
  <c r="ABM25" i="7" s="1"/>
  <c r="ABM26" i="7" s="1"/>
  <c r="ABM27" i="7" s="1"/>
  <c r="ABM28" i="7" s="1"/>
  <c r="ABM29" i="7" s="1"/>
  <c r="ABM30" i="7" s="1"/>
  <c r="ABM31" i="7" s="1"/>
  <c r="ABN2" i="6" s="1"/>
  <c r="AT21" i="7"/>
  <c r="AT22" i="7" s="1"/>
  <c r="AT23" i="7" s="1"/>
  <c r="AT24" i="7" s="1"/>
  <c r="AT25" i="7" s="1"/>
  <c r="AT26" i="7" s="1"/>
  <c r="AT27" i="7" s="1"/>
  <c r="AT28" i="7" s="1"/>
  <c r="AT29" i="7" s="1"/>
  <c r="AT30" i="7" s="1"/>
  <c r="AT31" i="7" s="1"/>
  <c r="AU2" i="6" s="1"/>
  <c r="GJ21" i="7"/>
  <c r="GJ22" i="7" s="1"/>
  <c r="GJ23" i="7" s="1"/>
  <c r="GJ24" i="7" s="1"/>
  <c r="GJ25" i="7" s="1"/>
  <c r="GJ26" i="7" s="1"/>
  <c r="GJ27" i="7" s="1"/>
  <c r="GJ28" i="7" s="1"/>
  <c r="GJ29" i="7" s="1"/>
  <c r="GJ30" i="7" s="1"/>
  <c r="GJ31" i="7" s="1"/>
  <c r="GK2" i="6" s="1"/>
  <c r="AFY21" i="7"/>
  <c r="AFY22" i="7" s="1"/>
  <c r="AFY23" i="7" s="1"/>
  <c r="AFY24" i="7" s="1"/>
  <c r="AFY25" i="7" s="1"/>
  <c r="AFY26" i="7" s="1"/>
  <c r="AFY27" i="7" s="1"/>
  <c r="AFY28" i="7" s="1"/>
  <c r="AFY29" i="7" s="1"/>
  <c r="AFY30" i="7" s="1"/>
  <c r="AFY31" i="7" s="1"/>
  <c r="AFZ2" i="6" s="1"/>
  <c r="NV21" i="7"/>
  <c r="NV22" i="7" s="1"/>
  <c r="NV23" i="7" s="1"/>
  <c r="NV24" i="7" s="1"/>
  <c r="NV25" i="7" s="1"/>
  <c r="NV26" i="7" s="1"/>
  <c r="NV27" i="7" s="1"/>
  <c r="NV28" i="7" s="1"/>
  <c r="NV29" i="7" s="1"/>
  <c r="NV30" i="7" s="1"/>
  <c r="NV31" i="7" s="1"/>
  <c r="NW2" i="6" s="1"/>
  <c r="HN21" i="7"/>
  <c r="HN22" i="7" s="1"/>
  <c r="HN23" i="7" s="1"/>
  <c r="HN24" i="7" s="1"/>
  <c r="HN25" i="7" s="1"/>
  <c r="HN26" i="7" s="1"/>
  <c r="HN27" i="7" s="1"/>
  <c r="HN28" i="7" s="1"/>
  <c r="HN29" i="7" s="1"/>
  <c r="HN30" i="7" s="1"/>
  <c r="HN31" i="7" s="1"/>
  <c r="HO2" i="6" s="1"/>
  <c r="FG21" i="7"/>
  <c r="FG22" i="7" s="1"/>
  <c r="FG23" i="7" s="1"/>
  <c r="FG24" i="7" s="1"/>
  <c r="FG25" i="7" s="1"/>
  <c r="FG26" i="7" s="1"/>
  <c r="FG27" i="7" s="1"/>
  <c r="FG28" i="7" s="1"/>
  <c r="FG29" i="7" s="1"/>
  <c r="FG30" i="7" s="1"/>
  <c r="FG31" i="7" s="1"/>
  <c r="FH2" i="6" s="1"/>
  <c r="MS21" i="7"/>
  <c r="MS22" i="7" s="1"/>
  <c r="MS23" i="7" s="1"/>
  <c r="MS24" i="7" s="1"/>
  <c r="MS25" i="7" s="1"/>
  <c r="MS26" i="7" s="1"/>
  <c r="MS27" i="7" s="1"/>
  <c r="MS28" i="7" s="1"/>
  <c r="MS29" i="7" s="1"/>
  <c r="MS30" i="7" s="1"/>
  <c r="MS31" i="7" s="1"/>
  <c r="MT2" i="6" s="1"/>
  <c r="DV21" i="7"/>
  <c r="DV22" i="7" s="1"/>
  <c r="DV23" i="7" s="1"/>
  <c r="DV24" i="7" s="1"/>
  <c r="DV25" i="7" s="1"/>
  <c r="DV26" i="7" s="1"/>
  <c r="DV27" i="7" s="1"/>
  <c r="DV28" i="7" s="1"/>
  <c r="DV29" i="7" s="1"/>
  <c r="DV30" i="7" s="1"/>
  <c r="DV31" i="7" s="1"/>
  <c r="DW2" i="6" s="1"/>
  <c r="WE21" i="7"/>
  <c r="WE22" i="7" s="1"/>
  <c r="WE23" i="7" s="1"/>
  <c r="WE24" i="7" s="1"/>
  <c r="WE25" i="7" s="1"/>
  <c r="WE26" i="7" s="1"/>
  <c r="WE27" i="7" s="1"/>
  <c r="WE28" i="7" s="1"/>
  <c r="WE29" i="7" s="1"/>
  <c r="WE30" i="7" s="1"/>
  <c r="WE31" i="7" s="1"/>
  <c r="WF2" i="6" s="1"/>
  <c r="BT22" i="7"/>
  <c r="BT23" i="7" s="1"/>
  <c r="BT24" i="7" s="1"/>
  <c r="BT25" i="7" s="1"/>
  <c r="BT26" i="7" s="1"/>
  <c r="BT27" i="7" s="1"/>
  <c r="BT28" i="7" s="1"/>
  <c r="BT29" i="7" s="1"/>
  <c r="BT30" i="7" s="1"/>
  <c r="BT31" i="7" s="1"/>
  <c r="BU2" i="6" s="1"/>
  <c r="CB21" i="7"/>
  <c r="CB22" i="7" s="1"/>
  <c r="CB23" i="7" s="1"/>
  <c r="CB24" i="7" s="1"/>
  <c r="CB25" i="7" s="1"/>
  <c r="CB26" i="7" s="1"/>
  <c r="CB27" i="7" s="1"/>
  <c r="CB28" i="7" s="1"/>
  <c r="CB29" i="7" s="1"/>
  <c r="CB30" i="7" s="1"/>
  <c r="CB31" i="7" s="1"/>
  <c r="CC2" i="6" s="1"/>
  <c r="KN21" i="7"/>
  <c r="KN22" i="7" s="1"/>
  <c r="KN23" i="7" s="1"/>
  <c r="KN24" i="7" s="1"/>
  <c r="KN25" i="7" s="1"/>
  <c r="KN26" i="7" s="1"/>
  <c r="KN27" i="7" s="1"/>
  <c r="KN28" i="7" s="1"/>
  <c r="KN29" i="7" s="1"/>
  <c r="KN30" i="7" s="1"/>
  <c r="KN31" i="7" s="1"/>
  <c r="KO2" i="6" s="1"/>
  <c r="TF22" i="7"/>
  <c r="TF23" i="7" s="1"/>
  <c r="TF24" i="7" s="1"/>
  <c r="TF25" i="7" s="1"/>
  <c r="TF26" i="7" s="1"/>
  <c r="TF27" i="7" s="1"/>
  <c r="TF28" i="7" s="1"/>
  <c r="TF29" i="7" s="1"/>
  <c r="TF30" i="7" s="1"/>
  <c r="TF31" i="7" s="1"/>
  <c r="TG2" i="6" s="1"/>
  <c r="OP22" i="7"/>
  <c r="OP23" i="7" s="1"/>
  <c r="OP24" i="7" s="1"/>
  <c r="OP25" i="7" s="1"/>
  <c r="OP26" i="7" s="1"/>
  <c r="OP27" i="7" s="1"/>
  <c r="OP28" i="7" s="1"/>
  <c r="OP29" i="7" s="1"/>
  <c r="OP30" i="7" s="1"/>
  <c r="OP31" i="7" s="1"/>
  <c r="OQ2" i="6" s="1"/>
  <c r="VQ21" i="7"/>
  <c r="VQ22" i="7" s="1"/>
  <c r="VQ23" i="7" s="1"/>
  <c r="VQ24" i="7" s="1"/>
  <c r="VQ25" i="7" s="1"/>
  <c r="VQ26" i="7" s="1"/>
  <c r="VQ27" i="7" s="1"/>
  <c r="VQ28" i="7" s="1"/>
  <c r="VQ29" i="7" s="1"/>
  <c r="VQ30" i="7" s="1"/>
  <c r="VQ31" i="7" s="1"/>
  <c r="VR2" i="6" s="1"/>
  <c r="FE22" i="7"/>
  <c r="FE23" i="7" s="1"/>
  <c r="FE24" i="7" s="1"/>
  <c r="FE25" i="7" s="1"/>
  <c r="FE26" i="7" s="1"/>
  <c r="FE27" i="7" s="1"/>
  <c r="FE28" i="7" s="1"/>
  <c r="FE29" i="7" s="1"/>
  <c r="FE30" i="7" s="1"/>
  <c r="FE31" i="7" s="1"/>
  <c r="FF2" i="6" s="1"/>
  <c r="AKB21" i="7"/>
  <c r="AKB22" i="7" s="1"/>
  <c r="AKB23" i="7" s="1"/>
  <c r="AKB24" i="7" s="1"/>
  <c r="AKB25" i="7" s="1"/>
  <c r="AKB26" i="7" s="1"/>
  <c r="AKB27" i="7" s="1"/>
  <c r="AKB28" i="7" s="1"/>
  <c r="AKB29" i="7" s="1"/>
  <c r="AKB30" i="7" s="1"/>
  <c r="AKB31" i="7" s="1"/>
  <c r="AKC2" i="6" s="1"/>
  <c r="KH22" i="7"/>
  <c r="KH23" i="7" s="1"/>
  <c r="KH24" i="7" s="1"/>
  <c r="KH25" i="7" s="1"/>
  <c r="KH26" i="7" s="1"/>
  <c r="KH27" i="7" s="1"/>
  <c r="KH28" i="7" s="1"/>
  <c r="KH29" i="7" s="1"/>
  <c r="KH30" i="7" s="1"/>
  <c r="KH31" i="7" s="1"/>
  <c r="KI2" i="6" s="1"/>
  <c r="WQ22" i="7"/>
  <c r="WQ23" i="7" s="1"/>
  <c r="WQ24" i="7" s="1"/>
  <c r="WQ25" i="7" s="1"/>
  <c r="WQ26" i="7" s="1"/>
  <c r="WQ27" i="7" s="1"/>
  <c r="WQ28" i="7" s="1"/>
  <c r="WQ29" i="7" s="1"/>
  <c r="WQ30" i="7" s="1"/>
  <c r="WQ31" i="7" s="1"/>
  <c r="WR2" i="6" s="1"/>
  <c r="BE22" i="7"/>
  <c r="BE23" i="7" s="1"/>
  <c r="BE24" i="7" s="1"/>
  <c r="BE25" i="7" s="1"/>
  <c r="BE26" i="7" s="1"/>
  <c r="BE27" i="7" s="1"/>
  <c r="BE28" i="7" s="1"/>
  <c r="BE29" i="7" s="1"/>
  <c r="BE30" i="7" s="1"/>
  <c r="BE31" i="7" s="1"/>
  <c r="BF2" i="6" s="1"/>
  <c r="AHW21" i="7"/>
  <c r="AHW22" i="7" s="1"/>
  <c r="AHW23" i="7" s="1"/>
  <c r="AHW24" i="7" s="1"/>
  <c r="AHW25" i="7" s="1"/>
  <c r="AHW26" i="7" s="1"/>
  <c r="AHW27" i="7" s="1"/>
  <c r="AHW28" i="7" s="1"/>
  <c r="AHW29" i="7" s="1"/>
  <c r="AHW30" i="7" s="1"/>
  <c r="AHW31" i="7" s="1"/>
  <c r="AHX2" i="6" s="1"/>
  <c r="YM22" i="7"/>
  <c r="YM23" i="7" s="1"/>
  <c r="YM24" i="7" s="1"/>
  <c r="YM25" i="7" s="1"/>
  <c r="YM26" i="7" s="1"/>
  <c r="YM27" i="7" s="1"/>
  <c r="YM28" i="7" s="1"/>
  <c r="YM29" i="7" s="1"/>
  <c r="YM30" i="7" s="1"/>
  <c r="YM31" i="7" s="1"/>
  <c r="YN2" i="6" s="1"/>
  <c r="NQ21" i="7"/>
  <c r="NQ22" i="7" s="1"/>
  <c r="NQ23" i="7" s="1"/>
  <c r="NQ24" i="7" s="1"/>
  <c r="NQ25" i="7" s="1"/>
  <c r="NQ26" i="7" s="1"/>
  <c r="NQ27" i="7" s="1"/>
  <c r="NQ28" i="7" s="1"/>
  <c r="NQ29" i="7" s="1"/>
  <c r="NQ30" i="7" s="1"/>
  <c r="NQ31" i="7" s="1"/>
  <c r="NR2" i="6" s="1"/>
  <c r="XQ22" i="7"/>
  <c r="XQ23" i="7" s="1"/>
  <c r="XQ24" i="7" s="1"/>
  <c r="XQ25" i="7" s="1"/>
  <c r="XQ26" i="7" s="1"/>
  <c r="XQ27" i="7" s="1"/>
  <c r="XQ28" i="7" s="1"/>
  <c r="XQ29" i="7" s="1"/>
  <c r="XQ30" i="7" s="1"/>
  <c r="XQ31" i="7" s="1"/>
  <c r="XR2" i="6" s="1"/>
  <c r="AFM21" i="7"/>
  <c r="AFM22" i="7" s="1"/>
  <c r="AFM23" i="7" s="1"/>
  <c r="AFM24" i="7" s="1"/>
  <c r="AFM25" i="7" s="1"/>
  <c r="AFM26" i="7" s="1"/>
  <c r="AFM27" i="7" s="1"/>
  <c r="AFM28" i="7" s="1"/>
  <c r="AFM29" i="7" s="1"/>
  <c r="AFM30" i="7" s="1"/>
  <c r="AFM31" i="7" s="1"/>
  <c r="AFN2" i="6" s="1"/>
  <c r="ABJ21" i="7"/>
  <c r="ABJ22" i="7" s="1"/>
  <c r="ABJ23" i="7" s="1"/>
  <c r="ABJ24" i="7" s="1"/>
  <c r="ABJ25" i="7" s="1"/>
  <c r="ABJ26" i="7" s="1"/>
  <c r="ABJ27" i="7" s="1"/>
  <c r="ABJ28" i="7" s="1"/>
  <c r="ABJ29" i="7" s="1"/>
  <c r="ABJ30" i="7" s="1"/>
  <c r="ABJ31" i="7" s="1"/>
  <c r="ABK2" i="6" s="1"/>
  <c r="QI22" i="7"/>
  <c r="QI23" i="7" s="1"/>
  <c r="QI24" i="7" s="1"/>
  <c r="QI25" i="7" s="1"/>
  <c r="QI26" i="7" s="1"/>
  <c r="QI27" i="7" s="1"/>
  <c r="QI28" i="7" s="1"/>
  <c r="QI29" i="7" s="1"/>
  <c r="QI30" i="7" s="1"/>
  <c r="QI31" i="7" s="1"/>
  <c r="QJ2" i="6" s="1"/>
  <c r="YW21" i="7"/>
  <c r="YW22" i="7" s="1"/>
  <c r="YW23" i="7" s="1"/>
  <c r="YW24" i="7" s="1"/>
  <c r="YW25" i="7" s="1"/>
  <c r="YW26" i="7" s="1"/>
  <c r="YW27" i="7" s="1"/>
  <c r="YW28" i="7" s="1"/>
  <c r="YW29" i="7" s="1"/>
  <c r="YW30" i="7" s="1"/>
  <c r="YW31" i="7" s="1"/>
  <c r="YX2" i="6" s="1"/>
  <c r="AIE21" i="7"/>
  <c r="AIE22" i="7" s="1"/>
  <c r="AIE23" i="7" s="1"/>
  <c r="AIE24" i="7" s="1"/>
  <c r="AIE25" i="7" s="1"/>
  <c r="AIE26" i="7" s="1"/>
  <c r="AIE27" i="7" s="1"/>
  <c r="AIE28" i="7" s="1"/>
  <c r="AIE29" i="7" s="1"/>
  <c r="AIE30" i="7" s="1"/>
  <c r="AIE31" i="7" s="1"/>
  <c r="AIF2" i="6" s="1"/>
  <c r="DN22" i="7"/>
  <c r="DN23" i="7" s="1"/>
  <c r="DN24" i="7" s="1"/>
  <c r="DN25" i="7" s="1"/>
  <c r="DN26" i="7" s="1"/>
  <c r="DN27" i="7" s="1"/>
  <c r="DN28" i="7" s="1"/>
  <c r="DN29" i="7" s="1"/>
  <c r="DN30" i="7" s="1"/>
  <c r="DN31" i="7" s="1"/>
  <c r="DO2" i="6" s="1"/>
  <c r="EL21" i="7"/>
  <c r="EL22" i="7" s="1"/>
  <c r="EL23" i="7" s="1"/>
  <c r="EL24" i="7" s="1"/>
  <c r="EL25" i="7" s="1"/>
  <c r="EL26" i="7" s="1"/>
  <c r="EL27" i="7" s="1"/>
  <c r="EL28" i="7" s="1"/>
  <c r="EL29" i="7" s="1"/>
  <c r="EL30" i="7" s="1"/>
  <c r="EL31" i="7" s="1"/>
  <c r="EM2" i="6" s="1"/>
  <c r="TH21" i="7"/>
  <c r="TH22" i="7" s="1"/>
  <c r="TH23" i="7" s="1"/>
  <c r="TH24" i="7" s="1"/>
  <c r="TH25" i="7" s="1"/>
  <c r="TH26" i="7" s="1"/>
  <c r="TH27" i="7" s="1"/>
  <c r="TH28" i="7" s="1"/>
  <c r="TH29" i="7" s="1"/>
  <c r="TH30" i="7" s="1"/>
  <c r="TH31" i="7" s="1"/>
  <c r="TI2" i="6" s="1"/>
  <c r="AAH21" i="7"/>
  <c r="AAH22" i="7" s="1"/>
  <c r="AAH23" i="7" s="1"/>
  <c r="AAH24" i="7" s="1"/>
  <c r="AAH25" i="7" s="1"/>
  <c r="AAH26" i="7" s="1"/>
  <c r="AAH27" i="7" s="1"/>
  <c r="AAH28" i="7" s="1"/>
  <c r="AAH29" i="7" s="1"/>
  <c r="AAH30" i="7" s="1"/>
  <c r="AAH31" i="7" s="1"/>
  <c r="AAI2" i="6" s="1"/>
  <c r="YD22" i="7"/>
  <c r="YD23" i="7" s="1"/>
  <c r="YD24" i="7" s="1"/>
  <c r="YD25" i="7" s="1"/>
  <c r="YD26" i="7" s="1"/>
  <c r="YD27" i="7" s="1"/>
  <c r="YD28" i="7" s="1"/>
  <c r="YD29" i="7" s="1"/>
  <c r="YD30" i="7" s="1"/>
  <c r="YD31" i="7" s="1"/>
  <c r="YE2" i="6" s="1"/>
  <c r="KI21" i="7"/>
  <c r="KI22" i="7" s="1"/>
  <c r="KI23" i="7" s="1"/>
  <c r="KI24" i="7" s="1"/>
  <c r="KI25" i="7" s="1"/>
  <c r="KI26" i="7" s="1"/>
  <c r="KI27" i="7" s="1"/>
  <c r="KI28" i="7" s="1"/>
  <c r="KI29" i="7" s="1"/>
  <c r="KI30" i="7" s="1"/>
  <c r="KI31" i="7" s="1"/>
  <c r="KJ2" i="6" s="1"/>
  <c r="RB22" i="7"/>
  <c r="RB23" i="7" s="1"/>
  <c r="RB24" i="7" s="1"/>
  <c r="RB25" i="7" s="1"/>
  <c r="RB26" i="7" s="1"/>
  <c r="RB27" i="7" s="1"/>
  <c r="RB28" i="7" s="1"/>
  <c r="RB29" i="7" s="1"/>
  <c r="RB30" i="7" s="1"/>
  <c r="RB31" i="7" s="1"/>
  <c r="RC2" i="6" s="1"/>
  <c r="YC21" i="7"/>
  <c r="YC22" i="7" s="1"/>
  <c r="YC23" i="7" s="1"/>
  <c r="YC24" i="7" s="1"/>
  <c r="YC25" i="7" s="1"/>
  <c r="YC26" i="7" s="1"/>
  <c r="YC27" i="7" s="1"/>
  <c r="YC28" i="7" s="1"/>
  <c r="YC29" i="7" s="1"/>
  <c r="YC30" i="7" s="1"/>
  <c r="YC31" i="7" s="1"/>
  <c r="YD2" i="6" s="1"/>
  <c r="JK22" i="7"/>
  <c r="JK23" i="7" s="1"/>
  <c r="JK24" i="7" s="1"/>
  <c r="JK25" i="7" s="1"/>
  <c r="JK26" i="7" s="1"/>
  <c r="JK27" i="7" s="1"/>
  <c r="JK28" i="7" s="1"/>
  <c r="JK29" i="7" s="1"/>
  <c r="JK30" i="7" s="1"/>
  <c r="JK31" i="7" s="1"/>
  <c r="JL2" i="6" s="1"/>
  <c r="PE21" i="7"/>
  <c r="PE22" i="7" s="1"/>
  <c r="PE23" i="7" s="1"/>
  <c r="PE24" i="7" s="1"/>
  <c r="PE25" i="7" s="1"/>
  <c r="PE26" i="7" s="1"/>
  <c r="PE27" i="7" s="1"/>
  <c r="PE28" i="7" s="1"/>
  <c r="PE29" i="7" s="1"/>
  <c r="PE30" i="7" s="1"/>
  <c r="PE31" i="7" s="1"/>
  <c r="PF2" i="6" s="1"/>
  <c r="EZ21" i="7"/>
  <c r="EZ22" i="7" s="1"/>
  <c r="EZ23" i="7" s="1"/>
  <c r="EZ24" i="7" s="1"/>
  <c r="EZ25" i="7" s="1"/>
  <c r="EZ26" i="7" s="1"/>
  <c r="EZ27" i="7" s="1"/>
  <c r="EZ28" i="7" s="1"/>
  <c r="EZ29" i="7" s="1"/>
  <c r="EZ30" i="7" s="1"/>
  <c r="EZ31" i="7" s="1"/>
  <c r="FA2" i="6" s="1"/>
  <c r="GB21" i="7"/>
  <c r="GB22" i="7" s="1"/>
  <c r="GB23" i="7" s="1"/>
  <c r="GB24" i="7" s="1"/>
  <c r="GB25" i="7" s="1"/>
  <c r="GB26" i="7" s="1"/>
  <c r="GB27" i="7" s="1"/>
  <c r="GB28" i="7" s="1"/>
  <c r="GB29" i="7" s="1"/>
  <c r="GB30" i="7" s="1"/>
  <c r="GB31" i="7" s="1"/>
  <c r="GC2" i="6" s="1"/>
  <c r="TL21" i="7"/>
  <c r="TL22" i="7" s="1"/>
  <c r="TL23" i="7" s="1"/>
  <c r="TL24" i="7" s="1"/>
  <c r="TL25" i="7" s="1"/>
  <c r="TL26" i="7" s="1"/>
  <c r="TL27" i="7" s="1"/>
  <c r="TL28" i="7" s="1"/>
  <c r="TL29" i="7" s="1"/>
  <c r="TL30" i="7" s="1"/>
  <c r="TL31" i="7" s="1"/>
  <c r="TM2" i="6" s="1"/>
  <c r="FL22" i="7"/>
  <c r="FL23" i="7" s="1"/>
  <c r="FL24" i="7" s="1"/>
  <c r="FL25" i="7" s="1"/>
  <c r="FL26" i="7" s="1"/>
  <c r="FL27" i="7" s="1"/>
  <c r="FL28" i="7" s="1"/>
  <c r="FL29" i="7" s="1"/>
  <c r="FL30" i="7" s="1"/>
  <c r="FL31" i="7" s="1"/>
  <c r="FM2" i="6" s="1"/>
  <c r="AHV21" i="7"/>
  <c r="AHV22" i="7" s="1"/>
  <c r="AHV23" i="7" s="1"/>
  <c r="AHV24" i="7" s="1"/>
  <c r="AHV25" i="7" s="1"/>
  <c r="AHV26" i="7" s="1"/>
  <c r="AHV27" i="7" s="1"/>
  <c r="AHV28" i="7" s="1"/>
  <c r="AHV29" i="7" s="1"/>
  <c r="AHV30" i="7" s="1"/>
  <c r="AHV31" i="7" s="1"/>
  <c r="AHW2" i="6" s="1"/>
  <c r="W21" i="7"/>
  <c r="W22" i="7" s="1"/>
  <c r="W23" i="7" s="1"/>
  <c r="W24" i="7" s="1"/>
  <c r="W25" i="7" s="1"/>
  <c r="W26" i="7" s="1"/>
  <c r="W27" i="7" s="1"/>
  <c r="W28" i="7" s="1"/>
  <c r="W29" i="7" s="1"/>
  <c r="W30" i="7" s="1"/>
  <c r="W31" i="7" s="1"/>
  <c r="X2" i="6" s="1"/>
  <c r="UN21" i="7"/>
  <c r="UN22" i="7" s="1"/>
  <c r="UN23" i="7" s="1"/>
  <c r="UN24" i="7" s="1"/>
  <c r="UN25" i="7" s="1"/>
  <c r="UN26" i="7" s="1"/>
  <c r="UN27" i="7" s="1"/>
  <c r="UN28" i="7" s="1"/>
  <c r="UN29" i="7" s="1"/>
  <c r="UN30" i="7" s="1"/>
  <c r="UN31" i="7" s="1"/>
  <c r="UO2" i="6" s="1"/>
  <c r="Z21" i="7"/>
  <c r="Z22" i="7" s="1"/>
  <c r="Z23" i="7" s="1"/>
  <c r="Z24" i="7" s="1"/>
  <c r="Z25" i="7" s="1"/>
  <c r="Z26" i="7" s="1"/>
  <c r="Z27" i="7" s="1"/>
  <c r="Z28" i="7" s="1"/>
  <c r="Z29" i="7" s="1"/>
  <c r="Z30" i="7" s="1"/>
  <c r="Z31" i="7" s="1"/>
  <c r="AA2" i="6" s="1"/>
  <c r="AAO21" i="7"/>
  <c r="AAO22" i="7" s="1"/>
  <c r="AAO23" i="7" s="1"/>
  <c r="AAO24" i="7" s="1"/>
  <c r="AAO25" i="7" s="1"/>
  <c r="AAO26" i="7" s="1"/>
  <c r="AAO27" i="7" s="1"/>
  <c r="AAO28" i="7" s="1"/>
  <c r="AAO29" i="7" s="1"/>
  <c r="AAO30" i="7" s="1"/>
  <c r="AAO31" i="7" s="1"/>
  <c r="AAP2" i="6" s="1"/>
  <c r="ACS21" i="7"/>
  <c r="ACS22" i="7" s="1"/>
  <c r="ACS23" i="7" s="1"/>
  <c r="ACS24" i="7" s="1"/>
  <c r="ACS25" i="7" s="1"/>
  <c r="ACS26" i="7" s="1"/>
  <c r="ACS27" i="7" s="1"/>
  <c r="ACS28" i="7" s="1"/>
  <c r="ACS29" i="7" s="1"/>
  <c r="ACS30" i="7" s="1"/>
  <c r="ACS31" i="7" s="1"/>
  <c r="ACT2" i="6" s="1"/>
  <c r="LS22" i="7"/>
  <c r="LS23" i="7" s="1"/>
  <c r="LS24" i="7" s="1"/>
  <c r="LS25" i="7" s="1"/>
  <c r="LS26" i="7" s="1"/>
  <c r="LS27" i="7" s="1"/>
  <c r="LS28" i="7" s="1"/>
  <c r="LS29" i="7" s="1"/>
  <c r="LS30" i="7" s="1"/>
  <c r="LS31" i="7" s="1"/>
  <c r="LT2" i="6" s="1"/>
  <c r="MQ21" i="7"/>
  <c r="MQ22" i="7" s="1"/>
  <c r="MQ23" i="7" s="1"/>
  <c r="MQ24" i="7" s="1"/>
  <c r="MQ25" i="7" s="1"/>
  <c r="MQ26" i="7" s="1"/>
  <c r="MQ27" i="7" s="1"/>
  <c r="MQ28" i="7" s="1"/>
  <c r="MQ29" i="7" s="1"/>
  <c r="MQ30" i="7" s="1"/>
  <c r="MQ31" i="7" s="1"/>
  <c r="MR2" i="6" s="1"/>
  <c r="AS21" i="7"/>
  <c r="AS22" i="7" s="1"/>
  <c r="AS23" i="7" s="1"/>
  <c r="AS24" i="7" s="1"/>
  <c r="AS25" i="7" s="1"/>
  <c r="AS26" i="7" s="1"/>
  <c r="AS27" i="7" s="1"/>
  <c r="AS28" i="7" s="1"/>
  <c r="AS29" i="7" s="1"/>
  <c r="AS30" i="7" s="1"/>
  <c r="AS31" i="7" s="1"/>
  <c r="AT2" i="6" s="1"/>
  <c r="QK21" i="7"/>
  <c r="QK22" i="7" s="1"/>
  <c r="QK23" i="7" s="1"/>
  <c r="QK24" i="7" s="1"/>
  <c r="QK25" i="7" s="1"/>
  <c r="QK26" i="7" s="1"/>
  <c r="QK27" i="7" s="1"/>
  <c r="QK28" i="7" s="1"/>
  <c r="QK29" i="7" s="1"/>
  <c r="QK30" i="7" s="1"/>
  <c r="QK31" i="7" s="1"/>
  <c r="QL2" i="6" s="1"/>
  <c r="GN21" i="7"/>
  <c r="GN22" i="7" s="1"/>
  <c r="GN23" i="7" s="1"/>
  <c r="GN24" i="7" s="1"/>
  <c r="GN25" i="7" s="1"/>
  <c r="GN26" i="7" s="1"/>
  <c r="GN27" i="7" s="1"/>
  <c r="GN28" i="7" s="1"/>
  <c r="GN29" i="7" s="1"/>
  <c r="GN30" i="7" s="1"/>
  <c r="GN31" i="7" s="1"/>
  <c r="GO2" i="6" s="1"/>
  <c r="WY22" i="7"/>
  <c r="WY23" i="7" s="1"/>
  <c r="WY24" i="7" s="1"/>
  <c r="WY25" i="7" s="1"/>
  <c r="WY26" i="7" s="1"/>
  <c r="WY27" i="7" s="1"/>
  <c r="WY28" i="7" s="1"/>
  <c r="WY29" i="7" s="1"/>
  <c r="WY30" i="7" s="1"/>
  <c r="WY31" i="7" s="1"/>
  <c r="WZ2" i="6" s="1"/>
  <c r="GZ22" i="7"/>
  <c r="GZ23" i="7" s="1"/>
  <c r="GZ24" i="7" s="1"/>
  <c r="GZ25" i="7" s="1"/>
  <c r="GZ26" i="7" s="1"/>
  <c r="GZ27" i="7" s="1"/>
  <c r="GZ28" i="7" s="1"/>
  <c r="GZ29" i="7" s="1"/>
  <c r="GZ30" i="7" s="1"/>
  <c r="GZ31" i="7" s="1"/>
  <c r="HA2" i="6" s="1"/>
  <c r="BN21" i="7"/>
  <c r="BN22" i="7" s="1"/>
  <c r="BN23" i="7" s="1"/>
  <c r="BN24" i="7" s="1"/>
  <c r="BN25" i="7" s="1"/>
  <c r="BN26" i="7" s="1"/>
  <c r="BN27" i="7" s="1"/>
  <c r="BN28" i="7" s="1"/>
  <c r="BN29" i="7" s="1"/>
  <c r="BN30" i="7" s="1"/>
  <c r="BN31" i="7" s="1"/>
  <c r="BO2" i="6" s="1"/>
  <c r="HO21" i="7"/>
  <c r="HO22" i="7" s="1"/>
  <c r="HO23" i="7" s="1"/>
  <c r="HO24" i="7" s="1"/>
  <c r="HO25" i="7" s="1"/>
  <c r="HO26" i="7" s="1"/>
  <c r="HO27" i="7" s="1"/>
  <c r="HO28" i="7" s="1"/>
  <c r="HO29" i="7" s="1"/>
  <c r="HO30" i="7" s="1"/>
  <c r="HO31" i="7" s="1"/>
  <c r="HP2" i="6" s="1"/>
  <c r="LF21" i="7"/>
  <c r="LF22" i="7" s="1"/>
  <c r="LF23" i="7" s="1"/>
  <c r="LF24" i="7" s="1"/>
  <c r="LF25" i="7" s="1"/>
  <c r="LF26" i="7" s="1"/>
  <c r="LF27" i="7" s="1"/>
  <c r="LF28" i="7" s="1"/>
  <c r="LF29" i="7" s="1"/>
  <c r="LF30" i="7" s="1"/>
  <c r="LF31" i="7" s="1"/>
  <c r="LG2" i="6" s="1"/>
  <c r="KU21" i="7"/>
  <c r="KU22" i="7" s="1"/>
  <c r="KU23" i="7" s="1"/>
  <c r="KU24" i="7" s="1"/>
  <c r="KU25" i="7" s="1"/>
  <c r="KU26" i="7" s="1"/>
  <c r="KU27" i="7" s="1"/>
  <c r="KU28" i="7" s="1"/>
  <c r="KU29" i="7" s="1"/>
  <c r="KU30" i="7" s="1"/>
  <c r="KU31" i="7" s="1"/>
  <c r="KV2" i="6" s="1"/>
  <c r="BP21" i="7"/>
  <c r="BP22" i="7" s="1"/>
  <c r="BP23" i="7" s="1"/>
  <c r="BP24" i="7" s="1"/>
  <c r="BP25" i="7" s="1"/>
  <c r="BP26" i="7" s="1"/>
  <c r="BP27" i="7" s="1"/>
  <c r="BP28" i="7" s="1"/>
  <c r="BP29" i="7" s="1"/>
  <c r="BP30" i="7" s="1"/>
  <c r="BP31" i="7" s="1"/>
  <c r="BQ2" i="6" s="1"/>
  <c r="I21" i="7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J2" i="6" s="1"/>
  <c r="AKS15" i="7"/>
  <c r="C10" i="7"/>
  <c r="H2" i="6" l="1"/>
  <c r="H3" i="6" s="1"/>
  <c r="NG5" i="6"/>
  <c r="NG3" i="6"/>
  <c r="NG4" i="6"/>
  <c r="QR3" i="6"/>
  <c r="QR5" i="6"/>
  <c r="QR6" i="6"/>
  <c r="QR4" i="6"/>
  <c r="GK5" i="6"/>
  <c r="GK6" i="6"/>
  <c r="GK3" i="6"/>
  <c r="GK4" i="6"/>
  <c r="FG4" i="6"/>
  <c r="FG5" i="6"/>
  <c r="FG6" i="6"/>
  <c r="FG3" i="6"/>
  <c r="SL5" i="6"/>
  <c r="SL6" i="6"/>
  <c r="SL3" i="6"/>
  <c r="SL4" i="6"/>
  <c r="HS3" i="6"/>
  <c r="HS5" i="6"/>
  <c r="HS4" i="6"/>
  <c r="HS6" i="6"/>
  <c r="CB5" i="6"/>
  <c r="CB6" i="6"/>
  <c r="CB4" i="6"/>
  <c r="CB3" i="6"/>
  <c r="WF5" i="6"/>
  <c r="WF6" i="6"/>
  <c r="WF4" i="6"/>
  <c r="WF3" i="6"/>
  <c r="DQ5" i="6"/>
  <c r="DQ6" i="6"/>
  <c r="DQ4" i="6"/>
  <c r="DQ3" i="6"/>
  <c r="OJ4" i="6"/>
  <c r="OJ5" i="6"/>
  <c r="OJ6" i="6"/>
  <c r="OJ3" i="6"/>
  <c r="XT5" i="6"/>
  <c r="XT4" i="6"/>
  <c r="XT6" i="6"/>
  <c r="XT3" i="6"/>
  <c r="SV5" i="6"/>
  <c r="SV3" i="6"/>
  <c r="SV6" i="6"/>
  <c r="SV4" i="6"/>
  <c r="AGY5" i="6"/>
  <c r="AGY4" i="6"/>
  <c r="AGY6" i="6"/>
  <c r="AGY3" i="6"/>
  <c r="ADW3" i="6"/>
  <c r="ADW5" i="6"/>
  <c r="ADW6" i="6"/>
  <c r="ADW4" i="6"/>
  <c r="AAM5" i="6"/>
  <c r="AAM6" i="6"/>
  <c r="AAM3" i="6"/>
  <c r="AAM4" i="6"/>
  <c r="ADJ5" i="6"/>
  <c r="ADJ3" i="6"/>
  <c r="ADJ4" i="6"/>
  <c r="ADJ6" i="6"/>
  <c r="ALQ5" i="6"/>
  <c r="ALQ4" i="6"/>
  <c r="ALQ3" i="6"/>
  <c r="ALQ6" i="6"/>
  <c r="IU3" i="6"/>
  <c r="IU5" i="6"/>
  <c r="IU6" i="6"/>
  <c r="IU4" i="6"/>
  <c r="AIS3" i="6"/>
  <c r="AIS6" i="6"/>
  <c r="AIS4" i="6"/>
  <c r="AIS5" i="6"/>
  <c r="WC4" i="6"/>
  <c r="WC6" i="6"/>
  <c r="WC5" i="6"/>
  <c r="WC3" i="6"/>
  <c r="XZ3" i="6"/>
  <c r="XZ5" i="6"/>
  <c r="XZ4" i="6"/>
  <c r="XZ6" i="6"/>
  <c r="LW3" i="6"/>
  <c r="LW4" i="6"/>
  <c r="LW5" i="6"/>
  <c r="LW6" i="6"/>
  <c r="CH5" i="6"/>
  <c r="CH6" i="6"/>
  <c r="CH3" i="6"/>
  <c r="CH4" i="6"/>
  <c r="ACN5" i="6"/>
  <c r="ACN3" i="6"/>
  <c r="ACN6" i="6"/>
  <c r="ACN4" i="6"/>
  <c r="LC5" i="6"/>
  <c r="LC4" i="6"/>
  <c r="LC6" i="6"/>
  <c r="LC3" i="6"/>
  <c r="UU5" i="6"/>
  <c r="UU4" i="6"/>
  <c r="UU6" i="6"/>
  <c r="UU3" i="6"/>
  <c r="UK4" i="6"/>
  <c r="UK3" i="6"/>
  <c r="UK6" i="6"/>
  <c r="UK5" i="6"/>
  <c r="GQ3" i="6"/>
  <c r="GQ5" i="6"/>
  <c r="GQ6" i="6"/>
  <c r="GQ4" i="6"/>
  <c r="CJ4" i="6"/>
  <c r="CJ5" i="6"/>
  <c r="CJ3" i="6"/>
  <c r="CJ6" i="6"/>
  <c r="EP4" i="6"/>
  <c r="EP6" i="6"/>
  <c r="EP5" i="6"/>
  <c r="EP3" i="6"/>
  <c r="AQ3" i="6"/>
  <c r="AQ4" i="6"/>
  <c r="AQ5" i="6"/>
  <c r="AQ6" i="6"/>
  <c r="QO3" i="6"/>
  <c r="QO5" i="6"/>
  <c r="QO6" i="6"/>
  <c r="QO4" i="6"/>
  <c r="AIL3" i="6"/>
  <c r="AIL6" i="6"/>
  <c r="AIL4" i="6"/>
  <c r="AIL5" i="6"/>
  <c r="HV5" i="6"/>
  <c r="HV6" i="6"/>
  <c r="HV3" i="6"/>
  <c r="HV4" i="6"/>
  <c r="SU4" i="6"/>
  <c r="SU5" i="6"/>
  <c r="SU6" i="6"/>
  <c r="SU3" i="6"/>
  <c r="AJY5" i="6"/>
  <c r="AJY6" i="6"/>
  <c r="AJY3" i="6"/>
  <c r="AJY4" i="6"/>
  <c r="ABK5" i="6"/>
  <c r="ABK6" i="6"/>
  <c r="ABK4" i="6"/>
  <c r="ABK3" i="6"/>
  <c r="VQ5" i="6"/>
  <c r="VQ4" i="6"/>
  <c r="VQ3" i="6"/>
  <c r="VQ6" i="6"/>
  <c r="PE5" i="6"/>
  <c r="PE4" i="6"/>
  <c r="PE6" i="6"/>
  <c r="PE3" i="6"/>
  <c r="AFW5" i="6"/>
  <c r="AFW4" i="6"/>
  <c r="AFW6" i="6"/>
  <c r="AFW3" i="6"/>
  <c r="X5" i="6"/>
  <c r="X6" i="6"/>
  <c r="X4" i="6"/>
  <c r="X3" i="6"/>
  <c r="AHX5" i="6"/>
  <c r="AHX4" i="6"/>
  <c r="AHX3" i="6"/>
  <c r="AHX6" i="6"/>
  <c r="HI5" i="6"/>
  <c r="HI6" i="6"/>
  <c r="HI3" i="6"/>
  <c r="HI4" i="6"/>
  <c r="DY3" i="6"/>
  <c r="DY5" i="6"/>
  <c r="DY6" i="6"/>
  <c r="DY4" i="6"/>
  <c r="KT4" i="6"/>
  <c r="KT5" i="6"/>
  <c r="KT6" i="6"/>
  <c r="KT3" i="6"/>
  <c r="AS4" i="6"/>
  <c r="AS6" i="6"/>
  <c r="AS5" i="6"/>
  <c r="AS3" i="6"/>
  <c r="KO5" i="6"/>
  <c r="KO6" i="6"/>
  <c r="KO3" i="6"/>
  <c r="KO4" i="6"/>
  <c r="KJ5" i="6"/>
  <c r="KJ6" i="6"/>
  <c r="KJ4" i="6"/>
  <c r="KJ3" i="6"/>
  <c r="AFZ5" i="6"/>
  <c r="AFZ4" i="6"/>
  <c r="AFZ6" i="6"/>
  <c r="AFZ3" i="6"/>
  <c r="AFM4" i="6"/>
  <c r="AFM3" i="6"/>
  <c r="AFM5" i="6"/>
  <c r="AFM6" i="6"/>
  <c r="TL4" i="6"/>
  <c r="TL5" i="6"/>
  <c r="TL6" i="6"/>
  <c r="TL3" i="6"/>
  <c r="EZ5" i="6"/>
  <c r="EZ6" i="6"/>
  <c r="EZ3" i="6"/>
  <c r="EZ4" i="6"/>
  <c r="SQ5" i="6"/>
  <c r="SQ4" i="6"/>
  <c r="SQ6" i="6"/>
  <c r="SQ3" i="6"/>
  <c r="AFH5" i="6"/>
  <c r="AFH6" i="6"/>
  <c r="AFH3" i="6"/>
  <c r="AFH4" i="6"/>
  <c r="MY5" i="6"/>
  <c r="MY6" i="6"/>
  <c r="MY4" i="6"/>
  <c r="MY3" i="6"/>
  <c r="WG4" i="6"/>
  <c r="WG3" i="6"/>
  <c r="WG5" i="6"/>
  <c r="WG6" i="6"/>
  <c r="LG5" i="6"/>
  <c r="LG3" i="6"/>
  <c r="LG4" i="6"/>
  <c r="LG6" i="6"/>
  <c r="QJ5" i="6"/>
  <c r="QJ6" i="6"/>
  <c r="QJ3" i="6"/>
  <c r="QJ4" i="6"/>
  <c r="NW6" i="6"/>
  <c r="NW4" i="6"/>
  <c r="NW3" i="6"/>
  <c r="NW5" i="6"/>
  <c r="ZF5" i="6"/>
  <c r="ZF6" i="6"/>
  <c r="ZF4" i="6"/>
  <c r="ZF3" i="6"/>
  <c r="AAN6" i="6"/>
  <c r="AAN4" i="6"/>
  <c r="AAN5" i="6"/>
  <c r="AAN3" i="6"/>
  <c r="ACA5" i="6"/>
  <c r="ACA3" i="6"/>
  <c r="ACA4" i="6"/>
  <c r="ACA6" i="6"/>
  <c r="LT6" i="6"/>
  <c r="LT4" i="6"/>
  <c r="LT3" i="6"/>
  <c r="LT5" i="6"/>
  <c r="YE6" i="6"/>
  <c r="YE3" i="6"/>
  <c r="YE5" i="6"/>
  <c r="YE4" i="6"/>
  <c r="KI5" i="6"/>
  <c r="KI6" i="6"/>
  <c r="KI4" i="6"/>
  <c r="KI3" i="6"/>
  <c r="BU5" i="6"/>
  <c r="BU6" i="6"/>
  <c r="BU3" i="6"/>
  <c r="BU4" i="6"/>
  <c r="VA5" i="6"/>
  <c r="VA4" i="6"/>
  <c r="VA6" i="6"/>
  <c r="VA3" i="6"/>
  <c r="DI5" i="6"/>
  <c r="DI6" i="6"/>
  <c r="DI4" i="6"/>
  <c r="DI3" i="6"/>
  <c r="VE3" i="6"/>
  <c r="VE5" i="6"/>
  <c r="VE6" i="6"/>
  <c r="VE4" i="6"/>
  <c r="QX5" i="6"/>
  <c r="QX6" i="6"/>
  <c r="QX4" i="6"/>
  <c r="QX3" i="6"/>
  <c r="ZX6" i="6"/>
  <c r="ZX4" i="6"/>
  <c r="ZX3" i="6"/>
  <c r="ZX5" i="6"/>
  <c r="RU5" i="6"/>
  <c r="RU4" i="6"/>
  <c r="RU6" i="6"/>
  <c r="RU3" i="6"/>
  <c r="AJI5" i="6"/>
  <c r="AJI6" i="6"/>
  <c r="AJI4" i="6"/>
  <c r="AJI3" i="6"/>
  <c r="GP4" i="6"/>
  <c r="GP6" i="6"/>
  <c r="GP3" i="6"/>
  <c r="GP5" i="6"/>
  <c r="HL4" i="6"/>
  <c r="HL5" i="6"/>
  <c r="HL6" i="6"/>
  <c r="HL3" i="6"/>
  <c r="KN5" i="6"/>
  <c r="KN3" i="6"/>
  <c r="KN4" i="6"/>
  <c r="KN6" i="6"/>
  <c r="JP5" i="6"/>
  <c r="JP3" i="6"/>
  <c r="JP6" i="6"/>
  <c r="JP4" i="6"/>
  <c r="RB5" i="6"/>
  <c r="RB6" i="6"/>
  <c r="RB4" i="6"/>
  <c r="RB3" i="6"/>
  <c r="AEF4" i="6"/>
  <c r="AEF5" i="6"/>
  <c r="AEF3" i="6"/>
  <c r="AEF6" i="6"/>
  <c r="XY3" i="6"/>
  <c r="XY6" i="6"/>
  <c r="XY4" i="6"/>
  <c r="XY5" i="6"/>
  <c r="EE5" i="6"/>
  <c r="EE4" i="6"/>
  <c r="EE6" i="6"/>
  <c r="EE3" i="6"/>
  <c r="SK5" i="6"/>
  <c r="SK6" i="6"/>
  <c r="SK4" i="6"/>
  <c r="SK3" i="6"/>
  <c r="TJ5" i="6"/>
  <c r="TJ4" i="6"/>
  <c r="TJ3" i="6"/>
  <c r="TJ6" i="6"/>
  <c r="OU5" i="6"/>
  <c r="OU6" i="6"/>
  <c r="OU3" i="6"/>
  <c r="OU4" i="6"/>
  <c r="CY5" i="6"/>
  <c r="CY6" i="6"/>
  <c r="CY3" i="6"/>
  <c r="CY4" i="6"/>
  <c r="AAB4" i="6"/>
  <c r="AAB5" i="6"/>
  <c r="AAB6" i="6"/>
  <c r="AAB3" i="6"/>
  <c r="UG4" i="6"/>
  <c r="UG5" i="6"/>
  <c r="UG3" i="6"/>
  <c r="UG6" i="6"/>
  <c r="ABS5" i="6"/>
  <c r="ABS6" i="6"/>
  <c r="ABS3" i="6"/>
  <c r="ABS4" i="6"/>
  <c r="TC3" i="6"/>
  <c r="TC6" i="6"/>
  <c r="TC5" i="6"/>
  <c r="TC4" i="6"/>
  <c r="RE3" i="6"/>
  <c r="RE5" i="6"/>
  <c r="RE6" i="6"/>
  <c r="RE4" i="6"/>
  <c r="HU4" i="6"/>
  <c r="HU3" i="6"/>
  <c r="HU5" i="6"/>
  <c r="HU6" i="6"/>
  <c r="NH3" i="6"/>
  <c r="NH6" i="6"/>
  <c r="NH5" i="6"/>
  <c r="NH4" i="6"/>
  <c r="AAY4" i="6"/>
  <c r="AAY5" i="6"/>
  <c r="AAY3" i="6"/>
  <c r="AAY6" i="6"/>
  <c r="WN5" i="6"/>
  <c r="WN6" i="6"/>
  <c r="WN4" i="6"/>
  <c r="WN3" i="6"/>
  <c r="NX5" i="6"/>
  <c r="NX6" i="6"/>
  <c r="NX3" i="6"/>
  <c r="NX4" i="6"/>
  <c r="EI5" i="6"/>
  <c r="EI3" i="6"/>
  <c r="EI4" i="6"/>
  <c r="EI6" i="6"/>
  <c r="DB5" i="6"/>
  <c r="DB6" i="6"/>
  <c r="DB3" i="6"/>
  <c r="DB4" i="6"/>
  <c r="BC5" i="6"/>
  <c r="BC6" i="6"/>
  <c r="BC4" i="6"/>
  <c r="BC3" i="6"/>
  <c r="AHU3" i="6"/>
  <c r="AHU5" i="6"/>
  <c r="AHU6" i="6"/>
  <c r="AHU4" i="6"/>
  <c r="ET4" i="6"/>
  <c r="ET5" i="6"/>
  <c r="ET3" i="6"/>
  <c r="ET6" i="6"/>
  <c r="VI3" i="6"/>
  <c r="VI5" i="6"/>
  <c r="VI6" i="6"/>
  <c r="VI4" i="6"/>
  <c r="IM3" i="6"/>
  <c r="IM4" i="6"/>
  <c r="IM5" i="6"/>
  <c r="IM6" i="6"/>
  <c r="GZ4" i="6"/>
  <c r="GZ3" i="6"/>
  <c r="GZ6" i="6"/>
  <c r="GZ5" i="6"/>
  <c r="ZN3" i="6"/>
  <c r="ZN6" i="6"/>
  <c r="ZN4" i="6"/>
  <c r="ZN5" i="6"/>
  <c r="KY3" i="6"/>
  <c r="KY6" i="6"/>
  <c r="KY4" i="6"/>
  <c r="KY5" i="6"/>
  <c r="AAG3" i="6"/>
  <c r="AAG5" i="6"/>
  <c r="AAG6" i="6"/>
  <c r="AAG4" i="6"/>
  <c r="FS6" i="6"/>
  <c r="FS5" i="6"/>
  <c r="FS3" i="6"/>
  <c r="FS4" i="6"/>
  <c r="YA5" i="6"/>
  <c r="YA3" i="6"/>
  <c r="YA6" i="6"/>
  <c r="YA4" i="6"/>
  <c r="RT5" i="6"/>
  <c r="RT4" i="6"/>
  <c r="RT3" i="6"/>
  <c r="RT6" i="6"/>
  <c r="AEM4" i="6"/>
  <c r="AEM5" i="6"/>
  <c r="AEM6" i="6"/>
  <c r="AEM3" i="6"/>
  <c r="AER4" i="6"/>
  <c r="AER5" i="6"/>
  <c r="AER6" i="6"/>
  <c r="AER3" i="6"/>
  <c r="HX5" i="6"/>
  <c r="HX6" i="6"/>
  <c r="HX4" i="6"/>
  <c r="HX3" i="6"/>
  <c r="NM5" i="6"/>
  <c r="NM6" i="6"/>
  <c r="NM4" i="6"/>
  <c r="NM3" i="6"/>
  <c r="FW5" i="6"/>
  <c r="FW6" i="6"/>
  <c r="FW3" i="6"/>
  <c r="FW4" i="6"/>
  <c r="AGK5" i="6"/>
  <c r="AGK6" i="6"/>
  <c r="AGK3" i="6"/>
  <c r="AGK4" i="6"/>
  <c r="DG5" i="6"/>
  <c r="DG6" i="6"/>
  <c r="DG4" i="6"/>
  <c r="DG3" i="6"/>
  <c r="PO5" i="6"/>
  <c r="PO6" i="6"/>
  <c r="PO3" i="6"/>
  <c r="PO4" i="6"/>
  <c r="MO4" i="6"/>
  <c r="MO6" i="6"/>
  <c r="MO3" i="6"/>
  <c r="MO5" i="6"/>
  <c r="AKQ5" i="6"/>
  <c r="AKQ6" i="6"/>
  <c r="AKQ3" i="6"/>
  <c r="AKQ4" i="6"/>
  <c r="AHI5" i="6"/>
  <c r="AHI6" i="6"/>
  <c r="AHI3" i="6"/>
  <c r="AHI4" i="6"/>
  <c r="HY5" i="6"/>
  <c r="HY6" i="6"/>
  <c r="HY4" i="6"/>
  <c r="HY3" i="6"/>
  <c r="SI5" i="6"/>
  <c r="SI4" i="6"/>
  <c r="SI6" i="6"/>
  <c r="SI3" i="6"/>
  <c r="AFX4" i="6"/>
  <c r="AFX5" i="6"/>
  <c r="AFX6" i="6"/>
  <c r="AFX3" i="6"/>
  <c r="XF5" i="6"/>
  <c r="XF4" i="6"/>
  <c r="XF6" i="6"/>
  <c r="XF3" i="6"/>
  <c r="JE5" i="6"/>
  <c r="JE6" i="6"/>
  <c r="JE4" i="6"/>
  <c r="JE3" i="6"/>
  <c r="OL4" i="6"/>
  <c r="OL3" i="6"/>
  <c r="OL5" i="6"/>
  <c r="OL6" i="6"/>
  <c r="IE4" i="6"/>
  <c r="IE5" i="6"/>
  <c r="IE3" i="6"/>
  <c r="IE6" i="6"/>
  <c r="NB4" i="6"/>
  <c r="NB5" i="6"/>
  <c r="NB6" i="6"/>
  <c r="NB3" i="6"/>
  <c r="XI5" i="6"/>
  <c r="XI4" i="6"/>
  <c r="XI3" i="6"/>
  <c r="XI6" i="6"/>
  <c r="PI5" i="6"/>
  <c r="PI6" i="6"/>
  <c r="PI3" i="6"/>
  <c r="PI4" i="6"/>
  <c r="AEO4" i="6"/>
  <c r="AEO5" i="6"/>
  <c r="AEO3" i="6"/>
  <c r="AEO6" i="6"/>
  <c r="AIM5" i="6"/>
  <c r="AIM6" i="6"/>
  <c r="AIM4" i="6"/>
  <c r="AIM3" i="6"/>
  <c r="AJJ5" i="6"/>
  <c r="AJJ6" i="6"/>
  <c r="AJJ3" i="6"/>
  <c r="AJJ4" i="6"/>
  <c r="PM4" i="6"/>
  <c r="PM6" i="6"/>
  <c r="PM5" i="6"/>
  <c r="PM3" i="6"/>
  <c r="VF3" i="6"/>
  <c r="VF5" i="6"/>
  <c r="VF6" i="6"/>
  <c r="VF4" i="6"/>
  <c r="AEW5" i="6"/>
  <c r="AEW6" i="6"/>
  <c r="AEW3" i="6"/>
  <c r="AEW4" i="6"/>
  <c r="DD5" i="6"/>
  <c r="DD6" i="6"/>
  <c r="DD3" i="6"/>
  <c r="DD4" i="6"/>
  <c r="AIZ4" i="6"/>
  <c r="AIZ3" i="6"/>
  <c r="AIZ5" i="6"/>
  <c r="AIZ6" i="6"/>
  <c r="AIN4" i="6"/>
  <c r="AIN3" i="6"/>
  <c r="AIN6" i="6"/>
  <c r="AIN5" i="6"/>
  <c r="YI5" i="6"/>
  <c r="YI4" i="6"/>
  <c r="YI6" i="6"/>
  <c r="YI3" i="6"/>
  <c r="DE3" i="6"/>
  <c r="DE5" i="6"/>
  <c r="DE6" i="6"/>
  <c r="DE4" i="6"/>
  <c r="OZ5" i="6"/>
  <c r="OZ4" i="6"/>
  <c r="OZ6" i="6"/>
  <c r="OZ3" i="6"/>
  <c r="WJ5" i="6"/>
  <c r="WJ3" i="6"/>
  <c r="WJ4" i="6"/>
  <c r="WJ6" i="6"/>
  <c r="LY5" i="6"/>
  <c r="LY6" i="6"/>
  <c r="LY3" i="6"/>
  <c r="LY4" i="6"/>
  <c r="TW5" i="6"/>
  <c r="TW6" i="6"/>
  <c r="TW3" i="6"/>
  <c r="TW4" i="6"/>
  <c r="JS5" i="6"/>
  <c r="JS4" i="6"/>
  <c r="JS6" i="6"/>
  <c r="JS3" i="6"/>
  <c r="QP6" i="6"/>
  <c r="QP4" i="6"/>
  <c r="QP3" i="6"/>
  <c r="QP5" i="6"/>
  <c r="AJA3" i="6"/>
  <c r="AJA6" i="6"/>
  <c r="AJA4" i="6"/>
  <c r="AJA5" i="6"/>
  <c r="ABE3" i="6"/>
  <c r="ABE6" i="6"/>
  <c r="ABE5" i="6"/>
  <c r="ABE4" i="6"/>
  <c r="AFI5" i="6"/>
  <c r="AFI6" i="6"/>
  <c r="AFI4" i="6"/>
  <c r="AFI3" i="6"/>
  <c r="AEY4" i="6"/>
  <c r="AEY5" i="6"/>
  <c r="AEY6" i="6"/>
  <c r="AEY3" i="6"/>
  <c r="FP6" i="6"/>
  <c r="FP5" i="6"/>
  <c r="FP4" i="6"/>
  <c r="FP3" i="6"/>
  <c r="GB4" i="6"/>
  <c r="GB6" i="6"/>
  <c r="GB3" i="6"/>
  <c r="GB5" i="6"/>
  <c r="YL5" i="6"/>
  <c r="YL6" i="6"/>
  <c r="YL4" i="6"/>
  <c r="YL3" i="6"/>
  <c r="LZ3" i="6"/>
  <c r="LZ5" i="6"/>
  <c r="LZ6" i="6"/>
  <c r="LZ4" i="6"/>
  <c r="VX3" i="6"/>
  <c r="VX5" i="6"/>
  <c r="VX6" i="6"/>
  <c r="VX4" i="6"/>
  <c r="XD4" i="6"/>
  <c r="XD5" i="6"/>
  <c r="XD6" i="6"/>
  <c r="XD3" i="6"/>
  <c r="AGD4" i="6"/>
  <c r="AGD5" i="6"/>
  <c r="AGD3" i="6"/>
  <c r="AGD6" i="6"/>
  <c r="ZU3" i="6"/>
  <c r="ZU4" i="6"/>
  <c r="ZU5" i="6"/>
  <c r="ZU6" i="6"/>
  <c r="AID4" i="6"/>
  <c r="AID6" i="6"/>
  <c r="AID3" i="6"/>
  <c r="AID5" i="6"/>
  <c r="JK3" i="6"/>
  <c r="JK5" i="6"/>
  <c r="JK6" i="6"/>
  <c r="JK4" i="6"/>
  <c r="RQ5" i="6"/>
  <c r="RQ6" i="6"/>
  <c r="RQ3" i="6"/>
  <c r="RQ4" i="6"/>
  <c r="ADH5" i="6"/>
  <c r="ADH4" i="6"/>
  <c r="ADH3" i="6"/>
  <c r="ADH6" i="6"/>
  <c r="XW6" i="6"/>
  <c r="XW4" i="6"/>
  <c r="XW3" i="6"/>
  <c r="XW5" i="6"/>
  <c r="IK6" i="6"/>
  <c r="IK3" i="6"/>
  <c r="IK5" i="6"/>
  <c r="IK4" i="6"/>
  <c r="AJN3" i="6"/>
  <c r="AJN5" i="6"/>
  <c r="AJN4" i="6"/>
  <c r="AJN6" i="6"/>
  <c r="PP4" i="6"/>
  <c r="PP5" i="6"/>
  <c r="PP3" i="6"/>
  <c r="PP6" i="6"/>
  <c r="ALL5" i="6"/>
  <c r="ALL6" i="6"/>
  <c r="ALL4" i="6"/>
  <c r="ALL3" i="6"/>
  <c r="DT4" i="6"/>
  <c r="DT5" i="6"/>
  <c r="DT3" i="6"/>
  <c r="DT6" i="6"/>
  <c r="VJ4" i="6"/>
  <c r="VJ6" i="6"/>
  <c r="VJ3" i="6"/>
  <c r="VJ5" i="6"/>
  <c r="GS5" i="6"/>
  <c r="GS4" i="6"/>
  <c r="GS6" i="6"/>
  <c r="GS3" i="6"/>
  <c r="ADY4" i="6"/>
  <c r="ADY3" i="6"/>
  <c r="ADY5" i="6"/>
  <c r="ADY6" i="6"/>
  <c r="AJV4" i="6"/>
  <c r="AJV5" i="6"/>
  <c r="AJV6" i="6"/>
  <c r="AJV3" i="6"/>
  <c r="JY3" i="6"/>
  <c r="JY4" i="6"/>
  <c r="JY5" i="6"/>
  <c r="JY6" i="6"/>
  <c r="GI3" i="6"/>
  <c r="GI5" i="6"/>
  <c r="GI6" i="6"/>
  <c r="GI4" i="6"/>
  <c r="RG4" i="6"/>
  <c r="RG5" i="6"/>
  <c r="RG3" i="6"/>
  <c r="RG6" i="6"/>
  <c r="AJE5" i="6"/>
  <c r="AJE4" i="6"/>
  <c r="AJE6" i="6"/>
  <c r="AJE3" i="6"/>
  <c r="MR5" i="6"/>
  <c r="MR6" i="6"/>
  <c r="MR3" i="6"/>
  <c r="MR4" i="6"/>
  <c r="CC4" i="6"/>
  <c r="CC5" i="6"/>
  <c r="CC3" i="6"/>
  <c r="CC6" i="6"/>
  <c r="AHK5" i="6"/>
  <c r="AHK3" i="6"/>
  <c r="AHK6" i="6"/>
  <c r="AHK4" i="6"/>
  <c r="ZB4" i="6"/>
  <c r="ZB3" i="6"/>
  <c r="ZB5" i="6"/>
  <c r="ZB6" i="6"/>
  <c r="CA4" i="6"/>
  <c r="CA5" i="6"/>
  <c r="CA6" i="6"/>
  <c r="CA3" i="6"/>
  <c r="ADM5" i="6"/>
  <c r="ADM6" i="6"/>
  <c r="ADM3" i="6"/>
  <c r="ADM4" i="6"/>
  <c r="OV3" i="6"/>
  <c r="OV5" i="6"/>
  <c r="OV6" i="6"/>
  <c r="OV4" i="6"/>
  <c r="ABT5" i="6"/>
  <c r="ABT6" i="6"/>
  <c r="ABT4" i="6"/>
  <c r="ABT3" i="6"/>
  <c r="PW5" i="6"/>
  <c r="PW3" i="6"/>
  <c r="PW6" i="6"/>
  <c r="PW4" i="6"/>
  <c r="NZ3" i="6"/>
  <c r="NZ5" i="6"/>
  <c r="NZ6" i="6"/>
  <c r="NZ4" i="6"/>
  <c r="AFS4" i="6"/>
  <c r="AFS5" i="6"/>
  <c r="AFS3" i="6"/>
  <c r="AFS6" i="6"/>
  <c r="ACJ4" i="6"/>
  <c r="ACJ3" i="6"/>
  <c r="ACJ6" i="6"/>
  <c r="ACJ5" i="6"/>
  <c r="ACX5" i="6"/>
  <c r="ACX3" i="6"/>
  <c r="ACX4" i="6"/>
  <c r="ACX6" i="6"/>
  <c r="YS5" i="6"/>
  <c r="YS3" i="6"/>
  <c r="YS4" i="6"/>
  <c r="YS6" i="6"/>
  <c r="ALE5" i="6"/>
  <c r="ALE4" i="6"/>
  <c r="ALE6" i="6"/>
  <c r="ALE3" i="6"/>
  <c r="MI4" i="6"/>
  <c r="MI5" i="6"/>
  <c r="MI3" i="6"/>
  <c r="MI6" i="6"/>
  <c r="FN3" i="6"/>
  <c r="FN5" i="6"/>
  <c r="FN6" i="6"/>
  <c r="FN4" i="6"/>
  <c r="AEG4" i="6"/>
  <c r="AEG5" i="6"/>
  <c r="AEG6" i="6"/>
  <c r="AEG3" i="6"/>
  <c r="JU6" i="6"/>
  <c r="JU4" i="6"/>
  <c r="JU3" i="6"/>
  <c r="JU5" i="6"/>
  <c r="HD4" i="6"/>
  <c r="HD3" i="6"/>
  <c r="HD5" i="6"/>
  <c r="HD6" i="6"/>
  <c r="AC5" i="6"/>
  <c r="AC6" i="6"/>
  <c r="AC3" i="6"/>
  <c r="AC4" i="6"/>
  <c r="NF3" i="6"/>
  <c r="NF4" i="6"/>
  <c r="NF5" i="6"/>
  <c r="NF6" i="6"/>
  <c r="WT5" i="6"/>
  <c r="WT6" i="6"/>
  <c r="WT3" i="6"/>
  <c r="WT4" i="6"/>
  <c r="NS5" i="6"/>
  <c r="NS6" i="6"/>
  <c r="NS3" i="6"/>
  <c r="NS4" i="6"/>
  <c r="AIP4" i="6"/>
  <c r="AIP6" i="6"/>
  <c r="AIP3" i="6"/>
  <c r="AIP5" i="6"/>
  <c r="OB4" i="6"/>
  <c r="OB5" i="6"/>
  <c r="OB3" i="6"/>
  <c r="OB6" i="6"/>
  <c r="LJ5" i="6"/>
  <c r="LJ4" i="6"/>
  <c r="LJ6" i="6"/>
  <c r="LJ3" i="6"/>
  <c r="VZ5" i="6"/>
  <c r="VZ3" i="6"/>
  <c r="VZ6" i="6"/>
  <c r="VZ4" i="6"/>
  <c r="NC4" i="6"/>
  <c r="NC5" i="6"/>
  <c r="NC3" i="6"/>
  <c r="NC6" i="6"/>
  <c r="ACB5" i="6"/>
  <c r="ACB6" i="6"/>
  <c r="ACB3" i="6"/>
  <c r="ACB4" i="6"/>
  <c r="AII5" i="6"/>
  <c r="AII3" i="6"/>
  <c r="AII6" i="6"/>
  <c r="AII4" i="6"/>
  <c r="WH4" i="6"/>
  <c r="WH5" i="6"/>
  <c r="WH6" i="6"/>
  <c r="WH3" i="6"/>
  <c r="UL4" i="6"/>
  <c r="UL5" i="6"/>
  <c r="UL6" i="6"/>
  <c r="UL3" i="6"/>
  <c r="AAT4" i="6"/>
  <c r="AAT5" i="6"/>
  <c r="AAT6" i="6"/>
  <c r="AAT3" i="6"/>
  <c r="AEX4" i="6"/>
  <c r="AEX3" i="6"/>
  <c r="AEX5" i="6"/>
  <c r="AEX6" i="6"/>
  <c r="AJ5" i="6"/>
  <c r="AJ6" i="6"/>
  <c r="AJ4" i="6"/>
  <c r="AJ3" i="6"/>
  <c r="ACL4" i="6"/>
  <c r="ACL5" i="6"/>
  <c r="ACL3" i="6"/>
  <c r="ACL6" i="6"/>
  <c r="ALD5" i="6"/>
  <c r="ALD6" i="6"/>
  <c r="ALD4" i="6"/>
  <c r="ALD3" i="6"/>
  <c r="PS3" i="6"/>
  <c r="PS4" i="6"/>
  <c r="PS5" i="6"/>
  <c r="PS6" i="6"/>
  <c r="TA4" i="6"/>
  <c r="TA5" i="6"/>
  <c r="TA3" i="6"/>
  <c r="TA6" i="6"/>
  <c r="LE3" i="6"/>
  <c r="LE6" i="6"/>
  <c r="LE4" i="6"/>
  <c r="LE5" i="6"/>
  <c r="ND6" i="6"/>
  <c r="ND4" i="6"/>
  <c r="ND5" i="6"/>
  <c r="ND3" i="6"/>
  <c r="AFT3" i="6"/>
  <c r="AFT4" i="6"/>
  <c r="AFT5" i="6"/>
  <c r="AFT6" i="6"/>
  <c r="ADU4" i="6"/>
  <c r="ADU3" i="6"/>
  <c r="ADU6" i="6"/>
  <c r="ADU5" i="6"/>
  <c r="LS5" i="6"/>
  <c r="LS4" i="6"/>
  <c r="LS3" i="6"/>
  <c r="LS6" i="6"/>
  <c r="FY3" i="6"/>
  <c r="FY4" i="6"/>
  <c r="FY5" i="6"/>
  <c r="FY6" i="6"/>
  <c r="HQ5" i="6"/>
  <c r="HQ6" i="6"/>
  <c r="HQ4" i="6"/>
  <c r="HQ3" i="6"/>
  <c r="WK3" i="6"/>
  <c r="WK6" i="6"/>
  <c r="WK4" i="6"/>
  <c r="WK5" i="6"/>
  <c r="YP5" i="6"/>
  <c r="YP4" i="6"/>
  <c r="YP6" i="6"/>
  <c r="YP3" i="6"/>
  <c r="ACR5" i="6"/>
  <c r="ACR4" i="6"/>
  <c r="ACR6" i="6"/>
  <c r="ACR3" i="6"/>
  <c r="TN3" i="6"/>
  <c r="TN5" i="6"/>
  <c r="TN4" i="6"/>
  <c r="TN6" i="6"/>
  <c r="RA6" i="6"/>
  <c r="RA4" i="6"/>
  <c r="RA3" i="6"/>
  <c r="RA5" i="6"/>
  <c r="DP6" i="6"/>
  <c r="DP3" i="6"/>
  <c r="DP5" i="6"/>
  <c r="DP4" i="6"/>
  <c r="CE5" i="6"/>
  <c r="CE6" i="6"/>
  <c r="CE4" i="6"/>
  <c r="CE3" i="6"/>
  <c r="EO3" i="6"/>
  <c r="EO6" i="6"/>
  <c r="EO5" i="6"/>
  <c r="EO4" i="6"/>
  <c r="ACW5" i="6"/>
  <c r="ACW6" i="6"/>
  <c r="ACW4" i="6"/>
  <c r="ACW3" i="6"/>
  <c r="AGS5" i="6"/>
  <c r="AGS6" i="6"/>
  <c r="AGS3" i="6"/>
  <c r="AGS4" i="6"/>
  <c r="AHN4" i="6"/>
  <c r="AHN6" i="6"/>
  <c r="AHN3" i="6"/>
  <c r="AHN5" i="6"/>
  <c r="AGI4" i="6"/>
  <c r="AGI5" i="6"/>
  <c r="AGI3" i="6"/>
  <c r="AGI6" i="6"/>
  <c r="WE3" i="6"/>
  <c r="WE5" i="6"/>
  <c r="WE4" i="6"/>
  <c r="WE6" i="6"/>
  <c r="DF5" i="6"/>
  <c r="DF4" i="6"/>
  <c r="DF6" i="6"/>
  <c r="DF3" i="6"/>
  <c r="EJ4" i="6"/>
  <c r="EJ3" i="6"/>
  <c r="EJ5" i="6"/>
  <c r="EJ6" i="6"/>
  <c r="XU4" i="6"/>
  <c r="XU5" i="6"/>
  <c r="XU3" i="6"/>
  <c r="XU6" i="6"/>
  <c r="AHZ5" i="6"/>
  <c r="AHZ3" i="6"/>
  <c r="AHZ4" i="6"/>
  <c r="AHZ6" i="6"/>
  <c r="GG3" i="6"/>
  <c r="GG6" i="6"/>
  <c r="GG4" i="6"/>
  <c r="GG5" i="6"/>
  <c r="LL4" i="6"/>
  <c r="LL5" i="6"/>
  <c r="LL6" i="6"/>
  <c r="LL3" i="6"/>
  <c r="AFG5" i="6"/>
  <c r="AFG6" i="6"/>
  <c r="AFG3" i="6"/>
  <c r="AFG4" i="6"/>
  <c r="Q4" i="6"/>
  <c r="Q6" i="6"/>
  <c r="Q5" i="6"/>
  <c r="Q3" i="6"/>
  <c r="OI4" i="6"/>
  <c r="OI5" i="6"/>
  <c r="OI3" i="6"/>
  <c r="OI6" i="6"/>
  <c r="SD6" i="6"/>
  <c r="SD5" i="6"/>
  <c r="SD3" i="6"/>
  <c r="SD4" i="6"/>
  <c r="QV5" i="6"/>
  <c r="QV4" i="6"/>
  <c r="QV3" i="6"/>
  <c r="QV6" i="6"/>
  <c r="ZJ3" i="6"/>
  <c r="ZJ5" i="6"/>
  <c r="ZJ6" i="6"/>
  <c r="ZJ4" i="6"/>
  <c r="JJ5" i="6"/>
  <c r="JJ4" i="6"/>
  <c r="JJ6" i="6"/>
  <c r="JJ3" i="6"/>
  <c r="AKV5" i="6"/>
  <c r="AKV6" i="6"/>
  <c r="AKV4" i="6"/>
  <c r="AKV3" i="6"/>
  <c r="AEQ5" i="6"/>
  <c r="AEQ6" i="6"/>
  <c r="AEQ4" i="6"/>
  <c r="AEQ3" i="6"/>
  <c r="IT5" i="6"/>
  <c r="IT6" i="6"/>
  <c r="IT4" i="6"/>
  <c r="IT3" i="6"/>
  <c r="AFE3" i="6"/>
  <c r="AFE5" i="6"/>
  <c r="AFE6" i="6"/>
  <c r="AFE4" i="6"/>
  <c r="ALS3" i="6"/>
  <c r="ALS5" i="6"/>
  <c r="ALS6" i="6"/>
  <c r="ALS4" i="6"/>
  <c r="BT6" i="6"/>
  <c r="BT3" i="6"/>
  <c r="BT4" i="6"/>
  <c r="BT5" i="6"/>
  <c r="ALK6" i="6"/>
  <c r="ALK4" i="6"/>
  <c r="ALK3" i="6"/>
  <c r="ALK5" i="6"/>
  <c r="OA3" i="6"/>
  <c r="OA6" i="6"/>
  <c r="OA4" i="6"/>
  <c r="OA5" i="6"/>
  <c r="JD5" i="6"/>
  <c r="JD3" i="6"/>
  <c r="JD6" i="6"/>
  <c r="JD4" i="6"/>
  <c r="KM4" i="6"/>
  <c r="KM5" i="6"/>
  <c r="KM3" i="6"/>
  <c r="KM6" i="6"/>
  <c r="BV6" i="6"/>
  <c r="BV5" i="6"/>
  <c r="BV4" i="6"/>
  <c r="BV3" i="6"/>
  <c r="VM5" i="6"/>
  <c r="VM4" i="6"/>
  <c r="VM6" i="6"/>
  <c r="VM3" i="6"/>
  <c r="AHD5" i="6"/>
  <c r="AHD6" i="6"/>
  <c r="AHD4" i="6"/>
  <c r="AHD3" i="6"/>
  <c r="AKZ3" i="6"/>
  <c r="AKZ4" i="6"/>
  <c r="AKZ5" i="6"/>
  <c r="AKZ6" i="6"/>
  <c r="OW5" i="6"/>
  <c r="OW3" i="6"/>
  <c r="OW4" i="6"/>
  <c r="OW6" i="6"/>
  <c r="AKJ5" i="6"/>
  <c r="AKJ6" i="6"/>
  <c r="AKJ4" i="6"/>
  <c r="AKJ3" i="6"/>
  <c r="AAV4" i="6"/>
  <c r="AAV5" i="6"/>
  <c r="AAV3" i="6"/>
  <c r="AAV6" i="6"/>
  <c r="AHQ5" i="6"/>
  <c r="AHQ4" i="6"/>
  <c r="AHQ6" i="6"/>
  <c r="AHQ3" i="6"/>
  <c r="AIK5" i="6"/>
  <c r="AIK6" i="6"/>
  <c r="AIK3" i="6"/>
  <c r="AIK4" i="6"/>
  <c r="AFQ5" i="6"/>
  <c r="AFQ4" i="6"/>
  <c r="AFQ3" i="6"/>
  <c r="AFQ6" i="6"/>
  <c r="FM5" i="6"/>
  <c r="FM6" i="6"/>
  <c r="FM4" i="6"/>
  <c r="FM3" i="6"/>
  <c r="WR5" i="6"/>
  <c r="WR3" i="6"/>
  <c r="WR6" i="6"/>
  <c r="WR4" i="6"/>
  <c r="GR4" i="6"/>
  <c r="GR5" i="6"/>
  <c r="GR6" i="6"/>
  <c r="GR3" i="6"/>
  <c r="LA5" i="6"/>
  <c r="LA4" i="6"/>
  <c r="LA3" i="6"/>
  <c r="LA6" i="6"/>
  <c r="AHO5" i="6"/>
  <c r="AHO6" i="6"/>
  <c r="AHO4" i="6"/>
  <c r="AHO3" i="6"/>
  <c r="HP4" i="6"/>
  <c r="HP3" i="6"/>
  <c r="HP5" i="6"/>
  <c r="HP6" i="6"/>
  <c r="TM4" i="6"/>
  <c r="TM3" i="6"/>
  <c r="TM5" i="6"/>
  <c r="TM6" i="6"/>
  <c r="BO4" i="6"/>
  <c r="BO5" i="6"/>
  <c r="BO3" i="6"/>
  <c r="BO6" i="6"/>
  <c r="ACT6" i="6"/>
  <c r="ACT4" i="6"/>
  <c r="ACT5" i="6"/>
  <c r="ACT3" i="6"/>
  <c r="GC6" i="6"/>
  <c r="GC4" i="6"/>
  <c r="GC3" i="6"/>
  <c r="GC5" i="6"/>
  <c r="AFN5" i="6"/>
  <c r="AFN4" i="6"/>
  <c r="AFN3" i="6"/>
  <c r="AFN6" i="6"/>
  <c r="AKC3" i="6"/>
  <c r="AKC5" i="6"/>
  <c r="AKC6" i="6"/>
  <c r="AKC4" i="6"/>
  <c r="AJB4" i="6"/>
  <c r="AJB3" i="6"/>
  <c r="AJB5" i="6"/>
  <c r="AJB6" i="6"/>
  <c r="CI4" i="6"/>
  <c r="CI5" i="6"/>
  <c r="CI6" i="6"/>
  <c r="CI3" i="6"/>
  <c r="CT3" i="6"/>
  <c r="CT6" i="6"/>
  <c r="CT4" i="6"/>
  <c r="CT5" i="6"/>
  <c r="KW5" i="6"/>
  <c r="KW6" i="6"/>
  <c r="KW4" i="6"/>
  <c r="KW3" i="6"/>
  <c r="AHJ3" i="6"/>
  <c r="AHJ6" i="6"/>
  <c r="AHJ4" i="6"/>
  <c r="AHJ5" i="6"/>
  <c r="QI5" i="6"/>
  <c r="QI6" i="6"/>
  <c r="QI3" i="6"/>
  <c r="QI4" i="6"/>
  <c r="AGF4" i="6"/>
  <c r="AGF5" i="6"/>
  <c r="AGF6" i="6"/>
  <c r="AGF3" i="6"/>
  <c r="MW5" i="6"/>
  <c r="MW4" i="6"/>
  <c r="MW3" i="6"/>
  <c r="MW6" i="6"/>
  <c r="RJ3" i="6"/>
  <c r="RJ5" i="6"/>
  <c r="RJ4" i="6"/>
  <c r="RJ6" i="6"/>
  <c r="AFV5" i="6"/>
  <c r="AFV3" i="6"/>
  <c r="AFV6" i="6"/>
  <c r="AFV4" i="6"/>
  <c r="NU4" i="6"/>
  <c r="NU5" i="6"/>
  <c r="NU3" i="6"/>
  <c r="NU6" i="6"/>
  <c r="KA3" i="6"/>
  <c r="KA4" i="6"/>
  <c r="KA6" i="6"/>
  <c r="KA5" i="6"/>
  <c r="ALG3" i="6"/>
  <c r="ALG4" i="6"/>
  <c r="ALG5" i="6"/>
  <c r="ALG6" i="6"/>
  <c r="UD3" i="6"/>
  <c r="UD5" i="6"/>
  <c r="UD6" i="6"/>
  <c r="UD4" i="6"/>
  <c r="ADB4" i="6"/>
  <c r="ADB6" i="6"/>
  <c r="ADB5" i="6"/>
  <c r="ADB3" i="6"/>
  <c r="GW5" i="6"/>
  <c r="GW6" i="6"/>
  <c r="GW3" i="6"/>
  <c r="GW4" i="6"/>
  <c r="AJO6" i="6"/>
  <c r="AJO3" i="6"/>
  <c r="AJO4" i="6"/>
  <c r="AJO5" i="6"/>
  <c r="FL5" i="6"/>
  <c r="FL6" i="6"/>
  <c r="FL3" i="6"/>
  <c r="FL4" i="6"/>
  <c r="AJP5" i="6"/>
  <c r="AJP3" i="6"/>
  <c r="AJP6" i="6"/>
  <c r="AJP4" i="6"/>
  <c r="P5" i="6"/>
  <c r="P6" i="6"/>
  <c r="P4" i="6"/>
  <c r="P3" i="6"/>
  <c r="YJ5" i="6"/>
  <c r="YJ6" i="6"/>
  <c r="YJ4" i="6"/>
  <c r="YJ3" i="6"/>
  <c r="ADR4" i="6"/>
  <c r="ADR5" i="6"/>
  <c r="ADR6" i="6"/>
  <c r="ADR3" i="6"/>
  <c r="YZ5" i="6"/>
  <c r="YZ6" i="6"/>
  <c r="YZ4" i="6"/>
  <c r="YZ3" i="6"/>
  <c r="AKB5" i="6"/>
  <c r="AKB4" i="6"/>
  <c r="AKB3" i="6"/>
  <c r="AKB6" i="6"/>
  <c r="AJL4" i="6"/>
  <c r="AJL5" i="6"/>
  <c r="AJL6" i="6"/>
  <c r="AJL3" i="6"/>
  <c r="M4" i="6"/>
  <c r="M5" i="6"/>
  <c r="M6" i="6"/>
  <c r="M3" i="6"/>
  <c r="AKS4" i="6"/>
  <c r="AKS5" i="6"/>
  <c r="AKS3" i="6"/>
  <c r="AKS6" i="6"/>
  <c r="AKK5" i="6"/>
  <c r="AKK6" i="6"/>
  <c r="AKK4" i="6"/>
  <c r="AKK3" i="6"/>
  <c r="CS5" i="6"/>
  <c r="CS6" i="6"/>
  <c r="CS4" i="6"/>
  <c r="CS3" i="6"/>
  <c r="AAO5" i="6"/>
  <c r="AAO4" i="6"/>
  <c r="AAO3" i="6"/>
  <c r="AAO6" i="6"/>
  <c r="AEU5" i="6"/>
  <c r="AEU4" i="6"/>
  <c r="AEU3" i="6"/>
  <c r="AEU6" i="6"/>
  <c r="PY5" i="6"/>
  <c r="PY6" i="6"/>
  <c r="PY4" i="6"/>
  <c r="PY3" i="6"/>
  <c r="LP6" i="6"/>
  <c r="LP4" i="6"/>
  <c r="LP5" i="6"/>
  <c r="LP3" i="6"/>
  <c r="AE5" i="6"/>
  <c r="AE6" i="6"/>
  <c r="AE4" i="6"/>
  <c r="AE3" i="6"/>
  <c r="KP3" i="6"/>
  <c r="KP5" i="6"/>
  <c r="KP6" i="6"/>
  <c r="KP4" i="6"/>
  <c r="ALN5" i="6"/>
  <c r="ALN4" i="6"/>
  <c r="ALN3" i="6"/>
  <c r="ALN6" i="6"/>
  <c r="AFR6" i="6"/>
  <c r="AFR4" i="6"/>
  <c r="AFR3" i="6"/>
  <c r="AFR5" i="6"/>
  <c r="BD4" i="6"/>
  <c r="BD3" i="6"/>
  <c r="BD6" i="6"/>
  <c r="BD5" i="6"/>
  <c r="NA4" i="6"/>
  <c r="NA3" i="6"/>
  <c r="NA5" i="6"/>
  <c r="NA6" i="6"/>
  <c r="TY5" i="6"/>
  <c r="TY6" i="6"/>
  <c r="TY3" i="6"/>
  <c r="TY4" i="6"/>
  <c r="AFY5" i="6"/>
  <c r="AFY6" i="6"/>
  <c r="AFY4" i="6"/>
  <c r="AFY3" i="6"/>
  <c r="UM5" i="6"/>
  <c r="UM4" i="6"/>
  <c r="UM6" i="6"/>
  <c r="UM3" i="6"/>
  <c r="JG4" i="6"/>
  <c r="JG5" i="6"/>
  <c r="JG6" i="6"/>
  <c r="JG3" i="6"/>
  <c r="VV3" i="6"/>
  <c r="VV5" i="6"/>
  <c r="VV4" i="6"/>
  <c r="VV6" i="6"/>
  <c r="ABZ5" i="6"/>
  <c r="ABZ6" i="6"/>
  <c r="ABZ4" i="6"/>
  <c r="ABZ3" i="6"/>
  <c r="WO5" i="6"/>
  <c r="WO4" i="6"/>
  <c r="WO3" i="6"/>
  <c r="WO6" i="6"/>
  <c r="AHF5" i="6"/>
  <c r="AHF6" i="6"/>
  <c r="AHF4" i="6"/>
  <c r="AHF3" i="6"/>
  <c r="DN5" i="6"/>
  <c r="DN6" i="6"/>
  <c r="DN3" i="6"/>
  <c r="DN4" i="6"/>
  <c r="KF4" i="6"/>
  <c r="KF5" i="6"/>
  <c r="KF6" i="6"/>
  <c r="KF3" i="6"/>
  <c r="AD6" i="6"/>
  <c r="AD3" i="6"/>
  <c r="AD4" i="6"/>
  <c r="AD5" i="6"/>
  <c r="PK3" i="6"/>
  <c r="PK6" i="6"/>
  <c r="PK5" i="6"/>
  <c r="PK4" i="6"/>
  <c r="QN5" i="6"/>
  <c r="QN6" i="6"/>
  <c r="QN4" i="6"/>
  <c r="QN3" i="6"/>
  <c r="QY5" i="6"/>
  <c r="QY3" i="6"/>
  <c r="QY4" i="6"/>
  <c r="QY6" i="6"/>
  <c r="ABQ3" i="6"/>
  <c r="ABQ4" i="6"/>
  <c r="ABQ5" i="6"/>
  <c r="ABQ6" i="6"/>
  <c r="PZ4" i="6"/>
  <c r="PZ5" i="6"/>
  <c r="PZ6" i="6"/>
  <c r="PZ3" i="6"/>
  <c r="IF3" i="6"/>
  <c r="IF5" i="6"/>
  <c r="IF6" i="6"/>
  <c r="IF4" i="6"/>
  <c r="GJ6" i="6"/>
  <c r="GJ4" i="6"/>
  <c r="GJ5" i="6"/>
  <c r="GJ3" i="6"/>
  <c r="PA5" i="6"/>
  <c r="PA3" i="6"/>
  <c r="PA4" i="6"/>
  <c r="PA6" i="6"/>
  <c r="MD6" i="6"/>
  <c r="MD4" i="6"/>
  <c r="MD5" i="6"/>
  <c r="MD3" i="6"/>
  <c r="FI5" i="6"/>
  <c r="FI6" i="6"/>
  <c r="FI4" i="6"/>
  <c r="FI3" i="6"/>
  <c r="FQ3" i="6"/>
  <c r="FQ6" i="6"/>
  <c r="FQ4" i="6"/>
  <c r="FQ5" i="6"/>
  <c r="DZ6" i="6"/>
  <c r="DZ3" i="6"/>
  <c r="DZ4" i="6"/>
  <c r="DZ5" i="6"/>
  <c r="ACE4" i="6"/>
  <c r="ACE5" i="6"/>
  <c r="ACE3" i="6"/>
  <c r="ACE6" i="6"/>
  <c r="YG5" i="6"/>
  <c r="YG4" i="6"/>
  <c r="YG6" i="6"/>
  <c r="YG3" i="6"/>
  <c r="ALJ5" i="6"/>
  <c r="ALJ6" i="6"/>
  <c r="ALJ4" i="6"/>
  <c r="ALJ3" i="6"/>
  <c r="BN3" i="6"/>
  <c r="BN5" i="6"/>
  <c r="BN4" i="6"/>
  <c r="BN6" i="6"/>
  <c r="OR4" i="6"/>
  <c r="OR5" i="6"/>
  <c r="OR6" i="6"/>
  <c r="OR3" i="6"/>
  <c r="EN4" i="6"/>
  <c r="EN6" i="6"/>
  <c r="EN3" i="6"/>
  <c r="EN5" i="6"/>
  <c r="ACO3" i="6"/>
  <c r="ACO6" i="6"/>
  <c r="ACO5" i="6"/>
  <c r="ACO4" i="6"/>
  <c r="AJW3" i="6"/>
  <c r="AJW6" i="6"/>
  <c r="AJW4" i="6"/>
  <c r="AJW5" i="6"/>
  <c r="ALF6" i="6"/>
  <c r="ALF3" i="6"/>
  <c r="ALF5" i="6"/>
  <c r="ALF4" i="6"/>
  <c r="K5" i="6"/>
  <c r="K6" i="6"/>
  <c r="K3" i="6"/>
  <c r="K4" i="6"/>
  <c r="TK5" i="6"/>
  <c r="TK6" i="6"/>
  <c r="TK3" i="6"/>
  <c r="TK4" i="6"/>
  <c r="TB5" i="6"/>
  <c r="TB6" i="6"/>
  <c r="TB3" i="6"/>
  <c r="TB4" i="6"/>
  <c r="NN6" i="6"/>
  <c r="NN4" i="6"/>
  <c r="NN5" i="6"/>
  <c r="NN3" i="6"/>
  <c r="ED3" i="6"/>
  <c r="ED6" i="6"/>
  <c r="ED4" i="6"/>
  <c r="ED5" i="6"/>
  <c r="KG5" i="6"/>
  <c r="KG6" i="6"/>
  <c r="KG3" i="6"/>
  <c r="KG4" i="6"/>
  <c r="MB6" i="6"/>
  <c r="MB4" i="6"/>
  <c r="MB5" i="6"/>
  <c r="MB3" i="6"/>
  <c r="AHY5" i="6"/>
  <c r="AHY4" i="6"/>
  <c r="AHY6" i="6"/>
  <c r="AHY3" i="6"/>
  <c r="QF5" i="6"/>
  <c r="QF6" i="6"/>
  <c r="QF4" i="6"/>
  <c r="QF3" i="6"/>
  <c r="AV5" i="6"/>
  <c r="AV6" i="6"/>
  <c r="AV4" i="6"/>
  <c r="AV3" i="6"/>
  <c r="GY4" i="6"/>
  <c r="GY5" i="6"/>
  <c r="GY3" i="6"/>
  <c r="GY6" i="6"/>
  <c r="ABM4" i="6"/>
  <c r="ABM5" i="6"/>
  <c r="ABM3" i="6"/>
  <c r="ABM6" i="6"/>
  <c r="PC5" i="6"/>
  <c r="PC6" i="6"/>
  <c r="PC4" i="6"/>
  <c r="PC3" i="6"/>
  <c r="QU3" i="6"/>
  <c r="QU4" i="6"/>
  <c r="QU5" i="6"/>
  <c r="QU6" i="6"/>
  <c r="TP5" i="6"/>
  <c r="TP6" i="6"/>
  <c r="TP4" i="6"/>
  <c r="TP3" i="6"/>
  <c r="SS5" i="6"/>
  <c r="SS4" i="6"/>
  <c r="SS6" i="6"/>
  <c r="SS3" i="6"/>
  <c r="KX3" i="6"/>
  <c r="KX4" i="6"/>
  <c r="KX5" i="6"/>
  <c r="KX6" i="6"/>
  <c r="AIJ5" i="6"/>
  <c r="AIJ6" i="6"/>
  <c r="AIJ4" i="6"/>
  <c r="AIJ3" i="6"/>
  <c r="UN4" i="6"/>
  <c r="UN5" i="6"/>
  <c r="UN3" i="6"/>
  <c r="UN6" i="6"/>
  <c r="AR4" i="6"/>
  <c r="AR3" i="6"/>
  <c r="AR6" i="6"/>
  <c r="AR5" i="6"/>
  <c r="RD5" i="6"/>
  <c r="RD4" i="6"/>
  <c r="RD6" i="6"/>
  <c r="RD3" i="6"/>
  <c r="ZI4" i="6"/>
  <c r="ZI5" i="6"/>
  <c r="ZI6" i="6"/>
  <c r="ZI3" i="6"/>
  <c r="JF3" i="6"/>
  <c r="JF4" i="6"/>
  <c r="JF5" i="6"/>
  <c r="JF6" i="6"/>
  <c r="PB3" i="6"/>
  <c r="PB5" i="6"/>
  <c r="PB6" i="6"/>
  <c r="PB4" i="6"/>
  <c r="OK4" i="6"/>
  <c r="OK6" i="6"/>
  <c r="OK3" i="6"/>
  <c r="OK5" i="6"/>
  <c r="OX5" i="6"/>
  <c r="OX6" i="6"/>
  <c r="OX4" i="6"/>
  <c r="OX3" i="6"/>
  <c r="AHE4" i="6"/>
  <c r="AHE5" i="6"/>
  <c r="AHE3" i="6"/>
  <c r="AHE6" i="6"/>
  <c r="IX4" i="6"/>
  <c r="IX5" i="6"/>
  <c r="IX3" i="6"/>
  <c r="IX6" i="6"/>
  <c r="AES5" i="6"/>
  <c r="AES6" i="6"/>
  <c r="AES3" i="6"/>
  <c r="AES4" i="6"/>
  <c r="JM5" i="6"/>
  <c r="JM6" i="6"/>
  <c r="JM3" i="6"/>
  <c r="JM4" i="6"/>
  <c r="ALH5" i="6"/>
  <c r="ALH6" i="6"/>
  <c r="ALH4" i="6"/>
  <c r="ALH3" i="6"/>
  <c r="WP4" i="6"/>
  <c r="WP6" i="6"/>
  <c r="WP3" i="6"/>
  <c r="WP5" i="6"/>
  <c r="UQ3" i="6"/>
  <c r="UQ5" i="6"/>
  <c r="UQ6" i="6"/>
  <c r="UQ4" i="6"/>
  <c r="AN3" i="6"/>
  <c r="AN6" i="6"/>
  <c r="AN5" i="6"/>
  <c r="AN4" i="6"/>
  <c r="GD3" i="6"/>
  <c r="GD4" i="6"/>
  <c r="GD5" i="6"/>
  <c r="GD6" i="6"/>
  <c r="RL5" i="6"/>
  <c r="RL6" i="6"/>
  <c r="RL4" i="6"/>
  <c r="RL3" i="6"/>
  <c r="CD5" i="6"/>
  <c r="CD6" i="6"/>
  <c r="CD4" i="6"/>
  <c r="CD3" i="6"/>
  <c r="O4" i="6"/>
  <c r="O6" i="6"/>
  <c r="O5" i="6"/>
  <c r="O3" i="6"/>
  <c r="VD5" i="6"/>
  <c r="VD6" i="6"/>
  <c r="VD3" i="6"/>
  <c r="VD4" i="6"/>
  <c r="HF5" i="6"/>
  <c r="HF6" i="6"/>
  <c r="HF3" i="6"/>
  <c r="HF4" i="6"/>
  <c r="AAK6" i="6"/>
  <c r="AAK4" i="6"/>
  <c r="AAK5" i="6"/>
  <c r="AAK3" i="6"/>
  <c r="YF4" i="6"/>
  <c r="YF5" i="6"/>
  <c r="YF6" i="6"/>
  <c r="YF3" i="6"/>
  <c r="EX5" i="6"/>
  <c r="EX4" i="6"/>
  <c r="EX3" i="6"/>
  <c r="EX6" i="6"/>
  <c r="WU5" i="6"/>
  <c r="WU3" i="6"/>
  <c r="WU6" i="6"/>
  <c r="WU4" i="6"/>
  <c r="EV3" i="6"/>
  <c r="EV6" i="6"/>
  <c r="EV5" i="6"/>
  <c r="EV4" i="6"/>
  <c r="BZ4" i="6"/>
  <c r="BZ5" i="6"/>
  <c r="BZ6" i="6"/>
  <c r="BZ3" i="6"/>
  <c r="AED5" i="6"/>
  <c r="AED6" i="6"/>
  <c r="AED3" i="6"/>
  <c r="AED4" i="6"/>
  <c r="AGJ5" i="6"/>
  <c r="AGJ6" i="6"/>
  <c r="AGJ4" i="6"/>
  <c r="AGJ3" i="6"/>
  <c r="EQ5" i="6"/>
  <c r="EQ6" i="6"/>
  <c r="EQ4" i="6"/>
  <c r="EQ3" i="6"/>
  <c r="FA6" i="6"/>
  <c r="FA4" i="6"/>
  <c r="FA5" i="6"/>
  <c r="FA3" i="6"/>
  <c r="XR4" i="6"/>
  <c r="XR5" i="6"/>
  <c r="XR3" i="6"/>
  <c r="XR6" i="6"/>
  <c r="ACC4" i="6"/>
  <c r="ACC3" i="6"/>
  <c r="ACC6" i="6"/>
  <c r="ACC5" i="6"/>
  <c r="ZG4" i="6"/>
  <c r="ZG5" i="6"/>
  <c r="ZG3" i="6"/>
  <c r="ZG6" i="6"/>
  <c r="MM4" i="6"/>
  <c r="MM5" i="6"/>
  <c r="MM6" i="6"/>
  <c r="MM3" i="6"/>
  <c r="ABP5" i="6"/>
  <c r="ABP6" i="6"/>
  <c r="ABP3" i="6"/>
  <c r="ABP4" i="6"/>
  <c r="LM3" i="6"/>
  <c r="LM6" i="6"/>
  <c r="LM5" i="6"/>
  <c r="LM4" i="6"/>
  <c r="WD6" i="6"/>
  <c r="WD4" i="6"/>
  <c r="WD3" i="6"/>
  <c r="WD5" i="6"/>
  <c r="WZ6" i="6"/>
  <c r="WZ3" i="6"/>
  <c r="WZ5" i="6"/>
  <c r="WZ4" i="6"/>
  <c r="AA6" i="6"/>
  <c r="AA4" i="6"/>
  <c r="AA5" i="6"/>
  <c r="AA3" i="6"/>
  <c r="PF5" i="6"/>
  <c r="PF6" i="6"/>
  <c r="PF3" i="6"/>
  <c r="PF4" i="6"/>
  <c r="EM5" i="6"/>
  <c r="EM6" i="6"/>
  <c r="EM4" i="6"/>
  <c r="EM3" i="6"/>
  <c r="NR3" i="6"/>
  <c r="NR4" i="6"/>
  <c r="NR6" i="6"/>
  <c r="NR5" i="6"/>
  <c r="VR5" i="6"/>
  <c r="VR4" i="6"/>
  <c r="VR6" i="6"/>
  <c r="VR3" i="6"/>
  <c r="DW5" i="6"/>
  <c r="DW4" i="6"/>
  <c r="DW3" i="6"/>
  <c r="DW6" i="6"/>
  <c r="ABN4" i="6"/>
  <c r="ABN3" i="6"/>
  <c r="ABN5" i="6"/>
  <c r="ABN6" i="6"/>
  <c r="AKU5" i="6"/>
  <c r="AKU6" i="6"/>
  <c r="AKU4" i="6"/>
  <c r="AKU3" i="6"/>
  <c r="HN5" i="6"/>
  <c r="HN6" i="6"/>
  <c r="HN3" i="6"/>
  <c r="HN4" i="6"/>
  <c r="TU5" i="6"/>
  <c r="TU6" i="6"/>
  <c r="TU3" i="6"/>
  <c r="TU4" i="6"/>
  <c r="VU5" i="6"/>
  <c r="VU6" i="6"/>
  <c r="VU3" i="6"/>
  <c r="VU4" i="6"/>
  <c r="CU5" i="6"/>
  <c r="CU6" i="6"/>
  <c r="CU3" i="6"/>
  <c r="CU4" i="6"/>
  <c r="AHM3" i="6"/>
  <c r="AHM5" i="6"/>
  <c r="AHM6" i="6"/>
  <c r="AHM4" i="6"/>
  <c r="VH5" i="6"/>
  <c r="VH4" i="6"/>
  <c r="VH6" i="6"/>
  <c r="VH3" i="6"/>
  <c r="RI4" i="6"/>
  <c r="RI5" i="6"/>
  <c r="RI6" i="6"/>
  <c r="RI3" i="6"/>
  <c r="AHB5" i="6"/>
  <c r="AHB6" i="6"/>
  <c r="AHB3" i="6"/>
  <c r="AHB4" i="6"/>
  <c r="CF5" i="6"/>
  <c r="CF3" i="6"/>
  <c r="CF6" i="6"/>
  <c r="CF4" i="6"/>
  <c r="ABF6" i="6"/>
  <c r="ABF4" i="6"/>
  <c r="ABF3" i="6"/>
  <c r="ABF5" i="6"/>
  <c r="SY5" i="6"/>
  <c r="SY4" i="6"/>
  <c r="SY3" i="6"/>
  <c r="SY6" i="6"/>
  <c r="LB4" i="6"/>
  <c r="LB3" i="6"/>
  <c r="LB5" i="6"/>
  <c r="LB6" i="6"/>
  <c r="NI4" i="6"/>
  <c r="NI5" i="6"/>
  <c r="NI6" i="6"/>
  <c r="NI3" i="6"/>
  <c r="AEJ5" i="6"/>
  <c r="AEJ3" i="6"/>
  <c r="AEJ6" i="6"/>
  <c r="AEJ4" i="6"/>
  <c r="RR5" i="6"/>
  <c r="RR6" i="6"/>
  <c r="RR3" i="6"/>
  <c r="RR4" i="6"/>
  <c r="AAJ5" i="6"/>
  <c r="AAJ6" i="6"/>
  <c r="AAJ4" i="6"/>
  <c r="AAJ3" i="6"/>
  <c r="ZH5" i="6"/>
  <c r="ZH6" i="6"/>
  <c r="ZH3" i="6"/>
  <c r="ZH4" i="6"/>
  <c r="SR4" i="6"/>
  <c r="SR5" i="6"/>
  <c r="SR3" i="6"/>
  <c r="SR6" i="6"/>
  <c r="PH4" i="6"/>
  <c r="PH5" i="6"/>
  <c r="PH6" i="6"/>
  <c r="PH3" i="6"/>
  <c r="NL5" i="6"/>
  <c r="NL6" i="6"/>
  <c r="NL3" i="6"/>
  <c r="NL4" i="6"/>
  <c r="SW4" i="6"/>
  <c r="SW6" i="6"/>
  <c r="SW3" i="6"/>
  <c r="SW5" i="6"/>
  <c r="II3" i="6"/>
  <c r="II5" i="6"/>
  <c r="II6" i="6"/>
  <c r="II4" i="6"/>
  <c r="LU3" i="6"/>
  <c r="LU5" i="6"/>
  <c r="LU6" i="6"/>
  <c r="LU4" i="6"/>
  <c r="KR3" i="6"/>
  <c r="KR5" i="6"/>
  <c r="KR6" i="6"/>
  <c r="KR4" i="6"/>
  <c r="QT3" i="6"/>
  <c r="QT4" i="6"/>
  <c r="QT5" i="6"/>
  <c r="QT6" i="6"/>
  <c r="KZ5" i="6"/>
  <c r="KZ4" i="6"/>
  <c r="KZ6" i="6"/>
  <c r="KZ3" i="6"/>
  <c r="DL5" i="6"/>
  <c r="DL4" i="6"/>
  <c r="DL3" i="6"/>
  <c r="DL6" i="6"/>
  <c r="FO5" i="6"/>
  <c r="FO6" i="6"/>
  <c r="FO4" i="6"/>
  <c r="FO3" i="6"/>
  <c r="IS5" i="6"/>
  <c r="IS4" i="6"/>
  <c r="IS6" i="6"/>
  <c r="IS3" i="6"/>
  <c r="ZA3" i="6"/>
  <c r="ZA5" i="6"/>
  <c r="ZA4" i="6"/>
  <c r="ZA6" i="6"/>
  <c r="KK5" i="6"/>
  <c r="KK3" i="6"/>
  <c r="KK6" i="6"/>
  <c r="KK4" i="6"/>
  <c r="MN3" i="6"/>
  <c r="MN5" i="6"/>
  <c r="MN6" i="6"/>
  <c r="MN4" i="6"/>
  <c r="AAF5" i="6"/>
  <c r="AAF4" i="6"/>
  <c r="AAF3" i="6"/>
  <c r="AAF6" i="6"/>
  <c r="AHV5" i="6"/>
  <c r="AHV6" i="6"/>
  <c r="AHV4" i="6"/>
  <c r="AHV3" i="6"/>
  <c r="JC4" i="6"/>
  <c r="JC3" i="6"/>
  <c r="JC5" i="6"/>
  <c r="JC6" i="6"/>
  <c r="ALO6" i="6"/>
  <c r="ALO4" i="6"/>
  <c r="ALO3" i="6"/>
  <c r="ALO5" i="6"/>
  <c r="QC4" i="6"/>
  <c r="QC5" i="6"/>
  <c r="QC6" i="6"/>
  <c r="QC3" i="6"/>
  <c r="QZ5" i="6"/>
  <c r="QZ4" i="6"/>
  <c r="QZ3" i="6"/>
  <c r="QZ6" i="6"/>
  <c r="ACV5" i="6"/>
  <c r="ACV4" i="6"/>
  <c r="ACV3" i="6"/>
  <c r="ACV6" i="6"/>
  <c r="JH5" i="6"/>
  <c r="JH6" i="6"/>
  <c r="JH4" i="6"/>
  <c r="JH3" i="6"/>
  <c r="WA4" i="6"/>
  <c r="WA3" i="6"/>
  <c r="WA5" i="6"/>
  <c r="WA6" i="6"/>
  <c r="HT3" i="6"/>
  <c r="HT6" i="6"/>
  <c r="HT4" i="6"/>
  <c r="HT5" i="6"/>
  <c r="CX5" i="6"/>
  <c r="CX6" i="6"/>
  <c r="CX4" i="6"/>
  <c r="CX3" i="6"/>
  <c r="PU5" i="6"/>
  <c r="PU6" i="6"/>
  <c r="PU3" i="6"/>
  <c r="PU4" i="6"/>
  <c r="NV6" i="6"/>
  <c r="NV3" i="6"/>
  <c r="NV5" i="6"/>
  <c r="NV4" i="6"/>
  <c r="ZO3" i="6"/>
  <c r="ZO4" i="6"/>
  <c r="ZO5" i="6"/>
  <c r="ZO6" i="6"/>
  <c r="ON6" i="6"/>
  <c r="ON4" i="6"/>
  <c r="ON5" i="6"/>
  <c r="ON3" i="6"/>
  <c r="BR5" i="6"/>
  <c r="BR6" i="6"/>
  <c r="BR3" i="6"/>
  <c r="BR4" i="6"/>
  <c r="AAR4" i="6"/>
  <c r="AAR3" i="6"/>
  <c r="AAR5" i="6"/>
  <c r="AAR6" i="6"/>
  <c r="TS6" i="6"/>
  <c r="TS4" i="6"/>
  <c r="TS3" i="6"/>
  <c r="TS5" i="6"/>
  <c r="AGE4" i="6"/>
  <c r="AGE3" i="6"/>
  <c r="AGE5" i="6"/>
  <c r="AGE6" i="6"/>
  <c r="Z5" i="6"/>
  <c r="Z4" i="6"/>
  <c r="Z3" i="6"/>
  <c r="Z6" i="6"/>
  <c r="ZD6" i="6"/>
  <c r="ZD3" i="6"/>
  <c r="ZD5" i="6"/>
  <c r="ZD4" i="6"/>
  <c r="ADQ5" i="6"/>
  <c r="ADQ6" i="6"/>
  <c r="ADQ4" i="6"/>
  <c r="ADQ3" i="6"/>
  <c r="HE5" i="6"/>
  <c r="HE6" i="6"/>
  <c r="HE3" i="6"/>
  <c r="HE4" i="6"/>
  <c r="ADP6" i="6"/>
  <c r="ADP4" i="6"/>
  <c r="ADP5" i="6"/>
  <c r="ADP3" i="6"/>
  <c r="RY4" i="6"/>
  <c r="RY5" i="6"/>
  <c r="RY6" i="6"/>
  <c r="RY3" i="6"/>
  <c r="ALC4" i="6"/>
  <c r="ALC3" i="6"/>
  <c r="ALC5" i="6"/>
  <c r="ALC6" i="6"/>
  <c r="ZZ4" i="6"/>
  <c r="ZZ5" i="6"/>
  <c r="ZZ6" i="6"/>
  <c r="ZZ3" i="6"/>
  <c r="WY5" i="6"/>
  <c r="WY6" i="6"/>
  <c r="WY3" i="6"/>
  <c r="WY4" i="6"/>
  <c r="ME4" i="6"/>
  <c r="ME5" i="6"/>
  <c r="ME3" i="6"/>
  <c r="ME6" i="6"/>
  <c r="ABU5" i="6"/>
  <c r="ABU4" i="6"/>
  <c r="ABU6" i="6"/>
  <c r="ABU3" i="6"/>
  <c r="VS3" i="6"/>
  <c r="VS6" i="6"/>
  <c r="VS4" i="6"/>
  <c r="VS5" i="6"/>
  <c r="RH4" i="6"/>
  <c r="RH5" i="6"/>
  <c r="RH3" i="6"/>
  <c r="RH6" i="6"/>
  <c r="ER5" i="6"/>
  <c r="ER6" i="6"/>
  <c r="ER4" i="6"/>
  <c r="ER3" i="6"/>
  <c r="RP4" i="6"/>
  <c r="RP5" i="6"/>
  <c r="RP3" i="6"/>
  <c r="RP6" i="6"/>
  <c r="AHC4" i="6"/>
  <c r="AHC5" i="6"/>
  <c r="AHC6" i="6"/>
  <c r="AHC3" i="6"/>
  <c r="BW4" i="6"/>
  <c r="BW5" i="6"/>
  <c r="BW6" i="6"/>
  <c r="BW3" i="6"/>
  <c r="GM5" i="6"/>
  <c r="GM6" i="6"/>
  <c r="GM4" i="6"/>
  <c r="GM3" i="6"/>
  <c r="AF5" i="6"/>
  <c r="AF6" i="6"/>
  <c r="AF3" i="6"/>
  <c r="AF4" i="6"/>
  <c r="IG4" i="6"/>
  <c r="IG5" i="6"/>
  <c r="IG3" i="6"/>
  <c r="IG6" i="6"/>
  <c r="XM3" i="6"/>
  <c r="XM4" i="6"/>
  <c r="XM5" i="6"/>
  <c r="XM6" i="6"/>
  <c r="LV5" i="6"/>
  <c r="LV6" i="6"/>
  <c r="LV3" i="6"/>
  <c r="LV4" i="6"/>
  <c r="TZ3" i="6"/>
  <c r="TZ6" i="6"/>
  <c r="TZ4" i="6"/>
  <c r="TZ5" i="6"/>
  <c r="DX5" i="6"/>
  <c r="DX3" i="6"/>
  <c r="DX6" i="6"/>
  <c r="DX4" i="6"/>
  <c r="MF4" i="6"/>
  <c r="MF3" i="6"/>
  <c r="MF5" i="6"/>
  <c r="MF6" i="6"/>
  <c r="AKR4" i="6"/>
  <c r="AKR5" i="6"/>
  <c r="AKR6" i="6"/>
  <c r="AKR3" i="6"/>
  <c r="AKA5" i="6"/>
  <c r="AKA6" i="6"/>
  <c r="AKA4" i="6"/>
  <c r="AKA3" i="6"/>
  <c r="JB4" i="6"/>
  <c r="JB3" i="6"/>
  <c r="JB5" i="6"/>
  <c r="JB6" i="6"/>
  <c r="OT4" i="6"/>
  <c r="OT5" i="6"/>
  <c r="OT6" i="6"/>
  <c r="OT3" i="6"/>
  <c r="AKX3" i="6"/>
  <c r="AKX5" i="6"/>
  <c r="AKX6" i="6"/>
  <c r="AKX4" i="6"/>
  <c r="AP5" i="6"/>
  <c r="AP6" i="6"/>
  <c r="AP4" i="6"/>
  <c r="AP3" i="6"/>
  <c r="GN5" i="6"/>
  <c r="GN6" i="6"/>
  <c r="GN4" i="6"/>
  <c r="GN3" i="6"/>
  <c r="DU5" i="6"/>
  <c r="DU6" i="6"/>
  <c r="DU4" i="6"/>
  <c r="DU3" i="6"/>
  <c r="DV4" i="6"/>
  <c r="DV6" i="6"/>
  <c r="DV3" i="6"/>
  <c r="DV5" i="6"/>
  <c r="AJF5" i="6"/>
  <c r="AJF4" i="6"/>
  <c r="AJF6" i="6"/>
  <c r="AJF3" i="6"/>
  <c r="ABC5" i="6"/>
  <c r="ABC4" i="6"/>
  <c r="ABC6" i="6"/>
  <c r="ABC3" i="6"/>
  <c r="AGO5" i="6"/>
  <c r="AGO6" i="6"/>
  <c r="AGO3" i="6"/>
  <c r="AGO4" i="6"/>
  <c r="AKM3" i="6"/>
  <c r="AKM5" i="6"/>
  <c r="AKM6" i="6"/>
  <c r="AKM4" i="6"/>
  <c r="AEA5" i="6"/>
  <c r="AEA6" i="6"/>
  <c r="AEA3" i="6"/>
  <c r="AEA4" i="6"/>
  <c r="ALB5" i="6"/>
  <c r="ALB4" i="6"/>
  <c r="ALB3" i="6"/>
  <c r="ALB6" i="6"/>
  <c r="NK5" i="6"/>
  <c r="NK6" i="6"/>
  <c r="NK4" i="6"/>
  <c r="NK3" i="6"/>
  <c r="AKS31" i="7"/>
  <c r="AKT2" i="6" s="1"/>
  <c r="GL4" i="6"/>
  <c r="GL5" i="6"/>
  <c r="GL6" i="6"/>
  <c r="GL3" i="6"/>
  <c r="LK3" i="6"/>
  <c r="LK5" i="6"/>
  <c r="LK6" i="6"/>
  <c r="LK4" i="6"/>
  <c r="Y3" i="6"/>
  <c r="Y5" i="6"/>
  <c r="Y6" i="6"/>
  <c r="Y4" i="6"/>
  <c r="YT5" i="6"/>
  <c r="YT3" i="6"/>
  <c r="YT6" i="6"/>
  <c r="YT4" i="6"/>
  <c r="ID3" i="6"/>
  <c r="ID4" i="6"/>
  <c r="ID5" i="6"/>
  <c r="ID6" i="6"/>
  <c r="FD5" i="6"/>
  <c r="FD6" i="6"/>
  <c r="FD4" i="6"/>
  <c r="FD3" i="6"/>
  <c r="ABX4" i="6"/>
  <c r="ABX5" i="6"/>
  <c r="ABX6" i="6"/>
  <c r="ABX3" i="6"/>
  <c r="EG5" i="6"/>
  <c r="EG6" i="6"/>
  <c r="EG4" i="6"/>
  <c r="EG3" i="6"/>
  <c r="ADT5" i="6"/>
  <c r="ADT3" i="6"/>
  <c r="ADT4" i="6"/>
  <c r="ADT6" i="6"/>
  <c r="NT5" i="6"/>
  <c r="NT6" i="6"/>
  <c r="NT4" i="6"/>
  <c r="NT3" i="6"/>
  <c r="ALR5" i="6"/>
  <c r="ALR6" i="6"/>
  <c r="ALR3" i="6"/>
  <c r="ALR4" i="6"/>
  <c r="RK6" i="6"/>
  <c r="RK5" i="6"/>
  <c r="RK4" i="6"/>
  <c r="RK3" i="6"/>
  <c r="SJ5" i="6"/>
  <c r="SJ6" i="6"/>
  <c r="SJ3" i="6"/>
  <c r="SJ4" i="6"/>
  <c r="UA3" i="6"/>
  <c r="UA6" i="6"/>
  <c r="UA4" i="6"/>
  <c r="UA5" i="6"/>
  <c r="AJQ5" i="6"/>
  <c r="AJQ6" i="6"/>
  <c r="AJQ4" i="6"/>
  <c r="AJQ3" i="6"/>
  <c r="ADI5" i="6"/>
  <c r="ADI4" i="6"/>
  <c r="ADI3" i="6"/>
  <c r="ADI6" i="6"/>
  <c r="AIY5" i="6"/>
  <c r="AIY6" i="6"/>
  <c r="AIY4" i="6"/>
  <c r="AIY3" i="6"/>
  <c r="AKD5" i="6"/>
  <c r="AKD6" i="6"/>
  <c r="AKD4" i="6"/>
  <c r="AKD3" i="6"/>
  <c r="AAI4" i="6"/>
  <c r="AAI5" i="6"/>
  <c r="AAI3" i="6"/>
  <c r="AAI6" i="6"/>
  <c r="HA3" i="6"/>
  <c r="HA5" i="6"/>
  <c r="HA6" i="6"/>
  <c r="HA4" i="6"/>
  <c r="TI5" i="6"/>
  <c r="TI3" i="6"/>
  <c r="TI4" i="6"/>
  <c r="TI6" i="6"/>
  <c r="J6" i="6"/>
  <c r="J4" i="6"/>
  <c r="J3" i="6"/>
  <c r="J5" i="6"/>
  <c r="GO6" i="6"/>
  <c r="GO4" i="6"/>
  <c r="GO3" i="6"/>
  <c r="GO5" i="6"/>
  <c r="UO6" i="6"/>
  <c r="UO4" i="6"/>
  <c r="UO3" i="6"/>
  <c r="UO5" i="6"/>
  <c r="V5" i="6"/>
  <c r="V4" i="6"/>
  <c r="V3" i="6"/>
  <c r="V6" i="6"/>
  <c r="ADN3" i="6"/>
  <c r="ADN4" i="6"/>
  <c r="ADN5" i="6"/>
  <c r="ADN6" i="6"/>
  <c r="AAL5" i="6"/>
  <c r="AAL6" i="6"/>
  <c r="AAL4" i="6"/>
  <c r="AAL3" i="6"/>
  <c r="RV4" i="6"/>
  <c r="RV5" i="6"/>
  <c r="RV6" i="6"/>
  <c r="RV3" i="6"/>
  <c r="AGZ3" i="6"/>
  <c r="AGZ6" i="6"/>
  <c r="AGZ4" i="6"/>
  <c r="AGZ5" i="6"/>
  <c r="ALP4" i="6"/>
  <c r="ALP3" i="6"/>
  <c r="ALP5" i="6"/>
  <c r="ALP6" i="6"/>
  <c r="AJC5" i="6"/>
  <c r="AJC6" i="6"/>
  <c r="AJC3" i="6"/>
  <c r="AJC4" i="6"/>
  <c r="ALM4" i="6"/>
  <c r="ALM6" i="6"/>
  <c r="ALM3" i="6"/>
  <c r="ALM5" i="6"/>
  <c r="CV5" i="6"/>
  <c r="CV6" i="6"/>
  <c r="CV4" i="6"/>
  <c r="CV3" i="6"/>
  <c r="CW5" i="6"/>
  <c r="CW4" i="6"/>
  <c r="CW6" i="6"/>
  <c r="CW3" i="6"/>
  <c r="TE5" i="6"/>
  <c r="TE4" i="6"/>
  <c r="TE3" i="6"/>
  <c r="TE6" i="6"/>
  <c r="RM4" i="6"/>
  <c r="RM5" i="6"/>
  <c r="RM6" i="6"/>
  <c r="RM3" i="6"/>
  <c r="ZM3" i="6"/>
  <c r="ZM5" i="6"/>
  <c r="ZM6" i="6"/>
  <c r="ZM4" i="6"/>
  <c r="JO5" i="6"/>
  <c r="JO4" i="6"/>
  <c r="JO6" i="6"/>
  <c r="JO3" i="6"/>
  <c r="XX5" i="6"/>
  <c r="XX6" i="6"/>
  <c r="XX3" i="6"/>
  <c r="XX4" i="6"/>
  <c r="BL3" i="6"/>
  <c r="BL4" i="6"/>
  <c r="BL5" i="6"/>
  <c r="BL6" i="6"/>
  <c r="ADD6" i="6"/>
  <c r="ADD4" i="6"/>
  <c r="ADD5" i="6"/>
  <c r="ADD3" i="6"/>
  <c r="DJ5" i="6"/>
  <c r="DJ4" i="6"/>
  <c r="DJ6" i="6"/>
  <c r="DJ3" i="6"/>
  <c r="AGP5" i="6"/>
  <c r="AGP3" i="6"/>
  <c r="AGP6" i="6"/>
  <c r="AGP4" i="6"/>
  <c r="VB4" i="6"/>
  <c r="VB5" i="6"/>
  <c r="VB6" i="6"/>
  <c r="VB3" i="6"/>
  <c r="MP5" i="6"/>
  <c r="MP3" i="6"/>
  <c r="MP4" i="6"/>
  <c r="MP6" i="6"/>
  <c r="GT5" i="6"/>
  <c r="GT4" i="6"/>
  <c r="GT3" i="6"/>
  <c r="GT6" i="6"/>
  <c r="FK5" i="6"/>
  <c r="FK6" i="6"/>
  <c r="FK4" i="6"/>
  <c r="FK3" i="6"/>
  <c r="YU5" i="6"/>
  <c r="YU4" i="6"/>
  <c r="YU3" i="6"/>
  <c r="YU6" i="6"/>
  <c r="ALI5" i="6"/>
  <c r="ALI6" i="6"/>
  <c r="ALI3" i="6"/>
  <c r="ALI4" i="6"/>
  <c r="IY6" i="6"/>
  <c r="IY4" i="6"/>
  <c r="IY5" i="6"/>
  <c r="IY3" i="6"/>
  <c r="BJ5" i="6"/>
  <c r="BJ6" i="6"/>
  <c r="BJ4" i="6"/>
  <c r="BJ3" i="6"/>
  <c r="IN5" i="6"/>
  <c r="IN6" i="6"/>
  <c r="IN4" i="6"/>
  <c r="IN3" i="6"/>
  <c r="BB5" i="6"/>
  <c r="BB4" i="6"/>
  <c r="BB6" i="6"/>
  <c r="BB3" i="6"/>
  <c r="AGX5" i="6"/>
  <c r="AGX6" i="6"/>
  <c r="AGX4" i="6"/>
  <c r="AGX3" i="6"/>
  <c r="AGG4" i="6"/>
  <c r="AGG3" i="6"/>
  <c r="AGG5" i="6"/>
  <c r="AGG6" i="6"/>
  <c r="DR5" i="6"/>
  <c r="DR4" i="6"/>
  <c r="DR6" i="6"/>
  <c r="DR3" i="6"/>
  <c r="AIB6" i="6"/>
  <c r="AIB4" i="6"/>
  <c r="AIB3" i="6"/>
  <c r="AIB5" i="6"/>
  <c r="CK5" i="6"/>
  <c r="CK6" i="6"/>
  <c r="CK3" i="6"/>
  <c r="CK4" i="6"/>
  <c r="HR5" i="6"/>
  <c r="HR6" i="6"/>
  <c r="HR3" i="6"/>
  <c r="HR4" i="6"/>
  <c r="HW5" i="6"/>
  <c r="HW6" i="6"/>
  <c r="HW3" i="6"/>
  <c r="HW4" i="6"/>
  <c r="AKL5" i="6"/>
  <c r="AKL6" i="6"/>
  <c r="AKL4" i="6"/>
  <c r="AKL3" i="6"/>
  <c r="AEV4" i="6"/>
  <c r="AEV5" i="6"/>
  <c r="AEV3" i="6"/>
  <c r="AEV6" i="6"/>
  <c r="RX5" i="6"/>
  <c r="RX6" i="6"/>
  <c r="RX3" i="6"/>
  <c r="RX4" i="6"/>
  <c r="PL5" i="6"/>
  <c r="PL6" i="6"/>
  <c r="PL3" i="6"/>
  <c r="PL4" i="6"/>
  <c r="UC5" i="6"/>
  <c r="UC6" i="6"/>
  <c r="UC4" i="6"/>
  <c r="UC3" i="6"/>
  <c r="IC6" i="6"/>
  <c r="IC4" i="6"/>
  <c r="IC3" i="6"/>
  <c r="IC5" i="6"/>
  <c r="AAH5" i="6"/>
  <c r="AAH3" i="6"/>
  <c r="AAH4" i="6"/>
  <c r="AAH6" i="6"/>
  <c r="JX5" i="6"/>
  <c r="JX4" i="6"/>
  <c r="JX6" i="6"/>
  <c r="JX3" i="6"/>
  <c r="GV5" i="6"/>
  <c r="GV6" i="6"/>
  <c r="GV3" i="6"/>
  <c r="GV4" i="6"/>
  <c r="UZ3" i="6"/>
  <c r="UZ4" i="6"/>
  <c r="UZ5" i="6"/>
  <c r="UZ6" i="6"/>
  <c r="TX3" i="6"/>
  <c r="TX4" i="6"/>
  <c r="TX5" i="6"/>
  <c r="TX6" i="6"/>
  <c r="CQ5" i="6"/>
  <c r="CQ6" i="6"/>
  <c r="CQ3" i="6"/>
  <c r="CQ4" i="6"/>
  <c r="IV5" i="6"/>
  <c r="IV6" i="6"/>
  <c r="IV3" i="6"/>
  <c r="IV4" i="6"/>
  <c r="BS3" i="6"/>
  <c r="BS6" i="6"/>
  <c r="BS4" i="6"/>
  <c r="BS5" i="6"/>
  <c r="ACY4" i="6"/>
  <c r="ACY6" i="6"/>
  <c r="ACY3" i="6"/>
  <c r="ACY5" i="6"/>
  <c r="YW5" i="6"/>
  <c r="YW6" i="6"/>
  <c r="YW3" i="6"/>
  <c r="YW4" i="6"/>
  <c r="ST4" i="6"/>
  <c r="ST5" i="6"/>
  <c r="ST6" i="6"/>
  <c r="ST3" i="6"/>
  <c r="AJR5" i="6"/>
  <c r="AJR4" i="6"/>
  <c r="AJR6" i="6"/>
  <c r="AJR3" i="6"/>
  <c r="UF4" i="6"/>
  <c r="UF5" i="6"/>
  <c r="UF3" i="6"/>
  <c r="UF6" i="6"/>
  <c r="VC3" i="6"/>
  <c r="VC4" i="6"/>
  <c r="VC5" i="6"/>
  <c r="VC6" i="6"/>
  <c r="S3" i="6"/>
  <c r="S4" i="6"/>
  <c r="S6" i="6"/>
  <c r="S5" i="6"/>
  <c r="EB5" i="6"/>
  <c r="EB6" i="6"/>
  <c r="EB3" i="6"/>
  <c r="EB4" i="6"/>
  <c r="CN6" i="6"/>
  <c r="CN4" i="6"/>
  <c r="CN3" i="6"/>
  <c r="CN5" i="6"/>
  <c r="AEK4" i="6"/>
  <c r="AEK6" i="6"/>
  <c r="AEK3" i="6"/>
  <c r="AEK5" i="6"/>
  <c r="AFU5" i="6"/>
  <c r="AFU6" i="6"/>
  <c r="AFU3" i="6"/>
  <c r="AFU4" i="6"/>
  <c r="ABV6" i="6"/>
  <c r="ABV3" i="6"/>
  <c r="ABV5" i="6"/>
  <c r="ABV4" i="6"/>
  <c r="ABJ3" i="6"/>
  <c r="ABJ5" i="6"/>
  <c r="ABJ6" i="6"/>
  <c r="ABJ4" i="6"/>
  <c r="AIE3" i="6"/>
  <c r="AIE5" i="6"/>
  <c r="AIE6" i="6"/>
  <c r="AIE4" i="6"/>
  <c r="MK5" i="6"/>
  <c r="MK6" i="6"/>
  <c r="MK4" i="6"/>
  <c r="MK3" i="6"/>
  <c r="EL5" i="6"/>
  <c r="EL6" i="6"/>
  <c r="EL4" i="6"/>
  <c r="EL3" i="6"/>
  <c r="AGM5" i="6"/>
  <c r="AGM6" i="6"/>
  <c r="AGM4" i="6"/>
  <c r="AGM3" i="6"/>
  <c r="JZ5" i="6"/>
  <c r="JZ3" i="6"/>
  <c r="JZ4" i="6"/>
  <c r="JZ6" i="6"/>
  <c r="MX5" i="6"/>
  <c r="MX6" i="6"/>
  <c r="MX3" i="6"/>
  <c r="MX4" i="6"/>
  <c r="ZW3" i="6"/>
  <c r="ZW6" i="6"/>
  <c r="ZW5" i="6"/>
  <c r="ZW4" i="6"/>
  <c r="AHG5" i="6"/>
  <c r="AHG4" i="6"/>
  <c r="AHG6" i="6"/>
  <c r="AHG3" i="6"/>
  <c r="AGN4" i="6"/>
  <c r="AGN6" i="6"/>
  <c r="AGN5" i="6"/>
  <c r="AGN3" i="6"/>
  <c r="XA5" i="6"/>
  <c r="XA6" i="6"/>
  <c r="XA4" i="6"/>
  <c r="XA3" i="6"/>
  <c r="NQ5" i="6"/>
  <c r="NQ4" i="6"/>
  <c r="NQ3" i="6"/>
  <c r="NQ6" i="6"/>
  <c r="FV5" i="6"/>
  <c r="FV6" i="6"/>
  <c r="FV4" i="6"/>
  <c r="FV3" i="6"/>
  <c r="KE5" i="6"/>
  <c r="KE4" i="6"/>
  <c r="KE6" i="6"/>
  <c r="KE3" i="6"/>
  <c r="AJS5" i="6"/>
  <c r="AJS6" i="6"/>
  <c r="AJS4" i="6"/>
  <c r="AJS3" i="6"/>
  <c r="U6" i="6"/>
  <c r="U4" i="6"/>
  <c r="U3" i="6"/>
  <c r="U5" i="6"/>
  <c r="UT3" i="6"/>
  <c r="UT5" i="6"/>
  <c r="UT6" i="6"/>
  <c r="UT4" i="6"/>
  <c r="AHS3" i="6"/>
  <c r="AHS5" i="6"/>
  <c r="AHS4" i="6"/>
  <c r="AHS6" i="6"/>
  <c r="PT4" i="6"/>
  <c r="PT6" i="6"/>
  <c r="PT5" i="6"/>
  <c r="PT3" i="6"/>
  <c r="AEE5" i="6"/>
  <c r="AEE6" i="6"/>
  <c r="AEE4" i="6"/>
  <c r="AEE3" i="6"/>
  <c r="QH3" i="6"/>
  <c r="QH5" i="6"/>
  <c r="QH4" i="6"/>
  <c r="QH6" i="6"/>
  <c r="AAX5" i="6"/>
  <c r="AAX6" i="6"/>
  <c r="AAX3" i="6"/>
  <c r="AAX4" i="6"/>
  <c r="N5" i="6"/>
  <c r="N6" i="6"/>
  <c r="N4" i="6"/>
  <c r="N3" i="6"/>
  <c r="AK5" i="6"/>
  <c r="AK6" i="6"/>
  <c r="AK3" i="6"/>
  <c r="AK4" i="6"/>
  <c r="IP6" i="6"/>
  <c r="IP3" i="6"/>
  <c r="IP4" i="6"/>
  <c r="IP5" i="6"/>
  <c r="BK6" i="6"/>
  <c r="BK5" i="6"/>
  <c r="BK3" i="6"/>
  <c r="BK4" i="6"/>
  <c r="AFB6" i="6"/>
  <c r="AFB4" i="6"/>
  <c r="AFB3" i="6"/>
  <c r="AFB5" i="6"/>
  <c r="R5" i="6"/>
  <c r="R6" i="6"/>
  <c r="R3" i="6"/>
  <c r="R4" i="6"/>
  <c r="IO6" i="6"/>
  <c r="IO3" i="6"/>
  <c r="IO5" i="6"/>
  <c r="IO4" i="6"/>
  <c r="EF4" i="6"/>
  <c r="EF3" i="6"/>
  <c r="EF6" i="6"/>
  <c r="EF5" i="6"/>
  <c r="ZE3" i="6"/>
  <c r="ZE6" i="6"/>
  <c r="ZE4" i="6"/>
  <c r="ZE5" i="6"/>
  <c r="AJG6" i="6"/>
  <c r="AJG4" i="6"/>
  <c r="AJG3" i="6"/>
  <c r="AJG5" i="6"/>
  <c r="QA5" i="6"/>
  <c r="QA4" i="6"/>
  <c r="QA6" i="6"/>
  <c r="QA3" i="6"/>
  <c r="AFL3" i="6"/>
  <c r="AFL4" i="6"/>
  <c r="AFL5" i="6"/>
  <c r="AFL6" i="6"/>
  <c r="KB5" i="6"/>
  <c r="KB6" i="6"/>
  <c r="KB3" i="6"/>
  <c r="KB4" i="6"/>
  <c r="LH5" i="6"/>
  <c r="LH6" i="6"/>
  <c r="LH3" i="6"/>
  <c r="LH4" i="6"/>
  <c r="YO5" i="6"/>
  <c r="YO6" i="6"/>
  <c r="YO4" i="6"/>
  <c r="YO3" i="6"/>
  <c r="HH4" i="6"/>
  <c r="HH3" i="6"/>
  <c r="HH5" i="6"/>
  <c r="HH6" i="6"/>
  <c r="VN4" i="6"/>
  <c r="VN5" i="6"/>
  <c r="VN3" i="6"/>
  <c r="VN6" i="6"/>
  <c r="OM5" i="6"/>
  <c r="OM6" i="6"/>
  <c r="OM3" i="6"/>
  <c r="OM4" i="6"/>
  <c r="DS3" i="6"/>
  <c r="DS6" i="6"/>
  <c r="DS4" i="6"/>
  <c r="DS5" i="6"/>
  <c r="ACI3" i="6"/>
  <c r="ACI4" i="6"/>
  <c r="ACI5" i="6"/>
  <c r="ACI6" i="6"/>
  <c r="SC4" i="6"/>
  <c r="SC5" i="6"/>
  <c r="SC6" i="6"/>
  <c r="SC3" i="6"/>
  <c r="AIQ5" i="6"/>
  <c r="AIQ6" i="6"/>
  <c r="AIQ3" i="6"/>
  <c r="AIQ4" i="6"/>
  <c r="YQ5" i="6"/>
  <c r="YQ6" i="6"/>
  <c r="YQ4" i="6"/>
  <c r="YQ3" i="6"/>
  <c r="AGL5" i="6"/>
  <c r="AGL4" i="6"/>
  <c r="AGL6" i="6"/>
  <c r="AGL3" i="6"/>
  <c r="ZQ6" i="6"/>
  <c r="ZQ3" i="6"/>
  <c r="ZQ5" i="6"/>
  <c r="ZQ4" i="6"/>
  <c r="AGA5" i="6"/>
  <c r="AGA4" i="6"/>
  <c r="AGA6" i="6"/>
  <c r="AGA3" i="6"/>
  <c r="KS3" i="6"/>
  <c r="KS6" i="6"/>
  <c r="KS4" i="6"/>
  <c r="KS5" i="6"/>
  <c r="RW5" i="6"/>
  <c r="RW6" i="6"/>
  <c r="RW3" i="6"/>
  <c r="RW4" i="6"/>
  <c r="LQ6" i="6"/>
  <c r="LQ4" i="6"/>
  <c r="LQ5" i="6"/>
  <c r="LQ3" i="6"/>
  <c r="JL4" i="6"/>
  <c r="JL3" i="6"/>
  <c r="JL5" i="6"/>
  <c r="JL6" i="6"/>
  <c r="OQ5" i="6"/>
  <c r="OQ6" i="6"/>
  <c r="OQ3" i="6"/>
  <c r="OQ4" i="6"/>
  <c r="MT4" i="6"/>
  <c r="MT6" i="6"/>
  <c r="MT5" i="6"/>
  <c r="MT3" i="6"/>
  <c r="BM4" i="6"/>
  <c r="BM5" i="6"/>
  <c r="BM3" i="6"/>
  <c r="BM6" i="6"/>
  <c r="BQ5" i="6"/>
  <c r="BQ6" i="6"/>
  <c r="BQ4" i="6"/>
  <c r="BQ3" i="6"/>
  <c r="QL4" i="6"/>
  <c r="QL3" i="6"/>
  <c r="QL6" i="6"/>
  <c r="QL5" i="6"/>
  <c r="YD5" i="6"/>
  <c r="YD6" i="6"/>
  <c r="YD4" i="6"/>
  <c r="YD3" i="6"/>
  <c r="AIF3" i="6"/>
  <c r="AIF4" i="6"/>
  <c r="AIF5" i="6"/>
  <c r="AIF6" i="6"/>
  <c r="TG5" i="6"/>
  <c r="TG6" i="6"/>
  <c r="TG3" i="6"/>
  <c r="TG4" i="6"/>
  <c r="MH4" i="6"/>
  <c r="MH3" i="6"/>
  <c r="MH5" i="6"/>
  <c r="MH6" i="6"/>
  <c r="AAD6" i="6"/>
  <c r="AAD4" i="6"/>
  <c r="AAD5" i="6"/>
  <c r="AAD3" i="6"/>
  <c r="BH5" i="6"/>
  <c r="BH4" i="6"/>
  <c r="BH6" i="6"/>
  <c r="BH3" i="6"/>
  <c r="NO6" i="6"/>
  <c r="NO4" i="6"/>
  <c r="NO5" i="6"/>
  <c r="NO3" i="6"/>
  <c r="ABB5" i="6"/>
  <c r="ABB4" i="6"/>
  <c r="ABB6" i="6"/>
  <c r="ABB3" i="6"/>
  <c r="SE5" i="6"/>
  <c r="SE6" i="6"/>
  <c r="SE4" i="6"/>
  <c r="SE3" i="6"/>
  <c r="FX6" i="6"/>
  <c r="FX4" i="6"/>
  <c r="FX3" i="6"/>
  <c r="FX5" i="6"/>
  <c r="OH4" i="6"/>
  <c r="OH5" i="6"/>
  <c r="OH6" i="6"/>
  <c r="OH3" i="6"/>
  <c r="OE5" i="6"/>
  <c r="OE4" i="6"/>
  <c r="OE6" i="6"/>
  <c r="OE3" i="6"/>
  <c r="ZK5" i="6"/>
  <c r="ZK3" i="6"/>
  <c r="ZK4" i="6"/>
  <c r="ZK6" i="6"/>
  <c r="AAS5" i="6"/>
  <c r="AAS3" i="6"/>
  <c r="AAS4" i="6"/>
  <c r="AAS6" i="6"/>
  <c r="AJD4" i="6"/>
  <c r="AJD6" i="6"/>
  <c r="AJD5" i="6"/>
  <c r="AJD3" i="6"/>
  <c r="ML5" i="6"/>
  <c r="ML6" i="6"/>
  <c r="ML4" i="6"/>
  <c r="ML3" i="6"/>
  <c r="AGV5" i="6"/>
  <c r="AGV6" i="6"/>
  <c r="AGV4" i="6"/>
  <c r="AGV3" i="6"/>
  <c r="ADO4" i="6"/>
  <c r="ADO5" i="6"/>
  <c r="ADO6" i="6"/>
  <c r="ADO3" i="6"/>
  <c r="SP3" i="6"/>
  <c r="SP5" i="6"/>
  <c r="SP6" i="6"/>
  <c r="SP4" i="6"/>
  <c r="HZ4" i="6"/>
  <c r="HZ5" i="6"/>
  <c r="HZ6" i="6"/>
  <c r="HZ3" i="6"/>
  <c r="XJ5" i="6"/>
  <c r="XJ3" i="6"/>
  <c r="XJ6" i="6"/>
  <c r="XJ4" i="6"/>
  <c r="AFF5" i="6"/>
  <c r="AFF4" i="6"/>
  <c r="AFF6" i="6"/>
  <c r="AFF3" i="6"/>
  <c r="SG3" i="6"/>
  <c r="SG5" i="6"/>
  <c r="SG6" i="6"/>
  <c r="SG4" i="6"/>
  <c r="AIA6" i="6"/>
  <c r="AIA4" i="6"/>
  <c r="AIA3" i="6"/>
  <c r="AIA5" i="6"/>
  <c r="ACU5" i="6"/>
  <c r="ACU6" i="6"/>
  <c r="ACU3" i="6"/>
  <c r="ACU4" i="6"/>
  <c r="AIG5" i="6"/>
  <c r="AIG4" i="6"/>
  <c r="AIG6" i="6"/>
  <c r="AIG3" i="6"/>
  <c r="AAC5" i="6"/>
  <c r="AAC4" i="6"/>
  <c r="AAC3" i="6"/>
  <c r="AAC6" i="6"/>
  <c r="FT6" i="6"/>
  <c r="FT4" i="6"/>
  <c r="FT3" i="6"/>
  <c r="FT5" i="6"/>
  <c r="PR4" i="6"/>
  <c r="PR3" i="6"/>
  <c r="PR5" i="6"/>
  <c r="PR6" i="6"/>
  <c r="WQ5" i="6"/>
  <c r="WQ6" i="6"/>
  <c r="WQ4" i="6"/>
  <c r="WQ3" i="6"/>
  <c r="YK5" i="6"/>
  <c r="YK6" i="6"/>
  <c r="YK4" i="6"/>
  <c r="YK3" i="6"/>
  <c r="RS5" i="6"/>
  <c r="RS4" i="6"/>
  <c r="RS6" i="6"/>
  <c r="RS3" i="6"/>
  <c r="ADG4" i="6"/>
  <c r="ADG3" i="6"/>
  <c r="ADG5" i="6"/>
  <c r="ADG6" i="6"/>
  <c r="ACQ5" i="6"/>
  <c r="ACQ6" i="6"/>
  <c r="ACQ4" i="6"/>
  <c r="ACQ3" i="6"/>
  <c r="FB5" i="6"/>
  <c r="FB6" i="6"/>
  <c r="FB4" i="6"/>
  <c r="FB3" i="6"/>
  <c r="AFP5" i="6"/>
  <c r="AFP6" i="6"/>
  <c r="AFP3" i="6"/>
  <c r="AFP4" i="6"/>
  <c r="RZ5" i="6"/>
  <c r="RZ4" i="6"/>
  <c r="RZ3" i="6"/>
  <c r="RZ6" i="6"/>
  <c r="AKF5" i="6"/>
  <c r="AKF4" i="6"/>
  <c r="AKF6" i="6"/>
  <c r="AKF3" i="6"/>
  <c r="HB5" i="6"/>
  <c r="HB4" i="6"/>
  <c r="HB6" i="6"/>
  <c r="HB3" i="6"/>
  <c r="LO5" i="6"/>
  <c r="LO6" i="6"/>
  <c r="LO4" i="6"/>
  <c r="LO3" i="6"/>
  <c r="AEL5" i="6"/>
  <c r="AEL6" i="6"/>
  <c r="AEL4" i="6"/>
  <c r="AEL3" i="6"/>
  <c r="YC5" i="6"/>
  <c r="YC6" i="6"/>
  <c r="YC4" i="6"/>
  <c r="YC3" i="6"/>
  <c r="QE5" i="6"/>
  <c r="QE6" i="6"/>
  <c r="QE4" i="6"/>
  <c r="QE3" i="6"/>
  <c r="AH5" i="6"/>
  <c r="AH4" i="6"/>
  <c r="AH6" i="6"/>
  <c r="AH3" i="6"/>
  <c r="ZT3" i="6"/>
  <c r="ZT5" i="6"/>
  <c r="ZT4" i="6"/>
  <c r="ZT6" i="6"/>
  <c r="AAZ4" i="6"/>
  <c r="AAZ5" i="6"/>
  <c r="AAZ3" i="6"/>
  <c r="AAZ6" i="6"/>
  <c r="XG3" i="6"/>
  <c r="XG5" i="6"/>
  <c r="XG6" i="6"/>
  <c r="XG4" i="6"/>
  <c r="ALA5" i="6"/>
  <c r="ALA6" i="6"/>
  <c r="ALA3" i="6"/>
  <c r="ALA4" i="6"/>
  <c r="MA3" i="6"/>
  <c r="MA5" i="6"/>
  <c r="MA4" i="6"/>
  <c r="MA6" i="6"/>
  <c r="JT5" i="6"/>
  <c r="JT6" i="6"/>
  <c r="JT3" i="6"/>
  <c r="JT4" i="6"/>
  <c r="PN5" i="6"/>
  <c r="PN6" i="6"/>
  <c r="PN4" i="6"/>
  <c r="PN3" i="6"/>
  <c r="XL5" i="6"/>
  <c r="XL6" i="6"/>
  <c r="XL4" i="6"/>
  <c r="XL3" i="6"/>
  <c r="AGQ5" i="6"/>
  <c r="AGQ6" i="6"/>
  <c r="AGQ4" i="6"/>
  <c r="AGQ3" i="6"/>
  <c r="ZR5" i="6"/>
  <c r="ZR6" i="6"/>
  <c r="ZR4" i="6"/>
  <c r="ZR3" i="6"/>
  <c r="AGU4" i="6"/>
  <c r="AGU5" i="6"/>
  <c r="AGU6" i="6"/>
  <c r="AGU3" i="6"/>
  <c r="UH5" i="6"/>
  <c r="UH3" i="6"/>
  <c r="UH4" i="6"/>
  <c r="UH6" i="6"/>
  <c r="AM4" i="6"/>
  <c r="AM5" i="6"/>
  <c r="AM6" i="6"/>
  <c r="AM3" i="6"/>
  <c r="SN3" i="6"/>
  <c r="SN5" i="6"/>
  <c r="SN4" i="6"/>
  <c r="SN6" i="6"/>
  <c r="AJK3" i="6"/>
  <c r="AJK6" i="6"/>
  <c r="AJK4" i="6"/>
  <c r="AJK5" i="6"/>
  <c r="FZ3" i="6"/>
  <c r="FZ6" i="6"/>
  <c r="FZ4" i="6"/>
  <c r="FZ5" i="6"/>
  <c r="DK5" i="6"/>
  <c r="DK4" i="6"/>
  <c r="DK3" i="6"/>
  <c r="DK6" i="6"/>
  <c r="OO3" i="6"/>
  <c r="OO5" i="6"/>
  <c r="OO4" i="6"/>
  <c r="OO6" i="6"/>
  <c r="QK5" i="6"/>
  <c r="QK4" i="6"/>
  <c r="QK6" i="6"/>
  <c r="QK3" i="6"/>
  <c r="ADA5" i="6"/>
  <c r="ADA6" i="6"/>
  <c r="ADA4" i="6"/>
  <c r="ADA3" i="6"/>
  <c r="AEC5" i="6"/>
  <c r="AEC3" i="6"/>
  <c r="AEC4" i="6"/>
  <c r="AEC6" i="6"/>
  <c r="WV4" i="6"/>
  <c r="WV5" i="6"/>
  <c r="WV6" i="6"/>
  <c r="WV3" i="6"/>
  <c r="UI4" i="6"/>
  <c r="UI6" i="6"/>
  <c r="UI5" i="6"/>
  <c r="UI3" i="6"/>
  <c r="MS5" i="6"/>
  <c r="MS6" i="6"/>
  <c r="MS4" i="6"/>
  <c r="MS3" i="6"/>
  <c r="BX4" i="6"/>
  <c r="BX3" i="6"/>
  <c r="BX6" i="6"/>
  <c r="BX5" i="6"/>
  <c r="WS5" i="6"/>
  <c r="WS6" i="6"/>
  <c r="WS4" i="6"/>
  <c r="WS3" i="6"/>
  <c r="AHH4" i="6"/>
  <c r="AHH5" i="6"/>
  <c r="AHH6" i="6"/>
  <c r="AHH3" i="6"/>
  <c r="QM4" i="6"/>
  <c r="QM6" i="6"/>
  <c r="QM3" i="6"/>
  <c r="QM5" i="6"/>
  <c r="ADF4" i="6"/>
  <c r="ADF5" i="6"/>
  <c r="ADF3" i="6"/>
  <c r="ADF6" i="6"/>
  <c r="ABO3" i="6"/>
  <c r="ABO5" i="6"/>
  <c r="ABO6" i="6"/>
  <c r="ABO4" i="6"/>
  <c r="UB3" i="6"/>
  <c r="UB4" i="6"/>
  <c r="UB5" i="6"/>
  <c r="UB6" i="6"/>
  <c r="ZS5" i="6"/>
  <c r="ZS6" i="6"/>
  <c r="ZS3" i="6"/>
  <c r="ZS4" i="6"/>
  <c r="CM4" i="6"/>
  <c r="CM3" i="6"/>
  <c r="CM5" i="6"/>
  <c r="CM6" i="6"/>
  <c r="QG5" i="6"/>
  <c r="QG6" i="6"/>
  <c r="QG4" i="6"/>
  <c r="QG3" i="6"/>
  <c r="AKO4" i="6"/>
  <c r="AKO6" i="6"/>
  <c r="AKO3" i="6"/>
  <c r="AKO5" i="6"/>
  <c r="LF6" i="6"/>
  <c r="LF3" i="6"/>
  <c r="LF5" i="6"/>
  <c r="LF4" i="6"/>
  <c r="PV4" i="6"/>
  <c r="PV5" i="6"/>
  <c r="PV6" i="6"/>
  <c r="PV3" i="6"/>
  <c r="AJX4" i="6"/>
  <c r="AJX3" i="6"/>
  <c r="AJX5" i="6"/>
  <c r="AJX6" i="6"/>
  <c r="ABY4" i="6"/>
  <c r="ABY5" i="6"/>
  <c r="ABY3" i="6"/>
  <c r="ABY6" i="6"/>
  <c r="MZ5" i="6"/>
  <c r="MZ4" i="6"/>
  <c r="MZ6" i="6"/>
  <c r="MZ3" i="6"/>
  <c r="LR5" i="6"/>
  <c r="LR4" i="6"/>
  <c r="LR6" i="6"/>
  <c r="LR3" i="6"/>
  <c r="TV5" i="6"/>
  <c r="TV4" i="6"/>
  <c r="TV6" i="6"/>
  <c r="TV3" i="6"/>
  <c r="KU4" i="6"/>
  <c r="KU5" i="6"/>
  <c r="KU3" i="6"/>
  <c r="KU6" i="6"/>
  <c r="PG5" i="6"/>
  <c r="PG6" i="6"/>
  <c r="PG3" i="6"/>
  <c r="PG4" i="6"/>
  <c r="AO3" i="6"/>
  <c r="AO5" i="6"/>
  <c r="AO6" i="6"/>
  <c r="AO4" i="6"/>
  <c r="GH4" i="6"/>
  <c r="GH5" i="6"/>
  <c r="GH3" i="6"/>
  <c r="GH6" i="6"/>
  <c r="W5" i="6"/>
  <c r="W3" i="6"/>
  <c r="W6" i="6"/>
  <c r="W4" i="6"/>
  <c r="CZ5" i="6"/>
  <c r="CZ3" i="6"/>
  <c r="CZ4" i="6"/>
  <c r="CZ6" i="6"/>
  <c r="XV4" i="6"/>
  <c r="XV6" i="6"/>
  <c r="XV3" i="6"/>
  <c r="XV5" i="6"/>
  <c r="AKE5" i="6"/>
  <c r="AKE6" i="6"/>
  <c r="AKE3" i="6"/>
  <c r="AKE4" i="6"/>
  <c r="YV4" i="6"/>
  <c r="YV5" i="6"/>
  <c r="YV3" i="6"/>
  <c r="YV6" i="6"/>
  <c r="JN5" i="6"/>
  <c r="JN6" i="6"/>
  <c r="JN3" i="6"/>
  <c r="JN4" i="6"/>
  <c r="ADK3" i="6"/>
  <c r="ADK5" i="6"/>
  <c r="ADK6" i="6"/>
  <c r="ADK4" i="6"/>
  <c r="ACZ5" i="6"/>
  <c r="ACZ4" i="6"/>
  <c r="ACZ6" i="6"/>
  <c r="ACZ3" i="6"/>
  <c r="GA5" i="6"/>
  <c r="GA6" i="6"/>
  <c r="GA3" i="6"/>
  <c r="GA4" i="6"/>
  <c r="VG3" i="6"/>
  <c r="VG5" i="6"/>
  <c r="VG6" i="6"/>
  <c r="VG4" i="6"/>
  <c r="BI5" i="6"/>
  <c r="BI4" i="6"/>
  <c r="BI3" i="6"/>
  <c r="BI6" i="6"/>
  <c r="AHL5" i="6"/>
  <c r="AHL6" i="6"/>
  <c r="AHL4" i="6"/>
  <c r="AHL3" i="6"/>
  <c r="VL5" i="6"/>
  <c r="VL3" i="6"/>
  <c r="VL6" i="6"/>
  <c r="VL4" i="6"/>
  <c r="AGC3" i="6"/>
  <c r="AGC4" i="6"/>
  <c r="AGC5" i="6"/>
  <c r="AGC6" i="6"/>
  <c r="AIO5" i="6"/>
  <c r="AIO6" i="6"/>
  <c r="AIO3" i="6"/>
  <c r="AIO4" i="6"/>
  <c r="AAP4" i="6"/>
  <c r="AAP5" i="6"/>
  <c r="AAP6" i="6"/>
  <c r="AAP3" i="6"/>
  <c r="FF3" i="6"/>
  <c r="FF5" i="6"/>
  <c r="FF6" i="6"/>
  <c r="FF4" i="6"/>
  <c r="AU5" i="6"/>
  <c r="AU6" i="6"/>
  <c r="AU4" i="6"/>
  <c r="AU3" i="6"/>
  <c r="DO5" i="6"/>
  <c r="DO6" i="6"/>
  <c r="DO4" i="6"/>
  <c r="DO3" i="6"/>
  <c r="YN5" i="6"/>
  <c r="YN4" i="6"/>
  <c r="YN3" i="6"/>
  <c r="YN6" i="6"/>
  <c r="FH4" i="6"/>
  <c r="FH5" i="6"/>
  <c r="FH3" i="6"/>
  <c r="FH6" i="6"/>
  <c r="ADX4" i="6"/>
  <c r="ADX3" i="6"/>
  <c r="ADX6" i="6"/>
  <c r="ADX5" i="6"/>
  <c r="XS3" i="6"/>
  <c r="XS5" i="6"/>
  <c r="XS6" i="6"/>
  <c r="XS4" i="6"/>
  <c r="OF4" i="6"/>
  <c r="OF5" i="6"/>
  <c r="OF6" i="6"/>
  <c r="OF3" i="6"/>
  <c r="JV5" i="6"/>
  <c r="JV6" i="6"/>
  <c r="JV4" i="6"/>
  <c r="JV3" i="6"/>
  <c r="AIX5" i="6"/>
  <c r="AIX6" i="6"/>
  <c r="AIX4" i="6"/>
  <c r="AIX3" i="6"/>
  <c r="HM5" i="6"/>
  <c r="HM6" i="6"/>
  <c r="HM4" i="6"/>
  <c r="HM3" i="6"/>
  <c r="ADS5" i="6"/>
  <c r="ADS3" i="6"/>
  <c r="ADS4" i="6"/>
  <c r="ADS6" i="6"/>
  <c r="ACP3" i="6"/>
  <c r="ACP4" i="6"/>
  <c r="ACP5" i="6"/>
  <c r="ACP6" i="6"/>
  <c r="IQ5" i="6"/>
  <c r="IQ6" i="6"/>
  <c r="IQ4" i="6"/>
  <c r="IQ3" i="6"/>
  <c r="BY5" i="6"/>
  <c r="BY6" i="6"/>
  <c r="BY4" i="6"/>
  <c r="BY3" i="6"/>
  <c r="T5" i="6"/>
  <c r="T3" i="6"/>
  <c r="T4" i="6"/>
  <c r="T6" i="6"/>
  <c r="FU5" i="6"/>
  <c r="FU4" i="6"/>
  <c r="FU3" i="6"/>
  <c r="FU6" i="6"/>
  <c r="WM4" i="6"/>
  <c r="WM5" i="6"/>
  <c r="WM3" i="6"/>
  <c r="WM6" i="6"/>
  <c r="AJM5" i="6"/>
  <c r="AJM6" i="6"/>
  <c r="AJM4" i="6"/>
  <c r="AJM3" i="6"/>
  <c r="UX4" i="6"/>
  <c r="UX5" i="6"/>
  <c r="UX6" i="6"/>
  <c r="UX3" i="6"/>
  <c r="AJH4" i="6"/>
  <c r="AJH3" i="6"/>
  <c r="AJH5" i="6"/>
  <c r="AJH6" i="6"/>
  <c r="HG5" i="6"/>
  <c r="HG4" i="6"/>
  <c r="HG3" i="6"/>
  <c r="HG6" i="6"/>
  <c r="AEH4" i="6"/>
  <c r="AEH5" i="6"/>
  <c r="AEH3" i="6"/>
  <c r="AEH6" i="6"/>
  <c r="KV5" i="6"/>
  <c r="KV4" i="6"/>
  <c r="KV3" i="6"/>
  <c r="KV6" i="6"/>
  <c r="AT5" i="6"/>
  <c r="AT4" i="6"/>
  <c r="AT3" i="6"/>
  <c r="AT6" i="6"/>
  <c r="AHW3" i="6"/>
  <c r="AHW4" i="6"/>
  <c r="AHW5" i="6"/>
  <c r="AHW6" i="6"/>
  <c r="RC5" i="6"/>
  <c r="RC6" i="6"/>
  <c r="RC4" i="6"/>
  <c r="RC3" i="6"/>
  <c r="YX5" i="6"/>
  <c r="YX4" i="6"/>
  <c r="YX6" i="6"/>
  <c r="YX3" i="6"/>
  <c r="BF4" i="6"/>
  <c r="BF5" i="6"/>
  <c r="BF6" i="6"/>
  <c r="BF3" i="6"/>
  <c r="HO3" i="6"/>
  <c r="HO5" i="6"/>
  <c r="HO6" i="6"/>
  <c r="HO4" i="6"/>
  <c r="XE3" i="6"/>
  <c r="XE4" i="6"/>
  <c r="XE5" i="6"/>
  <c r="XE6" i="6"/>
  <c r="AIR5" i="6"/>
  <c r="AIR6" i="6"/>
  <c r="AIR4" i="6"/>
  <c r="AIR3" i="6"/>
  <c r="XO3" i="6"/>
  <c r="XO4" i="6"/>
  <c r="XO6" i="6"/>
  <c r="XO5" i="6"/>
  <c r="AFD5" i="6"/>
  <c r="AFD4" i="6"/>
  <c r="AFD6" i="6"/>
  <c r="AFD3" i="6"/>
  <c r="KC6" i="6"/>
  <c r="KC4" i="6"/>
  <c r="KC5" i="6"/>
  <c r="KC3" i="6"/>
  <c r="OG4" i="6"/>
  <c r="OG5" i="6"/>
  <c r="OG6" i="6"/>
  <c r="OG3" i="6"/>
  <c r="ADE5" i="6"/>
  <c r="ADE6" i="6"/>
  <c r="ADE3" i="6"/>
  <c r="ADE4" i="6"/>
  <c r="PQ3" i="6"/>
  <c r="PQ5" i="6"/>
  <c r="PQ6" i="6"/>
  <c r="PQ4" i="6"/>
  <c r="ACF5" i="6"/>
  <c r="ACF6" i="6"/>
  <c r="ACF3" i="6"/>
  <c r="ACF4" i="6"/>
  <c r="GF5" i="6"/>
  <c r="GF3" i="6"/>
  <c r="GF6" i="6"/>
  <c r="GF4" i="6"/>
  <c r="AB6" i="6"/>
  <c r="AB3" i="6"/>
  <c r="AB4" i="6"/>
  <c r="AB5" i="6"/>
  <c r="ACM5" i="6"/>
  <c r="ACM6" i="6"/>
  <c r="ACM3" i="6"/>
  <c r="ACM4" i="6"/>
  <c r="KL6" i="6"/>
  <c r="KL4" i="6"/>
  <c r="KL5" i="6"/>
  <c r="KL3" i="6"/>
  <c r="QB5" i="6"/>
  <c r="QB6" i="6"/>
  <c r="QB4" i="6"/>
  <c r="QB3" i="6"/>
  <c r="UE5" i="6"/>
  <c r="UE6" i="6"/>
  <c r="UE3" i="6"/>
  <c r="UE4" i="6"/>
  <c r="FE6" i="6"/>
  <c r="FE4" i="6"/>
  <c r="FE3" i="6"/>
  <c r="FE5" i="6"/>
  <c r="AEZ5" i="6"/>
  <c r="AEZ6" i="6"/>
  <c r="AEZ3" i="6"/>
  <c r="AEZ4" i="6"/>
  <c r="AFK5" i="6"/>
  <c r="AFK6" i="6"/>
  <c r="AFK4" i="6"/>
  <c r="AFK3" i="6"/>
  <c r="AAW5" i="6"/>
  <c r="AAW6" i="6"/>
  <c r="AAW4" i="6"/>
  <c r="AAW3" i="6"/>
  <c r="AX4" i="6"/>
  <c r="AX5" i="6"/>
  <c r="AX3" i="6"/>
  <c r="AX6" i="6"/>
  <c r="UR5" i="6"/>
  <c r="UR6" i="6"/>
  <c r="UR4" i="6"/>
  <c r="UR3" i="6"/>
  <c r="ABR3" i="6"/>
  <c r="ABR4" i="6"/>
  <c r="ABR5" i="6"/>
  <c r="ABR6" i="6"/>
  <c r="AY5" i="6"/>
  <c r="AY6" i="6"/>
  <c r="AY4" i="6"/>
  <c r="AY3" i="6"/>
  <c r="EA3" i="6"/>
  <c r="EA5" i="6"/>
  <c r="EA6" i="6"/>
  <c r="EA4" i="6"/>
  <c r="VT5" i="6"/>
  <c r="VT6" i="6"/>
  <c r="VT4" i="6"/>
  <c r="VT3" i="6"/>
  <c r="HC3" i="6"/>
  <c r="HC5" i="6"/>
  <c r="HC6" i="6"/>
  <c r="HC4" i="6"/>
  <c r="AFJ6" i="6"/>
  <c r="AFJ4" i="6"/>
  <c r="AFJ3" i="6"/>
  <c r="AFJ5" i="6"/>
  <c r="PJ6" i="6"/>
  <c r="PJ5" i="6"/>
  <c r="PJ4" i="6"/>
  <c r="PJ3" i="6"/>
  <c r="EY5" i="6"/>
  <c r="EY6" i="6"/>
  <c r="EY3" i="6"/>
  <c r="EY4" i="6"/>
  <c r="AAA5" i="6"/>
  <c r="AAA6" i="6"/>
  <c r="AAA4" i="6"/>
  <c r="AAA3" i="6"/>
  <c r="GE5" i="6"/>
  <c r="GE3" i="6"/>
  <c r="GE4" i="6"/>
  <c r="GE6" i="6"/>
  <c r="JI5" i="6"/>
  <c r="JI6" i="6"/>
  <c r="JI3" i="6"/>
  <c r="JI4" i="6"/>
  <c r="OD3" i="6"/>
  <c r="OD6" i="6"/>
  <c r="OD5" i="6"/>
  <c r="OD4" i="6"/>
  <c r="AIU4" i="6"/>
  <c r="AIU6" i="6"/>
  <c r="AIU5" i="6"/>
  <c r="AIU3" i="6"/>
  <c r="EK4" i="6"/>
  <c r="EK5" i="6"/>
  <c r="EK3" i="6"/>
  <c r="EK6" i="6"/>
  <c r="WL5" i="6"/>
  <c r="WL6" i="6"/>
  <c r="WL4" i="6"/>
  <c r="WL3" i="6"/>
  <c r="ES3" i="6"/>
  <c r="ES5" i="6"/>
  <c r="ES6" i="6"/>
  <c r="ES4" i="6"/>
  <c r="CP5" i="6"/>
  <c r="CP6" i="6"/>
  <c r="CP4" i="6"/>
  <c r="CP3" i="6"/>
  <c r="EW5" i="6"/>
  <c r="EW4" i="6"/>
  <c r="EW6" i="6"/>
  <c r="EW3" i="6"/>
  <c r="TQ5" i="6"/>
  <c r="TQ4" i="6"/>
  <c r="TQ3" i="6"/>
  <c r="TQ6" i="6"/>
  <c r="GX5" i="6"/>
  <c r="GX6" i="6"/>
  <c r="GX3" i="6"/>
  <c r="GX4" i="6"/>
  <c r="ACS3" i="6"/>
  <c r="ACS5" i="6"/>
  <c r="ACS4" i="6"/>
  <c r="ACS6" i="6"/>
  <c r="UP4" i="6"/>
  <c r="UP5" i="6"/>
  <c r="UP3" i="6"/>
  <c r="UP6" i="6"/>
  <c r="CO3" i="6"/>
  <c r="CO4" i="6"/>
  <c r="CO6" i="6"/>
  <c r="CO5" i="6"/>
  <c r="SM4" i="6"/>
  <c r="SM3" i="6"/>
  <c r="SM6" i="6"/>
  <c r="SM5" i="6"/>
  <c r="PX6" i="6"/>
  <c r="PX5" i="6"/>
  <c r="PX3" i="6"/>
  <c r="PX4" i="6"/>
  <c r="SF4" i="6"/>
  <c r="SF3" i="6"/>
  <c r="SF5" i="6"/>
  <c r="SF6" i="6"/>
  <c r="CG5" i="6"/>
  <c r="CG6" i="6"/>
  <c r="CG4" i="6"/>
  <c r="CG3" i="6"/>
  <c r="LD4" i="6"/>
  <c r="LD5" i="6"/>
  <c r="LD3" i="6"/>
  <c r="LD6" i="6"/>
  <c r="LI5" i="6"/>
  <c r="LI6" i="6"/>
  <c r="LI4" i="6"/>
  <c r="LI3" i="6"/>
  <c r="XN5" i="6"/>
  <c r="XN6" i="6"/>
  <c r="XN3" i="6"/>
  <c r="XN4" i="6"/>
  <c r="XB4" i="6"/>
  <c r="XB3" i="6"/>
  <c r="XB6" i="6"/>
  <c r="XB5" i="6"/>
  <c r="AGW5" i="6"/>
  <c r="AGW6" i="6"/>
  <c r="AGW3" i="6"/>
  <c r="AGW4" i="6"/>
  <c r="MU5" i="6"/>
  <c r="MU4" i="6"/>
  <c r="MU3" i="6"/>
  <c r="MU6" i="6"/>
  <c r="MV5" i="6"/>
  <c r="MV6" i="6"/>
  <c r="MV3" i="6"/>
  <c r="MV4" i="6"/>
  <c r="ZV4" i="6"/>
  <c r="ZV3" i="6"/>
  <c r="ZV5" i="6"/>
  <c r="ZV6" i="6"/>
  <c r="AHA4" i="6"/>
  <c r="AHA3" i="6"/>
  <c r="AHA6" i="6"/>
  <c r="AHA5" i="6"/>
  <c r="RN5" i="6"/>
  <c r="RN6" i="6"/>
  <c r="RN3" i="6"/>
  <c r="RN4" i="6"/>
  <c r="AHR5" i="6"/>
  <c r="AHR6" i="6"/>
  <c r="AHR4" i="6"/>
  <c r="AHR3" i="6"/>
  <c r="ADC5" i="6"/>
  <c r="ADC6" i="6"/>
  <c r="ADC4" i="6"/>
  <c r="ADC3" i="6"/>
  <c r="UY5" i="6"/>
  <c r="UY6" i="6"/>
  <c r="UY4" i="6"/>
  <c r="UY3" i="6"/>
  <c r="AIT5" i="6"/>
  <c r="AIT4" i="6"/>
  <c r="AIT3" i="6"/>
  <c r="AIT6" i="6"/>
  <c r="DC6" i="6"/>
  <c r="DC3" i="6"/>
  <c r="DC5" i="6"/>
  <c r="DC4" i="6"/>
  <c r="SH5" i="6"/>
  <c r="SH6" i="6"/>
  <c r="SH4" i="6"/>
  <c r="SH3" i="6"/>
  <c r="SZ4" i="6"/>
  <c r="SZ5" i="6"/>
  <c r="SZ6" i="6"/>
  <c r="SZ3" i="6"/>
  <c r="AAE4" i="6"/>
  <c r="AAE5" i="6"/>
  <c r="AAE3" i="6"/>
  <c r="AAE6" i="6"/>
  <c r="YH5" i="6"/>
  <c r="YH6" i="6"/>
  <c r="YH3" i="6"/>
  <c r="YH4" i="6"/>
  <c r="AFC4" i="6"/>
  <c r="AFC3" i="6"/>
  <c r="AFC5" i="6"/>
  <c r="AFC6" i="6"/>
  <c r="AGR5" i="6"/>
  <c r="AGR4" i="6"/>
  <c r="AGR6" i="6"/>
  <c r="AGR3" i="6"/>
  <c r="SX5" i="6"/>
  <c r="SX4" i="6"/>
  <c r="SX6" i="6"/>
  <c r="SX3" i="6"/>
  <c r="WX4" i="6"/>
  <c r="WX5" i="6"/>
  <c r="WX3" i="6"/>
  <c r="WX6" i="6"/>
  <c r="LX5" i="6"/>
  <c r="LX4" i="6"/>
  <c r="LX3" i="6"/>
  <c r="LX6" i="6"/>
  <c r="AIH4" i="6"/>
  <c r="AIH5" i="6"/>
  <c r="AIH6" i="6"/>
  <c r="AIH3" i="6"/>
  <c r="SO3" i="6"/>
  <c r="SO6" i="6"/>
  <c r="SO5" i="6"/>
  <c r="SO4" i="6"/>
  <c r="TO4" i="6"/>
  <c r="TO5" i="6"/>
  <c r="TO6" i="6"/>
  <c r="TO3" i="6"/>
  <c r="AL5" i="6"/>
  <c r="AL3" i="6"/>
  <c r="AL4" i="6"/>
  <c r="AL6" i="6"/>
  <c r="AGB5" i="6"/>
  <c r="AGB6" i="6"/>
  <c r="AGB3" i="6"/>
  <c r="AGB4" i="6"/>
  <c r="AI3" i="6"/>
  <c r="AI5" i="6"/>
  <c r="AI6" i="6"/>
  <c r="AI4" i="6"/>
  <c r="AEN4" i="6"/>
  <c r="AEN5" i="6"/>
  <c r="AEN6" i="6"/>
  <c r="AEN3" i="6"/>
  <c r="WB3" i="6"/>
  <c r="WB5" i="6"/>
  <c r="WB6" i="6"/>
  <c r="WB4" i="6"/>
  <c r="KQ6" i="6"/>
  <c r="KQ5" i="6"/>
  <c r="KQ3" i="6"/>
  <c r="KQ4" i="6"/>
  <c r="DH5" i="6"/>
  <c r="DH6" i="6"/>
  <c r="DH3" i="6"/>
  <c r="DH4" i="6"/>
  <c r="LN5" i="6"/>
  <c r="LN6" i="6"/>
  <c r="LN4" i="6"/>
  <c r="LN3" i="6"/>
  <c r="VW4" i="6"/>
  <c r="VW3" i="6"/>
  <c r="VW5" i="6"/>
  <c r="VW6" i="6"/>
  <c r="WI3" i="6"/>
  <c r="WI5" i="6"/>
  <c r="WI6" i="6"/>
  <c r="WI4" i="6"/>
  <c r="AJZ5" i="6"/>
  <c r="AJZ4" i="6"/>
  <c r="AJZ6" i="6"/>
  <c r="AJZ3" i="6"/>
  <c r="AKY3" i="6"/>
  <c r="AKY6" i="6"/>
  <c r="AKY4" i="6"/>
  <c r="AKY5" i="6"/>
  <c r="AKW4" i="6"/>
  <c r="AKW5" i="6"/>
  <c r="AKW3" i="6"/>
  <c r="AKW6" i="6"/>
  <c r="I6" i="6"/>
  <c r="I3" i="6"/>
  <c r="I4" i="6"/>
  <c r="I5" i="6"/>
  <c r="OS5" i="6"/>
  <c r="OS6" i="6"/>
  <c r="OS4" i="6"/>
  <c r="OS3" i="6"/>
  <c r="AZ5" i="6"/>
  <c r="AZ6" i="6"/>
  <c r="AZ3" i="6"/>
  <c r="AZ4" i="6"/>
  <c r="L5" i="6"/>
  <c r="L3" i="6"/>
  <c r="L6" i="6"/>
  <c r="L4" i="6"/>
  <c r="OP5" i="6"/>
  <c r="OP4" i="6"/>
  <c r="OP6" i="6"/>
  <c r="OP3" i="6"/>
  <c r="OY3" i="6"/>
  <c r="OY5" i="6"/>
  <c r="OY4" i="6"/>
  <c r="OY6" i="6"/>
  <c r="ACH5" i="6"/>
  <c r="ACH4" i="6"/>
  <c r="ACH3" i="6"/>
  <c r="ACH6" i="6"/>
  <c r="ACD5" i="6"/>
  <c r="ACD6" i="6"/>
  <c r="ACD3" i="6"/>
  <c r="ACD4" i="6"/>
  <c r="QQ4" i="6"/>
  <c r="QQ3" i="6"/>
  <c r="QQ5" i="6"/>
  <c r="QQ6" i="6"/>
  <c r="AW3" i="6"/>
  <c r="AW6" i="6"/>
  <c r="AW5" i="6"/>
  <c r="AW4" i="6"/>
  <c r="ABL5" i="6"/>
  <c r="ABL6" i="6"/>
  <c r="ABL3" i="6"/>
  <c r="ABL4" i="6"/>
  <c r="VO5" i="6"/>
  <c r="VO4" i="6"/>
  <c r="VO3" i="6"/>
  <c r="VO6" i="6"/>
  <c r="TT5" i="6"/>
  <c r="TT4" i="6"/>
  <c r="TT6" i="6"/>
  <c r="TT3" i="6"/>
  <c r="CL3" i="6"/>
  <c r="CL5" i="6"/>
  <c r="CL6" i="6"/>
  <c r="CL4" i="6"/>
  <c r="ABD5" i="6"/>
  <c r="ABD6" i="6"/>
  <c r="ABD4" i="6"/>
  <c r="ABD3" i="6"/>
  <c r="YM5" i="6"/>
  <c r="YM6" i="6"/>
  <c r="YM3" i="6"/>
  <c r="YM4" i="6"/>
  <c r="XH5" i="6"/>
  <c r="XH6" i="6"/>
  <c r="XH4" i="6"/>
  <c r="XH3" i="6"/>
  <c r="MQ5" i="6"/>
  <c r="MQ6" i="6"/>
  <c r="MQ4" i="6"/>
  <c r="MQ3" i="6"/>
  <c r="UV5" i="6"/>
  <c r="UV3" i="6"/>
  <c r="UV6" i="6"/>
  <c r="UV4" i="6"/>
  <c r="AJT5" i="6"/>
  <c r="AJT6" i="6"/>
  <c r="AJT3" i="6"/>
  <c r="AJT4" i="6"/>
  <c r="TH5" i="6"/>
  <c r="TH3" i="6"/>
  <c r="TH6" i="6"/>
  <c r="TH4" i="6"/>
  <c r="AIC5" i="6"/>
  <c r="AIC6" i="6"/>
  <c r="AIC3" i="6"/>
  <c r="AIC4" i="6"/>
  <c r="BA4" i="6"/>
  <c r="BA6" i="6"/>
  <c r="BA5" i="6"/>
  <c r="BA3" i="6"/>
  <c r="WW3" i="6"/>
  <c r="WW4" i="6"/>
  <c r="WW5" i="6"/>
  <c r="WW6" i="6"/>
  <c r="AFA6" i="6"/>
  <c r="AFA4" i="6"/>
  <c r="AFA5" i="6"/>
  <c r="AFA3" i="6"/>
  <c r="RO5" i="6"/>
  <c r="RO6" i="6"/>
  <c r="RO4" i="6"/>
  <c r="RO3" i="6"/>
  <c r="DM3" i="6"/>
  <c r="DM6" i="6"/>
  <c r="DM4" i="6"/>
  <c r="DM5" i="6"/>
  <c r="NP5" i="6"/>
  <c r="NP6" i="6"/>
  <c r="NP4" i="6"/>
  <c r="NP3" i="6"/>
  <c r="AKG4" i="6"/>
  <c r="AKG6" i="6"/>
  <c r="AKG3" i="6"/>
  <c r="AKG5" i="6"/>
  <c r="VP3" i="6"/>
  <c r="VP5" i="6"/>
  <c r="VP6" i="6"/>
  <c r="VP4" i="6"/>
  <c r="XQ5" i="6"/>
  <c r="XQ3" i="6"/>
  <c r="XQ6" i="6"/>
  <c r="XQ4" i="6"/>
  <c r="AGH4" i="6"/>
  <c r="AGH3" i="6"/>
  <c r="AGH5" i="6"/>
  <c r="AGH6" i="6"/>
  <c r="IR5" i="6"/>
  <c r="IR6" i="6"/>
  <c r="IR4" i="6"/>
  <c r="IR3" i="6"/>
  <c r="H6" i="6"/>
  <c r="EC6" i="6"/>
  <c r="EC3" i="6"/>
  <c r="EC4" i="6"/>
  <c r="EC5" i="6"/>
  <c r="NJ3" i="6"/>
  <c r="NJ6" i="6"/>
  <c r="NJ4" i="6"/>
  <c r="NJ5" i="6"/>
  <c r="HK4" i="6"/>
  <c r="HK5" i="6"/>
  <c r="HK3" i="6"/>
  <c r="HK6" i="6"/>
  <c r="OC5" i="6"/>
  <c r="OC6" i="6"/>
  <c r="OC3" i="6"/>
  <c r="OC4" i="6"/>
  <c r="XK5" i="6"/>
  <c r="XK6" i="6"/>
  <c r="XK4" i="6"/>
  <c r="XK3" i="6"/>
  <c r="ADL3" i="6"/>
  <c r="ADL5" i="6"/>
  <c r="ADL6" i="6"/>
  <c r="ADL4" i="6"/>
  <c r="IA4" i="6"/>
  <c r="IA5" i="6"/>
  <c r="IA3" i="6"/>
  <c r="IA6" i="6"/>
  <c r="VY5" i="6"/>
  <c r="VY6" i="6"/>
  <c r="VY4" i="6"/>
  <c r="VY3" i="6"/>
  <c r="AET4" i="6"/>
  <c r="AET5" i="6"/>
  <c r="AET3" i="6"/>
  <c r="AET6" i="6"/>
  <c r="ZY4" i="6"/>
  <c r="ZY3" i="6"/>
  <c r="ZY5" i="6"/>
  <c r="ZY6" i="6"/>
  <c r="ZC5" i="6"/>
  <c r="ZC3" i="6"/>
  <c r="ZC6" i="6"/>
  <c r="ZC4" i="6"/>
  <c r="AG4" i="6"/>
  <c r="AG5" i="6"/>
  <c r="AG6" i="6"/>
  <c r="AG3" i="6"/>
  <c r="UW4" i="6"/>
  <c r="UW3" i="6"/>
  <c r="UW5" i="6"/>
  <c r="UW6" i="6"/>
  <c r="AIV5" i="6"/>
  <c r="AIV4" i="6"/>
  <c r="AIV6" i="6"/>
  <c r="AIV3" i="6"/>
  <c r="AKP5" i="6"/>
  <c r="AKP6" i="6"/>
  <c r="AKP4" i="6"/>
  <c r="AKP3" i="6"/>
  <c r="BG3" i="6"/>
  <c r="BG6" i="6"/>
  <c r="BG4" i="6"/>
  <c r="BG5" i="6"/>
  <c r="CR5" i="6"/>
  <c r="CR4" i="6"/>
  <c r="CR6" i="6"/>
  <c r="CR3" i="6"/>
  <c r="AKN5" i="6"/>
  <c r="AKN6" i="6"/>
  <c r="AKN3" i="6"/>
  <c r="AKN4" i="6"/>
  <c r="KH5" i="6"/>
  <c r="KH6" i="6"/>
  <c r="KH3" i="6"/>
  <c r="KH4" i="6"/>
  <c r="KD6" i="6"/>
  <c r="KD4" i="6"/>
  <c r="KD5" i="6"/>
  <c r="KD3" i="6"/>
  <c r="JR5" i="6"/>
  <c r="JR6" i="6"/>
  <c r="JR3" i="6"/>
  <c r="JR4" i="6"/>
  <c r="PD3" i="6"/>
  <c r="PD4" i="6"/>
  <c r="PD5" i="6"/>
  <c r="PD6" i="6"/>
  <c r="UJ5" i="6"/>
  <c r="UJ6" i="6"/>
  <c r="UJ3" i="6"/>
  <c r="UJ4" i="6"/>
  <c r="QS5" i="6"/>
  <c r="QS6" i="6"/>
  <c r="QS4" i="6"/>
  <c r="QS3" i="6"/>
  <c r="QD5" i="6"/>
  <c r="QD4" i="6"/>
  <c r="QD6" i="6"/>
  <c r="QD3" i="6"/>
  <c r="XP3" i="6"/>
  <c r="XP6" i="6"/>
  <c r="XP4" i="6"/>
  <c r="XP5" i="6"/>
  <c r="AAQ5" i="6"/>
  <c r="AAQ6" i="6"/>
  <c r="AAQ4" i="6"/>
  <c r="AAQ3" i="6"/>
  <c r="US4" i="6"/>
  <c r="US5" i="6"/>
  <c r="US3" i="6"/>
  <c r="US6" i="6"/>
  <c r="AKH5" i="6"/>
  <c r="AKH6" i="6"/>
  <c r="AKH3" i="6"/>
  <c r="AKH4" i="6"/>
  <c r="AKI4" i="6"/>
  <c r="AKI6" i="6"/>
  <c r="AKI3" i="6"/>
  <c r="AKI5" i="6"/>
  <c r="IZ5" i="6"/>
  <c r="IZ6" i="6"/>
  <c r="IZ4" i="6"/>
  <c r="IZ3" i="6"/>
  <c r="HJ4" i="6"/>
  <c r="HJ6" i="6"/>
  <c r="HJ3" i="6"/>
  <c r="HJ5" i="6"/>
  <c r="AEI6" i="6"/>
  <c r="AEI4" i="6"/>
  <c r="AEI5" i="6"/>
  <c r="AEI3" i="6"/>
  <c r="NE4" i="6"/>
  <c r="NE5" i="6"/>
  <c r="NE6" i="6"/>
  <c r="NE3" i="6"/>
  <c r="AEP4" i="6"/>
  <c r="AEP5" i="6"/>
  <c r="AEP6" i="6"/>
  <c r="AEP3" i="6"/>
  <c r="AIW4" i="6"/>
  <c r="AIW3" i="6"/>
  <c r="AIW5" i="6"/>
  <c r="AIW6" i="6"/>
  <c r="IH5" i="6"/>
  <c r="IH6" i="6"/>
  <c r="IH4" i="6"/>
  <c r="IH3" i="6"/>
  <c r="MC5" i="6"/>
  <c r="MC4" i="6"/>
  <c r="MC6" i="6"/>
  <c r="MC3" i="6"/>
  <c r="TD6" i="6"/>
  <c r="TD3" i="6"/>
  <c r="TD4" i="6"/>
  <c r="TD5" i="6"/>
  <c r="YB4" i="6"/>
  <c r="YB5" i="6"/>
  <c r="YB6" i="6"/>
  <c r="YB3" i="6"/>
  <c r="SA5" i="6"/>
  <c r="SA6" i="6"/>
  <c r="SA3" i="6"/>
  <c r="SA4" i="6"/>
  <c r="ZP3" i="6"/>
  <c r="ZP5" i="6"/>
  <c r="ZP6" i="6"/>
  <c r="ZP4" i="6"/>
  <c r="FC3" i="6"/>
  <c r="FC5" i="6"/>
  <c r="FC6" i="6"/>
  <c r="FC4" i="6"/>
  <c r="TR3" i="6"/>
  <c r="TR5" i="6"/>
  <c r="TR4" i="6"/>
  <c r="TR6" i="6"/>
  <c r="AJU3" i="6"/>
  <c r="AJU5" i="6"/>
  <c r="AJU6" i="6"/>
  <c r="AJU4" i="6"/>
  <c r="SB4" i="6"/>
  <c r="SB5" i="6"/>
  <c r="SB6" i="6"/>
  <c r="SB3" i="6"/>
  <c r="ADZ5" i="6"/>
  <c r="ADZ4" i="6"/>
  <c r="ADZ6" i="6"/>
  <c r="ADZ3" i="6"/>
  <c r="JW5" i="6"/>
  <c r="JW4" i="6"/>
  <c r="JW6" i="6"/>
  <c r="JW3" i="6"/>
  <c r="QW5" i="6"/>
  <c r="QW6" i="6"/>
  <c r="QW3" i="6"/>
  <c r="QW4" i="6"/>
  <c r="FJ5" i="6"/>
  <c r="FJ3" i="6"/>
  <c r="FJ6" i="6"/>
  <c r="FJ4" i="6"/>
  <c r="MG4" i="6"/>
  <c r="MG6" i="6"/>
  <c r="MG5" i="6"/>
  <c r="MG3" i="6"/>
  <c r="FR5" i="6"/>
  <c r="FR6" i="6"/>
  <c r="FR4" i="6"/>
  <c r="FR3" i="6"/>
  <c r="ABW4" i="6"/>
  <c r="ABW5" i="6"/>
  <c r="ABW6" i="6"/>
  <c r="ABW3" i="6"/>
  <c r="NY5" i="6"/>
  <c r="NY4" i="6"/>
  <c r="NY6" i="6"/>
  <c r="NY3" i="6"/>
  <c r="ABG5" i="6"/>
  <c r="ABG6" i="6"/>
  <c r="ABG3" i="6"/>
  <c r="ABG4" i="6"/>
  <c r="XC5" i="6"/>
  <c r="XC6" i="6"/>
  <c r="XC4" i="6"/>
  <c r="XC3" i="6"/>
  <c r="AFO3" i="6"/>
  <c r="AFO6" i="6"/>
  <c r="AFO4" i="6"/>
  <c r="AFO5" i="6"/>
  <c r="JA5" i="6"/>
  <c r="JA6" i="6"/>
  <c r="JA3" i="6"/>
  <c r="JA4" i="6"/>
  <c r="IW5" i="6"/>
  <c r="IW4" i="6"/>
  <c r="IW3" i="6"/>
  <c r="IW6" i="6"/>
  <c r="ZL5" i="6"/>
  <c r="ZL6" i="6"/>
  <c r="ZL4" i="6"/>
  <c r="ZL3" i="6"/>
  <c r="BP5" i="6"/>
  <c r="BP6" i="6"/>
  <c r="BP4" i="6"/>
  <c r="BP3" i="6"/>
  <c r="TF4" i="6"/>
  <c r="TF6" i="6"/>
  <c r="TF3" i="6"/>
  <c r="TF5" i="6"/>
  <c r="ABA5" i="6"/>
  <c r="ABA4" i="6"/>
  <c r="ABA6" i="6"/>
  <c r="ABA3" i="6"/>
  <c r="VK3" i="6"/>
  <c r="VK6" i="6"/>
  <c r="VK4" i="6"/>
  <c r="VK5" i="6"/>
  <c r="RF5" i="6"/>
  <c r="RF6" i="6"/>
  <c r="RF4" i="6"/>
  <c r="RF3" i="6"/>
  <c r="ACG5" i="6"/>
  <c r="ACG6" i="6"/>
  <c r="ACG4" i="6"/>
  <c r="ACG3" i="6"/>
  <c r="ABI5" i="6"/>
  <c r="ABI6" i="6"/>
  <c r="ABI4" i="6"/>
  <c r="ABI3" i="6"/>
  <c r="EU6" i="6"/>
  <c r="EU4" i="6"/>
  <c r="EU3" i="6"/>
  <c r="EU5" i="6"/>
  <c r="AHP5" i="6"/>
  <c r="AHP4" i="6"/>
  <c r="AHP6" i="6"/>
  <c r="AHP3" i="6"/>
  <c r="AGT4" i="6"/>
  <c r="AGT5" i="6"/>
  <c r="AGT6" i="6"/>
  <c r="AGT3" i="6"/>
  <c r="DA4" i="6"/>
  <c r="DA5" i="6"/>
  <c r="DA6" i="6"/>
  <c r="DA3" i="6"/>
  <c r="AHT6" i="6"/>
  <c r="AHT3" i="6"/>
  <c r="AHT4" i="6"/>
  <c r="AHT5" i="6"/>
  <c r="IB4" i="6"/>
  <c r="IB3" i="6"/>
  <c r="IB6" i="6"/>
  <c r="IB5" i="6"/>
  <c r="IJ3" i="6"/>
  <c r="IJ6" i="6"/>
  <c r="IJ4" i="6"/>
  <c r="IJ5" i="6"/>
  <c r="IL3" i="6"/>
  <c r="IL6" i="6"/>
  <c r="IL5" i="6"/>
  <c r="IL4" i="6"/>
  <c r="ABH3" i="6"/>
  <c r="ABH5" i="6"/>
  <c r="ABH6" i="6"/>
  <c r="ABH4" i="6"/>
  <c r="AAU4" i="6"/>
  <c r="AAU5" i="6"/>
  <c r="AAU3" i="6"/>
  <c r="AAU6" i="6"/>
  <c r="ACK5" i="6"/>
  <c r="ACK6" i="6"/>
  <c r="ACK3" i="6"/>
  <c r="ACK4" i="6"/>
  <c r="BE3" i="6"/>
  <c r="BE5" i="6"/>
  <c r="BE6" i="6"/>
  <c r="BE4" i="6"/>
  <c r="JQ3" i="6"/>
  <c r="JQ5" i="6"/>
  <c r="JQ6" i="6"/>
  <c r="JQ4" i="6"/>
  <c r="YY3" i="6"/>
  <c r="YY5" i="6"/>
  <c r="YY6" i="6"/>
  <c r="YY4" i="6"/>
  <c r="ADV4" i="6"/>
  <c r="ADV3" i="6"/>
  <c r="ADV5" i="6"/>
  <c r="ADV6" i="6"/>
  <c r="AEB5" i="6"/>
  <c r="AEB3" i="6"/>
  <c r="AEB6" i="6"/>
  <c r="AEB4" i="6"/>
  <c r="EH5" i="6"/>
  <c r="EH6" i="6"/>
  <c r="EH3" i="6"/>
  <c r="EH4" i="6"/>
  <c r="YR5" i="6"/>
  <c r="YR6" i="6"/>
  <c r="YR3" i="6"/>
  <c r="YR4" i="6"/>
  <c r="GU4" i="6"/>
  <c r="GU3" i="6"/>
  <c r="GU5" i="6"/>
  <c r="GU6" i="6"/>
  <c r="MJ5" i="6"/>
  <c r="MJ4" i="6"/>
  <c r="MJ6" i="6"/>
  <c r="MJ3" i="6"/>
  <c r="D15" i="7" l="1"/>
  <c r="H4" i="6"/>
  <c r="AKT5" i="6"/>
  <c r="AKT6" i="6"/>
  <c r="AKT4" i="6"/>
  <c r="AKT3" i="6"/>
  <c r="B19" i="6" s="1"/>
  <c r="H5" i="6"/>
  <c r="B20" i="6" l="1"/>
  <c r="B21" i="6"/>
  <c r="B22" i="6"/>
</calcChain>
</file>

<file path=xl/sharedStrings.xml><?xml version="1.0" encoding="utf-8"?>
<sst xmlns="http://schemas.openxmlformats.org/spreadsheetml/2006/main" count="2162" uniqueCount="1576">
  <si>
    <t>Date</t>
  </si>
  <si>
    <t>Close/Last</t>
  </si>
  <si>
    <t>Volume</t>
  </si>
  <si>
    <t>Open</t>
  </si>
  <si>
    <t>High</t>
  </si>
  <si>
    <t>Low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</si>
  <si>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</si>
  <si>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</si>
  <si>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</si>
  <si>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</si>
  <si>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</si>
  <si>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</si>
  <si>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</si>
  <si>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</si>
  <si>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</si>
  <si>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</si>
  <si>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</si>
  <si>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</si>
  <si>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</si>
  <si>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</si>
  <si>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</si>
  <si>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</si>
  <si>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</si>
  <si>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</si>
  <si>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</si>
  <si>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</si>
  <si>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</si>
  <si>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</si>
  <si>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</si>
  <si>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</si>
  <si>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</si>
  <si>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</si>
  <si>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</si>
  <si>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</si>
  <si>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</si>
  <si>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</si>
  <si>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</si>
  <si>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</si>
  <si>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</si>
  <si>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</si>
  <si>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</si>
  <si>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</si>
  <si>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</si>
  <si>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</si>
  <si>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</si>
  <si>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</si>
  <si>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</si>
  <si>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</si>
  <si>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</si>
  <si>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</si>
  <si>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</si>
  <si>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</si>
  <si>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</si>
  <si>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</si>
  <si>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</si>
  <si>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</si>
  <si>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</si>
  <si>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</si>
  <si>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</si>
  <si>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</si>
  <si>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</si>
  <si>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</si>
  <si>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</si>
  <si>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</si>
  <si>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</si>
  <si>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</si>
  <si>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</si>
  <si>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</si>
  <si>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</si>
  <si>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</si>
  <si>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</si>
  <si>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</si>
  <si>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</si>
  <si>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</si>
  <si>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</si>
  <si>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</si>
  <si>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</si>
  <si>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</si>
  <si>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</si>
  <si>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</si>
  <si>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</si>
  <si>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</si>
  <si>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</si>
  <si>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</si>
  <si>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</si>
  <si>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</si>
  <si>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</si>
  <si>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</si>
  <si>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</si>
  <si>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</si>
  <si>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</si>
  <si>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</si>
  <si>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</si>
  <si>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</si>
  <si>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</si>
  <si>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</si>
  <si>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</si>
  <si>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</si>
  <si>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</si>
  <si>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</si>
  <si>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</si>
  <si>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</si>
  <si>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</si>
  <si>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</si>
  <si>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</si>
  <si>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</si>
  <si>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</si>
  <si>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</si>
  <si>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</si>
  <si>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</si>
  <si>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</si>
  <si>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</si>
  <si>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</si>
  <si>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</si>
  <si>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</si>
  <si>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</si>
  <si>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</si>
  <si>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</si>
  <si>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</si>
  <si>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</si>
  <si>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</si>
  <si>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</si>
  <si>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</si>
  <si>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</si>
  <si>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</si>
  <si>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</si>
  <si>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</si>
  <si>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</si>
  <si>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</si>
  <si>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</si>
  <si>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</si>
  <si>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</si>
  <si>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</si>
  <si>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</si>
  <si>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</si>
  <si>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</si>
  <si>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</si>
  <si>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</si>
  <si>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</si>
  <si>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</si>
  <si>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</si>
  <si>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</si>
  <si>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</si>
  <si>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</si>
  <si>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</si>
  <si>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</si>
  <si>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</si>
  <si>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</si>
  <si>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</si>
  <si>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</si>
  <si>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</si>
  <si>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</si>
  <si>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</si>
  <si>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</si>
  <si>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</si>
  <si>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</si>
  <si>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</si>
  <si>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</si>
  <si>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</si>
  <si>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</si>
  <si>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</si>
  <si>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</si>
  <si>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</si>
  <si>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</si>
  <si>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</si>
  <si>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</si>
  <si>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</si>
  <si>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</si>
  <si>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</si>
  <si>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</si>
  <si>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</si>
  <si>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</si>
  <si>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</si>
  <si>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</si>
  <si>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</si>
  <si>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</si>
  <si>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</si>
  <si>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</si>
  <si>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</si>
  <si>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</si>
  <si>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</si>
  <si>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</si>
  <si>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</si>
  <si>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</si>
  <si>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</si>
  <si>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</si>
  <si>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</si>
  <si>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</si>
  <si>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</si>
  <si>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</si>
  <si>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</si>
  <si>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</si>
  <si>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</si>
  <si>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</si>
  <si>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</si>
  <si>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</si>
  <si>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</si>
  <si>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</si>
  <si>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</si>
  <si>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</si>
  <si>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</si>
  <si>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</si>
  <si>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</si>
  <si>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</si>
  <si>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</si>
  <si>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</si>
  <si>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</si>
  <si>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</si>
  <si>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</si>
  <si>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</si>
  <si>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</si>
  <si>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</si>
  <si>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</si>
  <si>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</si>
  <si>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</si>
  <si>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</si>
  <si>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</si>
  <si>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</si>
  <si>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</si>
  <si>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</si>
  <si>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</si>
  <si>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</si>
  <si>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</si>
  <si>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</si>
  <si>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</si>
  <si>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</si>
  <si>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</si>
  <si>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</si>
  <si>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</si>
  <si>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</si>
  <si>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</si>
  <si>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</si>
  <si>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</si>
  <si>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</si>
  <si>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</si>
  <si>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</si>
  <si>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</si>
  <si>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</si>
  <si>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</si>
  <si>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</si>
  <si>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</si>
  <si>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</si>
  <si>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</si>
  <si>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</si>
  <si>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</si>
  <si>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</si>
  <si>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</si>
  <si>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</si>
  <si>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</si>
  <si>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</si>
  <si>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</si>
  <si>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</si>
  <si>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</si>
  <si>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</si>
  <si>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</si>
  <si>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</si>
  <si>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</si>
  <si>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</si>
  <si>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</si>
  <si>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</si>
  <si>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</si>
  <si>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</si>
  <si>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</si>
  <si>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</si>
  <si>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</si>
  <si>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</si>
  <si>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</si>
  <si>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</si>
  <si>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</si>
  <si>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</si>
  <si>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</si>
  <si>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</si>
  <si>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</si>
  <si>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</si>
  <si>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</si>
  <si>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</si>
  <si>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</si>
  <si>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</si>
  <si>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</si>
  <si>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</si>
  <si>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</si>
  <si>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</si>
  <si>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</si>
  <si>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</si>
  <si>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</si>
  <si>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</si>
  <si>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</si>
  <si>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</si>
  <si>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</si>
  <si>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</si>
  <si>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</si>
  <si>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</si>
  <si>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</si>
  <si>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</si>
  <si>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</si>
  <si>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</si>
  <si>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</si>
  <si>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</si>
  <si>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</si>
  <si>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</si>
  <si>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</si>
  <si>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</si>
  <si>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</si>
  <si>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</si>
  <si>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</si>
  <si>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</si>
  <si>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</si>
  <si>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</si>
  <si>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</si>
  <si>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</si>
  <si>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</si>
  <si>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</si>
  <si>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</si>
  <si>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</si>
  <si>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</si>
  <si>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</si>
  <si>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</si>
  <si>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</si>
  <si>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</si>
  <si>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</si>
  <si>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</si>
  <si>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</si>
  <si>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</si>
  <si>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</si>
  <si>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</si>
  <si>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</si>
  <si>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</si>
  <si>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</si>
  <si>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</si>
  <si>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</si>
  <si>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</si>
  <si>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</si>
  <si>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</si>
  <si>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</si>
  <si>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</si>
  <si>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</si>
  <si>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</si>
  <si>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</si>
  <si>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</si>
  <si>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</si>
  <si>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</si>
  <si>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</si>
  <si>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</si>
  <si>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</si>
  <si>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</si>
  <si>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</si>
  <si>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</si>
  <si>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</si>
  <si>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</si>
  <si>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</si>
  <si>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</si>
  <si>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</si>
  <si>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</si>
  <si>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</si>
  <si>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</si>
  <si>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</si>
  <si>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</si>
  <si>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</si>
  <si>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</si>
  <si>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</si>
  <si>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</si>
  <si>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</si>
  <si>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</si>
  <si>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</si>
  <si>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</si>
  <si>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</si>
  <si>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</si>
  <si>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</si>
  <si>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</si>
  <si>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</si>
  <si>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</si>
  <si>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</si>
  <si>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</si>
  <si>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</si>
  <si>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</si>
  <si>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</si>
  <si>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</si>
  <si>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</si>
  <si>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</si>
  <si>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</si>
  <si>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</si>
  <si>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</si>
  <si>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</si>
  <si>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</si>
  <si>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</si>
  <si>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</si>
  <si>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</si>
  <si>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</si>
  <si>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</si>
  <si>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</si>
  <si>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</si>
  <si>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</si>
  <si>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</si>
  <si>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</si>
  <si>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</si>
  <si>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</si>
  <si>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</si>
  <si>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</si>
  <si>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</si>
  <si>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</si>
  <si>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</si>
  <si>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</si>
  <si>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</si>
  <si>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</si>
  <si>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</si>
  <si>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</si>
  <si>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</si>
  <si>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</si>
  <si>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</si>
  <si>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</si>
  <si>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</si>
  <si>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</si>
  <si>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</si>
  <si>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</si>
  <si>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</si>
  <si>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</si>
  <si>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</si>
  <si>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</si>
  <si>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</si>
  <si>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</si>
  <si>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</si>
  <si>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</si>
  <si>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</si>
  <si>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</si>
  <si>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</si>
  <si>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</si>
  <si>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</si>
  <si>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</si>
  <si>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</si>
  <si>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</si>
  <si>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</si>
  <si>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</si>
  <si>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</si>
  <si>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</si>
  <si>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</si>
  <si>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</si>
  <si>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</si>
  <si>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</si>
  <si>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</si>
  <si>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</si>
  <si>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</si>
  <si>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</si>
  <si>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</si>
  <si>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</si>
  <si>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</si>
  <si>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</si>
  <si>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</si>
  <si>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</si>
  <si>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</si>
  <si>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</si>
  <si>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</si>
  <si>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</si>
  <si>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</si>
  <si>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</si>
  <si>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</si>
  <si>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</si>
  <si>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</si>
  <si>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</si>
  <si>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</si>
  <si>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</si>
  <si>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</si>
  <si>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</si>
  <si>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</si>
  <si>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</si>
  <si>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</si>
  <si>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</si>
  <si>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</si>
  <si>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</si>
  <si>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</si>
  <si>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</si>
  <si>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</si>
  <si>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</si>
  <si>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</si>
  <si>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</si>
  <si>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</si>
  <si>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</si>
  <si>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</si>
  <si>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</si>
  <si>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</si>
  <si>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</si>
  <si>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</si>
  <si>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</si>
  <si>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</si>
  <si>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</si>
  <si>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</si>
  <si>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</si>
  <si>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</si>
  <si>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</si>
  <si>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</si>
  <si>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</si>
  <si>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</si>
  <si>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</si>
  <si>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</si>
  <si>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</si>
  <si>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</si>
  <si>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</si>
  <si>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</si>
  <si>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</si>
  <si>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</si>
  <si>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</si>
  <si>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</si>
  <si>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</si>
  <si>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</si>
  <si>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</si>
  <si>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</si>
  <si>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</si>
  <si>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</si>
  <si>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</si>
  <si>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</si>
  <si>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</si>
  <si>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</si>
  <si>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</si>
  <si>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</si>
  <si>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</si>
  <si>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</si>
  <si>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</si>
  <si>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</si>
  <si>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</si>
  <si>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</si>
  <si>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</si>
  <si>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</si>
  <si>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</si>
  <si>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</si>
  <si>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</si>
  <si>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</si>
  <si>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</si>
  <si>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</si>
  <si>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</si>
  <si>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</si>
  <si>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</si>
  <si>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</si>
  <si>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</si>
  <si>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</si>
  <si>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</si>
  <si>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</si>
  <si>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</si>
  <si>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</si>
  <si>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</si>
  <si>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</si>
  <si>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</si>
  <si>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</si>
  <si>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</si>
  <si>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</si>
  <si>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</si>
  <si>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</si>
  <si>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</si>
  <si>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</si>
  <si>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</si>
  <si>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</si>
  <si>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</si>
  <si>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</si>
  <si>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</si>
  <si>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</si>
  <si>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</si>
  <si>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</si>
  <si>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</si>
  <si>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</si>
  <si>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</si>
  <si>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</si>
  <si>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</si>
  <si>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</si>
  <si>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</si>
  <si>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</si>
  <si>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</si>
  <si>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</si>
  <si>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</si>
  <si>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</si>
  <si>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</si>
  <si>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</si>
  <si>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</si>
  <si>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</si>
  <si>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</si>
  <si>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</si>
  <si>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</si>
  <si>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</si>
  <si>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</si>
  <si>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</si>
  <si>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</si>
  <si>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</si>
  <si>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</si>
  <si>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</si>
  <si>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</si>
  <si>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</si>
  <si>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</si>
  <si>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</si>
  <si>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</si>
  <si>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</si>
  <si>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</si>
  <si>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</si>
  <si>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</si>
  <si>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</si>
  <si>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</si>
  <si>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</si>
  <si>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</si>
  <si>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</si>
  <si>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</si>
  <si>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</si>
  <si>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</si>
  <si>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</si>
  <si>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</si>
  <si>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</si>
  <si>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</si>
  <si>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</si>
  <si>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</si>
  <si>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</si>
  <si>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</si>
  <si>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</si>
  <si>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</si>
  <si>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</si>
  <si>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</si>
  <si>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</si>
  <si>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</si>
  <si>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</si>
  <si>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</si>
  <si>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</si>
  <si>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</si>
  <si>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</si>
  <si>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</si>
  <si>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</si>
  <si>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</si>
  <si>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</si>
  <si>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</si>
  <si>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</si>
  <si>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</si>
  <si>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</si>
  <si>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</si>
  <si>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</si>
  <si>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</si>
  <si>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</si>
  <si>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</si>
  <si>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</si>
  <si>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</si>
  <si>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</si>
  <si>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</si>
  <si>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</si>
  <si>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</si>
  <si>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</si>
  <si>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</si>
  <si>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</si>
  <si>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</si>
  <si>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</si>
  <si>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</si>
  <si>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</si>
  <si>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</si>
  <si>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</si>
  <si>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</si>
  <si>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</si>
  <si>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</si>
  <si>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</si>
  <si>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</si>
  <si>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</si>
  <si>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</si>
  <si>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</si>
  <si>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</si>
  <si>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</si>
  <si>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</si>
  <si>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</si>
  <si>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</si>
  <si>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</si>
  <si>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</si>
  <si>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</si>
  <si>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</si>
  <si>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</si>
  <si>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</si>
  <si>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</si>
  <si>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</si>
  <si>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</si>
  <si>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</si>
  <si>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</si>
  <si>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</si>
  <si>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</si>
  <si>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</si>
  <si>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</si>
  <si>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</si>
  <si>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</si>
  <si>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</si>
  <si>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</si>
  <si>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</si>
  <si>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</si>
  <si>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</si>
  <si>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</si>
  <si>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</si>
  <si>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</si>
  <si>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</si>
  <si>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</si>
  <si>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</si>
  <si>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</si>
  <si>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</si>
  <si>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</si>
  <si>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</si>
  <si>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</si>
  <si>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</si>
  <si>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</si>
  <si>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</si>
  <si>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</si>
  <si>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</si>
  <si>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</si>
  <si>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</si>
  <si>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</si>
  <si>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</si>
  <si>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</si>
  <si>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</si>
  <si>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</si>
  <si>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</si>
  <si>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</si>
  <si>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</si>
  <si>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</si>
  <si>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</si>
  <si>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</si>
  <si>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</si>
  <si>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</si>
  <si>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</si>
  <si>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</si>
  <si>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</si>
  <si>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</si>
  <si>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01/15/2021</t>
  </si>
  <si>
    <t>01/14/2021</t>
  </si>
  <si>
    <t>01/13/2021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</si>
  <si>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</si>
  <si>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</si>
  <si>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</si>
  <si>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</si>
  <si>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</si>
  <si>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</si>
  <si>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</si>
  <si>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</si>
  <si>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</si>
  <si>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</si>
  <si>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</si>
  <si>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</si>
  <si>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</si>
  <si>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</si>
  <si>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</si>
  <si>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</si>
  <si>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</si>
  <si>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</si>
  <si>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</si>
  <si>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</si>
  <si>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</si>
  <si>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</si>
  <si>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</si>
  <si>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</si>
  <si>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</si>
  <si>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</si>
  <si>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</si>
  <si>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</si>
  <si>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</si>
  <si>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</si>
  <si>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</si>
  <si>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</si>
  <si>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</si>
  <si>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</si>
  <si>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</si>
  <si>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</si>
  <si>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</si>
  <si>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</si>
  <si>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</si>
  <si>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</si>
  <si>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</si>
  <si>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</si>
  <si>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</si>
  <si>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</si>
  <si>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</si>
  <si>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</si>
  <si>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</si>
  <si>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</si>
  <si>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</si>
  <si>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</si>
  <si>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</si>
  <si>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</si>
  <si>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</si>
  <si>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</si>
  <si>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</si>
  <si>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</si>
  <si>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</si>
  <si>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</si>
  <si>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</si>
  <si>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</si>
  <si>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</si>
  <si>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</si>
  <si>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</si>
  <si>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</si>
  <si>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</si>
  <si>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</si>
  <si>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</si>
  <si>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</si>
  <si>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</si>
  <si>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</si>
  <si>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</si>
  <si>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</si>
  <si>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</si>
  <si>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</si>
  <si>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</si>
  <si>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</si>
  <si>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</si>
  <si>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</si>
  <si>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</si>
  <si>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</si>
  <si>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</si>
  <si>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</si>
  <si>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</si>
  <si>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</si>
  <si>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</si>
  <si>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</si>
  <si>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</si>
  <si>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</si>
  <si>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</si>
  <si>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</si>
  <si>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</si>
  <si>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</si>
  <si>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</si>
  <si>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05/27/2020</t>
  </si>
  <si>
    <t>05/26/2020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</si>
  <si>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</si>
  <si>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</si>
  <si>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</si>
  <si>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</si>
  <si>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</si>
  <si>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</si>
  <si>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</si>
  <si>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</si>
  <si>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</si>
  <si>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</si>
  <si>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</si>
  <si>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</si>
  <si>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</si>
  <si>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</si>
  <si>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</si>
  <si>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</si>
  <si>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</si>
  <si>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</si>
  <si>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</si>
  <si>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</si>
  <si>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</si>
  <si>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</si>
  <si>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</si>
  <si>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</si>
  <si>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</si>
  <si>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</si>
  <si>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</si>
  <si>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</si>
  <si>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</si>
  <si>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</si>
  <si>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</si>
  <si>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</si>
  <si>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</si>
  <si>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</si>
  <si>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</si>
  <si>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</si>
  <si>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</si>
  <si>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</si>
  <si>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</si>
  <si>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</si>
  <si>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</si>
  <si>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</si>
  <si>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</si>
  <si>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</si>
  <si>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</si>
  <si>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</si>
  <si>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</si>
  <si>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</si>
  <si>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</si>
  <si>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</si>
  <si>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</si>
  <si>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</si>
  <si>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</si>
  <si>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</si>
  <si>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</si>
  <si>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01/17/2020</t>
  </si>
  <si>
    <t>01/16/2020</t>
  </si>
  <si>
    <t>01/15/2020</t>
  </si>
  <si>
    <t>01/14/2020</t>
  </si>
  <si>
    <t>01/13/2020</t>
  </si>
  <si>
    <t>12/31/2019</t>
  </si>
  <si>
    <t>12/30/2019</t>
  </si>
  <si>
    <t>12/27/2019</t>
  </si>
  <si>
    <t>12/26/2019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</si>
  <si>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</si>
  <si>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</si>
  <si>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</si>
  <si>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</si>
  <si>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</si>
  <si>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</si>
  <si>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</si>
  <si>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</si>
  <si>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</si>
  <si>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</si>
  <si>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</si>
  <si>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</si>
  <si>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</si>
  <si>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</si>
  <si>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</si>
  <si>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</si>
  <si>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</si>
  <si>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</si>
  <si>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</si>
  <si>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</si>
  <si>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</si>
  <si>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</si>
  <si>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</si>
  <si>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</si>
  <si>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</si>
  <si>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</si>
  <si>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</si>
  <si>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</si>
  <si>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</si>
  <si>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</si>
  <si>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</si>
  <si>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</si>
  <si>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</si>
  <si>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</si>
  <si>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</si>
  <si>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</si>
  <si>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</si>
  <si>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</si>
  <si>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</si>
  <si>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</si>
  <si>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</si>
  <si>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</si>
  <si>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</si>
  <si>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</si>
  <si>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</si>
  <si>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</si>
  <si>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</si>
  <si>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</si>
  <si>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</si>
  <si>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</si>
  <si>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</si>
  <si>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</si>
  <si>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</si>
  <si>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</si>
  <si>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</si>
  <si>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</si>
  <si>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</si>
  <si>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</si>
  <si>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</si>
  <si>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</si>
  <si>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</si>
  <si>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</si>
  <si>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</si>
  <si>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</si>
  <si>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</si>
  <si>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</si>
  <si>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</si>
  <si>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</si>
  <si>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</si>
  <si>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</si>
  <si>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</si>
  <si>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</si>
  <si>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</si>
  <si>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</si>
  <si>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</si>
  <si>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</si>
  <si>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</si>
  <si>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</si>
  <si>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</si>
  <si>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</si>
  <si>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</si>
  <si>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</si>
  <si>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</si>
  <si>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</si>
  <si>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</si>
  <si>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</si>
  <si>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</si>
  <si>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05/29/2019</t>
  </si>
  <si>
    <t>05/28/2019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</si>
  <si>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</si>
  <si>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</si>
  <si>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</si>
  <si>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</si>
  <si>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</si>
  <si>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</si>
  <si>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</si>
  <si>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</si>
  <si>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</si>
  <si>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</si>
  <si>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04/30/2019</t>
  </si>
  <si>
    <t>04/29/2019</t>
  </si>
  <si>
    <t>04/26/2019</t>
  </si>
  <si>
    <t>04/25/2019</t>
  </si>
  <si>
    <t>04/24/2019</t>
  </si>
  <si>
    <t>04/23/2019</t>
  </si>
  <si>
    <t>04/22/2019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</si>
  <si>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</si>
  <si>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</si>
  <si>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</si>
  <si>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</si>
  <si>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</si>
  <si>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</si>
  <si>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</si>
  <si>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</si>
  <si>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</si>
  <si>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</si>
  <si>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</si>
  <si>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</si>
  <si>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</si>
  <si>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</si>
  <si>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</si>
  <si>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</si>
  <si>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</si>
  <si>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</si>
  <si>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</si>
  <si>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</si>
  <si>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</si>
  <si>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</si>
  <si>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</si>
  <si>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</si>
  <si>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</si>
  <si>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</si>
  <si>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</si>
  <si>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</si>
  <si>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</si>
  <si>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</si>
  <si>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</si>
  <si>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</si>
  <si>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</si>
  <si>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</si>
  <si>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</si>
  <si>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</si>
  <si>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01/18/2019</t>
  </si>
  <si>
    <t>01/17/2019</t>
  </si>
  <si>
    <t>01/16/2019</t>
  </si>
  <si>
    <t>01/15/2019</t>
  </si>
  <si>
    <t>01/14/2019</t>
  </si>
  <si>
    <t>12/31/2018</t>
  </si>
  <si>
    <t>12/28/2018</t>
  </si>
  <si>
    <t>12/27/2018</t>
  </si>
  <si>
    <t>12/26/2018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</si>
  <si>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</si>
  <si>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</si>
  <si>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</si>
  <si>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</si>
  <si>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</si>
  <si>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</si>
  <si>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</si>
  <si>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</si>
  <si>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11/30/2018</t>
  </si>
  <si>
    <t>11/29/2018</t>
  </si>
  <si>
    <t>11/28/2018</t>
  </si>
  <si>
    <t>11/27/2018</t>
  </si>
  <si>
    <t>11/26/2018</t>
  </si>
  <si>
    <t>11/23/2018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</si>
  <si>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</si>
  <si>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</si>
  <si>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</si>
  <si>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</si>
  <si>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</si>
  <si>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</si>
  <si>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</si>
  <si>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</si>
  <si>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</si>
  <si>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</si>
  <si>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</si>
  <si>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</si>
  <si>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</si>
  <si>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</si>
  <si>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</si>
  <si>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</si>
  <si>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</si>
  <si>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</si>
  <si>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</si>
  <si>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</si>
  <si>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09/28/2018</t>
  </si>
  <si>
    <t>09/27/2018</t>
  </si>
  <si>
    <t>09/26/2018</t>
  </si>
  <si>
    <t>09/25/2018</t>
  </si>
  <si>
    <t>09/24/2018</t>
  </si>
  <si>
    <t>09/21/2018</t>
  </si>
  <si>
    <t>09/20/2018</t>
  </si>
  <si>
    <t>09/19/2018</t>
  </si>
  <si>
    <t>09/18/2018</t>
  </si>
  <si>
    <t>09/17/2018</t>
  </si>
  <si>
    <t>09/14/2018</t>
  </si>
  <si>
    <t>09/13/2018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</si>
  <si>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</si>
  <si>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</si>
  <si>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</si>
  <si>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</si>
  <si>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</si>
  <si>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</si>
  <si>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</si>
  <si>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</si>
  <si>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</si>
  <si>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</si>
  <si>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</si>
  <si>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</si>
  <si>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</si>
  <si>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</si>
  <si>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</si>
  <si>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</si>
  <si>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</si>
  <si>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</si>
  <si>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</si>
  <si>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</si>
  <si>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</si>
  <si>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</si>
  <si>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</si>
  <si>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</si>
  <si>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</si>
  <si>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</si>
  <si>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</si>
  <si>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</si>
  <si>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</si>
  <si>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</si>
  <si>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</si>
  <si>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</si>
  <si>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</si>
  <si>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</si>
  <si>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</si>
  <si>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</si>
  <si>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</si>
  <si>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</si>
  <si>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</si>
  <si>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</si>
  <si>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</si>
  <si>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05/31/2018</t>
  </si>
  <si>
    <t>05/30/2018</t>
  </si>
  <si>
    <t>05/29/2018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</si>
  <si>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</si>
  <si>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</si>
  <si>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</si>
  <si>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</si>
  <si>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</si>
  <si>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</si>
  <si>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</si>
  <si>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</si>
  <si>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</si>
  <si>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</si>
  <si>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04/30/2018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</si>
  <si>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</si>
  <si>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</si>
  <si>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</si>
  <si>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</si>
  <si>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</si>
  <si>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</si>
  <si>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</si>
  <si>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</si>
  <si>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</si>
  <si>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</si>
  <si>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</si>
  <si>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03/29/2018</t>
  </si>
  <si>
    <t>03/28/2018</t>
  </si>
  <si>
    <t>03/27/2018</t>
  </si>
  <si>
    <t>03/26/2018</t>
  </si>
  <si>
    <t>03/23/2018</t>
  </si>
  <si>
    <t>03/22/2018</t>
  </si>
  <si>
    <t>03/21/2018</t>
  </si>
  <si>
    <t>03/20/2018</t>
  </si>
  <si>
    <t>03/19/2018</t>
  </si>
  <si>
    <t>03/16/2018</t>
  </si>
  <si>
    <t>03/15/2018</t>
  </si>
  <si>
    <t>03/14/2018</t>
  </si>
  <si>
    <t>03/13/2018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</si>
  <si>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</si>
  <si>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</si>
  <si>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</si>
  <si>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</si>
  <si>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</si>
  <si>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</si>
  <si>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</si>
  <si>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02/16/2018</t>
  </si>
  <si>
    <t>02/15/2018</t>
  </si>
  <si>
    <t>02/14/2018</t>
  </si>
  <si>
    <t>02/13/2018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</si>
  <si>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</si>
  <si>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</si>
  <si>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</si>
  <si>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</si>
  <si>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</si>
  <si>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</si>
  <si>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</si>
  <si>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</si>
  <si>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</si>
  <si>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</si>
  <si>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</si>
  <si>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</si>
  <si>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12/29/2017</t>
  </si>
  <si>
    <t>12/28/2017</t>
  </si>
  <si>
    <t>12/27/2017</t>
  </si>
  <si>
    <t>12/26/2017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</si>
  <si>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</si>
  <si>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</si>
  <si>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</si>
  <si>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</si>
  <si>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</si>
  <si>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</si>
  <si>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</si>
  <si>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</si>
  <si>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11/30/2017</t>
  </si>
  <si>
    <t>11/29/2017</t>
  </si>
  <si>
    <t>11/28/2017</t>
  </si>
  <si>
    <t>11/27/2017</t>
  </si>
  <si>
    <t>11/24/2017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</si>
  <si>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</si>
  <si>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</si>
  <si>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</si>
  <si>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</si>
  <si>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</si>
  <si>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</si>
  <si>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</si>
  <si>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</si>
  <si>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</si>
  <si>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</si>
  <si>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</si>
  <si>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</si>
  <si>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</si>
  <si>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</si>
  <si>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</si>
  <si>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</si>
  <si>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</si>
  <si>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</si>
  <si>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</si>
  <si>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</si>
  <si>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</si>
  <si>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</si>
  <si>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</si>
  <si>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</si>
  <si>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</si>
  <si>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</si>
  <si>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</si>
  <si>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</si>
  <si>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</si>
  <si>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</si>
  <si>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</si>
  <si>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</si>
  <si>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</si>
  <si>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</si>
  <si>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</si>
  <si>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</si>
  <si>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</si>
  <si>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</si>
  <si>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</si>
  <si>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</si>
  <si>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</si>
  <si>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</si>
  <si>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</si>
  <si>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</si>
  <si>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</si>
  <si>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</si>
  <si>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</si>
  <si>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</si>
  <si>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</si>
  <si>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</si>
  <si>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</si>
  <si>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</si>
  <si>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</si>
  <si>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</si>
  <si>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</si>
  <si>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</si>
  <si>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</si>
  <si>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</si>
  <si>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</si>
  <si>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</si>
  <si>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</si>
  <si>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</si>
  <si>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</si>
  <si>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</si>
  <si>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</si>
  <si>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</si>
  <si>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</si>
  <si>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</si>
  <si>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</si>
  <si>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</si>
  <si>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</si>
  <si>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</si>
  <si>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</si>
  <si>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</si>
  <si>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</si>
  <si>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05/31/2017</t>
  </si>
  <si>
    <t>05/30/2017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</si>
  <si>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</si>
  <si>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</si>
  <si>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</si>
  <si>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</si>
  <si>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</si>
  <si>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</si>
  <si>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</si>
  <si>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</si>
  <si>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</si>
  <si>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</si>
  <si>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</si>
  <si>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</si>
  <si>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</si>
  <si>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</si>
  <si>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</si>
  <si>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</si>
  <si>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</si>
  <si>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</si>
  <si>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</si>
  <si>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</si>
  <si>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</si>
  <si>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</si>
  <si>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</si>
  <si>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</si>
  <si>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</si>
  <si>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</si>
  <si>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</si>
  <si>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</si>
  <si>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</si>
  <si>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</si>
  <si>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</si>
  <si>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</si>
  <si>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</si>
  <si>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</si>
  <si>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</si>
  <si>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</si>
  <si>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02/28/2017</t>
  </si>
  <si>
    <t>02/27/2017</t>
  </si>
  <si>
    <t>02/24/2017</t>
  </si>
  <si>
    <t>02/23/2017</t>
  </si>
  <si>
    <t>02/22/2017</t>
  </si>
  <si>
    <t>02/21/2017</t>
  </si>
  <si>
    <t>02/17/2017</t>
  </si>
  <si>
    <t>02/16/2017</t>
  </si>
  <si>
    <t>02/15/2017</t>
  </si>
  <si>
    <t>02/14/2017</t>
  </si>
  <si>
    <t>02/13/2017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</si>
  <si>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</si>
  <si>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</si>
  <si>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</si>
  <si>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</si>
  <si>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</si>
  <si>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</si>
  <si>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</si>
  <si>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</si>
  <si>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</si>
  <si>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</si>
  <si>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</si>
  <si>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01/13/2017</t>
  </si>
  <si>
    <t>12/30/2016</t>
  </si>
  <si>
    <t>12/29/2016</t>
  </si>
  <si>
    <t>12/28/2016</t>
  </si>
  <si>
    <t>12/27/2016</t>
  </si>
  <si>
    <t>12/23/2016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</si>
  <si>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</si>
  <si>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</si>
  <si>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</si>
  <si>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</si>
  <si>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</si>
  <si>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</si>
  <si>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</si>
  <si>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</si>
  <si>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11/30/2016</t>
  </si>
  <si>
    <t>11/29/2016</t>
  </si>
  <si>
    <t>11/28/2016</t>
  </si>
  <si>
    <t>11/25/2016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</si>
  <si>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</si>
  <si>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</si>
  <si>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</si>
  <si>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</si>
  <si>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</si>
  <si>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</si>
  <si>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</si>
  <si>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</si>
  <si>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</si>
  <si>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</si>
  <si>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</si>
  <si>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</si>
  <si>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</si>
  <si>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</si>
  <si>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</si>
  <si>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</si>
  <si>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</si>
  <si>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</si>
  <si>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</si>
  <si>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</si>
  <si>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</si>
  <si>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09/30/2016</t>
  </si>
  <si>
    <t>09/29/2016</t>
  </si>
  <si>
    <t>09/28/2016</t>
  </si>
  <si>
    <t>09/27/2016</t>
  </si>
  <si>
    <t>09/26/2016</t>
  </si>
  <si>
    <t>09/23/2016</t>
  </si>
  <si>
    <t>09/22/2016</t>
  </si>
  <si>
    <t>09/21/2016</t>
  </si>
  <si>
    <t>09/20/2016</t>
  </si>
  <si>
    <t>09/19/2016</t>
  </si>
  <si>
    <t>09/16/2016</t>
  </si>
  <si>
    <t>09/15/2016</t>
  </si>
  <si>
    <t>09/14/2016</t>
  </si>
  <si>
    <t>09/13/2016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</si>
  <si>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</si>
  <si>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</si>
  <si>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</si>
  <si>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</si>
  <si>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</si>
  <si>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</si>
  <si>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</si>
  <si>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</si>
  <si>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</si>
  <si>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</si>
  <si>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</si>
  <si>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</si>
  <si>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</si>
  <si>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</si>
  <si>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</si>
  <si>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</si>
  <si>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</si>
  <si>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</si>
  <si>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</si>
  <si>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</si>
  <si>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</si>
  <si>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</si>
  <si>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</si>
  <si>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</si>
  <si>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07/14/2016</t>
  </si>
  <si>
    <t>07/13/2016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</si>
  <si>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</si>
  <si>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</si>
  <si>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</si>
  <si>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</si>
  <si>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</si>
  <si>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</si>
  <si>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</si>
  <si>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</si>
  <si>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</si>
  <si>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</si>
  <si>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</si>
  <si>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</si>
  <si>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</si>
  <si>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</si>
  <si>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05/31/2016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</si>
  <si>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</si>
  <si>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</si>
  <si>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</si>
  <si>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</si>
  <si>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</si>
  <si>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</si>
  <si>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</si>
  <si>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</si>
  <si>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</si>
  <si>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</si>
  <si>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</si>
  <si>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04/29/2016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</si>
  <si>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</si>
  <si>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</si>
  <si>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</si>
  <si>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</si>
  <si>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</si>
  <si>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</si>
  <si>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</si>
  <si>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</si>
  <si>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</si>
  <si>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</si>
  <si>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</si>
  <si>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</si>
  <si>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03/31/2016</t>
  </si>
  <si>
    <t>03/30/2016</t>
  </si>
  <si>
    <t>03/29/2016</t>
  </si>
  <si>
    <t>03/28/2016</t>
  </si>
  <si>
    <t>03/24/2016</t>
  </si>
  <si>
    <t>03/23/2016</t>
  </si>
  <si>
    <t>03/22/2016</t>
  </si>
  <si>
    <t>03/21/2016</t>
  </si>
  <si>
    <t>03/18/2016</t>
  </si>
  <si>
    <t>03/17/2016</t>
  </si>
  <si>
    <t>03/16/2016</t>
  </si>
  <si>
    <t>03/15/2016</t>
  </si>
  <si>
    <t>03/14/2016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</si>
  <si>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</si>
  <si>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</si>
  <si>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</si>
  <si>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</si>
  <si>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</si>
  <si>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</si>
  <si>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</si>
  <si>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</si>
  <si>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</si>
  <si>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</si>
  <si>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</si>
  <si>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</si>
  <si>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</si>
  <si>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</si>
  <si>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</si>
  <si>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</si>
  <si>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</si>
  <si>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</si>
  <si>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</si>
  <si>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01/15/2016</t>
  </si>
  <si>
    <t>01/14/2016</t>
  </si>
  <si>
    <t>01/13/2016</t>
  </si>
  <si>
    <t>12/31/2015</t>
  </si>
  <si>
    <t>12/30/2015</t>
  </si>
  <si>
    <t>12/29/2015</t>
  </si>
  <si>
    <t>12/28/2015</t>
  </si>
  <si>
    <t>12/24/2015</t>
  </si>
  <si>
    <t>12/23/2015</t>
  </si>
  <si>
    <t>12/22/2015</t>
  </si>
  <si>
    <t>12/21/2015</t>
  </si>
  <si>
    <t>12/18/2015</t>
  </si>
  <si>
    <t>12/17/2015</t>
  </si>
  <si>
    <t>12/16/2015</t>
  </si>
  <si>
    <t>12/15/2015</t>
  </si>
  <si>
    <t>12/14/2015</t>
  </si>
  <si>
    <t>11/30/2015</t>
  </si>
  <si>
    <t>11/27/2015</t>
  </si>
  <si>
    <t>11/25/2015</t>
  </si>
  <si>
    <t>11/24/2015</t>
  </si>
  <si>
    <t>11/23/2015</t>
  </si>
  <si>
    <t>11/20/2015</t>
  </si>
  <si>
    <t>11/19/2015</t>
  </si>
  <si>
    <t>11/18/2015</t>
  </si>
  <si>
    <t>11/17/2015</t>
  </si>
  <si>
    <t>11/16/2015</t>
  </si>
  <si>
    <t>11/13/2015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</si>
  <si>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</si>
  <si>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</si>
  <si>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</si>
  <si>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</si>
  <si>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</si>
  <si>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</si>
  <si>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</si>
  <si>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</si>
  <si>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</si>
  <si>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</si>
  <si>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</si>
  <si>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</si>
  <si>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10/14/2015</t>
  </si>
  <si>
    <t>10/13/2015</t>
  </si>
  <si>
    <t>09/30/2015</t>
  </si>
  <si>
    <t>09/29/2015</t>
  </si>
  <si>
    <t>09/28/2015</t>
  </si>
  <si>
    <t>09/25/2015</t>
  </si>
  <si>
    <t>09/24/2015</t>
  </si>
  <si>
    <t>09/23/2015</t>
  </si>
  <si>
    <t>09/22/2015</t>
  </si>
  <si>
    <t>09/21/2015</t>
  </si>
  <si>
    <t>Daily Log Returns</t>
  </si>
  <si>
    <t>Average</t>
  </si>
  <si>
    <t xml:space="preserve">Std </t>
  </si>
  <si>
    <t xml:space="preserve">Var </t>
  </si>
  <si>
    <t>Daily</t>
  </si>
  <si>
    <t>Weekly</t>
  </si>
  <si>
    <t>rt ~ N(0.0008524,0.0003374)</t>
  </si>
  <si>
    <t>pt ~ LN(0.0008524,0.0003374)</t>
  </si>
  <si>
    <t>rweek ~ N(0.0042618,0.0016869)</t>
  </si>
  <si>
    <t>Week</t>
  </si>
  <si>
    <t>Initial Investment</t>
  </si>
  <si>
    <t>Data</t>
  </si>
  <si>
    <t>Chosen utility functions</t>
  </si>
  <si>
    <t>u(x) = log(x)</t>
  </si>
  <si>
    <t>Quadratic</t>
  </si>
  <si>
    <t xml:space="preserve">Log </t>
  </si>
  <si>
    <t xml:space="preserve">Exponential </t>
  </si>
  <si>
    <t>x&gt;0</t>
  </si>
  <si>
    <t>neg inf &lt; x &lt; 1/2b</t>
  </si>
  <si>
    <t>-</t>
  </si>
  <si>
    <t>Values prior to 3rd of Jan 2022 omitted</t>
  </si>
  <si>
    <t>Rf rate</t>
  </si>
  <si>
    <t>rt ~ N(0.0003214,0.000334)</t>
  </si>
  <si>
    <t>pt ~ LN(0.0003214,0.000334)</t>
  </si>
  <si>
    <t>rweek ~ N(0.001607,0.00167)</t>
  </si>
  <si>
    <t>pweek ~ LN(0.001607,0.00167)</t>
  </si>
  <si>
    <t>Hence, purely looking at financial results, investing into apple is the superior option</t>
  </si>
  <si>
    <t>u(x) = x - bx^2</t>
  </si>
  <si>
    <t>Sim No.</t>
  </si>
  <si>
    <t>Log</t>
  </si>
  <si>
    <t>Exponential</t>
  </si>
  <si>
    <t>Acc. Wealth</t>
  </si>
  <si>
    <t>Average Acc Wealth (Apple)</t>
  </si>
  <si>
    <t xml:space="preserve">Weatlh </t>
  </si>
  <si>
    <t xml:space="preserve"> Acc Wealth (Rf rate)</t>
  </si>
  <si>
    <t>Acc Wealth (Rf)</t>
  </si>
  <si>
    <t>Average Utilities (Apple)</t>
  </si>
  <si>
    <t>Rf Utilities</t>
  </si>
  <si>
    <t xml:space="preserve">Parameters </t>
  </si>
  <si>
    <t>b</t>
  </si>
  <si>
    <t>u(x) = 1 - exp(-ax)</t>
  </si>
  <si>
    <t>a</t>
  </si>
  <si>
    <t>\</t>
  </si>
  <si>
    <t>Power</t>
  </si>
  <si>
    <t>u(x) = (x^γ - 1) / γ</t>
  </si>
  <si>
    <t>γ</t>
  </si>
  <si>
    <t>γ&lt;1, x&gt;0</t>
  </si>
  <si>
    <t>Exp</t>
  </si>
  <si>
    <t>Sims of rweek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</si>
</sst>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0.000000"/>
    <numFmt numFmtId="165" formatCode="0.0000000"/>
    <numFmt numFmtId="166" formatCode="0.00000000"/>
    <numFmt numFmtId="167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2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 indent="1"/>
    </xf>
    <xf numFmtId="0" fontId="0" fillId="0" borderId="12" xfId="0" applyBorder="1" applyAlignment="1">
      <alignment horizontal="right" indent="1"/>
    </xf>
    <xf numFmtId="14" fontId="0" fillId="0" borderId="12" xfId="0" applyNumberFormat="1" applyBorder="1" applyAlignment="1">
      <alignment horizontal="right" indent="1"/>
    </xf>
    <xf numFmtId="8" fontId="0" fillId="0" borderId="12" xfId="0" applyNumberFormat="1" applyBorder="1"/>
    <xf numFmtId="0" fontId="18" fillId="0" borderId="13" xfId="0" applyFont="1" applyBorder="1"/>
    <xf numFmtId="8" fontId="0" fillId="0" borderId="13" xfId="0" applyNumberFormat="1" applyBorder="1"/>
    <xf numFmtId="0" fontId="18" fillId="0" borderId="10" xfId="0" applyFont="1" applyBorder="1" applyAlignment="1">
      <alignment horizontal="right" indent="1"/>
    </xf>
    <xf numFmtId="0" fontId="18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18" fillId="0" borderId="22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0" xfId="0" applyFont="1"/>
    <xf numFmtId="8" fontId="0" fillId="0" borderId="0" xfId="0" applyNumberFormat="1" applyAlignment="1">
      <alignment horizontal="center"/>
    </xf>
    <xf numFmtId="0" fontId="18" fillId="0" borderId="0" xfId="0" applyFont="1" applyAlignment="1">
      <alignment horizontal="center" wrapText="1"/>
    </xf>
    <xf numFmtId="8" fontId="0" fillId="0" borderId="19" xfId="0" applyNumberFormat="1" applyBorder="1"/>
    <xf numFmtId="8" fontId="18" fillId="0" borderId="0" xfId="0" applyNumberFormat="1" applyFont="1" applyAlignment="1">
      <alignment horizontal="center"/>
    </xf>
    <xf numFmtId="14" fontId="0" fillId="0" borderId="0" xfId="0" applyNumberFormat="1" applyAlignment="1">
      <alignment horizontal="right" indent="1"/>
    </xf>
    <xf numFmtId="14" fontId="0" fillId="0" borderId="13" xfId="0" applyNumberFormat="1" applyBorder="1" applyAlignment="1">
      <alignment horizontal="right" indent="1"/>
    </xf>
    <xf numFmtId="164" fontId="0" fillId="0" borderId="10" xfId="0" applyNumberFormat="1" applyBorder="1"/>
    <xf numFmtId="164" fontId="0" fillId="0" borderId="0" xfId="0" applyNumberFormat="1"/>
    <xf numFmtId="164" fontId="0" fillId="0" borderId="12" xfId="0" applyNumberFormat="1" applyBorder="1"/>
    <xf numFmtId="164" fontId="0" fillId="0" borderId="13" xfId="0" applyNumberFormat="1" applyBorder="1"/>
    <xf numFmtId="1" fontId="18" fillId="0" borderId="12" xfId="0" applyNumberFormat="1" applyFont="1" applyBorder="1"/>
    <xf numFmtId="1" fontId="18" fillId="0" borderId="13" xfId="0" applyNumberFormat="1" applyFont="1" applyBorder="1"/>
    <xf numFmtId="2" fontId="0" fillId="0" borderId="10" xfId="0" applyNumberFormat="1" applyBorder="1"/>
    <xf numFmtId="2" fontId="0" fillId="0" borderId="0" xfId="0" applyNumberFormat="1"/>
    <xf numFmtId="167" fontId="0" fillId="0" borderId="10" xfId="0" applyNumberFormat="1" applyBorder="1"/>
    <xf numFmtId="1" fontId="0" fillId="0" borderId="10" xfId="0" applyNumberFormat="1" applyBorder="1"/>
    <xf numFmtId="1" fontId="0" fillId="0" borderId="0" xfId="0" applyNumberFormat="1"/>
    <xf numFmtId="1" fontId="18" fillId="0" borderId="10" xfId="0" applyNumberFormat="1" applyFont="1" applyBorder="1"/>
    <xf numFmtId="1" fontId="18" fillId="0" borderId="14" xfId="0" applyNumberFormat="1" applyFont="1" applyBorder="1"/>
    <xf numFmtId="1" fontId="18" fillId="0" borderId="22" xfId="0" applyNumberFormat="1" applyFont="1" applyBorder="1"/>
    <xf numFmtId="1" fontId="18" fillId="0" borderId="15" xfId="0" applyNumberFormat="1" applyFont="1" applyBorder="1"/>
    <xf numFmtId="165" fontId="0" fillId="0" borderId="10" xfId="0" applyNumberFormat="1" applyBorder="1"/>
    <xf numFmtId="0" fontId="18" fillId="0" borderId="17" xfId="0" applyFont="1" applyBorder="1"/>
    <xf numFmtId="2" fontId="19" fillId="0" borderId="11" xfId="0" applyNumberFormat="1" applyFont="1" applyBorder="1"/>
    <xf numFmtId="2" fontId="0" fillId="0" borderId="11" xfId="0" applyNumberFormat="1" applyBorder="1"/>
    <xf numFmtId="2" fontId="19" fillId="0" borderId="10" xfId="0" applyNumberFormat="1" applyFont="1" applyBorder="1"/>
    <xf numFmtId="165" fontId="0" fillId="0" borderId="0" xfId="0" applyNumberFormat="1"/>
    <xf numFmtId="166" fontId="0" fillId="0" borderId="0" xfId="0" applyNumberFormat="1"/>
    <xf numFmtId="2" fontId="0" fillId="0" borderId="12" xfId="0" applyNumberFormat="1" applyBorder="1"/>
    <xf numFmtId="2" fontId="0" fillId="0" borderId="21" xfId="0" applyNumberFormat="1" applyBorder="1"/>
    <xf numFmtId="0" fontId="0" fillId="33" borderId="10" xfId="0" applyFill="1" applyBorder="1"/>
    <xf numFmtId="0" fontId="0" fillId="34" borderId="10" xfId="0" applyFill="1" applyBorder="1"/>
    <xf numFmtId="1" fontId="18" fillId="0" borderId="21" xfId="0" applyNumberFormat="1" applyFont="1" applyBorder="1"/>
    <xf numFmtId="0" fontId="0" fillId="0" borderId="13" xfId="0" applyBorder="1" applyAlignment="1">
      <alignment horizontal="center" vertical="center"/>
    </xf>
    <xf numFmtId="2" fontId="0" fillId="0" borderId="20" xfId="0" applyNumberFormat="1" applyBorder="1"/>
    <xf numFmtId="2" fontId="0" fillId="0" borderId="13" xfId="0" applyNumberFormat="1" applyBorder="1"/>
    <xf numFmtId="0" fontId="18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 wrapText="1"/>
    </xf>
    <xf numFmtId="8" fontId="0" fillId="0" borderId="0" xfId="0" applyNumberFormat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8" fontId="0" fillId="0" borderId="1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F70B-3DE8-B242-8EB1-972EA02C06F1}">
  <dimension ref="A1:F2516"/>
  <sheetViews>
    <sheetView zoomScale="125" workbookViewId="0">
      <selection activeCell="F2" sqref="F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245.5</v>
      </c>
      <c r="C2">
        <v>163741300</v>
      </c>
      <c r="D2" s="1">
        <v>241.22499999999999</v>
      </c>
      <c r="E2" s="1">
        <v>246.3</v>
      </c>
      <c r="F2" s="1">
        <v>240.2106</v>
      </c>
    </row>
    <row r="3" spans="1:6" x14ac:dyDescent="0.2">
      <c r="A3" t="s">
        <v>7</v>
      </c>
      <c r="B3" s="1">
        <v>237.88</v>
      </c>
      <c r="C3">
        <v>44249580</v>
      </c>
      <c r="D3" s="1">
        <v>239.97</v>
      </c>
      <c r="E3" s="1">
        <v>241.2</v>
      </c>
      <c r="F3" s="1">
        <v>236.65</v>
      </c>
    </row>
    <row r="4" spans="1:6" x14ac:dyDescent="0.2">
      <c r="A4" t="s">
        <v>8</v>
      </c>
      <c r="B4" s="1">
        <v>238.99</v>
      </c>
      <c r="C4">
        <v>46508020</v>
      </c>
      <c r="D4" s="1">
        <v>238.97</v>
      </c>
      <c r="E4" s="1">
        <v>240.1</v>
      </c>
      <c r="F4" s="1">
        <v>237.73009999999999</v>
      </c>
    </row>
    <row r="5" spans="1:6" x14ac:dyDescent="0.2">
      <c r="A5" t="s">
        <v>9</v>
      </c>
      <c r="B5" s="1">
        <v>238.15</v>
      </c>
      <c r="C5">
        <v>63421100</v>
      </c>
      <c r="D5" s="1">
        <v>237.17500000000001</v>
      </c>
      <c r="E5" s="1">
        <v>241.22</v>
      </c>
      <c r="F5" s="1">
        <v>236.3235</v>
      </c>
    </row>
    <row r="6" spans="1:6" x14ac:dyDescent="0.2">
      <c r="A6" t="s">
        <v>10</v>
      </c>
      <c r="B6" s="1">
        <v>236.7</v>
      </c>
      <c r="C6">
        <v>42699520</v>
      </c>
      <c r="D6" s="1">
        <v>237</v>
      </c>
      <c r="E6" s="1">
        <v>238.19</v>
      </c>
      <c r="F6" s="1">
        <v>235.03</v>
      </c>
    </row>
    <row r="7" spans="1:6" x14ac:dyDescent="0.2">
      <c r="A7" s="2">
        <v>46000</v>
      </c>
      <c r="B7" s="1">
        <v>234.07</v>
      </c>
      <c r="C7">
        <v>55824220</v>
      </c>
      <c r="D7" s="1">
        <v>229.22</v>
      </c>
      <c r="E7" s="1">
        <v>234.51</v>
      </c>
      <c r="F7" s="1">
        <v>229.02</v>
      </c>
    </row>
    <row r="8" spans="1:6" x14ac:dyDescent="0.2">
      <c r="A8" s="2">
        <v>45970</v>
      </c>
      <c r="B8" s="1">
        <v>230.03</v>
      </c>
      <c r="C8">
        <v>50208580</v>
      </c>
      <c r="D8" s="1">
        <v>226.875</v>
      </c>
      <c r="E8" s="1">
        <v>230.45</v>
      </c>
      <c r="F8" s="1">
        <v>226.65</v>
      </c>
    </row>
    <row r="9" spans="1:6" x14ac:dyDescent="0.2">
      <c r="A9" s="2">
        <v>45939</v>
      </c>
      <c r="B9" s="1">
        <v>226.79</v>
      </c>
      <c r="C9">
        <v>83440810</v>
      </c>
      <c r="D9" s="1">
        <v>232.185</v>
      </c>
      <c r="E9" s="1">
        <v>232.42</v>
      </c>
      <c r="F9" s="1">
        <v>225.95</v>
      </c>
    </row>
    <row r="10" spans="1:6" x14ac:dyDescent="0.2">
      <c r="A10" s="2">
        <v>45909</v>
      </c>
      <c r="B10" s="1">
        <v>234.35</v>
      </c>
      <c r="C10">
        <v>66313920</v>
      </c>
      <c r="D10" s="1">
        <v>237</v>
      </c>
      <c r="E10" s="1">
        <v>238.78049999999999</v>
      </c>
      <c r="F10" s="1">
        <v>233.36</v>
      </c>
    </row>
    <row r="11" spans="1:6" x14ac:dyDescent="0.2">
      <c r="A11" s="2">
        <v>45878</v>
      </c>
      <c r="B11" s="1">
        <v>237.88</v>
      </c>
      <c r="C11">
        <v>48999500</v>
      </c>
      <c r="D11" s="1">
        <v>239.3</v>
      </c>
      <c r="E11" s="1">
        <v>240.15</v>
      </c>
      <c r="F11" s="1">
        <v>236.34</v>
      </c>
    </row>
    <row r="12" spans="1:6" x14ac:dyDescent="0.2">
      <c r="A12" s="2">
        <v>45786</v>
      </c>
      <c r="B12" s="1">
        <v>239.69</v>
      </c>
      <c r="C12">
        <v>54870400</v>
      </c>
      <c r="D12" s="1">
        <v>239.995</v>
      </c>
      <c r="E12" s="1">
        <v>241.32</v>
      </c>
      <c r="F12" s="1">
        <v>238.49010000000001</v>
      </c>
    </row>
    <row r="13" spans="1:6" x14ac:dyDescent="0.2">
      <c r="A13" s="2">
        <v>45756</v>
      </c>
      <c r="B13" s="1">
        <v>239.78</v>
      </c>
      <c r="C13">
        <v>47549430</v>
      </c>
      <c r="D13" s="1">
        <v>238.45</v>
      </c>
      <c r="E13" s="1">
        <v>239.8999</v>
      </c>
      <c r="F13" s="1">
        <v>236.74</v>
      </c>
    </row>
    <row r="14" spans="1:6" x14ac:dyDescent="0.2">
      <c r="A14" s="2">
        <v>45725</v>
      </c>
      <c r="B14" s="1">
        <v>238.47</v>
      </c>
      <c r="C14">
        <v>66427840</v>
      </c>
      <c r="D14" s="1">
        <v>237.21</v>
      </c>
      <c r="E14" s="1">
        <v>238.85</v>
      </c>
      <c r="F14" s="1">
        <v>234.36</v>
      </c>
    </row>
    <row r="15" spans="1:6" x14ac:dyDescent="0.2">
      <c r="A15" s="2">
        <v>45697</v>
      </c>
      <c r="B15" s="1">
        <v>229.72</v>
      </c>
      <c r="C15">
        <v>44075640</v>
      </c>
      <c r="D15" s="1">
        <v>229.25</v>
      </c>
      <c r="E15" s="1">
        <v>230.85</v>
      </c>
      <c r="F15" s="1">
        <v>226.97</v>
      </c>
    </row>
    <row r="16" spans="1:6" x14ac:dyDescent="0.2">
      <c r="A16" t="s">
        <v>11</v>
      </c>
      <c r="B16" s="1">
        <v>232.14</v>
      </c>
      <c r="C16">
        <v>39418440</v>
      </c>
      <c r="D16" s="1">
        <v>232.51</v>
      </c>
      <c r="E16" s="1">
        <v>233.38</v>
      </c>
      <c r="F16" s="1">
        <v>231.37</v>
      </c>
    </row>
    <row r="17" spans="1:6" x14ac:dyDescent="0.2">
      <c r="A17" t="s">
        <v>12</v>
      </c>
      <c r="B17" s="1">
        <v>232.56</v>
      </c>
      <c r="C17">
        <v>38074700</v>
      </c>
      <c r="D17" s="1">
        <v>230.82</v>
      </c>
      <c r="E17" s="1">
        <v>233.41</v>
      </c>
      <c r="F17" s="1">
        <v>229.33500000000001</v>
      </c>
    </row>
    <row r="18" spans="1:6" x14ac:dyDescent="0.2">
      <c r="A18" t="s">
        <v>13</v>
      </c>
      <c r="B18" s="1">
        <v>230.49</v>
      </c>
      <c r="C18">
        <v>31259510</v>
      </c>
      <c r="D18" s="1">
        <v>228.61</v>
      </c>
      <c r="E18" s="1">
        <v>230.9</v>
      </c>
      <c r="F18" s="1">
        <v>228.26</v>
      </c>
    </row>
    <row r="19" spans="1:6" x14ac:dyDescent="0.2">
      <c r="A19" t="s">
        <v>14</v>
      </c>
      <c r="B19" s="1">
        <v>229.31</v>
      </c>
      <c r="C19">
        <v>54575110</v>
      </c>
      <c r="D19" s="1">
        <v>226.87</v>
      </c>
      <c r="E19" s="1">
        <v>229.49</v>
      </c>
      <c r="F19" s="1">
        <v>224.69</v>
      </c>
    </row>
    <row r="20" spans="1:6" x14ac:dyDescent="0.2">
      <c r="A20" t="s">
        <v>15</v>
      </c>
      <c r="B20" s="1">
        <v>227.16</v>
      </c>
      <c r="C20">
        <v>30983130</v>
      </c>
      <c r="D20" s="1">
        <v>226.48</v>
      </c>
      <c r="E20" s="1">
        <v>229.3</v>
      </c>
      <c r="F20" s="1">
        <v>226.23</v>
      </c>
    </row>
    <row r="21" spans="1:6" x14ac:dyDescent="0.2">
      <c r="A21" t="s">
        <v>16</v>
      </c>
      <c r="B21" s="1">
        <v>227.76</v>
      </c>
      <c r="C21">
        <v>42477810</v>
      </c>
      <c r="D21" s="1">
        <v>226.17</v>
      </c>
      <c r="E21" s="1">
        <v>229.09</v>
      </c>
      <c r="F21" s="1">
        <v>225.41</v>
      </c>
    </row>
    <row r="22" spans="1:6" x14ac:dyDescent="0.2">
      <c r="A22" t="s">
        <v>17</v>
      </c>
      <c r="B22" s="1">
        <v>224.9</v>
      </c>
      <c r="C22">
        <v>30621250</v>
      </c>
      <c r="D22" s="1">
        <v>226.27</v>
      </c>
      <c r="E22" s="1">
        <v>226.52</v>
      </c>
      <c r="F22" s="1">
        <v>223.78039999999999</v>
      </c>
    </row>
    <row r="23" spans="1:6" x14ac:dyDescent="0.2">
      <c r="A23" t="s">
        <v>18</v>
      </c>
      <c r="B23" s="1">
        <v>226.01</v>
      </c>
      <c r="C23">
        <v>42263870</v>
      </c>
      <c r="D23" s="1">
        <v>229.98</v>
      </c>
      <c r="E23" s="1">
        <v>230.47</v>
      </c>
      <c r="F23" s="1">
        <v>225.77</v>
      </c>
    </row>
    <row r="24" spans="1:6" x14ac:dyDescent="0.2">
      <c r="A24" t="s">
        <v>19</v>
      </c>
      <c r="B24" s="1">
        <v>230.56</v>
      </c>
      <c r="C24">
        <v>39402560</v>
      </c>
      <c r="D24" s="1">
        <v>231.27500000000001</v>
      </c>
      <c r="E24" s="1">
        <v>232.87</v>
      </c>
      <c r="F24" s="1">
        <v>229.35</v>
      </c>
    </row>
    <row r="25" spans="1:6" x14ac:dyDescent="0.2">
      <c r="A25" t="s">
        <v>20</v>
      </c>
      <c r="B25" s="1">
        <v>230.89</v>
      </c>
      <c r="C25">
        <v>37476190</v>
      </c>
      <c r="D25" s="1">
        <v>231.7</v>
      </c>
      <c r="E25" s="1">
        <v>233.12</v>
      </c>
      <c r="F25" s="1">
        <v>230.11</v>
      </c>
    </row>
    <row r="26" spans="1:6" x14ac:dyDescent="0.2">
      <c r="A26" t="s">
        <v>21</v>
      </c>
      <c r="B26" s="1">
        <v>231.59</v>
      </c>
      <c r="C26">
        <v>56038660</v>
      </c>
      <c r="D26" s="1">
        <v>234</v>
      </c>
      <c r="E26" s="1">
        <v>234.28</v>
      </c>
      <c r="F26" s="1">
        <v>229.33500000000001</v>
      </c>
    </row>
    <row r="27" spans="1:6" x14ac:dyDescent="0.2">
      <c r="A27" t="s">
        <v>22</v>
      </c>
      <c r="B27" s="1">
        <v>232.78</v>
      </c>
      <c r="C27">
        <v>51916280</v>
      </c>
      <c r="D27" s="1">
        <v>234.05500000000001</v>
      </c>
      <c r="E27" s="1">
        <v>235.12</v>
      </c>
      <c r="F27" s="1">
        <v>230.85</v>
      </c>
    </row>
    <row r="28" spans="1:6" x14ac:dyDescent="0.2">
      <c r="A28" t="s">
        <v>23</v>
      </c>
      <c r="B28" s="1">
        <v>233.33</v>
      </c>
      <c r="C28">
        <v>69878550</v>
      </c>
      <c r="D28" s="1">
        <v>231.07</v>
      </c>
      <c r="E28" s="1">
        <v>235</v>
      </c>
      <c r="F28" s="1">
        <v>230.43</v>
      </c>
    </row>
    <row r="29" spans="1:6" x14ac:dyDescent="0.2">
      <c r="A29" s="2">
        <v>45999</v>
      </c>
      <c r="B29" s="1">
        <v>229.65</v>
      </c>
      <c r="C29">
        <v>55672300</v>
      </c>
      <c r="D29" s="1">
        <v>228.005</v>
      </c>
      <c r="E29" s="1">
        <v>230.8</v>
      </c>
      <c r="F29" s="1">
        <v>227.07</v>
      </c>
    </row>
    <row r="30" spans="1:6" x14ac:dyDescent="0.2">
      <c r="A30" s="2">
        <v>45969</v>
      </c>
      <c r="B30" s="1">
        <v>227.18</v>
      </c>
      <c r="C30">
        <v>61806130</v>
      </c>
      <c r="D30" s="1">
        <v>227.92</v>
      </c>
      <c r="E30" s="1">
        <v>229.56</v>
      </c>
      <c r="F30" s="1">
        <v>224.76</v>
      </c>
    </row>
    <row r="31" spans="1:6" x14ac:dyDescent="0.2">
      <c r="A31" s="2">
        <v>45877</v>
      </c>
      <c r="B31" s="1">
        <v>229.35</v>
      </c>
      <c r="C31">
        <v>113854000</v>
      </c>
      <c r="D31" s="1">
        <v>220.83</v>
      </c>
      <c r="E31" s="1">
        <v>231</v>
      </c>
      <c r="F31" s="1">
        <v>219.25</v>
      </c>
    </row>
    <row r="32" spans="1:6" x14ac:dyDescent="0.2">
      <c r="A32" s="2">
        <v>45846</v>
      </c>
      <c r="B32" s="1">
        <v>220.03</v>
      </c>
      <c r="C32">
        <v>90224830</v>
      </c>
      <c r="D32" s="1">
        <v>218.875</v>
      </c>
      <c r="E32" s="1">
        <v>220.85</v>
      </c>
      <c r="F32" s="1">
        <v>216.58</v>
      </c>
    </row>
    <row r="33" spans="1:6" x14ac:dyDescent="0.2">
      <c r="A33" s="2">
        <v>45816</v>
      </c>
      <c r="B33" s="1">
        <v>213.25</v>
      </c>
      <c r="C33">
        <v>108483100</v>
      </c>
      <c r="D33" s="1">
        <v>205.63</v>
      </c>
      <c r="E33" s="1">
        <v>215.38</v>
      </c>
      <c r="F33" s="1">
        <v>205.59</v>
      </c>
    </row>
    <row r="34" spans="1:6" x14ac:dyDescent="0.2">
      <c r="A34" s="2">
        <v>45785</v>
      </c>
      <c r="B34" s="1">
        <v>202.92</v>
      </c>
      <c r="C34">
        <v>44155080</v>
      </c>
      <c r="D34" s="1">
        <v>203.4</v>
      </c>
      <c r="E34" s="1">
        <v>205.34</v>
      </c>
      <c r="F34" s="1">
        <v>202.16</v>
      </c>
    </row>
    <row r="35" spans="1:6" x14ac:dyDescent="0.2">
      <c r="A35" s="2">
        <v>45755</v>
      </c>
      <c r="B35" s="1">
        <v>203.35</v>
      </c>
      <c r="C35">
        <v>75109300</v>
      </c>
      <c r="D35" s="1">
        <v>204.505</v>
      </c>
      <c r="E35" s="1">
        <v>207.88</v>
      </c>
      <c r="F35" s="1">
        <v>201.67500000000001</v>
      </c>
    </row>
    <row r="36" spans="1:6" x14ac:dyDescent="0.2">
      <c r="A36" s="2">
        <v>45665</v>
      </c>
      <c r="B36" s="1">
        <v>202.38</v>
      </c>
      <c r="C36">
        <v>104434500</v>
      </c>
      <c r="D36" s="1">
        <v>210.86500000000001</v>
      </c>
      <c r="E36" s="1">
        <v>213.58</v>
      </c>
      <c r="F36" s="1">
        <v>201.5</v>
      </c>
    </row>
    <row r="37" spans="1:6" x14ac:dyDescent="0.2">
      <c r="A37" t="s">
        <v>24</v>
      </c>
      <c r="B37" s="1">
        <v>207.57</v>
      </c>
      <c r="C37">
        <v>80698430</v>
      </c>
      <c r="D37" s="1">
        <v>208.49</v>
      </c>
      <c r="E37" s="1">
        <v>209.84</v>
      </c>
      <c r="F37" s="1">
        <v>207.16</v>
      </c>
    </row>
    <row r="38" spans="1:6" x14ac:dyDescent="0.2">
      <c r="A38" t="s">
        <v>25</v>
      </c>
      <c r="B38" s="1">
        <v>209.05</v>
      </c>
      <c r="C38">
        <v>45512510</v>
      </c>
      <c r="D38" s="1">
        <v>211.89500000000001</v>
      </c>
      <c r="E38" s="1">
        <v>212.39</v>
      </c>
      <c r="F38" s="1">
        <v>207.72</v>
      </c>
    </row>
    <row r="39" spans="1:6" x14ac:dyDescent="0.2">
      <c r="A39" t="s">
        <v>26</v>
      </c>
      <c r="B39" s="1">
        <v>211.27</v>
      </c>
      <c r="C39">
        <v>51411720</v>
      </c>
      <c r="D39" s="1">
        <v>214.17500000000001</v>
      </c>
      <c r="E39" s="1">
        <v>214.81</v>
      </c>
      <c r="F39" s="1">
        <v>210.82</v>
      </c>
    </row>
    <row r="40" spans="1:6" x14ac:dyDescent="0.2">
      <c r="A40" t="s">
        <v>27</v>
      </c>
      <c r="B40" s="1">
        <v>214.05</v>
      </c>
      <c r="C40">
        <v>37858020</v>
      </c>
      <c r="D40" s="1">
        <v>214.03</v>
      </c>
      <c r="E40" s="1">
        <v>214.845</v>
      </c>
      <c r="F40" s="1">
        <v>213.06</v>
      </c>
    </row>
    <row r="41" spans="1:6" x14ac:dyDescent="0.2">
      <c r="A41" t="s">
        <v>28</v>
      </c>
      <c r="B41" s="1">
        <v>213.88</v>
      </c>
      <c r="C41">
        <v>40268780</v>
      </c>
      <c r="D41" s="1">
        <v>214.7</v>
      </c>
      <c r="E41" s="1">
        <v>215.24</v>
      </c>
      <c r="F41" s="1">
        <v>213.4</v>
      </c>
    </row>
    <row r="42" spans="1:6" x14ac:dyDescent="0.2">
      <c r="A42" t="s">
        <v>29</v>
      </c>
      <c r="B42" s="1">
        <v>213.76</v>
      </c>
      <c r="C42">
        <v>46022620</v>
      </c>
      <c r="D42" s="1">
        <v>213.9</v>
      </c>
      <c r="E42" s="1">
        <v>215.69</v>
      </c>
      <c r="F42" s="1">
        <v>213.53</v>
      </c>
    </row>
    <row r="43" spans="1:6" x14ac:dyDescent="0.2">
      <c r="A43" t="s">
        <v>30</v>
      </c>
      <c r="B43" s="1">
        <v>214.15</v>
      </c>
      <c r="C43">
        <v>46989300</v>
      </c>
      <c r="D43" s="1">
        <v>215</v>
      </c>
      <c r="E43" s="1">
        <v>215.15</v>
      </c>
      <c r="F43" s="1">
        <v>212.41</v>
      </c>
    </row>
    <row r="44" spans="1:6" x14ac:dyDescent="0.2">
      <c r="A44" t="s">
        <v>31</v>
      </c>
      <c r="B44" s="1">
        <v>214.4</v>
      </c>
      <c r="C44">
        <v>46404070</v>
      </c>
      <c r="D44" s="1">
        <v>213.14</v>
      </c>
      <c r="E44" s="1">
        <v>214.95</v>
      </c>
      <c r="F44" s="1">
        <v>212.23009999999999</v>
      </c>
    </row>
    <row r="45" spans="1:6" x14ac:dyDescent="0.2">
      <c r="A45" t="s">
        <v>32</v>
      </c>
      <c r="B45" s="1">
        <v>212.48</v>
      </c>
      <c r="C45">
        <v>51377430</v>
      </c>
      <c r="D45" s="1">
        <v>212.1</v>
      </c>
      <c r="E45" s="1">
        <v>215.78</v>
      </c>
      <c r="F45" s="1">
        <v>211.63</v>
      </c>
    </row>
    <row r="46" spans="1:6" x14ac:dyDescent="0.2">
      <c r="A46" t="s">
        <v>33</v>
      </c>
      <c r="B46" s="1">
        <v>211.18</v>
      </c>
      <c r="C46">
        <v>48974590</v>
      </c>
      <c r="D46" s="1">
        <v>210.87</v>
      </c>
      <c r="E46" s="1">
        <v>211.79</v>
      </c>
      <c r="F46" s="1">
        <v>209.7045</v>
      </c>
    </row>
    <row r="47" spans="1:6" x14ac:dyDescent="0.2">
      <c r="A47" t="s">
        <v>34</v>
      </c>
      <c r="B47" s="1">
        <v>210.02</v>
      </c>
      <c r="C47">
        <v>48068140</v>
      </c>
      <c r="D47" s="1">
        <v>210.57</v>
      </c>
      <c r="E47" s="1">
        <v>211.8</v>
      </c>
      <c r="F47" s="1">
        <v>209.59</v>
      </c>
    </row>
    <row r="48" spans="1:6" x14ac:dyDescent="0.2">
      <c r="A48" t="s">
        <v>35</v>
      </c>
      <c r="B48" s="1">
        <v>210.16</v>
      </c>
      <c r="C48">
        <v>47490530</v>
      </c>
      <c r="D48" s="1">
        <v>210.29499999999999</v>
      </c>
      <c r="E48" s="1">
        <v>212.4</v>
      </c>
      <c r="F48" s="1">
        <v>208.64</v>
      </c>
    </row>
    <row r="49" spans="1:6" x14ac:dyDescent="0.2">
      <c r="A49" t="s">
        <v>36</v>
      </c>
      <c r="B49" s="1">
        <v>209.11</v>
      </c>
      <c r="C49">
        <v>42296340</v>
      </c>
      <c r="D49" s="1">
        <v>209.22</v>
      </c>
      <c r="E49" s="1">
        <v>211.89</v>
      </c>
      <c r="F49" s="1">
        <v>208.92</v>
      </c>
    </row>
    <row r="50" spans="1:6" x14ac:dyDescent="0.2">
      <c r="A50" t="s">
        <v>37</v>
      </c>
      <c r="B50" s="1">
        <v>208.62</v>
      </c>
      <c r="C50">
        <v>38840110</v>
      </c>
      <c r="D50" s="1">
        <v>209.92500000000001</v>
      </c>
      <c r="E50" s="1">
        <v>210.91</v>
      </c>
      <c r="F50" s="1">
        <v>207.54</v>
      </c>
    </row>
    <row r="51" spans="1:6" x14ac:dyDescent="0.2">
      <c r="A51" s="2">
        <v>45968</v>
      </c>
      <c r="B51" s="1">
        <v>211.16</v>
      </c>
      <c r="C51">
        <v>39765810</v>
      </c>
      <c r="D51" s="1">
        <v>210.565</v>
      </c>
      <c r="E51" s="1">
        <v>212.13</v>
      </c>
      <c r="F51" s="1">
        <v>209.86</v>
      </c>
    </row>
    <row r="52" spans="1:6" x14ac:dyDescent="0.2">
      <c r="A52" s="2">
        <v>45937</v>
      </c>
      <c r="B52" s="1">
        <v>212.41</v>
      </c>
      <c r="C52">
        <v>44443640</v>
      </c>
      <c r="D52" s="1">
        <v>210.505</v>
      </c>
      <c r="E52" s="1">
        <v>213.48</v>
      </c>
      <c r="F52" s="1">
        <v>210.03</v>
      </c>
    </row>
    <row r="53" spans="1:6" x14ac:dyDescent="0.2">
      <c r="A53" s="2">
        <v>45907</v>
      </c>
      <c r="B53" s="1">
        <v>211.14</v>
      </c>
      <c r="C53">
        <v>48749370</v>
      </c>
      <c r="D53" s="1">
        <v>209.53</v>
      </c>
      <c r="E53" s="1">
        <v>211.33</v>
      </c>
      <c r="F53" s="1">
        <v>207.22</v>
      </c>
    </row>
    <row r="54" spans="1:6" x14ac:dyDescent="0.2">
      <c r="A54" s="2">
        <v>45876</v>
      </c>
      <c r="B54" s="1">
        <v>210.01</v>
      </c>
      <c r="C54">
        <v>42848930</v>
      </c>
      <c r="D54" s="1">
        <v>210.1</v>
      </c>
      <c r="E54" s="1">
        <v>211.43</v>
      </c>
      <c r="F54" s="1">
        <v>208.45</v>
      </c>
    </row>
    <row r="55" spans="1:6" x14ac:dyDescent="0.2">
      <c r="A55" s="2">
        <v>45845</v>
      </c>
      <c r="B55" s="1">
        <v>209.95</v>
      </c>
      <c r="C55">
        <v>50228980</v>
      </c>
      <c r="D55" s="1">
        <v>212.68</v>
      </c>
      <c r="E55" s="1">
        <v>216.23</v>
      </c>
      <c r="F55" s="1">
        <v>208.8</v>
      </c>
    </row>
    <row r="56" spans="1:6" x14ac:dyDescent="0.2">
      <c r="A56" s="2">
        <v>45723</v>
      </c>
      <c r="B56" s="1">
        <v>213.55</v>
      </c>
      <c r="C56">
        <v>34955840</v>
      </c>
      <c r="D56" s="1">
        <v>212.14500000000001</v>
      </c>
      <c r="E56" s="1">
        <v>214.65</v>
      </c>
      <c r="F56" s="1">
        <v>211.81010000000001</v>
      </c>
    </row>
    <row r="57" spans="1:6" x14ac:dyDescent="0.2">
      <c r="A57" s="2">
        <v>45695</v>
      </c>
      <c r="B57" s="1">
        <v>212.44</v>
      </c>
      <c r="C57">
        <v>67941810</v>
      </c>
      <c r="D57" s="1">
        <v>208.91</v>
      </c>
      <c r="E57" s="1">
        <v>213.34</v>
      </c>
      <c r="F57" s="1">
        <v>208.14</v>
      </c>
    </row>
    <row r="58" spans="1:6" x14ac:dyDescent="0.2">
      <c r="A58" s="2">
        <v>45664</v>
      </c>
      <c r="B58" s="1">
        <v>207.82</v>
      </c>
      <c r="C58">
        <v>78788870</v>
      </c>
      <c r="D58" s="1">
        <v>206.66499999999999</v>
      </c>
      <c r="E58" s="1">
        <v>210.1865</v>
      </c>
      <c r="F58" s="1">
        <v>206.14009999999999</v>
      </c>
    </row>
    <row r="59" spans="1:6" x14ac:dyDescent="0.2">
      <c r="A59" t="s">
        <v>38</v>
      </c>
      <c r="B59" s="1">
        <v>205.17</v>
      </c>
      <c r="C59">
        <v>91912820</v>
      </c>
      <c r="D59" s="1">
        <v>202.01</v>
      </c>
      <c r="E59" s="1">
        <v>207.39</v>
      </c>
      <c r="F59" s="1">
        <v>199.26070000000001</v>
      </c>
    </row>
    <row r="60" spans="1:6" x14ac:dyDescent="0.2">
      <c r="A60" t="s">
        <v>39</v>
      </c>
      <c r="B60" s="1">
        <v>201.08</v>
      </c>
      <c r="C60">
        <v>73188570</v>
      </c>
      <c r="D60" s="1">
        <v>201.89</v>
      </c>
      <c r="E60" s="1">
        <v>203.22</v>
      </c>
      <c r="F60" s="1">
        <v>200</v>
      </c>
    </row>
    <row r="61" spans="1:6" x14ac:dyDescent="0.2">
      <c r="A61" t="s">
        <v>40</v>
      </c>
      <c r="B61" s="1">
        <v>201</v>
      </c>
      <c r="C61">
        <v>50799120</v>
      </c>
      <c r="D61" s="1">
        <v>201.43</v>
      </c>
      <c r="E61" s="1">
        <v>202.64</v>
      </c>
      <c r="F61" s="1">
        <v>199.46</v>
      </c>
    </row>
    <row r="62" spans="1:6" x14ac:dyDescent="0.2">
      <c r="A62" t="s">
        <v>41</v>
      </c>
      <c r="B62" s="1">
        <v>201.56</v>
      </c>
      <c r="C62">
        <v>39525730</v>
      </c>
      <c r="D62" s="1">
        <v>201.45</v>
      </c>
      <c r="E62" s="1">
        <v>203.67</v>
      </c>
      <c r="F62" s="1">
        <v>200.62010000000001</v>
      </c>
    </row>
    <row r="63" spans="1:6" x14ac:dyDescent="0.2">
      <c r="A63" t="s">
        <v>42</v>
      </c>
      <c r="B63" s="1">
        <v>200.3</v>
      </c>
      <c r="C63">
        <v>54064030</v>
      </c>
      <c r="D63" s="1">
        <v>202.59</v>
      </c>
      <c r="E63" s="1">
        <v>203.44</v>
      </c>
      <c r="F63" s="1">
        <v>200.2</v>
      </c>
    </row>
    <row r="64" spans="1:6" x14ac:dyDescent="0.2">
      <c r="A64" t="s">
        <v>43</v>
      </c>
      <c r="B64" s="1">
        <v>201.5</v>
      </c>
      <c r="C64">
        <v>55814270</v>
      </c>
      <c r="D64" s="1">
        <v>201.625</v>
      </c>
      <c r="E64" s="1">
        <v>202.3</v>
      </c>
      <c r="F64" s="1">
        <v>198.96</v>
      </c>
    </row>
    <row r="65" spans="1:6" x14ac:dyDescent="0.2">
      <c r="A65" t="s">
        <v>44</v>
      </c>
      <c r="B65" s="1">
        <v>201</v>
      </c>
      <c r="C65">
        <v>96813540</v>
      </c>
      <c r="D65" s="1">
        <v>198.23500000000001</v>
      </c>
      <c r="E65" s="1">
        <v>201.7</v>
      </c>
      <c r="F65" s="1">
        <v>196.85499999999999</v>
      </c>
    </row>
    <row r="66" spans="1:6" x14ac:dyDescent="0.2">
      <c r="A66" t="s">
        <v>45</v>
      </c>
      <c r="B66" s="1">
        <v>196.58</v>
      </c>
      <c r="C66">
        <v>45394690</v>
      </c>
      <c r="D66" s="1">
        <v>195.94</v>
      </c>
      <c r="E66" s="1">
        <v>197.57</v>
      </c>
      <c r="F66" s="1">
        <v>195.07</v>
      </c>
    </row>
    <row r="67" spans="1:6" x14ac:dyDescent="0.2">
      <c r="A67" t="s">
        <v>46</v>
      </c>
      <c r="B67" s="1">
        <v>195.64</v>
      </c>
      <c r="C67">
        <v>38856150</v>
      </c>
      <c r="D67" s="1">
        <v>197.2</v>
      </c>
      <c r="E67" s="1">
        <v>198.39</v>
      </c>
      <c r="F67" s="1">
        <v>195.21</v>
      </c>
    </row>
    <row r="68" spans="1:6" x14ac:dyDescent="0.2">
      <c r="A68" t="s">
        <v>47</v>
      </c>
      <c r="B68" s="1">
        <v>198.42</v>
      </c>
      <c r="C68">
        <v>43020690</v>
      </c>
      <c r="D68" s="1">
        <v>197.3</v>
      </c>
      <c r="E68" s="1">
        <v>198.685</v>
      </c>
      <c r="F68" s="1">
        <v>196.56360000000001</v>
      </c>
    </row>
    <row r="69" spans="1:6" x14ac:dyDescent="0.2">
      <c r="A69" t="s">
        <v>48</v>
      </c>
      <c r="B69" s="1">
        <v>196.45</v>
      </c>
      <c r="C69">
        <v>51447350</v>
      </c>
      <c r="D69" s="1">
        <v>199.73</v>
      </c>
      <c r="E69" s="1">
        <v>200.37</v>
      </c>
      <c r="F69" s="1">
        <v>195.7</v>
      </c>
    </row>
    <row r="70" spans="1:6" x14ac:dyDescent="0.2">
      <c r="A70" s="2">
        <v>45997</v>
      </c>
      <c r="B70" s="1">
        <v>199.2</v>
      </c>
      <c r="C70">
        <v>43904640</v>
      </c>
      <c r="D70" s="1">
        <v>199.08</v>
      </c>
      <c r="E70" s="1">
        <v>199.68</v>
      </c>
      <c r="F70" s="1">
        <v>197.36009999999999</v>
      </c>
    </row>
    <row r="71" spans="1:6" x14ac:dyDescent="0.2">
      <c r="A71" s="2">
        <v>45967</v>
      </c>
      <c r="B71" s="1">
        <v>198.78</v>
      </c>
      <c r="C71">
        <v>60989860</v>
      </c>
      <c r="D71" s="1">
        <v>203.5</v>
      </c>
      <c r="E71" s="1">
        <v>204.5</v>
      </c>
      <c r="F71" s="1">
        <v>198.41</v>
      </c>
    </row>
    <row r="72" spans="1:6" x14ac:dyDescent="0.2">
      <c r="A72" s="2">
        <v>45936</v>
      </c>
      <c r="B72" s="1">
        <v>202.67</v>
      </c>
      <c r="C72">
        <v>54672610</v>
      </c>
      <c r="D72" s="1">
        <v>200.6</v>
      </c>
      <c r="E72" s="1">
        <v>204.35</v>
      </c>
      <c r="F72" s="1">
        <v>200.57</v>
      </c>
    </row>
    <row r="73" spans="1:6" x14ac:dyDescent="0.2">
      <c r="A73" s="2">
        <v>45906</v>
      </c>
      <c r="B73" s="1">
        <v>201.45</v>
      </c>
      <c r="C73">
        <v>72862560</v>
      </c>
      <c r="D73" s="1">
        <v>204.39</v>
      </c>
      <c r="E73" s="1">
        <v>206</v>
      </c>
      <c r="F73" s="1">
        <v>200.02</v>
      </c>
    </row>
    <row r="74" spans="1:6" x14ac:dyDescent="0.2">
      <c r="A74" s="2">
        <v>45814</v>
      </c>
      <c r="B74" s="1">
        <v>203.92</v>
      </c>
      <c r="C74">
        <v>46607690</v>
      </c>
      <c r="D74" s="1">
        <v>203</v>
      </c>
      <c r="E74" s="1">
        <v>205.7</v>
      </c>
      <c r="F74" s="1">
        <v>202.05</v>
      </c>
    </row>
    <row r="75" spans="1:6" x14ac:dyDescent="0.2">
      <c r="A75" s="2">
        <v>45783</v>
      </c>
      <c r="B75" s="1">
        <v>200.63</v>
      </c>
      <c r="C75">
        <v>55221240</v>
      </c>
      <c r="D75" s="1">
        <v>203.5</v>
      </c>
      <c r="E75" s="1">
        <v>204.75</v>
      </c>
      <c r="F75" s="1">
        <v>200.15</v>
      </c>
    </row>
    <row r="76" spans="1:6" x14ac:dyDescent="0.2">
      <c r="A76" s="2">
        <v>45753</v>
      </c>
      <c r="B76" s="1">
        <v>202.82</v>
      </c>
      <c r="C76">
        <v>43603990</v>
      </c>
      <c r="D76" s="1">
        <v>202.91</v>
      </c>
      <c r="E76" s="1">
        <v>206.24</v>
      </c>
      <c r="F76" s="1">
        <v>202.1</v>
      </c>
    </row>
    <row r="77" spans="1:6" x14ac:dyDescent="0.2">
      <c r="A77" s="2">
        <v>45722</v>
      </c>
      <c r="B77" s="1">
        <v>203.27</v>
      </c>
      <c r="C77">
        <v>46381570</v>
      </c>
      <c r="D77" s="1">
        <v>201.35</v>
      </c>
      <c r="E77" s="1">
        <v>203.77</v>
      </c>
      <c r="F77" s="1">
        <v>200.95500000000001</v>
      </c>
    </row>
    <row r="78" spans="1:6" x14ac:dyDescent="0.2">
      <c r="A78" s="2">
        <v>45694</v>
      </c>
      <c r="B78" s="1">
        <v>201.7</v>
      </c>
      <c r="C78">
        <v>35423290</v>
      </c>
      <c r="D78" s="1">
        <v>200.28</v>
      </c>
      <c r="E78" s="1">
        <v>202.13</v>
      </c>
      <c r="F78" s="1">
        <v>200.12</v>
      </c>
    </row>
    <row r="79" spans="1:6" x14ac:dyDescent="0.2">
      <c r="A79" t="s">
        <v>49</v>
      </c>
      <c r="B79" s="1">
        <v>200.85</v>
      </c>
      <c r="C79">
        <v>70819940</v>
      </c>
      <c r="D79" s="1">
        <v>199.37</v>
      </c>
      <c r="E79" s="1">
        <v>201.96</v>
      </c>
      <c r="F79" s="1">
        <v>196.78</v>
      </c>
    </row>
    <row r="80" spans="1:6" x14ac:dyDescent="0.2">
      <c r="A80" t="s">
        <v>50</v>
      </c>
      <c r="B80" s="1">
        <v>199.95</v>
      </c>
      <c r="C80">
        <v>51477940</v>
      </c>
      <c r="D80" s="1">
        <v>203.57499999999999</v>
      </c>
      <c r="E80" s="1">
        <v>203.81</v>
      </c>
      <c r="F80" s="1">
        <v>198.51</v>
      </c>
    </row>
    <row r="81" spans="1:6" x14ac:dyDescent="0.2">
      <c r="A81" t="s">
        <v>51</v>
      </c>
      <c r="B81" s="1">
        <v>200.42</v>
      </c>
      <c r="C81">
        <v>45339680</v>
      </c>
      <c r="D81" s="1">
        <v>200.59</v>
      </c>
      <c r="E81" s="1">
        <v>202.73</v>
      </c>
      <c r="F81" s="1">
        <v>199.9</v>
      </c>
    </row>
    <row r="82" spans="1:6" x14ac:dyDescent="0.2">
      <c r="A82" t="s">
        <v>52</v>
      </c>
      <c r="B82" s="1">
        <v>200.21</v>
      </c>
      <c r="C82">
        <v>56288480</v>
      </c>
      <c r="D82" s="1">
        <v>198.3</v>
      </c>
      <c r="E82" s="1">
        <v>200.74</v>
      </c>
      <c r="F82" s="1">
        <v>197.43</v>
      </c>
    </row>
    <row r="83" spans="1:6" x14ac:dyDescent="0.2">
      <c r="A83" t="s">
        <v>53</v>
      </c>
      <c r="B83" s="1">
        <v>195.27</v>
      </c>
      <c r="C83">
        <v>78432920</v>
      </c>
      <c r="D83" s="1">
        <v>193.66499999999999</v>
      </c>
      <c r="E83" s="1">
        <v>197.7</v>
      </c>
      <c r="F83" s="1">
        <v>193.46</v>
      </c>
    </row>
    <row r="84" spans="1:6" x14ac:dyDescent="0.2">
      <c r="A84" t="s">
        <v>54</v>
      </c>
      <c r="B84" s="1">
        <v>201.36</v>
      </c>
      <c r="C84">
        <v>46742410</v>
      </c>
      <c r="D84" s="1">
        <v>200.71</v>
      </c>
      <c r="E84" s="1">
        <v>202.75</v>
      </c>
      <c r="F84" s="1">
        <v>199.7</v>
      </c>
    </row>
    <row r="85" spans="1:6" x14ac:dyDescent="0.2">
      <c r="A85" t="s">
        <v>55</v>
      </c>
      <c r="B85" s="1">
        <v>202.09</v>
      </c>
      <c r="C85">
        <v>59211770</v>
      </c>
      <c r="D85" s="1">
        <v>205.17</v>
      </c>
      <c r="E85" s="1">
        <v>207.04</v>
      </c>
      <c r="F85" s="1">
        <v>200.71</v>
      </c>
    </row>
    <row r="86" spans="1:6" x14ac:dyDescent="0.2">
      <c r="A86" t="s">
        <v>56</v>
      </c>
      <c r="B86" s="1">
        <v>206.86</v>
      </c>
      <c r="C86">
        <v>42496640</v>
      </c>
      <c r="D86" s="1">
        <v>207.67</v>
      </c>
      <c r="E86" s="1">
        <v>208.47</v>
      </c>
      <c r="F86" s="1">
        <v>205.03</v>
      </c>
    </row>
    <row r="87" spans="1:6" x14ac:dyDescent="0.2">
      <c r="A87" t="s">
        <v>57</v>
      </c>
      <c r="B87" s="1">
        <v>208.78</v>
      </c>
      <c r="C87">
        <v>46140530</v>
      </c>
      <c r="D87" s="1">
        <v>207.91</v>
      </c>
      <c r="E87" s="1">
        <v>209.48</v>
      </c>
      <c r="F87" s="1">
        <v>204.26</v>
      </c>
    </row>
    <row r="88" spans="1:6" x14ac:dyDescent="0.2">
      <c r="A88" t="s">
        <v>58</v>
      </c>
      <c r="B88" s="1">
        <v>211.26</v>
      </c>
      <c r="C88">
        <v>54737850</v>
      </c>
      <c r="D88" s="1">
        <v>212.36</v>
      </c>
      <c r="E88" s="1">
        <v>212.57</v>
      </c>
      <c r="F88" s="1">
        <v>209.77</v>
      </c>
    </row>
    <row r="89" spans="1:6" x14ac:dyDescent="0.2">
      <c r="A89" t="s">
        <v>59</v>
      </c>
      <c r="B89" s="1">
        <v>211.45</v>
      </c>
      <c r="C89">
        <v>45029470</v>
      </c>
      <c r="D89" s="1">
        <v>210.95</v>
      </c>
      <c r="E89" s="1">
        <v>212.96</v>
      </c>
      <c r="F89" s="1">
        <v>209.54</v>
      </c>
    </row>
    <row r="90" spans="1:6" x14ac:dyDescent="0.2">
      <c r="A90" t="s">
        <v>60</v>
      </c>
      <c r="B90" s="1">
        <v>212.33</v>
      </c>
      <c r="C90">
        <v>49325830</v>
      </c>
      <c r="D90" s="1">
        <v>212.43</v>
      </c>
      <c r="E90" s="1">
        <v>213.94</v>
      </c>
      <c r="F90" s="1">
        <v>210.58009999999999</v>
      </c>
    </row>
    <row r="91" spans="1:6" x14ac:dyDescent="0.2">
      <c r="A91" t="s">
        <v>61</v>
      </c>
      <c r="B91" s="1">
        <v>212.93</v>
      </c>
      <c r="C91">
        <v>51909330</v>
      </c>
      <c r="D91" s="1">
        <v>210.43</v>
      </c>
      <c r="E91" s="1">
        <v>213.4</v>
      </c>
      <c r="F91" s="1">
        <v>209</v>
      </c>
    </row>
    <row r="92" spans="1:6" x14ac:dyDescent="0.2">
      <c r="A92" s="2">
        <v>45996</v>
      </c>
      <c r="B92" s="1">
        <v>210.79</v>
      </c>
      <c r="C92">
        <v>63775810</v>
      </c>
      <c r="D92" s="1">
        <v>210.97</v>
      </c>
      <c r="E92" s="1">
        <v>211.2679</v>
      </c>
      <c r="F92" s="1">
        <v>206.75</v>
      </c>
    </row>
    <row r="93" spans="1:6" x14ac:dyDescent="0.2">
      <c r="A93" s="2">
        <v>45905</v>
      </c>
      <c r="B93" s="1">
        <v>198.53</v>
      </c>
      <c r="C93">
        <v>36453920</v>
      </c>
      <c r="D93" s="1">
        <v>199</v>
      </c>
      <c r="E93" s="1">
        <v>200.53989999999999</v>
      </c>
      <c r="F93" s="1">
        <v>197.535</v>
      </c>
    </row>
    <row r="94" spans="1:6" x14ac:dyDescent="0.2">
      <c r="A94" s="2">
        <v>45874</v>
      </c>
      <c r="B94" s="1">
        <v>197.49</v>
      </c>
      <c r="C94">
        <v>50478870</v>
      </c>
      <c r="D94" s="1">
        <v>197.72</v>
      </c>
      <c r="E94" s="1">
        <v>200.05</v>
      </c>
      <c r="F94" s="1">
        <v>194.67959999999999</v>
      </c>
    </row>
    <row r="95" spans="1:6" x14ac:dyDescent="0.2">
      <c r="A95" s="2">
        <v>45843</v>
      </c>
      <c r="B95" s="1">
        <v>196.25</v>
      </c>
      <c r="C95">
        <v>68616940</v>
      </c>
      <c r="D95" s="1">
        <v>199.17</v>
      </c>
      <c r="E95" s="1">
        <v>199.44</v>
      </c>
      <c r="F95" s="1">
        <v>193.25</v>
      </c>
    </row>
    <row r="96" spans="1:6" x14ac:dyDescent="0.2">
      <c r="A96" s="2">
        <v>45813</v>
      </c>
      <c r="B96" s="1">
        <v>198.51</v>
      </c>
      <c r="C96">
        <v>51216480</v>
      </c>
      <c r="D96" s="1">
        <v>198.21</v>
      </c>
      <c r="E96" s="1">
        <v>200.65</v>
      </c>
      <c r="F96" s="1">
        <v>197.02</v>
      </c>
    </row>
    <row r="97" spans="1:6" x14ac:dyDescent="0.2">
      <c r="A97" s="2">
        <v>45782</v>
      </c>
      <c r="B97" s="1">
        <v>198.89</v>
      </c>
      <c r="C97">
        <v>69018450</v>
      </c>
      <c r="D97" s="1">
        <v>203.1</v>
      </c>
      <c r="E97" s="1">
        <v>204.1</v>
      </c>
      <c r="F97" s="1">
        <v>198.21</v>
      </c>
    </row>
    <row r="98" spans="1:6" x14ac:dyDescent="0.2">
      <c r="A98" s="2">
        <v>45693</v>
      </c>
      <c r="B98" s="1">
        <v>205.35</v>
      </c>
      <c r="C98">
        <v>101010600</v>
      </c>
      <c r="D98" s="1">
        <v>206.09</v>
      </c>
      <c r="E98" s="1">
        <v>206.99</v>
      </c>
      <c r="F98" s="1">
        <v>202.16</v>
      </c>
    </row>
    <row r="99" spans="1:6" x14ac:dyDescent="0.2">
      <c r="A99" s="2">
        <v>45662</v>
      </c>
      <c r="B99" s="1">
        <v>213.32</v>
      </c>
      <c r="C99">
        <v>57365680</v>
      </c>
      <c r="D99" s="1">
        <v>209.08</v>
      </c>
      <c r="E99" s="1">
        <v>214.56</v>
      </c>
      <c r="F99" s="1">
        <v>208.9</v>
      </c>
    </row>
    <row r="100" spans="1:6" x14ac:dyDescent="0.2">
      <c r="A100" t="s">
        <v>62</v>
      </c>
      <c r="B100" s="1">
        <v>212.5</v>
      </c>
      <c r="C100">
        <v>52286450</v>
      </c>
      <c r="D100" s="1">
        <v>209.3</v>
      </c>
      <c r="E100" s="1">
        <v>213.58</v>
      </c>
      <c r="F100" s="1">
        <v>206.6705</v>
      </c>
    </row>
    <row r="101" spans="1:6" x14ac:dyDescent="0.2">
      <c r="A101" t="s">
        <v>63</v>
      </c>
      <c r="B101" s="1">
        <v>211.21</v>
      </c>
      <c r="C101">
        <v>36827630</v>
      </c>
      <c r="D101" s="1">
        <v>208.69300000000001</v>
      </c>
      <c r="E101" s="1">
        <v>212.24</v>
      </c>
      <c r="F101" s="1">
        <v>208.37</v>
      </c>
    </row>
    <row r="102" spans="1:6" x14ac:dyDescent="0.2">
      <c r="A102" t="s">
        <v>64</v>
      </c>
      <c r="B102" s="1">
        <v>210.14</v>
      </c>
      <c r="C102">
        <v>38743070</v>
      </c>
      <c r="D102" s="1">
        <v>210</v>
      </c>
      <c r="E102" s="1">
        <v>211.5</v>
      </c>
      <c r="F102" s="1">
        <v>207.46</v>
      </c>
    </row>
    <row r="103" spans="1:6" x14ac:dyDescent="0.2">
      <c r="A103" t="s">
        <v>65</v>
      </c>
      <c r="B103" s="1">
        <v>209.28</v>
      </c>
      <c r="C103">
        <v>38222260</v>
      </c>
      <c r="D103" s="1">
        <v>206.36500000000001</v>
      </c>
      <c r="E103" s="1">
        <v>209.75</v>
      </c>
      <c r="F103" s="1">
        <v>206.2</v>
      </c>
    </row>
    <row r="104" spans="1:6" x14ac:dyDescent="0.2">
      <c r="A104" t="s">
        <v>66</v>
      </c>
      <c r="B104" s="1">
        <v>208.37</v>
      </c>
      <c r="C104">
        <v>47310990</v>
      </c>
      <c r="D104" s="1">
        <v>204.89</v>
      </c>
      <c r="E104" s="1">
        <v>208.82990000000001</v>
      </c>
      <c r="F104" s="1">
        <v>202.94</v>
      </c>
    </row>
    <row r="105" spans="1:6" x14ac:dyDescent="0.2">
      <c r="A105" t="s">
        <v>67</v>
      </c>
      <c r="B105" s="1">
        <v>204.6</v>
      </c>
      <c r="C105">
        <v>52929170</v>
      </c>
      <c r="D105" s="1">
        <v>206</v>
      </c>
      <c r="E105" s="1">
        <v>208</v>
      </c>
      <c r="F105" s="1">
        <v>202.79900000000001</v>
      </c>
    </row>
    <row r="106" spans="1:6" x14ac:dyDescent="0.2">
      <c r="A106" t="s">
        <v>68</v>
      </c>
      <c r="B106" s="1">
        <v>199.74</v>
      </c>
      <c r="C106">
        <v>52976370</v>
      </c>
      <c r="D106" s="1">
        <v>196.12</v>
      </c>
      <c r="E106" s="1">
        <v>201.59</v>
      </c>
      <c r="F106" s="1">
        <v>195.97</v>
      </c>
    </row>
    <row r="107" spans="1:6" x14ac:dyDescent="0.2">
      <c r="A107" t="s">
        <v>69</v>
      </c>
      <c r="B107" s="1">
        <v>193.16</v>
      </c>
      <c r="C107">
        <v>46742540</v>
      </c>
      <c r="D107" s="1">
        <v>193.26499999999999</v>
      </c>
      <c r="E107" s="1">
        <v>193.8</v>
      </c>
      <c r="F107" s="1">
        <v>189.81120000000001</v>
      </c>
    </row>
    <row r="108" spans="1:6" x14ac:dyDescent="0.2">
      <c r="A108" t="s">
        <v>70</v>
      </c>
      <c r="B108" s="1">
        <v>196.98</v>
      </c>
      <c r="C108">
        <v>52164680</v>
      </c>
      <c r="D108" s="1">
        <v>197.2</v>
      </c>
      <c r="E108" s="1">
        <v>198.83349999999999</v>
      </c>
      <c r="F108" s="1">
        <v>194.42</v>
      </c>
    </row>
    <row r="109" spans="1:6" x14ac:dyDescent="0.2">
      <c r="A109" t="s">
        <v>71</v>
      </c>
      <c r="B109" s="1">
        <v>194.27</v>
      </c>
      <c r="C109">
        <v>59732420</v>
      </c>
      <c r="D109" s="1">
        <v>198.36</v>
      </c>
      <c r="E109" s="1">
        <v>200.7</v>
      </c>
      <c r="F109" s="1">
        <v>192.37</v>
      </c>
    </row>
    <row r="110" spans="1:6" x14ac:dyDescent="0.2">
      <c r="A110" t="s">
        <v>72</v>
      </c>
      <c r="B110" s="1">
        <v>202.14</v>
      </c>
      <c r="C110">
        <v>51343870</v>
      </c>
      <c r="D110" s="1">
        <v>201.85499999999999</v>
      </c>
      <c r="E110" s="1">
        <v>203.51</v>
      </c>
      <c r="F110" s="1">
        <v>199.8</v>
      </c>
    </row>
    <row r="111" spans="1:6" x14ac:dyDescent="0.2">
      <c r="A111" t="s">
        <v>73</v>
      </c>
      <c r="B111" s="1">
        <v>202.52</v>
      </c>
      <c r="C111">
        <v>101352900</v>
      </c>
      <c r="D111" s="1">
        <v>211.44</v>
      </c>
      <c r="E111" s="1">
        <v>212.94</v>
      </c>
      <c r="F111" s="1">
        <v>201.16210000000001</v>
      </c>
    </row>
    <row r="112" spans="1:6" x14ac:dyDescent="0.2">
      <c r="A112" s="2">
        <v>45965</v>
      </c>
      <c r="B112" s="1">
        <v>198.15</v>
      </c>
      <c r="C112">
        <v>87435920</v>
      </c>
      <c r="D112" s="1">
        <v>186.1</v>
      </c>
      <c r="E112" s="1">
        <v>199.54</v>
      </c>
      <c r="F112" s="1">
        <v>186.06</v>
      </c>
    </row>
    <row r="113" spans="1:6" x14ac:dyDescent="0.2">
      <c r="A113" s="2">
        <v>45934</v>
      </c>
      <c r="B113" s="1">
        <v>190.42</v>
      </c>
      <c r="C113">
        <v>121880000</v>
      </c>
      <c r="D113" s="1">
        <v>189.065</v>
      </c>
      <c r="E113" s="1">
        <v>194.7799</v>
      </c>
      <c r="F113" s="1">
        <v>183</v>
      </c>
    </row>
    <row r="114" spans="1:6" x14ac:dyDescent="0.2">
      <c r="A114" s="2">
        <v>45904</v>
      </c>
      <c r="B114" s="1">
        <v>198.85</v>
      </c>
      <c r="C114">
        <v>184395900</v>
      </c>
      <c r="D114" s="1">
        <v>171.95</v>
      </c>
      <c r="E114" s="1">
        <v>200.61</v>
      </c>
      <c r="F114" s="1">
        <v>171.89</v>
      </c>
    </row>
    <row r="115" spans="1:6" x14ac:dyDescent="0.2">
      <c r="A115" s="2">
        <v>45873</v>
      </c>
      <c r="B115" s="1">
        <v>172.42</v>
      </c>
      <c r="C115">
        <v>120859500</v>
      </c>
      <c r="D115" s="1">
        <v>186.7</v>
      </c>
      <c r="E115" s="1">
        <v>190.33500000000001</v>
      </c>
      <c r="F115" s="1">
        <v>169.21010000000001</v>
      </c>
    </row>
    <row r="116" spans="1:6" x14ac:dyDescent="0.2">
      <c r="A116" s="2">
        <v>45842</v>
      </c>
      <c r="B116" s="1">
        <v>181.46</v>
      </c>
      <c r="C116">
        <v>160466300</v>
      </c>
      <c r="D116" s="1">
        <v>177.2</v>
      </c>
      <c r="E116" s="1">
        <v>194.15</v>
      </c>
      <c r="F116" s="1">
        <v>174.62</v>
      </c>
    </row>
    <row r="117" spans="1:6" x14ac:dyDescent="0.2">
      <c r="A117" s="2">
        <v>45751</v>
      </c>
      <c r="B117" s="1">
        <v>188.38</v>
      </c>
      <c r="C117">
        <v>125910900</v>
      </c>
      <c r="D117" s="1">
        <v>193.89</v>
      </c>
      <c r="E117" s="1">
        <v>199.88</v>
      </c>
      <c r="F117" s="1">
        <v>187.34</v>
      </c>
    </row>
    <row r="118" spans="1:6" x14ac:dyDescent="0.2">
      <c r="A118" s="2">
        <v>45720</v>
      </c>
      <c r="B118" s="1">
        <v>203.19</v>
      </c>
      <c r="C118">
        <v>103419000</v>
      </c>
      <c r="D118" s="1">
        <v>205.54</v>
      </c>
      <c r="E118" s="1">
        <v>207.49</v>
      </c>
      <c r="F118" s="1">
        <v>201.25</v>
      </c>
    </row>
    <row r="119" spans="1:6" x14ac:dyDescent="0.2">
      <c r="A119" s="2">
        <v>45692</v>
      </c>
      <c r="B119" s="1">
        <v>223.89</v>
      </c>
      <c r="C119">
        <v>35905900</v>
      </c>
      <c r="D119" s="1">
        <v>221.315</v>
      </c>
      <c r="E119" s="1">
        <v>225.19</v>
      </c>
      <c r="F119" s="1">
        <v>221.02</v>
      </c>
    </row>
    <row r="120" spans="1:6" x14ac:dyDescent="0.2">
      <c r="A120" s="2">
        <v>45661</v>
      </c>
      <c r="B120" s="1">
        <v>223.19</v>
      </c>
      <c r="C120">
        <v>36412740</v>
      </c>
      <c r="D120" s="1">
        <v>219.80500000000001</v>
      </c>
      <c r="E120" s="1">
        <v>223.68</v>
      </c>
      <c r="F120" s="1">
        <v>218.9</v>
      </c>
    </row>
    <row r="121" spans="1:6" x14ac:dyDescent="0.2">
      <c r="A121" t="s">
        <v>74</v>
      </c>
      <c r="B121" s="1">
        <v>222.13</v>
      </c>
      <c r="C121">
        <v>65299320</v>
      </c>
      <c r="D121" s="1">
        <v>217.005</v>
      </c>
      <c r="E121" s="1">
        <v>225.62</v>
      </c>
      <c r="F121" s="1">
        <v>216.23</v>
      </c>
    </row>
    <row r="122" spans="1:6" x14ac:dyDescent="0.2">
      <c r="A122" t="s">
        <v>75</v>
      </c>
      <c r="B122" s="1">
        <v>217.9</v>
      </c>
      <c r="C122">
        <v>39818620</v>
      </c>
      <c r="D122" s="1">
        <v>221.67</v>
      </c>
      <c r="E122" s="1">
        <v>223.81</v>
      </c>
      <c r="F122" s="1">
        <v>217.68</v>
      </c>
    </row>
    <row r="123" spans="1:6" x14ac:dyDescent="0.2">
      <c r="A123" t="s">
        <v>76</v>
      </c>
      <c r="B123" s="1">
        <v>223.85</v>
      </c>
      <c r="C123">
        <v>37094770</v>
      </c>
      <c r="D123" s="1">
        <v>221.39</v>
      </c>
      <c r="E123" s="1">
        <v>224.99</v>
      </c>
      <c r="F123" s="1">
        <v>220.56010000000001</v>
      </c>
    </row>
    <row r="124" spans="1:6" x14ac:dyDescent="0.2">
      <c r="A124" t="s">
        <v>77</v>
      </c>
      <c r="B124" s="1">
        <v>221.53</v>
      </c>
      <c r="C124">
        <v>34532660</v>
      </c>
      <c r="D124" s="1">
        <v>223.51</v>
      </c>
      <c r="E124" s="1">
        <v>225.02</v>
      </c>
      <c r="F124" s="1">
        <v>220.47</v>
      </c>
    </row>
    <row r="125" spans="1:6" x14ac:dyDescent="0.2">
      <c r="A125" t="s">
        <v>78</v>
      </c>
      <c r="B125" s="1">
        <v>223.75</v>
      </c>
      <c r="C125">
        <v>34493580</v>
      </c>
      <c r="D125" s="1">
        <v>220.77</v>
      </c>
      <c r="E125" s="1">
        <v>224.1</v>
      </c>
      <c r="F125" s="1">
        <v>220.08</v>
      </c>
    </row>
    <row r="126" spans="1:6" x14ac:dyDescent="0.2">
      <c r="A126" t="s">
        <v>79</v>
      </c>
      <c r="B126" s="1">
        <v>220.73</v>
      </c>
      <c r="C126">
        <v>44299480</v>
      </c>
      <c r="D126" s="1">
        <v>221</v>
      </c>
      <c r="E126" s="1">
        <v>221.48</v>
      </c>
      <c r="F126" s="1">
        <v>218.58</v>
      </c>
    </row>
    <row r="127" spans="1:6" x14ac:dyDescent="0.2">
      <c r="A127" t="s">
        <v>80</v>
      </c>
      <c r="B127" s="1">
        <v>218.27</v>
      </c>
      <c r="C127">
        <v>94127770</v>
      </c>
      <c r="D127" s="1">
        <v>211.56</v>
      </c>
      <c r="E127" s="1">
        <v>218.84</v>
      </c>
      <c r="F127" s="1">
        <v>211.28</v>
      </c>
    </row>
    <row r="128" spans="1:6" x14ac:dyDescent="0.2">
      <c r="A128" t="s">
        <v>81</v>
      </c>
      <c r="B128" s="1">
        <v>214.1</v>
      </c>
      <c r="C128">
        <v>48862950</v>
      </c>
      <c r="D128" s="1">
        <v>213.99</v>
      </c>
      <c r="E128" s="1">
        <v>217.48990000000001</v>
      </c>
      <c r="F128" s="1">
        <v>212.22</v>
      </c>
    </row>
    <row r="129" spans="1:6" x14ac:dyDescent="0.2">
      <c r="A129" t="s">
        <v>82</v>
      </c>
      <c r="B129" s="1">
        <v>215.24</v>
      </c>
      <c r="C129">
        <v>54385390</v>
      </c>
      <c r="D129" s="1">
        <v>214.22</v>
      </c>
      <c r="E129" s="1">
        <v>218.76</v>
      </c>
      <c r="F129" s="1">
        <v>213.75</v>
      </c>
    </row>
    <row r="130" spans="1:6" x14ac:dyDescent="0.2">
      <c r="A130" t="s">
        <v>83</v>
      </c>
      <c r="B130" s="1">
        <v>212.69</v>
      </c>
      <c r="C130">
        <v>42432430</v>
      </c>
      <c r="D130" s="1">
        <v>214.16</v>
      </c>
      <c r="E130" s="1">
        <v>215.15</v>
      </c>
      <c r="F130" s="1">
        <v>211.49</v>
      </c>
    </row>
    <row r="131" spans="1:6" x14ac:dyDescent="0.2">
      <c r="A131" t="s">
        <v>84</v>
      </c>
      <c r="B131" s="1">
        <v>214</v>
      </c>
      <c r="C131">
        <v>48073430</v>
      </c>
      <c r="D131" s="1">
        <v>213.31</v>
      </c>
      <c r="E131" s="1">
        <v>215.22</v>
      </c>
      <c r="F131" s="1">
        <v>209.97</v>
      </c>
    </row>
    <row r="132" spans="1:6" x14ac:dyDescent="0.2">
      <c r="A132" t="s">
        <v>85</v>
      </c>
      <c r="B132" s="1">
        <v>213.49</v>
      </c>
      <c r="C132">
        <v>60107580</v>
      </c>
      <c r="D132" s="1">
        <v>211.25</v>
      </c>
      <c r="E132" s="1">
        <v>213.95</v>
      </c>
      <c r="F132" s="1">
        <v>209.58</v>
      </c>
    </row>
    <row r="133" spans="1:6" x14ac:dyDescent="0.2">
      <c r="A133" t="s">
        <v>86</v>
      </c>
      <c r="B133" s="1">
        <v>209.68</v>
      </c>
      <c r="C133">
        <v>61368330</v>
      </c>
      <c r="D133" s="1">
        <v>215.95</v>
      </c>
      <c r="E133" s="1">
        <v>216.83940000000001</v>
      </c>
      <c r="F133" s="1">
        <v>208.42</v>
      </c>
    </row>
    <row r="134" spans="1:6" x14ac:dyDescent="0.2">
      <c r="A134" s="2">
        <v>45994</v>
      </c>
      <c r="B134" s="1">
        <v>216.98</v>
      </c>
      <c r="C134">
        <v>62547470</v>
      </c>
      <c r="D134" s="1">
        <v>220.14</v>
      </c>
      <c r="E134" s="1">
        <v>221.75</v>
      </c>
      <c r="F134" s="1">
        <v>214.91</v>
      </c>
    </row>
    <row r="135" spans="1:6" x14ac:dyDescent="0.2">
      <c r="A135" s="2">
        <v>45964</v>
      </c>
      <c r="B135" s="1">
        <v>220.84</v>
      </c>
      <c r="C135">
        <v>76137410</v>
      </c>
      <c r="D135" s="1">
        <v>223.80500000000001</v>
      </c>
      <c r="E135" s="1">
        <v>225.8399</v>
      </c>
      <c r="F135" s="1">
        <v>217.45</v>
      </c>
    </row>
    <row r="136" spans="1:6" x14ac:dyDescent="0.2">
      <c r="A136" s="2">
        <v>45933</v>
      </c>
      <c r="B136" s="1">
        <v>227.48</v>
      </c>
      <c r="C136">
        <v>72071200</v>
      </c>
      <c r="D136" s="1">
        <v>235.54</v>
      </c>
      <c r="E136" s="1">
        <v>236.16</v>
      </c>
      <c r="F136" s="1">
        <v>224.22</v>
      </c>
    </row>
    <row r="137" spans="1:6" x14ac:dyDescent="0.2">
      <c r="A137" s="2">
        <v>45841</v>
      </c>
      <c r="B137" s="1">
        <v>239.07</v>
      </c>
      <c r="C137">
        <v>46273570</v>
      </c>
      <c r="D137" s="1">
        <v>235.10499999999999</v>
      </c>
      <c r="E137" s="1">
        <v>241.37</v>
      </c>
      <c r="F137" s="1">
        <v>234.76</v>
      </c>
    </row>
    <row r="138" spans="1:6" x14ac:dyDescent="0.2">
      <c r="A138" s="2">
        <v>45811</v>
      </c>
      <c r="B138" s="1">
        <v>235.33</v>
      </c>
      <c r="C138">
        <v>45170420</v>
      </c>
      <c r="D138" s="1">
        <v>234.435</v>
      </c>
      <c r="E138" s="1">
        <v>237.86</v>
      </c>
      <c r="F138" s="1">
        <v>233.15809999999999</v>
      </c>
    </row>
    <row r="139" spans="1:6" x14ac:dyDescent="0.2">
      <c r="A139" s="2">
        <v>45780</v>
      </c>
      <c r="B139" s="1">
        <v>235.74</v>
      </c>
      <c r="C139">
        <v>47227640</v>
      </c>
      <c r="D139" s="1">
        <v>235.42</v>
      </c>
      <c r="E139" s="1">
        <v>236.55</v>
      </c>
      <c r="F139" s="1">
        <v>229.23</v>
      </c>
    </row>
    <row r="140" spans="1:6" x14ac:dyDescent="0.2">
      <c r="A140" s="2">
        <v>45750</v>
      </c>
      <c r="B140" s="1">
        <v>235.93</v>
      </c>
      <c r="C140">
        <v>53798060</v>
      </c>
      <c r="D140" s="1">
        <v>237.70500000000001</v>
      </c>
      <c r="E140" s="1">
        <v>240.07</v>
      </c>
      <c r="F140" s="1">
        <v>234.68</v>
      </c>
    </row>
    <row r="141" spans="1:6" x14ac:dyDescent="0.2">
      <c r="A141" s="2">
        <v>45719</v>
      </c>
      <c r="B141" s="1">
        <v>238.03</v>
      </c>
      <c r="C141">
        <v>47183990</v>
      </c>
      <c r="D141" s="1">
        <v>241.79</v>
      </c>
      <c r="E141" s="1">
        <v>244.02719999999999</v>
      </c>
      <c r="F141" s="1">
        <v>236.11199999999999</v>
      </c>
    </row>
    <row r="142" spans="1:6" x14ac:dyDescent="0.2">
      <c r="A142" t="s">
        <v>87</v>
      </c>
      <c r="B142" s="1">
        <v>241.84</v>
      </c>
      <c r="C142">
        <v>56833360</v>
      </c>
      <c r="D142" s="1">
        <v>236.95</v>
      </c>
      <c r="E142" s="1">
        <v>242.09</v>
      </c>
      <c r="F142" s="1">
        <v>230.2</v>
      </c>
    </row>
    <row r="143" spans="1:6" x14ac:dyDescent="0.2">
      <c r="A143" t="s">
        <v>88</v>
      </c>
      <c r="B143" s="1">
        <v>237.3</v>
      </c>
      <c r="C143">
        <v>41153640</v>
      </c>
      <c r="D143" s="1">
        <v>239.41</v>
      </c>
      <c r="E143" s="1">
        <v>242.46</v>
      </c>
      <c r="F143" s="1">
        <v>237.06</v>
      </c>
    </row>
    <row r="144" spans="1:6" x14ac:dyDescent="0.2">
      <c r="A144" t="s">
        <v>89</v>
      </c>
      <c r="B144" s="1">
        <v>240.36</v>
      </c>
      <c r="C144">
        <v>44433560</v>
      </c>
      <c r="D144" s="1">
        <v>244.33</v>
      </c>
      <c r="E144" s="1">
        <v>244.98</v>
      </c>
      <c r="F144" s="1">
        <v>239.13</v>
      </c>
    </row>
    <row r="145" spans="1:6" x14ac:dyDescent="0.2">
      <c r="A145" t="s">
        <v>90</v>
      </c>
      <c r="B145" s="1">
        <v>247.04</v>
      </c>
      <c r="C145">
        <v>48013270</v>
      </c>
      <c r="D145" s="1">
        <v>248</v>
      </c>
      <c r="E145" s="1">
        <v>250</v>
      </c>
      <c r="F145" s="1">
        <v>244.91</v>
      </c>
    </row>
    <row r="146" spans="1:6" x14ac:dyDescent="0.2">
      <c r="A146" t="s">
        <v>91</v>
      </c>
      <c r="B146" s="1">
        <v>247.1</v>
      </c>
      <c r="C146">
        <v>51326400</v>
      </c>
      <c r="D146" s="1">
        <v>244.92500000000001</v>
      </c>
      <c r="E146" s="1">
        <v>248.86</v>
      </c>
      <c r="F146" s="1">
        <v>244.42</v>
      </c>
    </row>
    <row r="147" spans="1:6" x14ac:dyDescent="0.2">
      <c r="A147" t="s">
        <v>92</v>
      </c>
      <c r="B147" s="1">
        <v>245.55</v>
      </c>
      <c r="C147">
        <v>53197430</v>
      </c>
      <c r="D147" s="1">
        <v>245.95</v>
      </c>
      <c r="E147" s="1">
        <v>248.69</v>
      </c>
      <c r="F147" s="1">
        <v>245.22</v>
      </c>
    </row>
    <row r="148" spans="1:6" x14ac:dyDescent="0.2">
      <c r="A148" t="s">
        <v>93</v>
      </c>
      <c r="B148" s="1">
        <v>245.83</v>
      </c>
      <c r="C148">
        <v>32316910</v>
      </c>
      <c r="D148" s="1">
        <v>244.94</v>
      </c>
      <c r="E148" s="1">
        <v>246.78</v>
      </c>
      <c r="F148" s="1">
        <v>244.29</v>
      </c>
    </row>
    <row r="149" spans="1:6" x14ac:dyDescent="0.2">
      <c r="A149" t="s">
        <v>94</v>
      </c>
      <c r="B149" s="1">
        <v>244.87</v>
      </c>
      <c r="C149">
        <v>32204220</v>
      </c>
      <c r="D149" s="1">
        <v>244.66</v>
      </c>
      <c r="E149" s="1">
        <v>246.01</v>
      </c>
      <c r="F149" s="1">
        <v>243.16040000000001</v>
      </c>
    </row>
    <row r="150" spans="1:6" x14ac:dyDescent="0.2">
      <c r="A150" t="s">
        <v>95</v>
      </c>
      <c r="B150" s="1">
        <v>244.47</v>
      </c>
      <c r="C150">
        <v>48822490</v>
      </c>
      <c r="D150" s="1">
        <v>244.15</v>
      </c>
      <c r="E150" s="1">
        <v>245.18</v>
      </c>
      <c r="F150" s="1">
        <v>241.84</v>
      </c>
    </row>
    <row r="151" spans="1:6" x14ac:dyDescent="0.2">
      <c r="A151" t="s">
        <v>96</v>
      </c>
      <c r="B151" s="1">
        <v>244.6</v>
      </c>
      <c r="C151">
        <v>40896230</v>
      </c>
      <c r="D151" s="1">
        <v>241.25</v>
      </c>
      <c r="E151" s="1">
        <v>245.55</v>
      </c>
      <c r="F151" s="1">
        <v>240.99</v>
      </c>
    </row>
    <row r="152" spans="1:6" x14ac:dyDescent="0.2">
      <c r="A152" t="s">
        <v>97</v>
      </c>
      <c r="B152" s="1">
        <v>241.53</v>
      </c>
      <c r="C152">
        <v>53614050</v>
      </c>
      <c r="D152" s="1">
        <v>236.91</v>
      </c>
      <c r="E152" s="1">
        <v>242.3399</v>
      </c>
      <c r="F152" s="1">
        <v>235.57</v>
      </c>
    </row>
    <row r="153" spans="1:6" x14ac:dyDescent="0.2">
      <c r="A153" s="2">
        <v>45993</v>
      </c>
      <c r="B153" s="1">
        <v>236.87</v>
      </c>
      <c r="C153">
        <v>45243290</v>
      </c>
      <c r="D153" s="1">
        <v>231.2</v>
      </c>
      <c r="E153" s="1">
        <v>236.96</v>
      </c>
      <c r="F153" s="1">
        <v>230.68</v>
      </c>
    </row>
    <row r="154" spans="1:6" x14ac:dyDescent="0.2">
      <c r="A154" s="2">
        <v>45963</v>
      </c>
      <c r="B154" s="1">
        <v>232.62</v>
      </c>
      <c r="C154">
        <v>53718360</v>
      </c>
      <c r="D154" s="1">
        <v>228.2</v>
      </c>
      <c r="E154" s="1">
        <v>235.23</v>
      </c>
      <c r="F154" s="1">
        <v>228.13</v>
      </c>
    </row>
    <row r="155" spans="1:6" x14ac:dyDescent="0.2">
      <c r="A155" s="2">
        <v>45932</v>
      </c>
      <c r="B155" s="1">
        <v>227.65</v>
      </c>
      <c r="C155">
        <v>33115650</v>
      </c>
      <c r="D155" s="1">
        <v>229.57</v>
      </c>
      <c r="E155" s="1">
        <v>230.58500000000001</v>
      </c>
      <c r="F155" s="1">
        <v>227.2</v>
      </c>
    </row>
    <row r="156" spans="1:6" x14ac:dyDescent="0.2">
      <c r="A156" s="2">
        <v>45840</v>
      </c>
      <c r="B156" s="1">
        <v>227.63</v>
      </c>
      <c r="C156">
        <v>39707220</v>
      </c>
      <c r="D156" s="1">
        <v>232.6</v>
      </c>
      <c r="E156" s="1">
        <v>234</v>
      </c>
      <c r="F156" s="1">
        <v>227.26</v>
      </c>
    </row>
    <row r="157" spans="1:6" x14ac:dyDescent="0.2">
      <c r="A157" s="2">
        <v>45810</v>
      </c>
      <c r="B157" s="1">
        <v>233.22</v>
      </c>
      <c r="C157">
        <v>29925350</v>
      </c>
      <c r="D157" s="1">
        <v>231.285</v>
      </c>
      <c r="E157" s="1">
        <v>233.8</v>
      </c>
      <c r="F157" s="1">
        <v>230.42500000000001</v>
      </c>
    </row>
    <row r="158" spans="1:6" x14ac:dyDescent="0.2">
      <c r="A158" s="2">
        <v>45779</v>
      </c>
      <c r="B158" s="1">
        <v>232.47</v>
      </c>
      <c r="C158">
        <v>39664990</v>
      </c>
      <c r="D158" s="1">
        <v>228.53</v>
      </c>
      <c r="E158" s="1">
        <v>232.67</v>
      </c>
      <c r="F158" s="1">
        <v>228.27</v>
      </c>
    </row>
    <row r="159" spans="1:6" x14ac:dyDescent="0.2">
      <c r="A159" s="2">
        <v>45749</v>
      </c>
      <c r="B159" s="1">
        <v>232.8</v>
      </c>
      <c r="C159">
        <v>45067300</v>
      </c>
      <c r="D159" s="1">
        <v>227.25</v>
      </c>
      <c r="E159" s="1">
        <v>233.13</v>
      </c>
      <c r="F159" s="1">
        <v>226.65</v>
      </c>
    </row>
    <row r="160" spans="1:6" x14ac:dyDescent="0.2">
      <c r="A160" s="2">
        <v>45718</v>
      </c>
      <c r="B160" s="1">
        <v>228.01</v>
      </c>
      <c r="C160">
        <v>73063300</v>
      </c>
      <c r="D160" s="1">
        <v>229.99</v>
      </c>
      <c r="E160" s="1">
        <v>231.83</v>
      </c>
      <c r="F160" s="1">
        <v>225.7</v>
      </c>
    </row>
    <row r="161" spans="1:6" x14ac:dyDescent="0.2">
      <c r="A161" t="s">
        <v>98</v>
      </c>
      <c r="B161" s="1">
        <v>236</v>
      </c>
      <c r="C161">
        <v>101075100</v>
      </c>
      <c r="D161" s="1">
        <v>247.19</v>
      </c>
      <c r="E161" s="1">
        <v>247.19</v>
      </c>
      <c r="F161" s="1">
        <v>233.44</v>
      </c>
    </row>
    <row r="162" spans="1:6" x14ac:dyDescent="0.2">
      <c r="A162" t="s">
        <v>99</v>
      </c>
      <c r="B162" s="1">
        <v>237.59</v>
      </c>
      <c r="C162">
        <v>55658280</v>
      </c>
      <c r="D162" s="1">
        <v>238.66499999999999</v>
      </c>
      <c r="E162" s="1">
        <v>240.79</v>
      </c>
      <c r="F162" s="1">
        <v>237.21</v>
      </c>
    </row>
    <row r="163" spans="1:6" x14ac:dyDescent="0.2">
      <c r="A163" t="s">
        <v>100</v>
      </c>
      <c r="B163" s="1">
        <v>239.36</v>
      </c>
      <c r="C163">
        <v>45486100</v>
      </c>
      <c r="D163" s="1">
        <v>234.12</v>
      </c>
      <c r="E163" s="1">
        <v>239.85499999999999</v>
      </c>
      <c r="F163" s="1">
        <v>234.01</v>
      </c>
    </row>
    <row r="164" spans="1:6" x14ac:dyDescent="0.2">
      <c r="A164" t="s">
        <v>101</v>
      </c>
      <c r="B164" s="1">
        <v>238.26</v>
      </c>
      <c r="C164">
        <v>75707570</v>
      </c>
      <c r="D164" s="1">
        <v>230.85</v>
      </c>
      <c r="E164" s="1">
        <v>240.19</v>
      </c>
      <c r="F164" s="1">
        <v>230.81</v>
      </c>
    </row>
    <row r="165" spans="1:6" x14ac:dyDescent="0.2">
      <c r="A165" t="s">
        <v>102</v>
      </c>
      <c r="B165" s="1">
        <v>229.86</v>
      </c>
      <c r="C165">
        <v>94863420</v>
      </c>
      <c r="D165" s="1">
        <v>224.02</v>
      </c>
      <c r="E165" s="1">
        <v>232.15</v>
      </c>
      <c r="F165" s="1">
        <v>223.98</v>
      </c>
    </row>
    <row r="166" spans="1:6" x14ac:dyDescent="0.2">
      <c r="A166" t="s">
        <v>103</v>
      </c>
      <c r="B166" s="1">
        <v>222.78</v>
      </c>
      <c r="C166">
        <v>54697910</v>
      </c>
      <c r="D166" s="1">
        <v>224.78</v>
      </c>
      <c r="E166" s="1">
        <v>225.63</v>
      </c>
      <c r="F166" s="1">
        <v>221.41</v>
      </c>
    </row>
    <row r="167" spans="1:6" x14ac:dyDescent="0.2">
      <c r="A167" t="s">
        <v>104</v>
      </c>
      <c r="B167" s="1">
        <v>223.66</v>
      </c>
      <c r="C167">
        <v>60234760</v>
      </c>
      <c r="D167" s="1">
        <v>224.74</v>
      </c>
      <c r="E167" s="1">
        <v>227.03</v>
      </c>
      <c r="F167" s="1">
        <v>222.3</v>
      </c>
    </row>
    <row r="168" spans="1:6" x14ac:dyDescent="0.2">
      <c r="A168" t="s">
        <v>105</v>
      </c>
      <c r="B168" s="1">
        <v>223.83</v>
      </c>
      <c r="C168">
        <v>64126500</v>
      </c>
      <c r="D168" s="1">
        <v>219.79</v>
      </c>
      <c r="E168" s="1">
        <v>224.12</v>
      </c>
      <c r="F168" s="1">
        <v>219.79</v>
      </c>
    </row>
    <row r="169" spans="1:6" x14ac:dyDescent="0.2">
      <c r="A169" t="s">
        <v>106</v>
      </c>
      <c r="B169" s="1">
        <v>222.64</v>
      </c>
      <c r="C169">
        <v>98070430</v>
      </c>
      <c r="D169" s="1">
        <v>224</v>
      </c>
      <c r="E169" s="1">
        <v>224.42</v>
      </c>
      <c r="F169" s="1">
        <v>219.38</v>
      </c>
    </row>
    <row r="170" spans="1:6" x14ac:dyDescent="0.2">
      <c r="A170" t="s">
        <v>107</v>
      </c>
      <c r="B170" s="1">
        <v>229.98</v>
      </c>
      <c r="C170">
        <v>68488300</v>
      </c>
      <c r="D170" s="1">
        <v>232.11500000000001</v>
      </c>
      <c r="E170" s="1">
        <v>232.29</v>
      </c>
      <c r="F170" s="1">
        <v>228.48</v>
      </c>
    </row>
    <row r="171" spans="1:6" x14ac:dyDescent="0.2">
      <c r="A171" t="s">
        <v>108</v>
      </c>
      <c r="B171" s="1">
        <v>228.26</v>
      </c>
      <c r="C171">
        <v>71759050</v>
      </c>
      <c r="D171" s="1">
        <v>237.35</v>
      </c>
      <c r="E171" s="1">
        <v>238.01</v>
      </c>
      <c r="F171" s="1">
        <v>228.03</v>
      </c>
    </row>
    <row r="172" spans="1:6" x14ac:dyDescent="0.2">
      <c r="A172" t="s">
        <v>109</v>
      </c>
      <c r="B172" s="1">
        <v>237.87</v>
      </c>
      <c r="C172">
        <v>39831970</v>
      </c>
      <c r="D172" s="1">
        <v>234.63499999999999</v>
      </c>
      <c r="E172" s="1">
        <v>238.96</v>
      </c>
      <c r="F172" s="1">
        <v>234.43</v>
      </c>
    </row>
    <row r="173" spans="1:6" x14ac:dyDescent="0.2">
      <c r="A173" t="s">
        <v>110</v>
      </c>
      <c r="B173" s="1">
        <v>233.28</v>
      </c>
      <c r="C173">
        <v>39435290</v>
      </c>
      <c r="D173" s="1">
        <v>234.75</v>
      </c>
      <c r="E173" s="1">
        <v>236.12</v>
      </c>
      <c r="F173" s="1">
        <v>232.47200000000001</v>
      </c>
    </row>
    <row r="174" spans="1:6" x14ac:dyDescent="0.2">
      <c r="A174" t="s">
        <v>111</v>
      </c>
      <c r="B174" s="1">
        <v>234.4</v>
      </c>
      <c r="C174">
        <v>49630730</v>
      </c>
      <c r="D174" s="1">
        <v>233.53</v>
      </c>
      <c r="E174" s="1">
        <v>234.67</v>
      </c>
      <c r="F174" s="1">
        <v>229.72</v>
      </c>
    </row>
    <row r="175" spans="1:6" x14ac:dyDescent="0.2">
      <c r="A175" s="2">
        <v>45931</v>
      </c>
      <c r="B175" s="1">
        <v>236.85</v>
      </c>
      <c r="C175">
        <v>61710860</v>
      </c>
      <c r="D175" s="1">
        <v>240.01</v>
      </c>
      <c r="E175" s="1">
        <v>240.16</v>
      </c>
      <c r="F175" s="1">
        <v>233</v>
      </c>
    </row>
    <row r="176" spans="1:6" x14ac:dyDescent="0.2">
      <c r="A176" s="2">
        <v>45870</v>
      </c>
      <c r="B176" s="1">
        <v>242.7</v>
      </c>
      <c r="C176">
        <v>37628940</v>
      </c>
      <c r="D176" s="1">
        <v>241.92</v>
      </c>
      <c r="E176" s="1">
        <v>243.7123</v>
      </c>
      <c r="F176" s="1">
        <v>240.05</v>
      </c>
    </row>
    <row r="177" spans="1:6" x14ac:dyDescent="0.2">
      <c r="A177" s="2">
        <v>45839</v>
      </c>
      <c r="B177" s="1">
        <v>242.21</v>
      </c>
      <c r="C177">
        <v>40855960</v>
      </c>
      <c r="D177" s="1">
        <v>242.98</v>
      </c>
      <c r="E177" s="1">
        <v>245.55</v>
      </c>
      <c r="F177" s="1">
        <v>241.35</v>
      </c>
    </row>
    <row r="178" spans="1:6" x14ac:dyDescent="0.2">
      <c r="A178" s="2">
        <v>45809</v>
      </c>
      <c r="B178" s="1">
        <v>245</v>
      </c>
      <c r="C178">
        <v>45045570</v>
      </c>
      <c r="D178" s="1">
        <v>244.31</v>
      </c>
      <c r="E178" s="1">
        <v>247.33</v>
      </c>
      <c r="F178" s="1">
        <v>243.2</v>
      </c>
    </row>
    <row r="179" spans="1:6" x14ac:dyDescent="0.2">
      <c r="A179" s="2">
        <v>45717</v>
      </c>
      <c r="B179" s="1">
        <v>243.36</v>
      </c>
      <c r="C179">
        <v>40244110</v>
      </c>
      <c r="D179" s="1">
        <v>243.36</v>
      </c>
      <c r="E179" s="1">
        <v>244.18</v>
      </c>
      <c r="F179" s="1">
        <v>241.89</v>
      </c>
    </row>
    <row r="180" spans="1:6" x14ac:dyDescent="0.2">
      <c r="A180" s="2">
        <v>45689</v>
      </c>
      <c r="B180" s="1">
        <v>243.85</v>
      </c>
      <c r="C180">
        <v>55740730</v>
      </c>
      <c r="D180" s="1">
        <v>248.93</v>
      </c>
      <c r="E180" s="1">
        <v>249.1</v>
      </c>
      <c r="F180" s="1">
        <v>241.8201</v>
      </c>
    </row>
    <row r="181" spans="1:6" x14ac:dyDescent="0.2">
      <c r="A181" t="s">
        <v>112</v>
      </c>
      <c r="B181" s="1">
        <v>250.42</v>
      </c>
      <c r="C181">
        <v>39480720</v>
      </c>
      <c r="D181" s="1">
        <v>252.44</v>
      </c>
      <c r="E181" s="1">
        <v>253.28</v>
      </c>
      <c r="F181" s="1">
        <v>249.43</v>
      </c>
    </row>
    <row r="182" spans="1:6" x14ac:dyDescent="0.2">
      <c r="A182" t="s">
        <v>113</v>
      </c>
      <c r="B182" s="1">
        <v>252.2</v>
      </c>
      <c r="C182">
        <v>35557540</v>
      </c>
      <c r="D182" s="1">
        <v>252.23</v>
      </c>
      <c r="E182" s="1">
        <v>253.5</v>
      </c>
      <c r="F182" s="1">
        <v>250.75</v>
      </c>
    </row>
    <row r="183" spans="1:6" x14ac:dyDescent="0.2">
      <c r="A183" t="s">
        <v>114</v>
      </c>
      <c r="B183" s="1">
        <v>255.59</v>
      </c>
      <c r="C183">
        <v>42355320</v>
      </c>
      <c r="D183" s="1">
        <v>257.83</v>
      </c>
      <c r="E183" s="1">
        <v>258.7</v>
      </c>
      <c r="F183" s="1">
        <v>253.06</v>
      </c>
    </row>
    <row r="184" spans="1:6" x14ac:dyDescent="0.2">
      <c r="A184" t="s">
        <v>115</v>
      </c>
      <c r="B184" s="1">
        <v>259.02</v>
      </c>
      <c r="C184">
        <v>27262980</v>
      </c>
      <c r="D184" s="1">
        <v>258.19</v>
      </c>
      <c r="E184" s="1">
        <v>260.10000000000002</v>
      </c>
      <c r="F184" s="1">
        <v>257.63</v>
      </c>
    </row>
    <row r="185" spans="1:6" x14ac:dyDescent="0.2">
      <c r="A185" t="s">
        <v>116</v>
      </c>
      <c r="B185" s="1">
        <v>258.2</v>
      </c>
      <c r="C185">
        <v>23234710</v>
      </c>
      <c r="D185" s="1">
        <v>255.49</v>
      </c>
      <c r="E185" s="1">
        <v>258.20999999999998</v>
      </c>
      <c r="F185" s="1">
        <v>255.29</v>
      </c>
    </row>
    <row r="186" spans="1:6" x14ac:dyDescent="0.2">
      <c r="A186" t="s">
        <v>117</v>
      </c>
      <c r="B186" s="1">
        <v>255.27</v>
      </c>
      <c r="C186">
        <v>40858770</v>
      </c>
      <c r="D186" s="1">
        <v>254.77</v>
      </c>
      <c r="E186" s="1">
        <v>255.65</v>
      </c>
      <c r="F186" s="1">
        <v>253.45</v>
      </c>
    </row>
    <row r="187" spans="1:6" x14ac:dyDescent="0.2">
      <c r="A187" t="s">
        <v>118</v>
      </c>
      <c r="B187" s="1">
        <v>254.49</v>
      </c>
      <c r="C187">
        <v>147495300</v>
      </c>
      <c r="D187" s="1">
        <v>248.04</v>
      </c>
      <c r="E187" s="1">
        <v>255</v>
      </c>
      <c r="F187" s="1">
        <v>245.69</v>
      </c>
    </row>
    <row r="188" spans="1:6" x14ac:dyDescent="0.2">
      <c r="A188" t="s">
        <v>119</v>
      </c>
      <c r="B188" s="1">
        <v>249.79</v>
      </c>
      <c r="C188">
        <v>60882260</v>
      </c>
      <c r="D188" s="1">
        <v>247.5</v>
      </c>
      <c r="E188" s="1">
        <v>252</v>
      </c>
      <c r="F188" s="1">
        <v>247.0949</v>
      </c>
    </row>
    <row r="189" spans="1:6" x14ac:dyDescent="0.2">
      <c r="A189" t="s">
        <v>120</v>
      </c>
      <c r="B189" s="1">
        <v>248.05</v>
      </c>
      <c r="C189">
        <v>56774100</v>
      </c>
      <c r="D189" s="1">
        <v>252.16</v>
      </c>
      <c r="E189" s="1">
        <v>254.28</v>
      </c>
      <c r="F189" s="1">
        <v>247.74</v>
      </c>
    </row>
    <row r="190" spans="1:6" x14ac:dyDescent="0.2">
      <c r="A190" t="s">
        <v>121</v>
      </c>
      <c r="B190" s="1">
        <v>253.48</v>
      </c>
      <c r="C190">
        <v>51356360</v>
      </c>
      <c r="D190" s="1">
        <v>250.08</v>
      </c>
      <c r="E190" s="1">
        <v>253.83</v>
      </c>
      <c r="F190" s="1">
        <v>249.78</v>
      </c>
    </row>
    <row r="191" spans="1:6" x14ac:dyDescent="0.2">
      <c r="A191" t="s">
        <v>122</v>
      </c>
      <c r="B191" s="1">
        <v>251.04</v>
      </c>
      <c r="C191">
        <v>51694750</v>
      </c>
      <c r="D191" s="1">
        <v>247.99</v>
      </c>
      <c r="E191" s="1">
        <v>251.38</v>
      </c>
      <c r="F191" s="1">
        <v>247.65</v>
      </c>
    </row>
    <row r="192" spans="1:6" x14ac:dyDescent="0.2">
      <c r="A192" t="s">
        <v>123</v>
      </c>
      <c r="B192" s="1">
        <v>248.13</v>
      </c>
      <c r="C192">
        <v>33155290</v>
      </c>
      <c r="D192" s="1">
        <v>247.815</v>
      </c>
      <c r="E192" s="1">
        <v>249.2902</v>
      </c>
      <c r="F192" s="1">
        <v>246.24</v>
      </c>
    </row>
    <row r="193" spans="1:6" x14ac:dyDescent="0.2">
      <c r="A193" s="2">
        <v>45638</v>
      </c>
      <c r="B193" s="1">
        <v>247.96</v>
      </c>
      <c r="C193">
        <v>32777530</v>
      </c>
      <c r="D193" s="1">
        <v>246.89</v>
      </c>
      <c r="E193" s="1">
        <v>248.74</v>
      </c>
      <c r="F193" s="1">
        <v>245.68</v>
      </c>
    </row>
    <row r="194" spans="1:6" x14ac:dyDescent="0.2">
      <c r="A194" s="2">
        <v>45608</v>
      </c>
      <c r="B194" s="1">
        <v>246.49</v>
      </c>
      <c r="C194">
        <v>45205810</v>
      </c>
      <c r="D194" s="1">
        <v>247.96</v>
      </c>
      <c r="E194" s="1">
        <v>250.8</v>
      </c>
      <c r="F194" s="1">
        <v>246.26009999999999</v>
      </c>
    </row>
    <row r="195" spans="1:6" x14ac:dyDescent="0.2">
      <c r="A195" s="2">
        <v>45577</v>
      </c>
      <c r="B195" s="1">
        <v>247.77</v>
      </c>
      <c r="C195">
        <v>36914810</v>
      </c>
      <c r="D195" s="1">
        <v>246.89</v>
      </c>
      <c r="E195" s="1">
        <v>248.21</v>
      </c>
      <c r="F195" s="1">
        <v>245.34</v>
      </c>
    </row>
    <row r="196" spans="1:6" x14ac:dyDescent="0.2">
      <c r="A196" s="2">
        <v>45547</v>
      </c>
      <c r="B196" s="1">
        <v>246.75</v>
      </c>
      <c r="C196">
        <v>44649230</v>
      </c>
      <c r="D196" s="1">
        <v>241.83</v>
      </c>
      <c r="E196" s="1">
        <v>247.24</v>
      </c>
      <c r="F196" s="1">
        <v>241.75</v>
      </c>
    </row>
    <row r="197" spans="1:6" x14ac:dyDescent="0.2">
      <c r="A197" s="2">
        <v>45455</v>
      </c>
      <c r="B197" s="1">
        <v>242.84</v>
      </c>
      <c r="C197">
        <v>36870620</v>
      </c>
      <c r="D197" s="1">
        <v>242.905</v>
      </c>
      <c r="E197" s="1">
        <v>244.63</v>
      </c>
      <c r="F197" s="1">
        <v>242.08</v>
      </c>
    </row>
    <row r="198" spans="1:6" x14ac:dyDescent="0.2">
      <c r="A198" s="2">
        <v>45424</v>
      </c>
      <c r="B198" s="1">
        <v>243.04</v>
      </c>
      <c r="C198">
        <v>40033880</v>
      </c>
      <c r="D198" s="1">
        <v>243.99</v>
      </c>
      <c r="E198" s="1">
        <v>244.54</v>
      </c>
      <c r="F198" s="1">
        <v>242.13</v>
      </c>
    </row>
    <row r="199" spans="1:6" x14ac:dyDescent="0.2">
      <c r="A199" s="2">
        <v>45394</v>
      </c>
      <c r="B199" s="1">
        <v>243.01</v>
      </c>
      <c r="C199">
        <v>44383940</v>
      </c>
      <c r="D199" s="1">
        <v>242.87</v>
      </c>
      <c r="E199" s="1">
        <v>244.11</v>
      </c>
      <c r="F199" s="1">
        <v>241.25</v>
      </c>
    </row>
    <row r="200" spans="1:6" x14ac:dyDescent="0.2">
      <c r="A200" s="2">
        <v>45363</v>
      </c>
      <c r="B200" s="1">
        <v>242.65</v>
      </c>
      <c r="C200">
        <v>38861020</v>
      </c>
      <c r="D200" s="1">
        <v>239.81</v>
      </c>
      <c r="E200" s="1">
        <v>242.76</v>
      </c>
      <c r="F200" s="1">
        <v>238.9</v>
      </c>
    </row>
    <row r="201" spans="1:6" x14ac:dyDescent="0.2">
      <c r="A201" s="2">
        <v>45334</v>
      </c>
      <c r="B201" s="1">
        <v>239.59</v>
      </c>
      <c r="C201">
        <v>48137100</v>
      </c>
      <c r="D201" s="1">
        <v>237.27</v>
      </c>
      <c r="E201" s="1">
        <v>240.79</v>
      </c>
      <c r="F201" s="1">
        <v>237.16</v>
      </c>
    </row>
    <row r="202" spans="1:6" x14ac:dyDescent="0.2">
      <c r="A202" t="s">
        <v>124</v>
      </c>
      <c r="B202" s="1">
        <v>237.33</v>
      </c>
      <c r="C202">
        <v>28481380</v>
      </c>
      <c r="D202" s="1">
        <v>234.80500000000001</v>
      </c>
      <c r="E202" s="1">
        <v>237.81</v>
      </c>
      <c r="F202" s="1">
        <v>233.97</v>
      </c>
    </row>
    <row r="203" spans="1:6" x14ac:dyDescent="0.2">
      <c r="A203" t="s">
        <v>125</v>
      </c>
      <c r="B203" s="1">
        <v>234.93</v>
      </c>
      <c r="C203">
        <v>33498440</v>
      </c>
      <c r="D203" s="1">
        <v>234.465</v>
      </c>
      <c r="E203" s="1">
        <v>235.69</v>
      </c>
      <c r="F203" s="1">
        <v>233.81010000000001</v>
      </c>
    </row>
    <row r="204" spans="1:6" x14ac:dyDescent="0.2">
      <c r="A204" t="s">
        <v>126</v>
      </c>
      <c r="B204" s="1">
        <v>235.06</v>
      </c>
      <c r="C204">
        <v>45986190</v>
      </c>
      <c r="D204" s="1">
        <v>233.33</v>
      </c>
      <c r="E204" s="1">
        <v>235.57</v>
      </c>
      <c r="F204" s="1">
        <v>233.33</v>
      </c>
    </row>
    <row r="205" spans="1:6" x14ac:dyDescent="0.2">
      <c r="A205" t="s">
        <v>127</v>
      </c>
      <c r="B205" s="1">
        <v>232.87</v>
      </c>
      <c r="C205">
        <v>90152830</v>
      </c>
      <c r="D205" s="1">
        <v>231.46</v>
      </c>
      <c r="E205" s="1">
        <v>233.245</v>
      </c>
      <c r="F205" s="1">
        <v>229.74</v>
      </c>
    </row>
    <row r="206" spans="1:6" x14ac:dyDescent="0.2">
      <c r="A206" t="s">
        <v>128</v>
      </c>
      <c r="B206" s="1">
        <v>229.87</v>
      </c>
      <c r="C206">
        <v>38168250</v>
      </c>
      <c r="D206" s="1">
        <v>228.06</v>
      </c>
      <c r="E206" s="1">
        <v>230.7199</v>
      </c>
      <c r="F206" s="1">
        <v>228.06</v>
      </c>
    </row>
    <row r="207" spans="1:6" x14ac:dyDescent="0.2">
      <c r="A207" t="s">
        <v>129</v>
      </c>
      <c r="B207" s="1">
        <v>228.52</v>
      </c>
      <c r="C207">
        <v>42108330</v>
      </c>
      <c r="D207" s="1">
        <v>228.88</v>
      </c>
      <c r="E207" s="1">
        <v>230.155</v>
      </c>
      <c r="F207" s="1">
        <v>225.71029999999999</v>
      </c>
    </row>
    <row r="208" spans="1:6" x14ac:dyDescent="0.2">
      <c r="A208" t="s">
        <v>130</v>
      </c>
      <c r="B208" s="1">
        <v>229</v>
      </c>
      <c r="C208">
        <v>35169570</v>
      </c>
      <c r="D208" s="1">
        <v>228.06</v>
      </c>
      <c r="E208" s="1">
        <v>229.93</v>
      </c>
      <c r="F208" s="1">
        <v>225.89</v>
      </c>
    </row>
    <row r="209" spans="1:6" x14ac:dyDescent="0.2">
      <c r="A209" t="s">
        <v>131</v>
      </c>
      <c r="B209" s="1">
        <v>228.28</v>
      </c>
      <c r="C209">
        <v>36211770</v>
      </c>
      <c r="D209" s="1">
        <v>226.98</v>
      </c>
      <c r="E209" s="1">
        <v>230.16</v>
      </c>
      <c r="F209" s="1">
        <v>226.66</v>
      </c>
    </row>
    <row r="210" spans="1:6" x14ac:dyDescent="0.2">
      <c r="A210" t="s">
        <v>132</v>
      </c>
      <c r="B210" s="1">
        <v>228.02</v>
      </c>
      <c r="C210">
        <v>44686020</v>
      </c>
      <c r="D210" s="1">
        <v>225.25</v>
      </c>
      <c r="E210" s="1">
        <v>229.74</v>
      </c>
      <c r="F210" s="1">
        <v>225.17</v>
      </c>
    </row>
    <row r="211" spans="1:6" x14ac:dyDescent="0.2">
      <c r="A211" t="s">
        <v>133</v>
      </c>
      <c r="B211" s="1">
        <v>225</v>
      </c>
      <c r="C211">
        <v>47923700</v>
      </c>
      <c r="D211" s="1">
        <v>226.4</v>
      </c>
      <c r="E211" s="1">
        <v>226.92</v>
      </c>
      <c r="F211" s="1">
        <v>224.27</v>
      </c>
    </row>
    <row r="212" spans="1:6" x14ac:dyDescent="0.2">
      <c r="A212" t="s">
        <v>134</v>
      </c>
      <c r="B212" s="1">
        <v>228.22</v>
      </c>
      <c r="C212">
        <v>44923940</v>
      </c>
      <c r="D212" s="1">
        <v>225.02</v>
      </c>
      <c r="E212" s="1">
        <v>228.87</v>
      </c>
      <c r="F212" s="1">
        <v>225</v>
      </c>
    </row>
    <row r="213" spans="1:6" x14ac:dyDescent="0.2">
      <c r="A213" t="s">
        <v>135</v>
      </c>
      <c r="B213" s="1">
        <v>225.12</v>
      </c>
      <c r="C213">
        <v>48566220</v>
      </c>
      <c r="D213" s="1">
        <v>224.01</v>
      </c>
      <c r="E213" s="1">
        <v>226.65</v>
      </c>
      <c r="F213" s="1">
        <v>222.76</v>
      </c>
    </row>
    <row r="214" spans="1:6" x14ac:dyDescent="0.2">
      <c r="A214" s="2">
        <v>45637</v>
      </c>
      <c r="B214" s="1">
        <v>224.23</v>
      </c>
      <c r="C214">
        <v>40398300</v>
      </c>
      <c r="D214" s="1">
        <v>224.55</v>
      </c>
      <c r="E214" s="1">
        <v>225.59</v>
      </c>
      <c r="F214" s="1">
        <v>223.35499999999999</v>
      </c>
    </row>
    <row r="215" spans="1:6" x14ac:dyDescent="0.2">
      <c r="A215" s="2">
        <v>45607</v>
      </c>
      <c r="B215" s="1">
        <v>224.23</v>
      </c>
      <c r="C215">
        <v>42005600</v>
      </c>
      <c r="D215" s="1">
        <v>225</v>
      </c>
      <c r="E215" s="1">
        <v>225.7</v>
      </c>
      <c r="F215" s="1">
        <v>221.5</v>
      </c>
    </row>
    <row r="216" spans="1:6" x14ac:dyDescent="0.2">
      <c r="A216" s="2">
        <v>45515</v>
      </c>
      <c r="B216" s="1">
        <v>226.96</v>
      </c>
      <c r="C216">
        <v>38328820</v>
      </c>
      <c r="D216" s="1">
        <v>227.17</v>
      </c>
      <c r="E216" s="1">
        <v>228.66</v>
      </c>
      <c r="F216" s="1">
        <v>226.405</v>
      </c>
    </row>
    <row r="217" spans="1:6" x14ac:dyDescent="0.2">
      <c r="A217" s="2">
        <v>45484</v>
      </c>
      <c r="B217" s="1">
        <v>227.48</v>
      </c>
      <c r="C217">
        <v>42137690</v>
      </c>
      <c r="D217" s="1">
        <v>224.625</v>
      </c>
      <c r="E217" s="1">
        <v>227.875</v>
      </c>
      <c r="F217" s="1">
        <v>224.57</v>
      </c>
    </row>
    <row r="218" spans="1:6" x14ac:dyDescent="0.2">
      <c r="A218" s="2">
        <v>45454</v>
      </c>
      <c r="B218" s="1">
        <v>222.72</v>
      </c>
      <c r="C218">
        <v>54561120</v>
      </c>
      <c r="D218" s="1">
        <v>222.61</v>
      </c>
      <c r="E218" s="1">
        <v>226.065</v>
      </c>
      <c r="F218" s="1">
        <v>221.19</v>
      </c>
    </row>
    <row r="219" spans="1:6" x14ac:dyDescent="0.2">
      <c r="A219" s="2">
        <v>45423</v>
      </c>
      <c r="B219" s="1">
        <v>223.45</v>
      </c>
      <c r="C219">
        <v>28111340</v>
      </c>
      <c r="D219" s="1">
        <v>221.79499999999999</v>
      </c>
      <c r="E219" s="1">
        <v>223.95</v>
      </c>
      <c r="F219" s="1">
        <v>221.14</v>
      </c>
    </row>
    <row r="220" spans="1:6" x14ac:dyDescent="0.2">
      <c r="A220" s="2">
        <v>45393</v>
      </c>
      <c r="B220" s="1">
        <v>222.01</v>
      </c>
      <c r="C220">
        <v>44944470</v>
      </c>
      <c r="D220" s="1">
        <v>220.99</v>
      </c>
      <c r="E220" s="1">
        <v>222.79</v>
      </c>
      <c r="F220" s="1">
        <v>219.71</v>
      </c>
    </row>
    <row r="221" spans="1:6" x14ac:dyDescent="0.2">
      <c r="A221" s="2">
        <v>45302</v>
      </c>
      <c r="B221" s="1">
        <v>222.91</v>
      </c>
      <c r="C221">
        <v>65276740</v>
      </c>
      <c r="D221" s="1">
        <v>220.965</v>
      </c>
      <c r="E221" s="1">
        <v>225.35</v>
      </c>
      <c r="F221" s="1">
        <v>220.27</v>
      </c>
    </row>
    <row r="222" spans="1:6" x14ac:dyDescent="0.2">
      <c r="A222" t="s">
        <v>136</v>
      </c>
      <c r="B222" s="1">
        <v>225.91</v>
      </c>
      <c r="C222">
        <v>64370090</v>
      </c>
      <c r="D222" s="1">
        <v>229.34</v>
      </c>
      <c r="E222" s="1">
        <v>229.83</v>
      </c>
      <c r="F222" s="1">
        <v>225.37</v>
      </c>
    </row>
    <row r="223" spans="1:6" x14ac:dyDescent="0.2">
      <c r="A223" t="s">
        <v>137</v>
      </c>
      <c r="B223" s="1">
        <v>230.1</v>
      </c>
      <c r="C223">
        <v>47070910</v>
      </c>
      <c r="D223" s="1">
        <v>232.61</v>
      </c>
      <c r="E223" s="1">
        <v>233.47</v>
      </c>
      <c r="F223" s="1">
        <v>229.55</v>
      </c>
    </row>
    <row r="224" spans="1:6" x14ac:dyDescent="0.2">
      <c r="A224" t="s">
        <v>138</v>
      </c>
      <c r="B224" s="1">
        <v>233.67</v>
      </c>
      <c r="C224">
        <v>35417250</v>
      </c>
      <c r="D224" s="1">
        <v>233.1</v>
      </c>
      <c r="E224" s="1">
        <v>234.32499999999999</v>
      </c>
      <c r="F224" s="1">
        <v>232.32</v>
      </c>
    </row>
    <row r="225" spans="1:6" x14ac:dyDescent="0.2">
      <c r="A225" t="s">
        <v>139</v>
      </c>
      <c r="B225" s="1">
        <v>233.4</v>
      </c>
      <c r="C225">
        <v>36087130</v>
      </c>
      <c r="D225" s="1">
        <v>233.32</v>
      </c>
      <c r="E225" s="1">
        <v>234.73</v>
      </c>
      <c r="F225" s="1">
        <v>232.55</v>
      </c>
    </row>
    <row r="226" spans="1:6" x14ac:dyDescent="0.2">
      <c r="A226" t="s">
        <v>140</v>
      </c>
      <c r="B226" s="1">
        <v>231.41</v>
      </c>
      <c r="C226">
        <v>38802300</v>
      </c>
      <c r="D226" s="1">
        <v>229.74</v>
      </c>
      <c r="E226" s="1">
        <v>233.22</v>
      </c>
      <c r="F226" s="1">
        <v>229.57</v>
      </c>
    </row>
    <row r="227" spans="1:6" x14ac:dyDescent="0.2">
      <c r="A227" t="s">
        <v>141</v>
      </c>
      <c r="B227" s="1">
        <v>230.57</v>
      </c>
      <c r="C227">
        <v>31109500</v>
      </c>
      <c r="D227" s="1">
        <v>229.98</v>
      </c>
      <c r="E227" s="1">
        <v>230.82</v>
      </c>
      <c r="F227" s="1">
        <v>228.41</v>
      </c>
    </row>
    <row r="228" spans="1:6" x14ac:dyDescent="0.2">
      <c r="A228" t="s">
        <v>142</v>
      </c>
      <c r="B228" s="1">
        <v>230.76</v>
      </c>
      <c r="C228">
        <v>52286980</v>
      </c>
      <c r="D228" s="1">
        <v>234.08</v>
      </c>
      <c r="E228" s="1">
        <v>235.14400000000001</v>
      </c>
      <c r="F228" s="1">
        <v>227.76</v>
      </c>
    </row>
    <row r="229" spans="1:6" x14ac:dyDescent="0.2">
      <c r="A229" t="s">
        <v>143</v>
      </c>
      <c r="B229" s="1">
        <v>235.86</v>
      </c>
      <c r="C229">
        <v>38846580</v>
      </c>
      <c r="D229" s="1">
        <v>233.88499999999999</v>
      </c>
      <c r="E229" s="1">
        <v>236.22</v>
      </c>
      <c r="F229" s="1">
        <v>232.6</v>
      </c>
    </row>
    <row r="230" spans="1:6" x14ac:dyDescent="0.2">
      <c r="A230" t="s">
        <v>144</v>
      </c>
      <c r="B230" s="1">
        <v>236.48</v>
      </c>
      <c r="C230">
        <v>36254470</v>
      </c>
      <c r="D230" s="1">
        <v>234.45</v>
      </c>
      <c r="E230" s="1">
        <v>236.85</v>
      </c>
      <c r="F230" s="1">
        <v>234.45</v>
      </c>
    </row>
    <row r="231" spans="1:6" x14ac:dyDescent="0.2">
      <c r="A231" t="s">
        <v>145</v>
      </c>
      <c r="B231" s="1">
        <v>235</v>
      </c>
      <c r="C231">
        <v>46431470</v>
      </c>
      <c r="D231" s="1">
        <v>236.18</v>
      </c>
      <c r="E231" s="1">
        <v>236.18</v>
      </c>
      <c r="F231" s="1">
        <v>234.01</v>
      </c>
    </row>
    <row r="232" spans="1:6" x14ac:dyDescent="0.2">
      <c r="A232" t="s">
        <v>146</v>
      </c>
      <c r="B232" s="1">
        <v>232.15</v>
      </c>
      <c r="C232">
        <v>32993810</v>
      </c>
      <c r="D232" s="1">
        <v>233.43</v>
      </c>
      <c r="E232" s="1">
        <v>233.85</v>
      </c>
      <c r="F232" s="1">
        <v>230.52</v>
      </c>
    </row>
    <row r="233" spans="1:6" x14ac:dyDescent="0.2">
      <c r="A233" t="s">
        <v>147</v>
      </c>
      <c r="B233" s="1">
        <v>231.78</v>
      </c>
      <c r="C233">
        <v>34082240</v>
      </c>
      <c r="D233" s="1">
        <v>231.6</v>
      </c>
      <c r="E233" s="1">
        <v>232.12</v>
      </c>
      <c r="F233" s="1">
        <v>229.84</v>
      </c>
    </row>
    <row r="234" spans="1:6" x14ac:dyDescent="0.2">
      <c r="A234" t="s">
        <v>148</v>
      </c>
      <c r="B234" s="1">
        <v>233.85</v>
      </c>
      <c r="C234">
        <v>64751370</v>
      </c>
      <c r="D234" s="1">
        <v>233.61</v>
      </c>
      <c r="E234" s="1">
        <v>237.49</v>
      </c>
      <c r="F234" s="1">
        <v>232.37</v>
      </c>
    </row>
    <row r="235" spans="1:6" x14ac:dyDescent="0.2">
      <c r="A235" t="s">
        <v>149</v>
      </c>
      <c r="B235" s="1">
        <v>231.3</v>
      </c>
      <c r="C235">
        <v>39882090</v>
      </c>
      <c r="D235" s="1">
        <v>228.7</v>
      </c>
      <c r="E235" s="1">
        <v>231.73</v>
      </c>
      <c r="F235" s="1">
        <v>228.6</v>
      </c>
    </row>
    <row r="236" spans="1:6" x14ac:dyDescent="0.2">
      <c r="A236" s="2">
        <v>45606</v>
      </c>
      <c r="B236" s="1">
        <v>227.55</v>
      </c>
      <c r="C236">
        <v>31759190</v>
      </c>
      <c r="D236" s="1">
        <v>229.3</v>
      </c>
      <c r="E236" s="1">
        <v>229.41</v>
      </c>
      <c r="F236" s="1">
        <v>227.34</v>
      </c>
    </row>
    <row r="237" spans="1:6" x14ac:dyDescent="0.2">
      <c r="A237" s="2">
        <v>45575</v>
      </c>
      <c r="B237" s="1">
        <v>229.04</v>
      </c>
      <c r="C237">
        <v>28183540</v>
      </c>
      <c r="D237" s="1">
        <v>227.78</v>
      </c>
      <c r="E237" s="1">
        <v>229.5</v>
      </c>
      <c r="F237" s="1">
        <v>227.17</v>
      </c>
    </row>
    <row r="238" spans="1:6" x14ac:dyDescent="0.2">
      <c r="A238" s="2">
        <v>45545</v>
      </c>
      <c r="B238" s="1">
        <v>229.54</v>
      </c>
      <c r="C238">
        <v>33591090</v>
      </c>
      <c r="D238" s="1">
        <v>225.23</v>
      </c>
      <c r="E238" s="1">
        <v>229.75</v>
      </c>
      <c r="F238" s="1">
        <v>224.83</v>
      </c>
    </row>
    <row r="239" spans="1:6" x14ac:dyDescent="0.2">
      <c r="A239" s="2">
        <v>45514</v>
      </c>
      <c r="B239" s="1">
        <v>225.77</v>
      </c>
      <c r="C239">
        <v>31855690</v>
      </c>
      <c r="D239" s="1">
        <v>224.3</v>
      </c>
      <c r="E239" s="1">
        <v>225.98</v>
      </c>
      <c r="F239" s="1">
        <v>223.25</v>
      </c>
    </row>
    <row r="240" spans="1:6" x14ac:dyDescent="0.2">
      <c r="A240" s="2">
        <v>45483</v>
      </c>
      <c r="B240" s="1">
        <v>221.69</v>
      </c>
      <c r="C240">
        <v>39505350</v>
      </c>
      <c r="D240" s="1">
        <v>224.5</v>
      </c>
      <c r="E240" s="1">
        <v>225.69</v>
      </c>
      <c r="F240" s="1">
        <v>221.33</v>
      </c>
    </row>
    <row r="241" spans="1:6" x14ac:dyDescent="0.2">
      <c r="A241" s="2">
        <v>45392</v>
      </c>
      <c r="B241" s="1">
        <v>226.8</v>
      </c>
      <c r="C241">
        <v>37345100</v>
      </c>
      <c r="D241" s="1">
        <v>227.9</v>
      </c>
      <c r="E241" s="1">
        <v>228</v>
      </c>
      <c r="F241" s="1">
        <v>224.13</v>
      </c>
    </row>
    <row r="242" spans="1:6" x14ac:dyDescent="0.2">
      <c r="A242" s="2">
        <v>45361</v>
      </c>
      <c r="B242" s="1">
        <v>225.67</v>
      </c>
      <c r="C242">
        <v>34044160</v>
      </c>
      <c r="D242" s="1">
        <v>225.14</v>
      </c>
      <c r="E242" s="1">
        <v>226.80500000000001</v>
      </c>
      <c r="F242" s="1">
        <v>223.32</v>
      </c>
    </row>
    <row r="243" spans="1:6" x14ac:dyDescent="0.2">
      <c r="A243" s="2">
        <v>45332</v>
      </c>
      <c r="B243" s="1">
        <v>226.78</v>
      </c>
      <c r="C243">
        <v>32880610</v>
      </c>
      <c r="D243" s="1">
        <v>225.89</v>
      </c>
      <c r="E243" s="1">
        <v>227.37</v>
      </c>
      <c r="F243" s="1">
        <v>223.02</v>
      </c>
    </row>
    <row r="244" spans="1:6" x14ac:dyDescent="0.2">
      <c r="A244" s="2">
        <v>45301</v>
      </c>
      <c r="B244" s="1">
        <v>226.21</v>
      </c>
      <c r="C244">
        <v>63285050</v>
      </c>
      <c r="D244" s="1">
        <v>229.52</v>
      </c>
      <c r="E244" s="1">
        <v>229.65</v>
      </c>
      <c r="F244" s="1">
        <v>223.74</v>
      </c>
    </row>
    <row r="245" spans="1:6" x14ac:dyDescent="0.2">
      <c r="A245" t="s">
        <v>150</v>
      </c>
      <c r="B245" s="1">
        <v>233</v>
      </c>
      <c r="C245">
        <v>54793390</v>
      </c>
      <c r="D245" s="1">
        <v>230.04</v>
      </c>
      <c r="E245" s="1">
        <v>233</v>
      </c>
      <c r="F245" s="1">
        <v>229.65</v>
      </c>
    </row>
    <row r="246" spans="1:6" x14ac:dyDescent="0.2">
      <c r="A246" t="s">
        <v>151</v>
      </c>
      <c r="B246" s="1">
        <v>227.79</v>
      </c>
      <c r="C246">
        <v>34025970</v>
      </c>
      <c r="D246" s="1">
        <v>228.46</v>
      </c>
      <c r="E246" s="1">
        <v>229.52</v>
      </c>
      <c r="F246" s="1">
        <v>227.3</v>
      </c>
    </row>
    <row r="247" spans="1:6" x14ac:dyDescent="0.2">
      <c r="A247" t="s">
        <v>152</v>
      </c>
      <c r="B247" s="1">
        <v>227.52</v>
      </c>
      <c r="C247">
        <v>36636710</v>
      </c>
      <c r="D247" s="1">
        <v>227.3</v>
      </c>
      <c r="E247" s="1">
        <v>228.5</v>
      </c>
      <c r="F247" s="1">
        <v>225.41</v>
      </c>
    </row>
    <row r="248" spans="1:6" x14ac:dyDescent="0.2">
      <c r="A248" t="s">
        <v>153</v>
      </c>
      <c r="B248" s="1">
        <v>226.37</v>
      </c>
      <c r="C248">
        <v>42308720</v>
      </c>
      <c r="D248" s="1">
        <v>224.93</v>
      </c>
      <c r="E248" s="1">
        <v>227.29</v>
      </c>
      <c r="F248" s="1">
        <v>224.02</v>
      </c>
    </row>
    <row r="249" spans="1:6" x14ac:dyDescent="0.2">
      <c r="A249" t="s">
        <v>154</v>
      </c>
      <c r="B249" s="1">
        <v>227.37</v>
      </c>
      <c r="C249">
        <v>43556070</v>
      </c>
      <c r="D249" s="1">
        <v>228.64500000000001</v>
      </c>
      <c r="E249" s="1">
        <v>229.35</v>
      </c>
      <c r="F249" s="1">
        <v>225.73</v>
      </c>
    </row>
    <row r="250" spans="1:6" x14ac:dyDescent="0.2">
      <c r="A250" t="s">
        <v>155</v>
      </c>
      <c r="B250" s="1">
        <v>226.47</v>
      </c>
      <c r="C250">
        <v>54146020</v>
      </c>
      <c r="D250" s="1">
        <v>227.34</v>
      </c>
      <c r="E250" s="1">
        <v>229.45</v>
      </c>
      <c r="F250" s="1">
        <v>225.81</v>
      </c>
    </row>
    <row r="251" spans="1:6" x14ac:dyDescent="0.2">
      <c r="A251" t="s">
        <v>156</v>
      </c>
      <c r="B251" s="1">
        <v>228.2</v>
      </c>
      <c r="C251">
        <v>318679900</v>
      </c>
      <c r="D251" s="1">
        <v>229.97</v>
      </c>
      <c r="E251" s="1">
        <v>233.09</v>
      </c>
      <c r="F251" s="1">
        <v>227.62</v>
      </c>
    </row>
    <row r="252" spans="1:6" x14ac:dyDescent="0.2">
      <c r="A252" t="s">
        <v>157</v>
      </c>
      <c r="B252" s="1">
        <v>228.87</v>
      </c>
      <c r="C252">
        <v>66781320</v>
      </c>
      <c r="D252" s="1">
        <v>224.99</v>
      </c>
      <c r="E252" s="1">
        <v>229.82</v>
      </c>
      <c r="F252" s="1">
        <v>224.63</v>
      </c>
    </row>
    <row r="253" spans="1:6" x14ac:dyDescent="0.2">
      <c r="A253" t="s">
        <v>158</v>
      </c>
      <c r="B253" s="1">
        <v>220.69</v>
      </c>
      <c r="C253">
        <v>59894930</v>
      </c>
      <c r="D253" s="1">
        <v>217.55</v>
      </c>
      <c r="E253" s="1">
        <v>222.71</v>
      </c>
      <c r="F253" s="1">
        <v>217.54</v>
      </c>
    </row>
    <row r="254" spans="1:6" x14ac:dyDescent="0.2">
      <c r="A254" t="s">
        <v>159</v>
      </c>
      <c r="B254" s="1">
        <v>216.79</v>
      </c>
      <c r="C254">
        <v>45519340</v>
      </c>
      <c r="D254" s="1">
        <v>215.75</v>
      </c>
      <c r="E254" s="1">
        <v>216.9</v>
      </c>
      <c r="F254" s="1">
        <v>214.5</v>
      </c>
    </row>
    <row r="255" spans="1:6" x14ac:dyDescent="0.2">
      <c r="A255" t="s">
        <v>160</v>
      </c>
      <c r="B255" s="1">
        <v>216.32</v>
      </c>
      <c r="C255">
        <v>59357430</v>
      </c>
      <c r="D255" s="1">
        <v>216.54</v>
      </c>
      <c r="E255" s="1">
        <v>217.22</v>
      </c>
      <c r="F255" s="1">
        <v>213.92</v>
      </c>
    </row>
    <row r="256" spans="1:6" x14ac:dyDescent="0.2">
      <c r="A256" t="s">
        <v>161</v>
      </c>
      <c r="B256" s="1">
        <v>222.5</v>
      </c>
      <c r="C256">
        <v>36766620</v>
      </c>
      <c r="D256" s="1">
        <v>223.58</v>
      </c>
      <c r="E256" s="1">
        <v>224.04</v>
      </c>
      <c r="F256" s="1">
        <v>221.91</v>
      </c>
    </row>
    <row r="257" spans="1:6" x14ac:dyDescent="0.2">
      <c r="A257" s="2">
        <v>45635</v>
      </c>
      <c r="B257" s="1">
        <v>222.77</v>
      </c>
      <c r="C257">
        <v>37498230</v>
      </c>
      <c r="D257" s="1">
        <v>222.5</v>
      </c>
      <c r="E257" s="1">
        <v>223.55</v>
      </c>
      <c r="F257" s="1">
        <v>219.82</v>
      </c>
    </row>
    <row r="258" spans="1:6" x14ac:dyDescent="0.2">
      <c r="A258" s="2">
        <v>45605</v>
      </c>
      <c r="B258" s="1">
        <v>222.66</v>
      </c>
      <c r="C258">
        <v>44587070</v>
      </c>
      <c r="D258" s="1">
        <v>221.45500000000001</v>
      </c>
      <c r="E258" s="1">
        <v>223.09</v>
      </c>
      <c r="F258" s="1">
        <v>217.89</v>
      </c>
    </row>
    <row r="259" spans="1:6" x14ac:dyDescent="0.2">
      <c r="A259" s="2">
        <v>45574</v>
      </c>
      <c r="B259" s="1">
        <v>220.11</v>
      </c>
      <c r="C259">
        <v>51591030</v>
      </c>
      <c r="D259" s="1">
        <v>218.92</v>
      </c>
      <c r="E259" s="1">
        <v>221.48</v>
      </c>
      <c r="F259" s="1">
        <v>216.73</v>
      </c>
    </row>
    <row r="260" spans="1:6" x14ac:dyDescent="0.2">
      <c r="A260" s="2">
        <v>45544</v>
      </c>
      <c r="B260" s="1">
        <v>220.91</v>
      </c>
      <c r="C260">
        <v>67179970</v>
      </c>
      <c r="D260" s="1">
        <v>220.82</v>
      </c>
      <c r="E260" s="1">
        <v>221.27</v>
      </c>
      <c r="F260" s="1">
        <v>216.71</v>
      </c>
    </row>
    <row r="261" spans="1:6" x14ac:dyDescent="0.2">
      <c r="A261" s="2">
        <v>45452</v>
      </c>
      <c r="B261" s="1">
        <v>220.82</v>
      </c>
      <c r="C261">
        <v>48423010</v>
      </c>
      <c r="D261" s="1">
        <v>223.95</v>
      </c>
      <c r="E261" s="1">
        <v>225.24</v>
      </c>
      <c r="F261" s="1">
        <v>219.77</v>
      </c>
    </row>
    <row r="262" spans="1:6" x14ac:dyDescent="0.2">
      <c r="A262" s="2">
        <v>45421</v>
      </c>
      <c r="B262" s="1">
        <v>222.38</v>
      </c>
      <c r="C262">
        <v>36615400</v>
      </c>
      <c r="D262" s="1">
        <v>221.625</v>
      </c>
      <c r="E262" s="1">
        <v>225.48</v>
      </c>
      <c r="F262" s="1">
        <v>221.52</v>
      </c>
    </row>
    <row r="263" spans="1:6" x14ac:dyDescent="0.2">
      <c r="A263" s="2">
        <v>45391</v>
      </c>
      <c r="B263" s="1">
        <v>220.85</v>
      </c>
      <c r="C263">
        <v>43840200</v>
      </c>
      <c r="D263" s="1">
        <v>221.66</v>
      </c>
      <c r="E263" s="1">
        <v>221.78</v>
      </c>
      <c r="F263" s="1">
        <v>217.48</v>
      </c>
    </row>
    <row r="264" spans="1:6" x14ac:dyDescent="0.2">
      <c r="A264" s="2">
        <v>45360</v>
      </c>
      <c r="B264" s="1">
        <v>222.77</v>
      </c>
      <c r="C264">
        <v>50190570</v>
      </c>
      <c r="D264" s="1">
        <v>228.55</v>
      </c>
      <c r="E264" s="1">
        <v>229</v>
      </c>
      <c r="F264" s="1">
        <v>221.17</v>
      </c>
    </row>
    <row r="265" spans="1:6" x14ac:dyDescent="0.2">
      <c r="A265" t="s">
        <v>162</v>
      </c>
      <c r="B265" s="1">
        <v>229</v>
      </c>
      <c r="C265">
        <v>52990770</v>
      </c>
      <c r="D265" s="1">
        <v>230.19</v>
      </c>
      <c r="E265" s="1">
        <v>230.4</v>
      </c>
      <c r="F265" s="1">
        <v>227.48</v>
      </c>
    </row>
    <row r="266" spans="1:6" x14ac:dyDescent="0.2">
      <c r="A266" t="s">
        <v>163</v>
      </c>
      <c r="B266" s="1">
        <v>229.79</v>
      </c>
      <c r="C266">
        <v>51906300</v>
      </c>
      <c r="D266" s="1">
        <v>230.1</v>
      </c>
      <c r="E266" s="1">
        <v>232.92</v>
      </c>
      <c r="F266" s="1">
        <v>228.88</v>
      </c>
    </row>
    <row r="267" spans="1:6" x14ac:dyDescent="0.2">
      <c r="A267" t="s">
        <v>164</v>
      </c>
      <c r="B267" s="1">
        <v>226.49</v>
      </c>
      <c r="C267">
        <v>38052170</v>
      </c>
      <c r="D267" s="1">
        <v>227.92</v>
      </c>
      <c r="E267" s="1">
        <v>229.86</v>
      </c>
      <c r="F267" s="1">
        <v>225.68</v>
      </c>
    </row>
    <row r="268" spans="1:6" x14ac:dyDescent="0.2">
      <c r="A268" t="s">
        <v>165</v>
      </c>
      <c r="B268" s="1">
        <v>228.03</v>
      </c>
      <c r="C268">
        <v>35934560</v>
      </c>
      <c r="D268" s="1">
        <v>225.995</v>
      </c>
      <c r="E268" s="1">
        <v>228.85</v>
      </c>
      <c r="F268" s="1">
        <v>224.89</v>
      </c>
    </row>
    <row r="269" spans="1:6" x14ac:dyDescent="0.2">
      <c r="A269" t="s">
        <v>166</v>
      </c>
      <c r="B269" s="1">
        <v>227.18</v>
      </c>
      <c r="C269">
        <v>30602210</v>
      </c>
      <c r="D269" s="1">
        <v>226.76</v>
      </c>
      <c r="E269" s="1">
        <v>227.28</v>
      </c>
      <c r="F269" s="1">
        <v>223.8905</v>
      </c>
    </row>
    <row r="270" spans="1:6" x14ac:dyDescent="0.2">
      <c r="A270" t="s">
        <v>167</v>
      </c>
      <c r="B270" s="1">
        <v>226.84</v>
      </c>
      <c r="C270">
        <v>38677250</v>
      </c>
      <c r="D270" s="1">
        <v>225.65899999999999</v>
      </c>
      <c r="E270" s="1">
        <v>228.22</v>
      </c>
      <c r="F270" s="1">
        <v>224.33</v>
      </c>
    </row>
    <row r="271" spans="1:6" x14ac:dyDescent="0.2">
      <c r="A271" t="s">
        <v>168</v>
      </c>
      <c r="B271" s="1">
        <v>224.53</v>
      </c>
      <c r="C271">
        <v>43695320</v>
      </c>
      <c r="D271" s="1">
        <v>227.79</v>
      </c>
      <c r="E271" s="1">
        <v>228.34</v>
      </c>
      <c r="F271" s="1">
        <v>223.9</v>
      </c>
    </row>
    <row r="272" spans="1:6" x14ac:dyDescent="0.2">
      <c r="A272" t="s">
        <v>169</v>
      </c>
      <c r="B272" s="1">
        <v>226.4</v>
      </c>
      <c r="C272">
        <v>34765480</v>
      </c>
      <c r="D272" s="1">
        <v>226.52</v>
      </c>
      <c r="E272" s="1">
        <v>227.98</v>
      </c>
      <c r="F272" s="1">
        <v>225.05</v>
      </c>
    </row>
    <row r="273" spans="1:6" x14ac:dyDescent="0.2">
      <c r="A273" t="s">
        <v>170</v>
      </c>
      <c r="B273" s="1">
        <v>226.51</v>
      </c>
      <c r="C273">
        <v>30299030</v>
      </c>
      <c r="D273" s="1">
        <v>225.77</v>
      </c>
      <c r="E273" s="1">
        <v>227.17</v>
      </c>
      <c r="F273" s="1">
        <v>225.45</v>
      </c>
    </row>
    <row r="274" spans="1:6" x14ac:dyDescent="0.2">
      <c r="A274" t="s">
        <v>171</v>
      </c>
      <c r="B274" s="1">
        <v>225.89</v>
      </c>
      <c r="C274">
        <v>40687810</v>
      </c>
      <c r="D274" s="1">
        <v>225.72</v>
      </c>
      <c r="E274" s="1">
        <v>225.99</v>
      </c>
      <c r="F274" s="1">
        <v>223.04</v>
      </c>
    </row>
    <row r="275" spans="1:6" x14ac:dyDescent="0.2">
      <c r="A275" t="s">
        <v>172</v>
      </c>
      <c r="B275" s="1">
        <v>226.05</v>
      </c>
      <c r="C275">
        <v>44340240</v>
      </c>
      <c r="D275" s="1">
        <v>223.92</v>
      </c>
      <c r="E275" s="1">
        <v>226.8271</v>
      </c>
      <c r="F275" s="1">
        <v>223.65010000000001</v>
      </c>
    </row>
    <row r="276" spans="1:6" x14ac:dyDescent="0.2">
      <c r="A276" t="s">
        <v>173</v>
      </c>
      <c r="B276" s="1">
        <v>224.72</v>
      </c>
      <c r="C276">
        <v>46414010</v>
      </c>
      <c r="D276" s="1">
        <v>224.6</v>
      </c>
      <c r="E276" s="1">
        <v>225.35</v>
      </c>
      <c r="F276" s="1">
        <v>222.76</v>
      </c>
    </row>
    <row r="277" spans="1:6" x14ac:dyDescent="0.2">
      <c r="A277" t="s">
        <v>174</v>
      </c>
      <c r="B277" s="1">
        <v>221.72</v>
      </c>
      <c r="C277">
        <v>41960570</v>
      </c>
      <c r="D277" s="1">
        <v>220.57</v>
      </c>
      <c r="E277" s="1">
        <v>223.03</v>
      </c>
      <c r="F277" s="1">
        <v>219.7</v>
      </c>
    </row>
    <row r="278" spans="1:6" x14ac:dyDescent="0.2">
      <c r="A278" t="s">
        <v>175</v>
      </c>
      <c r="B278" s="1">
        <v>221.27</v>
      </c>
      <c r="C278">
        <v>44155330</v>
      </c>
      <c r="D278" s="1">
        <v>219.01</v>
      </c>
      <c r="E278" s="1">
        <v>221.89</v>
      </c>
      <c r="F278" s="1">
        <v>219.01</v>
      </c>
    </row>
    <row r="279" spans="1:6" x14ac:dyDescent="0.2">
      <c r="A279" s="2">
        <v>45634</v>
      </c>
      <c r="B279" s="1">
        <v>217.53</v>
      </c>
      <c r="C279">
        <v>38028090</v>
      </c>
      <c r="D279" s="1">
        <v>216.07</v>
      </c>
      <c r="E279" s="1">
        <v>219.50989999999999</v>
      </c>
      <c r="F279" s="1">
        <v>215.6</v>
      </c>
    </row>
    <row r="280" spans="1:6" x14ac:dyDescent="0.2">
      <c r="A280" s="2">
        <v>45543</v>
      </c>
      <c r="B280" s="1">
        <v>216.24</v>
      </c>
      <c r="C280">
        <v>42201650</v>
      </c>
      <c r="D280" s="1">
        <v>212.1</v>
      </c>
      <c r="E280" s="1">
        <v>216.78</v>
      </c>
      <c r="F280" s="1">
        <v>211.97</v>
      </c>
    </row>
    <row r="281" spans="1:6" x14ac:dyDescent="0.2">
      <c r="A281" s="2">
        <v>45512</v>
      </c>
      <c r="B281" s="1">
        <v>213.31</v>
      </c>
      <c r="C281">
        <v>47161150</v>
      </c>
      <c r="D281" s="1">
        <v>213.11</v>
      </c>
      <c r="E281" s="1">
        <v>214.2</v>
      </c>
      <c r="F281" s="1">
        <v>208.83</v>
      </c>
    </row>
    <row r="282" spans="1:6" x14ac:dyDescent="0.2">
      <c r="A282" s="2">
        <v>45481</v>
      </c>
      <c r="B282" s="1">
        <v>209.82</v>
      </c>
      <c r="C282">
        <v>63516420</v>
      </c>
      <c r="D282" s="1">
        <v>206.9</v>
      </c>
      <c r="E282" s="1">
        <v>213.64</v>
      </c>
      <c r="F282" s="1">
        <v>206.39</v>
      </c>
    </row>
    <row r="283" spans="1:6" x14ac:dyDescent="0.2">
      <c r="A283" s="2">
        <v>45451</v>
      </c>
      <c r="B283" s="1">
        <v>207.23</v>
      </c>
      <c r="C283">
        <v>69660490</v>
      </c>
      <c r="D283" s="1">
        <v>205.3</v>
      </c>
      <c r="E283" s="1">
        <v>209.99</v>
      </c>
      <c r="F283" s="1">
        <v>201.07</v>
      </c>
    </row>
    <row r="284" spans="1:6" x14ac:dyDescent="0.2">
      <c r="A284" s="2">
        <v>45420</v>
      </c>
      <c r="B284" s="1">
        <v>209.27</v>
      </c>
      <c r="C284">
        <v>119548600</v>
      </c>
      <c r="D284" s="1">
        <v>199.09</v>
      </c>
      <c r="E284" s="1">
        <v>213.5</v>
      </c>
      <c r="F284" s="1">
        <v>196</v>
      </c>
    </row>
    <row r="285" spans="1:6" x14ac:dyDescent="0.2">
      <c r="A285" s="2">
        <v>45330</v>
      </c>
      <c r="B285" s="1">
        <v>219.86</v>
      </c>
      <c r="C285">
        <v>105568600</v>
      </c>
      <c r="D285" s="1">
        <v>219.15</v>
      </c>
      <c r="E285" s="1">
        <v>225.6</v>
      </c>
      <c r="F285" s="1">
        <v>217.71</v>
      </c>
    </row>
    <row r="286" spans="1:6" x14ac:dyDescent="0.2">
      <c r="A286" s="2">
        <v>45299</v>
      </c>
      <c r="B286" s="1">
        <v>218.36</v>
      </c>
      <c r="C286">
        <v>62501000</v>
      </c>
      <c r="D286" s="1">
        <v>224.37</v>
      </c>
      <c r="E286" s="1">
        <v>224.48</v>
      </c>
      <c r="F286" s="1">
        <v>217.02</v>
      </c>
    </row>
    <row r="287" spans="1:6" x14ac:dyDescent="0.2">
      <c r="A287" t="s">
        <v>176</v>
      </c>
      <c r="B287" s="1">
        <v>222.08</v>
      </c>
      <c r="C287">
        <v>50036260</v>
      </c>
      <c r="D287" s="1">
        <v>221.44</v>
      </c>
      <c r="E287" s="1">
        <v>223.82</v>
      </c>
      <c r="F287" s="1">
        <v>220.63</v>
      </c>
    </row>
    <row r="288" spans="1:6" x14ac:dyDescent="0.2">
      <c r="A288" t="s">
        <v>177</v>
      </c>
      <c r="B288" s="1">
        <v>218.8</v>
      </c>
      <c r="C288">
        <v>41643840</v>
      </c>
      <c r="D288" s="1">
        <v>219.19</v>
      </c>
      <c r="E288" s="1">
        <v>220.32499999999999</v>
      </c>
      <c r="F288" s="1">
        <v>216.12</v>
      </c>
    </row>
    <row r="289" spans="1:6" x14ac:dyDescent="0.2">
      <c r="A289" t="s">
        <v>178</v>
      </c>
      <c r="B289" s="1">
        <v>218.24</v>
      </c>
      <c r="C289">
        <v>36311780</v>
      </c>
      <c r="D289" s="1">
        <v>216.96</v>
      </c>
      <c r="E289" s="1">
        <v>219.3</v>
      </c>
      <c r="F289" s="1">
        <v>215.75</v>
      </c>
    </row>
    <row r="290" spans="1:6" x14ac:dyDescent="0.2">
      <c r="A290" t="s">
        <v>179</v>
      </c>
      <c r="B290" s="1">
        <v>217.96</v>
      </c>
      <c r="C290">
        <v>41601350</v>
      </c>
      <c r="D290" s="1">
        <v>218.7</v>
      </c>
      <c r="E290" s="1">
        <v>219.49</v>
      </c>
      <c r="F290" s="1">
        <v>216.01</v>
      </c>
    </row>
    <row r="291" spans="1:6" x14ac:dyDescent="0.2">
      <c r="A291" t="s">
        <v>180</v>
      </c>
      <c r="B291" s="1">
        <v>217.49</v>
      </c>
      <c r="C291">
        <v>51391200</v>
      </c>
      <c r="D291" s="1">
        <v>218.93</v>
      </c>
      <c r="E291" s="1">
        <v>220.85</v>
      </c>
      <c r="F291" s="1">
        <v>214.62</v>
      </c>
    </row>
    <row r="292" spans="1:6" x14ac:dyDescent="0.2">
      <c r="A292" t="s">
        <v>181</v>
      </c>
      <c r="B292" s="1">
        <v>218.54</v>
      </c>
      <c r="C292">
        <v>61777580</v>
      </c>
      <c r="D292" s="1">
        <v>224</v>
      </c>
      <c r="E292" s="1">
        <v>224.8</v>
      </c>
      <c r="F292" s="1">
        <v>217.13</v>
      </c>
    </row>
    <row r="293" spans="1:6" x14ac:dyDescent="0.2">
      <c r="A293" t="s">
        <v>182</v>
      </c>
      <c r="B293" s="1">
        <v>225.01</v>
      </c>
      <c r="C293">
        <v>39960260</v>
      </c>
      <c r="D293" s="1">
        <v>224.36500000000001</v>
      </c>
      <c r="E293" s="1">
        <v>226.94</v>
      </c>
      <c r="F293" s="1">
        <v>222.68</v>
      </c>
    </row>
    <row r="294" spans="1:6" x14ac:dyDescent="0.2">
      <c r="A294" t="s">
        <v>183</v>
      </c>
      <c r="B294" s="1">
        <v>223.96</v>
      </c>
      <c r="C294">
        <v>48201840</v>
      </c>
      <c r="D294" s="1">
        <v>227.01</v>
      </c>
      <c r="E294" s="1">
        <v>227.78</v>
      </c>
      <c r="F294" s="1">
        <v>223.09</v>
      </c>
    </row>
    <row r="295" spans="1:6" x14ac:dyDescent="0.2">
      <c r="A295" t="s">
        <v>184</v>
      </c>
      <c r="B295" s="1">
        <v>224.31</v>
      </c>
      <c r="C295">
        <v>49151450</v>
      </c>
      <c r="D295" s="1">
        <v>224.82</v>
      </c>
      <c r="E295" s="1">
        <v>226.8</v>
      </c>
      <c r="F295" s="1">
        <v>223.27500000000001</v>
      </c>
    </row>
    <row r="296" spans="1:6" x14ac:dyDescent="0.2">
      <c r="A296" t="s">
        <v>185</v>
      </c>
      <c r="B296" s="1">
        <v>224.18</v>
      </c>
      <c r="C296">
        <v>66034590</v>
      </c>
      <c r="D296" s="1">
        <v>230.28</v>
      </c>
      <c r="E296" s="1">
        <v>230.44</v>
      </c>
      <c r="F296" s="1">
        <v>222.27</v>
      </c>
    </row>
    <row r="297" spans="1:6" x14ac:dyDescent="0.2">
      <c r="A297" t="s">
        <v>186</v>
      </c>
      <c r="B297" s="1">
        <v>228.88</v>
      </c>
      <c r="C297">
        <v>57345880</v>
      </c>
      <c r="D297" s="1">
        <v>229.45</v>
      </c>
      <c r="E297" s="1">
        <v>231.4599</v>
      </c>
      <c r="F297" s="1">
        <v>226.64</v>
      </c>
    </row>
    <row r="298" spans="1:6" x14ac:dyDescent="0.2">
      <c r="A298" t="s">
        <v>187</v>
      </c>
      <c r="B298" s="1">
        <v>234.82</v>
      </c>
      <c r="C298">
        <v>43234280</v>
      </c>
      <c r="D298" s="1">
        <v>235</v>
      </c>
      <c r="E298" s="1">
        <v>236.27</v>
      </c>
      <c r="F298" s="1">
        <v>232.33</v>
      </c>
    </row>
    <row r="299" spans="1:6" x14ac:dyDescent="0.2">
      <c r="A299" t="s">
        <v>188</v>
      </c>
      <c r="B299" s="1">
        <v>234.4</v>
      </c>
      <c r="C299">
        <v>62631250</v>
      </c>
      <c r="D299" s="1">
        <v>236.48</v>
      </c>
      <c r="E299" s="1">
        <v>237.23</v>
      </c>
      <c r="F299" s="1">
        <v>233.09</v>
      </c>
    </row>
    <row r="300" spans="1:6" x14ac:dyDescent="0.2">
      <c r="A300" s="2">
        <v>45633</v>
      </c>
      <c r="B300" s="1">
        <v>230.54</v>
      </c>
      <c r="C300">
        <v>53046530</v>
      </c>
      <c r="D300" s="1">
        <v>228.92</v>
      </c>
      <c r="E300" s="1">
        <v>232.64</v>
      </c>
      <c r="F300" s="1">
        <v>228.68</v>
      </c>
    </row>
    <row r="301" spans="1:6" x14ac:dyDescent="0.2">
      <c r="A301" s="2">
        <v>45603</v>
      </c>
      <c r="B301" s="1">
        <v>227.57</v>
      </c>
      <c r="C301">
        <v>64710620</v>
      </c>
      <c r="D301" s="1">
        <v>231.39</v>
      </c>
      <c r="E301" s="1">
        <v>232.39</v>
      </c>
      <c r="F301" s="1">
        <v>225.77</v>
      </c>
    </row>
    <row r="302" spans="1:6" x14ac:dyDescent="0.2">
      <c r="A302" s="2">
        <v>45572</v>
      </c>
      <c r="B302" s="1">
        <v>232.98</v>
      </c>
      <c r="C302">
        <v>62627690</v>
      </c>
      <c r="D302" s="1">
        <v>229.3</v>
      </c>
      <c r="E302" s="1">
        <v>233.08</v>
      </c>
      <c r="F302" s="1">
        <v>229.25</v>
      </c>
    </row>
    <row r="303" spans="1:6" x14ac:dyDescent="0.2">
      <c r="A303" s="2">
        <v>45542</v>
      </c>
      <c r="B303" s="1">
        <v>228.68</v>
      </c>
      <c r="C303">
        <v>48169820</v>
      </c>
      <c r="D303" s="1">
        <v>227.93</v>
      </c>
      <c r="E303" s="1">
        <v>229.4</v>
      </c>
      <c r="F303" s="1">
        <v>226.37209999999999</v>
      </c>
    </row>
    <row r="304" spans="1:6" x14ac:dyDescent="0.2">
      <c r="A304" s="2">
        <v>45511</v>
      </c>
      <c r="B304" s="1">
        <v>227.82</v>
      </c>
      <c r="C304">
        <v>59085860</v>
      </c>
      <c r="D304" s="1">
        <v>227.09</v>
      </c>
      <c r="E304" s="1">
        <v>227.85</v>
      </c>
      <c r="F304" s="1">
        <v>223.25</v>
      </c>
    </row>
    <row r="305" spans="1:6" x14ac:dyDescent="0.2">
      <c r="A305" s="2">
        <v>45419</v>
      </c>
      <c r="B305" s="1">
        <v>226.34</v>
      </c>
      <c r="C305">
        <v>60412410</v>
      </c>
      <c r="D305" s="1">
        <v>221.65</v>
      </c>
      <c r="E305" s="1">
        <v>226.45</v>
      </c>
      <c r="F305" s="1">
        <v>221.65</v>
      </c>
    </row>
    <row r="306" spans="1:6" x14ac:dyDescent="0.2">
      <c r="A306" s="2">
        <v>45358</v>
      </c>
      <c r="B306" s="1">
        <v>221.55</v>
      </c>
      <c r="C306">
        <v>37369800</v>
      </c>
      <c r="D306" s="1">
        <v>220</v>
      </c>
      <c r="E306" s="1">
        <v>221.55</v>
      </c>
      <c r="F306" s="1">
        <v>219.03</v>
      </c>
    </row>
    <row r="307" spans="1:6" x14ac:dyDescent="0.2">
      <c r="A307" s="2">
        <v>45329</v>
      </c>
      <c r="B307" s="1">
        <v>220.27</v>
      </c>
      <c r="C307">
        <v>58046180</v>
      </c>
      <c r="D307" s="1">
        <v>216.15</v>
      </c>
      <c r="E307" s="1">
        <v>220.38</v>
      </c>
      <c r="F307" s="1">
        <v>215.1</v>
      </c>
    </row>
    <row r="308" spans="1:6" x14ac:dyDescent="0.2">
      <c r="A308" s="2">
        <v>45298</v>
      </c>
      <c r="B308" s="1">
        <v>216.75</v>
      </c>
      <c r="C308">
        <v>60402930</v>
      </c>
      <c r="D308" s="1">
        <v>212.09</v>
      </c>
      <c r="E308" s="1">
        <v>217.51</v>
      </c>
      <c r="F308" s="1">
        <v>211.92</v>
      </c>
    </row>
    <row r="309" spans="1:6" x14ac:dyDescent="0.2">
      <c r="A309" t="s">
        <v>189</v>
      </c>
      <c r="B309" s="1">
        <v>210.62</v>
      </c>
      <c r="C309">
        <v>82542720</v>
      </c>
      <c r="D309" s="1">
        <v>215.77</v>
      </c>
      <c r="E309" s="1">
        <v>216.07</v>
      </c>
      <c r="F309" s="1">
        <v>210.3</v>
      </c>
    </row>
    <row r="310" spans="1:6" x14ac:dyDescent="0.2">
      <c r="A310" t="s">
        <v>190</v>
      </c>
      <c r="B310" s="1">
        <v>214.1</v>
      </c>
      <c r="C310">
        <v>49772710</v>
      </c>
      <c r="D310" s="1">
        <v>214.69</v>
      </c>
      <c r="E310" s="1">
        <v>215.73949999999999</v>
      </c>
      <c r="F310" s="1">
        <v>212.35</v>
      </c>
    </row>
    <row r="311" spans="1:6" x14ac:dyDescent="0.2">
      <c r="A311" t="s">
        <v>191</v>
      </c>
      <c r="B311" s="1">
        <v>213.25</v>
      </c>
      <c r="C311">
        <v>66213190</v>
      </c>
      <c r="D311" s="1">
        <v>211.5</v>
      </c>
      <c r="E311" s="1">
        <v>214.86</v>
      </c>
      <c r="F311" s="1">
        <v>210.64</v>
      </c>
    </row>
    <row r="312" spans="1:6" x14ac:dyDescent="0.2">
      <c r="A312" t="s">
        <v>192</v>
      </c>
      <c r="B312" s="1">
        <v>209.07</v>
      </c>
      <c r="C312">
        <v>56713870</v>
      </c>
      <c r="D312" s="1">
        <v>209.15</v>
      </c>
      <c r="E312" s="1">
        <v>211.38</v>
      </c>
      <c r="F312" s="1">
        <v>208.61</v>
      </c>
    </row>
    <row r="313" spans="1:6" x14ac:dyDescent="0.2">
      <c r="A313" t="s">
        <v>193</v>
      </c>
      <c r="B313" s="1">
        <v>208.14</v>
      </c>
      <c r="C313">
        <v>80727010</v>
      </c>
      <c r="D313" s="1">
        <v>207.72</v>
      </c>
      <c r="E313" s="1">
        <v>212.7</v>
      </c>
      <c r="F313" s="1">
        <v>206.59</v>
      </c>
    </row>
    <row r="314" spans="1:6" x14ac:dyDescent="0.2">
      <c r="A314" t="s">
        <v>194</v>
      </c>
      <c r="B314" s="1">
        <v>207.49</v>
      </c>
      <c r="C314">
        <v>246421400</v>
      </c>
      <c r="D314" s="1">
        <v>210.39</v>
      </c>
      <c r="E314" s="1">
        <v>211.89</v>
      </c>
      <c r="F314" s="1">
        <v>207.11</v>
      </c>
    </row>
    <row r="315" spans="1:6" x14ac:dyDescent="0.2">
      <c r="A315" t="s">
        <v>195</v>
      </c>
      <c r="B315" s="1">
        <v>209.68</v>
      </c>
      <c r="C315">
        <v>86172450</v>
      </c>
      <c r="D315" s="1">
        <v>213.93</v>
      </c>
      <c r="E315" s="1">
        <v>214.24</v>
      </c>
      <c r="F315" s="1">
        <v>208.85</v>
      </c>
    </row>
    <row r="316" spans="1:6" x14ac:dyDescent="0.2">
      <c r="A316" t="s">
        <v>196</v>
      </c>
      <c r="B316" s="1">
        <v>214.29</v>
      </c>
      <c r="C316">
        <v>79943250</v>
      </c>
      <c r="D316" s="1">
        <v>217.59</v>
      </c>
      <c r="E316" s="1">
        <v>218.63</v>
      </c>
      <c r="F316" s="1">
        <v>213</v>
      </c>
    </row>
    <row r="317" spans="1:6" x14ac:dyDescent="0.2">
      <c r="A317" t="s">
        <v>197</v>
      </c>
      <c r="B317" s="1">
        <v>216.67</v>
      </c>
      <c r="C317">
        <v>93728300</v>
      </c>
      <c r="D317" s="1">
        <v>213.37</v>
      </c>
      <c r="E317" s="1">
        <v>218.95</v>
      </c>
      <c r="F317" s="1">
        <v>212.72</v>
      </c>
    </row>
    <row r="318" spans="1:6" x14ac:dyDescent="0.2">
      <c r="A318" t="s">
        <v>198</v>
      </c>
      <c r="B318" s="1">
        <v>212.49</v>
      </c>
      <c r="C318">
        <v>70122750</v>
      </c>
      <c r="D318" s="1">
        <v>213.85</v>
      </c>
      <c r="E318" s="1">
        <v>215.17</v>
      </c>
      <c r="F318" s="1">
        <v>211.3</v>
      </c>
    </row>
    <row r="319" spans="1:6" x14ac:dyDescent="0.2">
      <c r="A319" t="s">
        <v>199</v>
      </c>
      <c r="B319" s="1">
        <v>214.24</v>
      </c>
      <c r="C319">
        <v>97862730</v>
      </c>
      <c r="D319" s="1">
        <v>214.74</v>
      </c>
      <c r="E319" s="1">
        <v>216.75</v>
      </c>
      <c r="F319" s="1">
        <v>211.6</v>
      </c>
    </row>
    <row r="320" spans="1:6" x14ac:dyDescent="0.2">
      <c r="A320" s="2">
        <v>45632</v>
      </c>
      <c r="B320" s="1">
        <v>213.07</v>
      </c>
      <c r="C320">
        <v>198134300</v>
      </c>
      <c r="D320" s="1">
        <v>207.37</v>
      </c>
      <c r="E320" s="1">
        <v>220.2</v>
      </c>
      <c r="F320" s="1">
        <v>206.9</v>
      </c>
    </row>
    <row r="321" spans="1:6" x14ac:dyDescent="0.2">
      <c r="A321" s="2">
        <v>45602</v>
      </c>
      <c r="B321" s="1">
        <v>207.15</v>
      </c>
      <c r="C321">
        <v>172373300</v>
      </c>
      <c r="D321" s="1">
        <v>193.65</v>
      </c>
      <c r="E321" s="1">
        <v>207.16</v>
      </c>
      <c r="F321" s="1">
        <v>193.63</v>
      </c>
    </row>
    <row r="322" spans="1:6" x14ac:dyDescent="0.2">
      <c r="A322" s="2">
        <v>45571</v>
      </c>
      <c r="B322" s="1">
        <v>193.12</v>
      </c>
      <c r="C322">
        <v>97262080</v>
      </c>
      <c r="D322" s="1">
        <v>196.9</v>
      </c>
      <c r="E322" s="1">
        <v>197.3</v>
      </c>
      <c r="F322" s="1">
        <v>192.15</v>
      </c>
    </row>
    <row r="323" spans="1:6" x14ac:dyDescent="0.2">
      <c r="A323" s="2">
        <v>45479</v>
      </c>
      <c r="B323" s="1">
        <v>196.89</v>
      </c>
      <c r="C323">
        <v>53103910</v>
      </c>
      <c r="D323" s="1">
        <v>194.65</v>
      </c>
      <c r="E323" s="1">
        <v>196.94</v>
      </c>
      <c r="F323" s="1">
        <v>194.14</v>
      </c>
    </row>
    <row r="324" spans="1:6" x14ac:dyDescent="0.2">
      <c r="A324" s="2">
        <v>45449</v>
      </c>
      <c r="B324" s="1">
        <v>194.48</v>
      </c>
      <c r="C324">
        <v>41181750</v>
      </c>
      <c r="D324" s="1">
        <v>195.685</v>
      </c>
      <c r="E324" s="1">
        <v>196.5</v>
      </c>
      <c r="F324" s="1">
        <v>194.17</v>
      </c>
    </row>
    <row r="325" spans="1:6" x14ac:dyDescent="0.2">
      <c r="A325" s="2">
        <v>45418</v>
      </c>
      <c r="B325" s="1">
        <v>195.87</v>
      </c>
      <c r="C325">
        <v>54156790</v>
      </c>
      <c r="D325" s="1">
        <v>195.4</v>
      </c>
      <c r="E325" s="1">
        <v>196.9</v>
      </c>
      <c r="F325" s="1">
        <v>194.87</v>
      </c>
    </row>
    <row r="326" spans="1:6" x14ac:dyDescent="0.2">
      <c r="A326" s="2">
        <v>45388</v>
      </c>
      <c r="B326" s="1">
        <v>194.35</v>
      </c>
      <c r="C326">
        <v>47471450</v>
      </c>
      <c r="D326" s="1">
        <v>194.63499999999999</v>
      </c>
      <c r="E326" s="1">
        <v>195.32</v>
      </c>
      <c r="F326" s="1">
        <v>193.0342</v>
      </c>
    </row>
    <row r="327" spans="1:6" x14ac:dyDescent="0.2">
      <c r="A327" s="2">
        <v>45357</v>
      </c>
      <c r="B327" s="1">
        <v>194.03</v>
      </c>
      <c r="C327">
        <v>50080540</v>
      </c>
      <c r="D327" s="1">
        <v>192.9</v>
      </c>
      <c r="E327" s="1">
        <v>194.99</v>
      </c>
      <c r="F327" s="1">
        <v>192.52</v>
      </c>
    </row>
    <row r="328" spans="1:6" x14ac:dyDescent="0.2">
      <c r="A328" t="s">
        <v>200</v>
      </c>
      <c r="B328" s="1">
        <v>192.25</v>
      </c>
      <c r="C328">
        <v>75158280</v>
      </c>
      <c r="D328" s="1">
        <v>191.44</v>
      </c>
      <c r="E328" s="1">
        <v>192.57</v>
      </c>
      <c r="F328" s="1">
        <v>189.91</v>
      </c>
    </row>
    <row r="329" spans="1:6" x14ac:dyDescent="0.2">
      <c r="A329" t="s">
        <v>201</v>
      </c>
      <c r="B329" s="1">
        <v>191.29</v>
      </c>
      <c r="C329">
        <v>49947940</v>
      </c>
      <c r="D329" s="1">
        <v>190.76</v>
      </c>
      <c r="E329" s="1">
        <v>192.18</v>
      </c>
      <c r="F329" s="1">
        <v>190.63</v>
      </c>
    </row>
    <row r="330" spans="1:6" x14ac:dyDescent="0.2">
      <c r="A330" t="s">
        <v>202</v>
      </c>
      <c r="B330" s="1">
        <v>190.29</v>
      </c>
      <c r="C330">
        <v>53068020</v>
      </c>
      <c r="D330" s="1">
        <v>189.61</v>
      </c>
      <c r="E330" s="1">
        <v>192.24700000000001</v>
      </c>
      <c r="F330" s="1">
        <v>189.51</v>
      </c>
    </row>
    <row r="331" spans="1:6" x14ac:dyDescent="0.2">
      <c r="A331" t="s">
        <v>203</v>
      </c>
      <c r="B331" s="1">
        <v>189.99</v>
      </c>
      <c r="C331">
        <v>52280050</v>
      </c>
      <c r="D331" s="1">
        <v>191.51</v>
      </c>
      <c r="E331" s="1">
        <v>193</v>
      </c>
      <c r="F331" s="1">
        <v>189.1</v>
      </c>
    </row>
    <row r="332" spans="1:6" x14ac:dyDescent="0.2">
      <c r="A332" t="s">
        <v>204</v>
      </c>
      <c r="B332" s="1">
        <v>189.98</v>
      </c>
      <c r="C332">
        <v>36326980</v>
      </c>
      <c r="D332" s="1">
        <v>188.82</v>
      </c>
      <c r="E332" s="1">
        <v>190.58</v>
      </c>
      <c r="F332" s="1">
        <v>188.04040000000001</v>
      </c>
    </row>
    <row r="333" spans="1:6" x14ac:dyDescent="0.2">
      <c r="A333" t="s">
        <v>205</v>
      </c>
      <c r="B333" s="1">
        <v>186.88</v>
      </c>
      <c r="C333">
        <v>51005920</v>
      </c>
      <c r="D333" s="1">
        <v>190.98</v>
      </c>
      <c r="E333" s="1">
        <v>191</v>
      </c>
      <c r="F333" s="1">
        <v>186.625</v>
      </c>
    </row>
    <row r="334" spans="1:6" x14ac:dyDescent="0.2">
      <c r="A334" t="s">
        <v>206</v>
      </c>
      <c r="B334" s="1">
        <v>190.9</v>
      </c>
      <c r="C334">
        <v>34648550</v>
      </c>
      <c r="D334" s="1">
        <v>192.26499999999999</v>
      </c>
      <c r="E334" s="1">
        <v>192.82310000000001</v>
      </c>
      <c r="F334" s="1">
        <v>190.27</v>
      </c>
    </row>
    <row r="335" spans="1:6" x14ac:dyDescent="0.2">
      <c r="A335" t="s">
        <v>207</v>
      </c>
      <c r="B335" s="1">
        <v>192.35</v>
      </c>
      <c r="C335">
        <v>42309400</v>
      </c>
      <c r="D335" s="1">
        <v>191.09</v>
      </c>
      <c r="E335" s="1">
        <v>192.73</v>
      </c>
      <c r="F335" s="1">
        <v>190.92009999999999</v>
      </c>
    </row>
    <row r="336" spans="1:6" x14ac:dyDescent="0.2">
      <c r="A336" t="s">
        <v>208</v>
      </c>
      <c r="B336" s="1">
        <v>191.04</v>
      </c>
      <c r="C336">
        <v>44361280</v>
      </c>
      <c r="D336" s="1">
        <v>189.32499999999999</v>
      </c>
      <c r="E336" s="1">
        <v>191.91990000000001</v>
      </c>
      <c r="F336" s="1">
        <v>189.01</v>
      </c>
    </row>
    <row r="337" spans="1:6" x14ac:dyDescent="0.2">
      <c r="A337" t="s">
        <v>209</v>
      </c>
      <c r="B337" s="1">
        <v>189.87</v>
      </c>
      <c r="C337">
        <v>41282930</v>
      </c>
      <c r="D337" s="1">
        <v>189.51</v>
      </c>
      <c r="E337" s="1">
        <v>190.81</v>
      </c>
      <c r="F337" s="1">
        <v>189.18</v>
      </c>
    </row>
    <row r="338" spans="1:6" x14ac:dyDescent="0.2">
      <c r="A338" t="s">
        <v>210</v>
      </c>
      <c r="B338" s="1">
        <v>189.84</v>
      </c>
      <c r="C338">
        <v>52845230</v>
      </c>
      <c r="D338" s="1">
        <v>190.47</v>
      </c>
      <c r="E338" s="1">
        <v>191.095</v>
      </c>
      <c r="F338" s="1">
        <v>189.6601</v>
      </c>
    </row>
    <row r="339" spans="1:6" x14ac:dyDescent="0.2">
      <c r="A339" t="s">
        <v>211</v>
      </c>
      <c r="B339" s="1">
        <v>189.72</v>
      </c>
      <c r="C339">
        <v>70399990</v>
      </c>
      <c r="D339" s="1">
        <v>187.91</v>
      </c>
      <c r="E339" s="1">
        <v>190.65</v>
      </c>
      <c r="F339" s="1">
        <v>187.37</v>
      </c>
    </row>
    <row r="340" spans="1:6" x14ac:dyDescent="0.2">
      <c r="A340" t="s">
        <v>212</v>
      </c>
      <c r="B340" s="1">
        <v>187.43</v>
      </c>
      <c r="C340">
        <v>52393620</v>
      </c>
      <c r="D340" s="1">
        <v>187.51</v>
      </c>
      <c r="E340" s="1">
        <v>188.3</v>
      </c>
      <c r="F340" s="1">
        <v>186.29</v>
      </c>
    </row>
    <row r="341" spans="1:6" x14ac:dyDescent="0.2">
      <c r="A341" t="s">
        <v>213</v>
      </c>
      <c r="B341" s="1">
        <v>186.28</v>
      </c>
      <c r="C341">
        <v>72044810</v>
      </c>
      <c r="D341" s="1">
        <v>185.435</v>
      </c>
      <c r="E341" s="1">
        <v>187.1</v>
      </c>
      <c r="F341" s="1">
        <v>184.62</v>
      </c>
    </row>
    <row r="342" spans="1:6" x14ac:dyDescent="0.2">
      <c r="A342" s="2">
        <v>45570</v>
      </c>
      <c r="B342" s="1">
        <v>183.05</v>
      </c>
      <c r="C342">
        <v>50759500</v>
      </c>
      <c r="D342" s="1">
        <v>184.9</v>
      </c>
      <c r="E342" s="1">
        <v>185.09</v>
      </c>
      <c r="F342" s="1">
        <v>182.13</v>
      </c>
    </row>
    <row r="343" spans="1:6" x14ac:dyDescent="0.2">
      <c r="A343" s="2">
        <v>45540</v>
      </c>
      <c r="B343" s="1">
        <v>184.57</v>
      </c>
      <c r="C343">
        <v>48982970</v>
      </c>
      <c r="D343" s="1">
        <v>182.56</v>
      </c>
      <c r="E343" s="1">
        <v>184.66</v>
      </c>
      <c r="F343" s="1">
        <v>182.11</v>
      </c>
    </row>
    <row r="344" spans="1:6" x14ac:dyDescent="0.2">
      <c r="A344" s="2">
        <v>45509</v>
      </c>
      <c r="B344" s="1">
        <v>182.74</v>
      </c>
      <c r="C344">
        <v>45057090</v>
      </c>
      <c r="D344" s="1">
        <v>182.85</v>
      </c>
      <c r="E344" s="1">
        <v>183.07</v>
      </c>
      <c r="F344" s="1">
        <v>181.45</v>
      </c>
    </row>
    <row r="345" spans="1:6" x14ac:dyDescent="0.2">
      <c r="A345" s="2">
        <v>45478</v>
      </c>
      <c r="B345" s="1">
        <v>182.4</v>
      </c>
      <c r="C345">
        <v>77305770</v>
      </c>
      <c r="D345" s="1">
        <v>183.45</v>
      </c>
      <c r="E345" s="1">
        <v>184.9</v>
      </c>
      <c r="F345" s="1">
        <v>181.32</v>
      </c>
    </row>
    <row r="346" spans="1:6" x14ac:dyDescent="0.2">
      <c r="A346" s="2">
        <v>45448</v>
      </c>
      <c r="B346" s="1">
        <v>181.71</v>
      </c>
      <c r="C346">
        <v>78569670</v>
      </c>
      <c r="D346" s="1">
        <v>182.35400000000001</v>
      </c>
      <c r="E346" s="1">
        <v>184.2</v>
      </c>
      <c r="F346" s="1">
        <v>180.42</v>
      </c>
    </row>
    <row r="347" spans="1:6" x14ac:dyDescent="0.2">
      <c r="A347" s="2">
        <v>45356</v>
      </c>
      <c r="B347" s="1">
        <v>183.38</v>
      </c>
      <c r="C347">
        <v>163224100</v>
      </c>
      <c r="D347" s="1">
        <v>186.64500000000001</v>
      </c>
      <c r="E347" s="1">
        <v>187</v>
      </c>
      <c r="F347" s="1">
        <v>182.66</v>
      </c>
    </row>
    <row r="348" spans="1:6" x14ac:dyDescent="0.2">
      <c r="A348" s="2">
        <v>45327</v>
      </c>
      <c r="B348" s="1">
        <v>173.03</v>
      </c>
      <c r="C348">
        <v>94214920</v>
      </c>
      <c r="D348" s="1">
        <v>172.51</v>
      </c>
      <c r="E348" s="1">
        <v>173.41499999999999</v>
      </c>
      <c r="F348" s="1">
        <v>170.89</v>
      </c>
    </row>
    <row r="349" spans="1:6" x14ac:dyDescent="0.2">
      <c r="A349" s="2">
        <v>45296</v>
      </c>
      <c r="B349" s="1">
        <v>169.3</v>
      </c>
      <c r="C349">
        <v>50383150</v>
      </c>
      <c r="D349" s="1">
        <v>169.58</v>
      </c>
      <c r="E349" s="1">
        <v>172.70500000000001</v>
      </c>
      <c r="F349" s="1">
        <v>169.11</v>
      </c>
    </row>
    <row r="350" spans="1:6" x14ac:dyDescent="0.2">
      <c r="A350" t="s">
        <v>214</v>
      </c>
      <c r="B350" s="1">
        <v>170.33</v>
      </c>
      <c r="C350">
        <v>65934780</v>
      </c>
      <c r="D350" s="1">
        <v>173.33</v>
      </c>
      <c r="E350" s="1">
        <v>174.99</v>
      </c>
      <c r="F350" s="1">
        <v>170</v>
      </c>
    </row>
    <row r="351" spans="1:6" x14ac:dyDescent="0.2">
      <c r="A351" t="s">
        <v>215</v>
      </c>
      <c r="B351" s="1">
        <v>173.5</v>
      </c>
      <c r="C351">
        <v>68169420</v>
      </c>
      <c r="D351" s="1">
        <v>173.37</v>
      </c>
      <c r="E351" s="1">
        <v>176.03</v>
      </c>
      <c r="F351" s="1">
        <v>173.1</v>
      </c>
    </row>
    <row r="352" spans="1:6" x14ac:dyDescent="0.2">
      <c r="A352" t="s">
        <v>216</v>
      </c>
      <c r="B352" s="1">
        <v>169.3</v>
      </c>
      <c r="C352">
        <v>44838350</v>
      </c>
      <c r="D352" s="1">
        <v>169.88</v>
      </c>
      <c r="E352" s="1">
        <v>171.34</v>
      </c>
      <c r="F352" s="1">
        <v>169.18</v>
      </c>
    </row>
    <row r="353" spans="1:6" x14ac:dyDescent="0.2">
      <c r="A353" t="s">
        <v>217</v>
      </c>
      <c r="B353" s="1">
        <v>169.89</v>
      </c>
      <c r="C353">
        <v>50558330</v>
      </c>
      <c r="D353" s="1">
        <v>169.52500000000001</v>
      </c>
      <c r="E353" s="1">
        <v>170.61</v>
      </c>
      <c r="F353" s="1">
        <v>168.15110000000001</v>
      </c>
    </row>
    <row r="354" spans="1:6" x14ac:dyDescent="0.2">
      <c r="A354" t="s">
        <v>218</v>
      </c>
      <c r="B354" s="1">
        <v>169.02</v>
      </c>
      <c r="C354">
        <v>48251840</v>
      </c>
      <c r="D354" s="1">
        <v>166.54</v>
      </c>
      <c r="E354" s="1">
        <v>169.3</v>
      </c>
      <c r="F354" s="1">
        <v>166.21</v>
      </c>
    </row>
    <row r="355" spans="1:6" x14ac:dyDescent="0.2">
      <c r="A355" t="s">
        <v>219</v>
      </c>
      <c r="B355" s="1">
        <v>166.9</v>
      </c>
      <c r="C355">
        <v>49537760</v>
      </c>
      <c r="D355" s="1">
        <v>165.35</v>
      </c>
      <c r="E355" s="1">
        <v>167.05</v>
      </c>
      <c r="F355" s="1">
        <v>164.92</v>
      </c>
    </row>
    <row r="356" spans="1:6" x14ac:dyDescent="0.2">
      <c r="A356" t="s">
        <v>220</v>
      </c>
      <c r="B356" s="1">
        <v>165.84</v>
      </c>
      <c r="C356">
        <v>48116440</v>
      </c>
      <c r="D356" s="1">
        <v>165.51499999999999</v>
      </c>
      <c r="E356" s="1">
        <v>167.26</v>
      </c>
      <c r="F356" s="1">
        <v>164.77</v>
      </c>
    </row>
    <row r="357" spans="1:6" x14ac:dyDescent="0.2">
      <c r="A357" t="s">
        <v>221</v>
      </c>
      <c r="B357" s="1">
        <v>165</v>
      </c>
      <c r="C357">
        <v>68149380</v>
      </c>
      <c r="D357" s="1">
        <v>166.21</v>
      </c>
      <c r="E357" s="1">
        <v>166.4</v>
      </c>
      <c r="F357" s="1">
        <v>164.07499999999999</v>
      </c>
    </row>
    <row r="358" spans="1:6" x14ac:dyDescent="0.2">
      <c r="A358" t="s">
        <v>222</v>
      </c>
      <c r="B358" s="1">
        <v>167.04</v>
      </c>
      <c r="C358">
        <v>43122900</v>
      </c>
      <c r="D358" s="1">
        <v>168.03</v>
      </c>
      <c r="E358" s="1">
        <v>168.64</v>
      </c>
      <c r="F358" s="1">
        <v>166.55</v>
      </c>
    </row>
    <row r="359" spans="1:6" x14ac:dyDescent="0.2">
      <c r="A359" t="s">
        <v>223</v>
      </c>
      <c r="B359" s="1">
        <v>168</v>
      </c>
      <c r="C359">
        <v>50901210</v>
      </c>
      <c r="D359" s="1">
        <v>169.61</v>
      </c>
      <c r="E359" s="1">
        <v>170.65</v>
      </c>
      <c r="F359" s="1">
        <v>168</v>
      </c>
    </row>
    <row r="360" spans="1:6" x14ac:dyDescent="0.2">
      <c r="A360" t="s">
        <v>224</v>
      </c>
      <c r="B360" s="1">
        <v>169.38</v>
      </c>
      <c r="C360">
        <v>73711240</v>
      </c>
      <c r="D360" s="1">
        <v>171.75</v>
      </c>
      <c r="E360" s="1">
        <v>173.76</v>
      </c>
      <c r="F360" s="1">
        <v>168.27</v>
      </c>
    </row>
    <row r="361" spans="1:6" x14ac:dyDescent="0.2">
      <c r="A361" t="s">
        <v>225</v>
      </c>
      <c r="B361" s="1">
        <v>172.69</v>
      </c>
      <c r="C361">
        <v>73531770</v>
      </c>
      <c r="D361" s="1">
        <v>175.36</v>
      </c>
      <c r="E361" s="1">
        <v>176.63</v>
      </c>
      <c r="F361" s="1">
        <v>172.5</v>
      </c>
    </row>
    <row r="362" spans="1:6" x14ac:dyDescent="0.2">
      <c r="A362" s="2">
        <v>45630</v>
      </c>
      <c r="B362" s="1">
        <v>176.55</v>
      </c>
      <c r="C362">
        <v>101670900</v>
      </c>
      <c r="D362" s="1">
        <v>174.26</v>
      </c>
      <c r="E362" s="1">
        <v>178.36</v>
      </c>
      <c r="F362" s="1">
        <v>174.21</v>
      </c>
    </row>
    <row r="363" spans="1:6" x14ac:dyDescent="0.2">
      <c r="A363" s="2">
        <v>45600</v>
      </c>
      <c r="B363" s="1">
        <v>175.04</v>
      </c>
      <c r="C363">
        <v>91070280</v>
      </c>
      <c r="D363" s="1">
        <v>168.34</v>
      </c>
      <c r="E363" s="1">
        <v>175.46</v>
      </c>
      <c r="F363" s="1">
        <v>168.16</v>
      </c>
    </row>
    <row r="364" spans="1:6" x14ac:dyDescent="0.2">
      <c r="A364" s="2">
        <v>45569</v>
      </c>
      <c r="B364" s="1">
        <v>167.78</v>
      </c>
      <c r="C364">
        <v>49709340</v>
      </c>
      <c r="D364" s="1">
        <v>168.8</v>
      </c>
      <c r="E364" s="1">
        <v>169.09</v>
      </c>
      <c r="F364" s="1">
        <v>167.11</v>
      </c>
    </row>
    <row r="365" spans="1:6" x14ac:dyDescent="0.2">
      <c r="A365" s="2">
        <v>45539</v>
      </c>
      <c r="B365" s="1">
        <v>169.67</v>
      </c>
      <c r="C365">
        <v>42451210</v>
      </c>
      <c r="D365" s="1">
        <v>168.7</v>
      </c>
      <c r="E365" s="1">
        <v>170.08</v>
      </c>
      <c r="F365" s="1">
        <v>168.35</v>
      </c>
    </row>
    <row r="366" spans="1:6" x14ac:dyDescent="0.2">
      <c r="A366" s="2">
        <v>45508</v>
      </c>
      <c r="B366" s="1">
        <v>168.45</v>
      </c>
      <c r="C366">
        <v>37425510</v>
      </c>
      <c r="D366" s="1">
        <v>169.03</v>
      </c>
      <c r="E366" s="1">
        <v>169.2</v>
      </c>
      <c r="F366" s="1">
        <v>168.24</v>
      </c>
    </row>
    <row r="367" spans="1:6" x14ac:dyDescent="0.2">
      <c r="A367" s="2">
        <v>45416</v>
      </c>
      <c r="B367" s="1">
        <v>169.58</v>
      </c>
      <c r="C367">
        <v>42104830</v>
      </c>
      <c r="D367" s="1">
        <v>169.59</v>
      </c>
      <c r="E367" s="1">
        <v>170.39</v>
      </c>
      <c r="F367" s="1">
        <v>168.95</v>
      </c>
    </row>
    <row r="368" spans="1:6" x14ac:dyDescent="0.2">
      <c r="A368" s="2">
        <v>45386</v>
      </c>
      <c r="B368" s="1">
        <v>168.82</v>
      </c>
      <c r="C368">
        <v>53704390</v>
      </c>
      <c r="D368" s="1">
        <v>170.29</v>
      </c>
      <c r="E368" s="1">
        <v>171.92</v>
      </c>
      <c r="F368" s="1">
        <v>168.82</v>
      </c>
    </row>
    <row r="369" spans="1:6" x14ac:dyDescent="0.2">
      <c r="A369" s="2">
        <v>45355</v>
      </c>
      <c r="B369" s="1">
        <v>169.65</v>
      </c>
      <c r="C369">
        <v>47691720</v>
      </c>
      <c r="D369" s="1">
        <v>168.79</v>
      </c>
      <c r="E369" s="1">
        <v>170.68</v>
      </c>
      <c r="F369" s="1">
        <v>168.58</v>
      </c>
    </row>
    <row r="370" spans="1:6" x14ac:dyDescent="0.2">
      <c r="A370" s="2">
        <v>45326</v>
      </c>
      <c r="B370" s="1">
        <v>168.84</v>
      </c>
      <c r="C370">
        <v>49329480</v>
      </c>
      <c r="D370" s="1">
        <v>169.08</v>
      </c>
      <c r="E370" s="1">
        <v>169.34</v>
      </c>
      <c r="F370" s="1">
        <v>168.2302</v>
      </c>
    </row>
    <row r="371" spans="1:6" x14ac:dyDescent="0.2">
      <c r="A371" s="2">
        <v>45295</v>
      </c>
      <c r="B371" s="1">
        <v>170.03</v>
      </c>
      <c r="C371">
        <v>46240500</v>
      </c>
      <c r="D371" s="1">
        <v>171.19</v>
      </c>
      <c r="E371" s="1">
        <v>171.25</v>
      </c>
      <c r="F371" s="1">
        <v>169.47499999999999</v>
      </c>
    </row>
    <row r="372" spans="1:6" x14ac:dyDescent="0.2">
      <c r="A372" t="s">
        <v>226</v>
      </c>
      <c r="B372" s="1">
        <v>171.48</v>
      </c>
      <c r="C372">
        <v>65672690</v>
      </c>
      <c r="D372" s="1">
        <v>171.75</v>
      </c>
      <c r="E372" s="1">
        <v>172.23</v>
      </c>
      <c r="F372" s="1">
        <v>170.51</v>
      </c>
    </row>
    <row r="373" spans="1:6" x14ac:dyDescent="0.2">
      <c r="A373" t="s">
        <v>227</v>
      </c>
      <c r="B373" s="1">
        <v>173.31</v>
      </c>
      <c r="C373">
        <v>60273270</v>
      </c>
      <c r="D373" s="1">
        <v>170.41</v>
      </c>
      <c r="E373" s="1">
        <v>173.6</v>
      </c>
      <c r="F373" s="1">
        <v>170.11</v>
      </c>
    </row>
    <row r="374" spans="1:6" x14ac:dyDescent="0.2">
      <c r="A374" t="s">
        <v>228</v>
      </c>
      <c r="B374" s="1">
        <v>169.71</v>
      </c>
      <c r="C374">
        <v>57388450</v>
      </c>
      <c r="D374" s="1">
        <v>170</v>
      </c>
      <c r="E374" s="1">
        <v>171.42</v>
      </c>
      <c r="F374" s="1">
        <v>169.58</v>
      </c>
    </row>
    <row r="375" spans="1:6" x14ac:dyDescent="0.2">
      <c r="A375" t="s">
        <v>229</v>
      </c>
      <c r="B375" s="1">
        <v>170.85</v>
      </c>
      <c r="C375">
        <v>54288330</v>
      </c>
      <c r="D375" s="1">
        <v>170.565</v>
      </c>
      <c r="E375" s="1">
        <v>171.94</v>
      </c>
      <c r="F375" s="1">
        <v>169.45</v>
      </c>
    </row>
    <row r="376" spans="1:6" x14ac:dyDescent="0.2">
      <c r="A376" t="s">
        <v>230</v>
      </c>
      <c r="B376" s="1">
        <v>172.28</v>
      </c>
      <c r="C376">
        <v>71160140</v>
      </c>
      <c r="D376" s="1">
        <v>171.76</v>
      </c>
      <c r="E376" s="1">
        <v>173.05</v>
      </c>
      <c r="F376" s="1">
        <v>170.06</v>
      </c>
    </row>
    <row r="377" spans="1:6" x14ac:dyDescent="0.2">
      <c r="A377" t="s">
        <v>231</v>
      </c>
      <c r="B377" s="1">
        <v>171.37</v>
      </c>
      <c r="C377">
        <v>106181300</v>
      </c>
      <c r="D377" s="1">
        <v>177.05</v>
      </c>
      <c r="E377" s="1">
        <v>177.49</v>
      </c>
      <c r="F377" s="1">
        <v>170.84</v>
      </c>
    </row>
    <row r="378" spans="1:6" x14ac:dyDescent="0.2">
      <c r="A378" t="s">
        <v>232</v>
      </c>
      <c r="B378" s="1">
        <v>178.67</v>
      </c>
      <c r="C378">
        <v>53423100</v>
      </c>
      <c r="D378" s="1">
        <v>175.72</v>
      </c>
      <c r="E378" s="1">
        <v>178.67</v>
      </c>
      <c r="F378" s="1">
        <v>175.09</v>
      </c>
    </row>
    <row r="379" spans="1:6" x14ac:dyDescent="0.2">
      <c r="A379" t="s">
        <v>233</v>
      </c>
      <c r="B379" s="1">
        <v>176.08</v>
      </c>
      <c r="C379">
        <v>55215240</v>
      </c>
      <c r="D379" s="1">
        <v>174.34</v>
      </c>
      <c r="E379" s="1">
        <v>176.60499999999999</v>
      </c>
      <c r="F379" s="1">
        <v>173.03</v>
      </c>
    </row>
    <row r="380" spans="1:6" x14ac:dyDescent="0.2">
      <c r="A380" t="s">
        <v>234</v>
      </c>
      <c r="B380" s="1">
        <v>173.72</v>
      </c>
      <c r="C380">
        <v>75604180</v>
      </c>
      <c r="D380" s="1">
        <v>175.57</v>
      </c>
      <c r="E380" s="1">
        <v>177.71</v>
      </c>
      <c r="F380" s="1">
        <v>173.52</v>
      </c>
    </row>
    <row r="381" spans="1:6" x14ac:dyDescent="0.2">
      <c r="A381" t="s">
        <v>235</v>
      </c>
      <c r="B381" s="1">
        <v>172.62</v>
      </c>
      <c r="C381">
        <v>121752700</v>
      </c>
      <c r="D381" s="1">
        <v>171.17</v>
      </c>
      <c r="E381" s="1">
        <v>172.62</v>
      </c>
      <c r="F381" s="1">
        <v>170.285</v>
      </c>
    </row>
    <row r="382" spans="1:6" x14ac:dyDescent="0.2">
      <c r="A382" t="s">
        <v>236</v>
      </c>
      <c r="B382" s="1">
        <v>173</v>
      </c>
      <c r="C382">
        <v>72913510</v>
      </c>
      <c r="D382" s="1">
        <v>172.91</v>
      </c>
      <c r="E382" s="1">
        <v>174.30779999999999</v>
      </c>
      <c r="F382" s="1">
        <v>172.05</v>
      </c>
    </row>
    <row r="383" spans="1:6" x14ac:dyDescent="0.2">
      <c r="A383" t="s">
        <v>237</v>
      </c>
      <c r="B383" s="1">
        <v>171.13</v>
      </c>
      <c r="C383">
        <v>52488690</v>
      </c>
      <c r="D383" s="1">
        <v>172.77</v>
      </c>
      <c r="E383" s="1">
        <v>173.185</v>
      </c>
      <c r="F383" s="1">
        <v>170.76</v>
      </c>
    </row>
    <row r="384" spans="1:6" x14ac:dyDescent="0.2">
      <c r="A384" s="2">
        <v>45629</v>
      </c>
      <c r="B384" s="1">
        <v>173.23</v>
      </c>
      <c r="C384">
        <v>59825370</v>
      </c>
      <c r="D384" s="1">
        <v>173.15</v>
      </c>
      <c r="E384" s="1">
        <v>174.03</v>
      </c>
      <c r="F384" s="1">
        <v>171.01</v>
      </c>
    </row>
    <row r="385" spans="1:6" x14ac:dyDescent="0.2">
      <c r="A385" s="2">
        <v>45599</v>
      </c>
      <c r="B385" s="1">
        <v>172.75</v>
      </c>
      <c r="C385">
        <v>60139470</v>
      </c>
      <c r="D385" s="1">
        <v>172.94</v>
      </c>
      <c r="E385" s="1">
        <v>174.38</v>
      </c>
      <c r="F385" s="1">
        <v>172.05</v>
      </c>
    </row>
    <row r="386" spans="1:6" x14ac:dyDescent="0.2">
      <c r="A386" s="2">
        <v>45507</v>
      </c>
      <c r="B386" s="1">
        <v>170.73</v>
      </c>
      <c r="C386">
        <v>76267040</v>
      </c>
      <c r="D386" s="1">
        <v>169</v>
      </c>
      <c r="E386" s="1">
        <v>173.7</v>
      </c>
      <c r="F386" s="1">
        <v>168.94</v>
      </c>
    </row>
    <row r="387" spans="1:6" x14ac:dyDescent="0.2">
      <c r="A387" s="2">
        <v>45476</v>
      </c>
      <c r="B387" s="1">
        <v>169</v>
      </c>
      <c r="C387">
        <v>71765060</v>
      </c>
      <c r="D387" s="1">
        <v>169.15</v>
      </c>
      <c r="E387" s="1">
        <v>170.73</v>
      </c>
      <c r="F387" s="1">
        <v>168.49</v>
      </c>
    </row>
    <row r="388" spans="1:6" x14ac:dyDescent="0.2">
      <c r="A388" s="2">
        <v>45446</v>
      </c>
      <c r="B388" s="1">
        <v>169.12</v>
      </c>
      <c r="C388">
        <v>68587710</v>
      </c>
      <c r="D388" s="1">
        <v>171.06</v>
      </c>
      <c r="E388" s="1">
        <v>171.24</v>
      </c>
      <c r="F388" s="1">
        <v>168.68</v>
      </c>
    </row>
    <row r="389" spans="1:6" x14ac:dyDescent="0.2">
      <c r="A389" s="2">
        <v>45415</v>
      </c>
      <c r="B389" s="1">
        <v>170.12</v>
      </c>
      <c r="C389">
        <v>95132360</v>
      </c>
      <c r="D389" s="1">
        <v>170.76</v>
      </c>
      <c r="E389" s="1">
        <v>172.04</v>
      </c>
      <c r="F389" s="1">
        <v>169.62</v>
      </c>
    </row>
    <row r="390" spans="1:6" x14ac:dyDescent="0.2">
      <c r="A390" s="2">
        <v>45385</v>
      </c>
      <c r="B390" s="1">
        <v>175.1</v>
      </c>
      <c r="C390">
        <v>81510100</v>
      </c>
      <c r="D390" s="1">
        <v>176.15</v>
      </c>
      <c r="E390" s="1">
        <v>176.9</v>
      </c>
      <c r="F390" s="1">
        <v>173.79</v>
      </c>
    </row>
    <row r="391" spans="1:6" x14ac:dyDescent="0.2">
      <c r="A391" s="2">
        <v>45294</v>
      </c>
      <c r="B391" s="1">
        <v>179.66</v>
      </c>
      <c r="C391">
        <v>73563080</v>
      </c>
      <c r="D391" s="1">
        <v>179.55</v>
      </c>
      <c r="E391" s="1">
        <v>180.53</v>
      </c>
      <c r="F391" s="1">
        <v>177.38</v>
      </c>
    </row>
    <row r="392" spans="1:6" x14ac:dyDescent="0.2">
      <c r="A392" t="s">
        <v>238</v>
      </c>
      <c r="B392" s="1">
        <v>180.75</v>
      </c>
      <c r="C392">
        <v>136682600</v>
      </c>
      <c r="D392" s="1">
        <v>181.27</v>
      </c>
      <c r="E392" s="1">
        <v>182.57</v>
      </c>
      <c r="F392" s="1">
        <v>179.53</v>
      </c>
    </row>
    <row r="393" spans="1:6" x14ac:dyDescent="0.2">
      <c r="A393" t="s">
        <v>239</v>
      </c>
      <c r="B393" s="1">
        <v>181.42</v>
      </c>
      <c r="C393">
        <v>48953940</v>
      </c>
      <c r="D393" s="1">
        <v>182.51</v>
      </c>
      <c r="E393" s="1">
        <v>183.12</v>
      </c>
      <c r="F393" s="1">
        <v>180.13</v>
      </c>
    </row>
    <row r="394" spans="1:6" x14ac:dyDescent="0.2">
      <c r="A394" t="s">
        <v>240</v>
      </c>
      <c r="B394" s="1">
        <v>182.63</v>
      </c>
      <c r="C394">
        <v>54318850</v>
      </c>
      <c r="D394" s="1">
        <v>181.1</v>
      </c>
      <c r="E394" s="1">
        <v>183.92250000000001</v>
      </c>
      <c r="F394" s="1">
        <v>179.56</v>
      </c>
    </row>
    <row r="395" spans="1:6" x14ac:dyDescent="0.2">
      <c r="A395" t="s">
        <v>241</v>
      </c>
      <c r="B395" s="1">
        <v>181.16</v>
      </c>
      <c r="C395">
        <v>40867420</v>
      </c>
      <c r="D395" s="1">
        <v>182.24</v>
      </c>
      <c r="E395" s="1">
        <v>182.76</v>
      </c>
      <c r="F395" s="1">
        <v>180.65</v>
      </c>
    </row>
    <row r="396" spans="1:6" x14ac:dyDescent="0.2">
      <c r="A396" t="s">
        <v>242</v>
      </c>
      <c r="B396" s="1">
        <v>182.52</v>
      </c>
      <c r="C396">
        <v>45119680</v>
      </c>
      <c r="D396" s="1">
        <v>185.01</v>
      </c>
      <c r="E396" s="1">
        <v>185.04</v>
      </c>
      <c r="F396" s="1">
        <v>182.23</v>
      </c>
    </row>
    <row r="397" spans="1:6" x14ac:dyDescent="0.2">
      <c r="A397" t="s">
        <v>243</v>
      </c>
      <c r="B397" s="1">
        <v>184.37</v>
      </c>
      <c r="C397">
        <v>52292210</v>
      </c>
      <c r="D397" s="1">
        <v>183.48</v>
      </c>
      <c r="E397" s="1">
        <v>184.95500000000001</v>
      </c>
      <c r="F397" s="1">
        <v>182.46</v>
      </c>
    </row>
    <row r="398" spans="1:6" x14ac:dyDescent="0.2">
      <c r="A398" t="s">
        <v>244</v>
      </c>
      <c r="B398" s="1">
        <v>182.32</v>
      </c>
      <c r="C398">
        <v>41529670</v>
      </c>
      <c r="D398" s="1">
        <v>181.94</v>
      </c>
      <c r="E398" s="1">
        <v>182.8888</v>
      </c>
      <c r="F398" s="1">
        <v>180.66</v>
      </c>
    </row>
    <row r="399" spans="1:6" x14ac:dyDescent="0.2">
      <c r="A399" t="s">
        <v>245</v>
      </c>
      <c r="B399" s="1">
        <v>181.56</v>
      </c>
      <c r="C399">
        <v>53665550</v>
      </c>
      <c r="D399" s="1">
        <v>181.79</v>
      </c>
      <c r="E399" s="1">
        <v>182.43</v>
      </c>
      <c r="F399" s="1">
        <v>180</v>
      </c>
    </row>
    <row r="400" spans="1:6" x14ac:dyDescent="0.2">
      <c r="A400" t="s">
        <v>246</v>
      </c>
      <c r="B400" s="1">
        <v>182.31</v>
      </c>
      <c r="C400">
        <v>49752470</v>
      </c>
      <c r="D400" s="1">
        <v>183.42</v>
      </c>
      <c r="E400" s="1">
        <v>184.85</v>
      </c>
      <c r="F400" s="1">
        <v>181.66499999999999</v>
      </c>
    </row>
    <row r="401" spans="1:6" x14ac:dyDescent="0.2">
      <c r="A401" t="s">
        <v>247</v>
      </c>
      <c r="B401" s="1">
        <v>183.86</v>
      </c>
      <c r="C401">
        <v>65434500</v>
      </c>
      <c r="D401" s="1">
        <v>183.55</v>
      </c>
      <c r="E401" s="1">
        <v>184.49</v>
      </c>
      <c r="F401" s="1">
        <v>181.35</v>
      </c>
    </row>
    <row r="402" spans="1:6" x14ac:dyDescent="0.2">
      <c r="A402" t="s">
        <v>248</v>
      </c>
      <c r="B402" s="1">
        <v>184.15</v>
      </c>
      <c r="C402">
        <v>54630520</v>
      </c>
      <c r="D402" s="1">
        <v>185.32</v>
      </c>
      <c r="E402" s="1">
        <v>185.53</v>
      </c>
      <c r="F402" s="1">
        <v>182.44</v>
      </c>
    </row>
    <row r="403" spans="1:6" x14ac:dyDescent="0.2">
      <c r="A403" t="s">
        <v>249</v>
      </c>
      <c r="B403" s="1">
        <v>185.04</v>
      </c>
      <c r="C403">
        <v>56529530</v>
      </c>
      <c r="D403" s="1">
        <v>185.77</v>
      </c>
      <c r="E403" s="1">
        <v>186.21</v>
      </c>
      <c r="F403" s="1">
        <v>183.5128</v>
      </c>
    </row>
    <row r="404" spans="1:6" x14ac:dyDescent="0.2">
      <c r="A404" s="2">
        <v>45628</v>
      </c>
      <c r="B404" s="1">
        <v>187.15</v>
      </c>
      <c r="C404">
        <v>41781930</v>
      </c>
      <c r="D404" s="1">
        <v>188.41499999999999</v>
      </c>
      <c r="E404" s="1">
        <v>188.67</v>
      </c>
      <c r="F404" s="1">
        <v>186.79</v>
      </c>
    </row>
    <row r="405" spans="1:6" x14ac:dyDescent="0.2">
      <c r="A405" s="2">
        <v>45537</v>
      </c>
      <c r="B405" s="1">
        <v>188.85</v>
      </c>
      <c r="C405">
        <v>45155220</v>
      </c>
      <c r="D405" s="1">
        <v>188.65</v>
      </c>
      <c r="E405" s="1">
        <v>189.99</v>
      </c>
      <c r="F405" s="1">
        <v>188</v>
      </c>
    </row>
    <row r="406" spans="1:6" x14ac:dyDescent="0.2">
      <c r="A406" s="2">
        <v>45506</v>
      </c>
      <c r="B406" s="1">
        <v>188.32</v>
      </c>
      <c r="C406">
        <v>40962050</v>
      </c>
      <c r="D406" s="1">
        <v>189.38499999999999</v>
      </c>
      <c r="E406" s="1">
        <v>189.535</v>
      </c>
      <c r="F406" s="1">
        <v>187.35</v>
      </c>
    </row>
    <row r="407" spans="1:6" x14ac:dyDescent="0.2">
      <c r="A407" s="2">
        <v>45475</v>
      </c>
      <c r="B407" s="1">
        <v>189.41</v>
      </c>
      <c r="C407">
        <v>53438960</v>
      </c>
      <c r="D407" s="1">
        <v>190.64</v>
      </c>
      <c r="E407" s="1">
        <v>191.05</v>
      </c>
      <c r="F407" s="1">
        <v>188.61</v>
      </c>
    </row>
    <row r="408" spans="1:6" x14ac:dyDescent="0.2">
      <c r="A408" s="2">
        <v>45445</v>
      </c>
      <c r="B408" s="1">
        <v>189.3</v>
      </c>
      <c r="C408">
        <v>43490760</v>
      </c>
      <c r="D408" s="1">
        <v>186.86</v>
      </c>
      <c r="E408" s="1">
        <v>189.31</v>
      </c>
      <c r="F408" s="1">
        <v>186.76949999999999</v>
      </c>
    </row>
    <row r="409" spans="1:6" x14ac:dyDescent="0.2">
      <c r="A409" s="2">
        <v>45414</v>
      </c>
      <c r="B409" s="1">
        <v>187.68</v>
      </c>
      <c r="C409">
        <v>69668820</v>
      </c>
      <c r="D409" s="1">
        <v>188.15</v>
      </c>
      <c r="E409" s="1">
        <v>189.25</v>
      </c>
      <c r="F409" s="1">
        <v>185.84</v>
      </c>
    </row>
    <row r="410" spans="1:6" x14ac:dyDescent="0.2">
      <c r="A410" s="2">
        <v>45324</v>
      </c>
      <c r="B410" s="1">
        <v>185.85</v>
      </c>
      <c r="C410">
        <v>102551700</v>
      </c>
      <c r="D410" s="1">
        <v>179.86</v>
      </c>
      <c r="E410" s="1">
        <v>187.33</v>
      </c>
      <c r="F410" s="1">
        <v>179.25</v>
      </c>
    </row>
    <row r="411" spans="1:6" x14ac:dyDescent="0.2">
      <c r="A411" s="2">
        <v>45293</v>
      </c>
      <c r="B411" s="1">
        <v>186.86</v>
      </c>
      <c r="C411">
        <v>64885410</v>
      </c>
      <c r="D411" s="1">
        <v>183.98500000000001</v>
      </c>
      <c r="E411" s="1">
        <v>186.95</v>
      </c>
      <c r="F411" s="1">
        <v>183.82</v>
      </c>
    </row>
    <row r="412" spans="1:6" x14ac:dyDescent="0.2">
      <c r="A412" t="s">
        <v>250</v>
      </c>
      <c r="B412" s="1">
        <v>184.4</v>
      </c>
      <c r="C412">
        <v>55467800</v>
      </c>
      <c r="D412" s="1">
        <v>187.04</v>
      </c>
      <c r="E412" s="1">
        <v>187.095</v>
      </c>
      <c r="F412" s="1">
        <v>184.35</v>
      </c>
    </row>
    <row r="413" spans="1:6" x14ac:dyDescent="0.2">
      <c r="A413" t="s">
        <v>251</v>
      </c>
      <c r="B413" s="1">
        <v>188.04</v>
      </c>
      <c r="C413">
        <v>55859370</v>
      </c>
      <c r="D413" s="1">
        <v>190.94</v>
      </c>
      <c r="E413" s="1">
        <v>191.8</v>
      </c>
      <c r="F413" s="1">
        <v>187.47</v>
      </c>
    </row>
    <row r="414" spans="1:6" x14ac:dyDescent="0.2">
      <c r="A414" t="s">
        <v>252</v>
      </c>
      <c r="B414" s="1">
        <v>191.73</v>
      </c>
      <c r="C414">
        <v>47145620</v>
      </c>
      <c r="D414" s="1">
        <v>192.01</v>
      </c>
      <c r="E414" s="1">
        <v>192.2</v>
      </c>
      <c r="F414" s="1">
        <v>189.58</v>
      </c>
    </row>
    <row r="415" spans="1:6" x14ac:dyDescent="0.2">
      <c r="A415" t="s">
        <v>253</v>
      </c>
      <c r="B415" s="1">
        <v>192.42</v>
      </c>
      <c r="C415">
        <v>44594010</v>
      </c>
      <c r="D415" s="1">
        <v>194.27</v>
      </c>
      <c r="E415" s="1">
        <v>194.76</v>
      </c>
      <c r="F415" s="1">
        <v>191.94</v>
      </c>
    </row>
    <row r="416" spans="1:6" x14ac:dyDescent="0.2">
      <c r="A416" t="s">
        <v>254</v>
      </c>
      <c r="B416" s="1">
        <v>194.17</v>
      </c>
      <c r="C416">
        <v>54822130</v>
      </c>
      <c r="D416" s="1">
        <v>195.22</v>
      </c>
      <c r="E416" s="1">
        <v>196.26750000000001</v>
      </c>
      <c r="F416" s="1">
        <v>193.11250000000001</v>
      </c>
    </row>
    <row r="417" spans="1:6" x14ac:dyDescent="0.2">
      <c r="A417" t="s">
        <v>255</v>
      </c>
      <c r="B417" s="1">
        <v>194.5</v>
      </c>
      <c r="C417">
        <v>53631320</v>
      </c>
      <c r="D417" s="1">
        <v>195.42</v>
      </c>
      <c r="E417" s="1">
        <v>196.38</v>
      </c>
      <c r="F417" s="1">
        <v>194.34</v>
      </c>
    </row>
    <row r="418" spans="1:6" x14ac:dyDescent="0.2">
      <c r="A418" t="s">
        <v>256</v>
      </c>
      <c r="B418" s="1">
        <v>195.18</v>
      </c>
      <c r="C418">
        <v>42355590</v>
      </c>
      <c r="D418" s="1">
        <v>195.02</v>
      </c>
      <c r="E418" s="1">
        <v>195.75</v>
      </c>
      <c r="F418" s="1">
        <v>193.82990000000001</v>
      </c>
    </row>
    <row r="419" spans="1:6" x14ac:dyDescent="0.2">
      <c r="A419" t="s">
        <v>257</v>
      </c>
      <c r="B419" s="1">
        <v>193.89</v>
      </c>
      <c r="C419">
        <v>60133850</v>
      </c>
      <c r="D419" s="1">
        <v>192.3</v>
      </c>
      <c r="E419" s="1">
        <v>195.33</v>
      </c>
      <c r="F419" s="1">
        <v>192.26</v>
      </c>
    </row>
    <row r="420" spans="1:6" x14ac:dyDescent="0.2">
      <c r="A420" t="s">
        <v>258</v>
      </c>
      <c r="B420" s="1">
        <v>191.56</v>
      </c>
      <c r="C420">
        <v>68902990</v>
      </c>
      <c r="D420" s="1">
        <v>189.33</v>
      </c>
      <c r="E420" s="1">
        <v>191.95</v>
      </c>
      <c r="F420" s="1">
        <v>188.82</v>
      </c>
    </row>
    <row r="421" spans="1:6" x14ac:dyDescent="0.2">
      <c r="A421" t="s">
        <v>259</v>
      </c>
      <c r="B421" s="1">
        <v>188.63</v>
      </c>
      <c r="C421">
        <v>78005750</v>
      </c>
      <c r="D421" s="1">
        <v>186.09</v>
      </c>
      <c r="E421" s="1">
        <v>189.14</v>
      </c>
      <c r="F421" s="1">
        <v>185.83</v>
      </c>
    </row>
    <row r="422" spans="1:6" x14ac:dyDescent="0.2">
      <c r="A422" t="s">
        <v>260</v>
      </c>
      <c r="B422" s="1">
        <v>182.68</v>
      </c>
      <c r="C422">
        <v>47317430</v>
      </c>
      <c r="D422" s="1">
        <v>181.27</v>
      </c>
      <c r="E422" s="1">
        <v>182.93</v>
      </c>
      <c r="F422" s="1">
        <v>180.3</v>
      </c>
    </row>
    <row r="423" spans="1:6" x14ac:dyDescent="0.2">
      <c r="A423" t="s">
        <v>261</v>
      </c>
      <c r="B423" s="1">
        <v>183.63</v>
      </c>
      <c r="C423">
        <v>65603040</v>
      </c>
      <c r="D423" s="1">
        <v>182.16</v>
      </c>
      <c r="E423" s="1">
        <v>184.26</v>
      </c>
      <c r="F423" s="1">
        <v>180.934</v>
      </c>
    </row>
    <row r="424" spans="1:6" x14ac:dyDescent="0.2">
      <c r="A424" s="2">
        <v>45627</v>
      </c>
      <c r="B424" s="1">
        <v>185.92</v>
      </c>
      <c r="C424">
        <v>40477780</v>
      </c>
      <c r="D424" s="1">
        <v>186.06</v>
      </c>
      <c r="E424" s="1">
        <v>186.74</v>
      </c>
      <c r="F424" s="1">
        <v>185.19</v>
      </c>
    </row>
    <row r="425" spans="1:6" x14ac:dyDescent="0.2">
      <c r="A425" s="2">
        <v>45597</v>
      </c>
      <c r="B425" s="1">
        <v>185.59</v>
      </c>
      <c r="C425">
        <v>49128410</v>
      </c>
      <c r="D425" s="1">
        <v>186.54</v>
      </c>
      <c r="E425" s="1">
        <v>187.05</v>
      </c>
      <c r="F425" s="1">
        <v>183.62</v>
      </c>
    </row>
    <row r="426" spans="1:6" x14ac:dyDescent="0.2">
      <c r="A426" s="2">
        <v>45566</v>
      </c>
      <c r="B426" s="1">
        <v>186.19</v>
      </c>
      <c r="C426">
        <v>46792910</v>
      </c>
      <c r="D426" s="1">
        <v>184.35</v>
      </c>
      <c r="E426" s="1">
        <v>186.4</v>
      </c>
      <c r="F426" s="1">
        <v>183.92</v>
      </c>
    </row>
    <row r="427" spans="1:6" x14ac:dyDescent="0.2">
      <c r="A427" s="2">
        <v>45536</v>
      </c>
      <c r="B427" s="1">
        <v>185.14</v>
      </c>
      <c r="C427">
        <v>42841810</v>
      </c>
      <c r="D427" s="1">
        <v>183.92</v>
      </c>
      <c r="E427" s="1">
        <v>185.15</v>
      </c>
      <c r="F427" s="1">
        <v>182.73</v>
      </c>
    </row>
    <row r="428" spans="1:6" x14ac:dyDescent="0.2">
      <c r="A428" s="2">
        <v>45505</v>
      </c>
      <c r="B428" s="1">
        <v>185.56</v>
      </c>
      <c r="C428">
        <v>59144470</v>
      </c>
      <c r="D428" s="1">
        <v>182.08500000000001</v>
      </c>
      <c r="E428" s="1">
        <v>185.6</v>
      </c>
      <c r="F428" s="1">
        <v>181.5</v>
      </c>
    </row>
    <row r="429" spans="1:6" x14ac:dyDescent="0.2">
      <c r="A429" s="2">
        <v>45413</v>
      </c>
      <c r="B429" s="1">
        <v>181.18</v>
      </c>
      <c r="C429">
        <v>62379660</v>
      </c>
      <c r="D429" s="1">
        <v>181.99</v>
      </c>
      <c r="E429" s="1">
        <v>182.76</v>
      </c>
      <c r="F429" s="1">
        <v>180.17</v>
      </c>
    </row>
    <row r="430" spans="1:6" x14ac:dyDescent="0.2">
      <c r="A430" s="2">
        <v>45383</v>
      </c>
      <c r="B430" s="1">
        <v>181.91</v>
      </c>
      <c r="C430">
        <v>71983570</v>
      </c>
      <c r="D430" s="1">
        <v>182.15</v>
      </c>
      <c r="E430" s="1">
        <v>183.0872</v>
      </c>
      <c r="F430" s="1">
        <v>180.88</v>
      </c>
    </row>
    <row r="431" spans="1:6" x14ac:dyDescent="0.2">
      <c r="A431" s="2">
        <v>45352</v>
      </c>
      <c r="B431" s="1">
        <v>184.25</v>
      </c>
      <c r="C431">
        <v>58414460</v>
      </c>
      <c r="D431" s="1">
        <v>184.22</v>
      </c>
      <c r="E431" s="1">
        <v>185.88</v>
      </c>
      <c r="F431" s="1">
        <v>183.43</v>
      </c>
    </row>
    <row r="432" spans="1:6" x14ac:dyDescent="0.2">
      <c r="A432" s="2">
        <v>45323</v>
      </c>
      <c r="B432" s="1">
        <v>185.64</v>
      </c>
      <c r="C432">
        <v>82488670</v>
      </c>
      <c r="D432" s="1">
        <v>187.15</v>
      </c>
      <c r="E432" s="1">
        <v>188.44</v>
      </c>
      <c r="F432" s="1">
        <v>183.88499999999999</v>
      </c>
    </row>
    <row r="433" spans="1:6" x14ac:dyDescent="0.2">
      <c r="A433" t="s">
        <v>262</v>
      </c>
      <c r="B433" s="1">
        <v>192.53</v>
      </c>
      <c r="C433">
        <v>42672150</v>
      </c>
      <c r="D433" s="1">
        <v>193.9</v>
      </c>
      <c r="E433" s="1">
        <v>194.4</v>
      </c>
      <c r="F433" s="1">
        <v>191.72499999999999</v>
      </c>
    </row>
    <row r="434" spans="1:6" x14ac:dyDescent="0.2">
      <c r="A434" t="s">
        <v>263</v>
      </c>
      <c r="B434" s="1">
        <v>193.58</v>
      </c>
      <c r="C434">
        <v>34049900</v>
      </c>
      <c r="D434" s="1">
        <v>194.14</v>
      </c>
      <c r="E434" s="1">
        <v>194.66</v>
      </c>
      <c r="F434" s="1">
        <v>193.17</v>
      </c>
    </row>
    <row r="435" spans="1:6" x14ac:dyDescent="0.2">
      <c r="A435" t="s">
        <v>264</v>
      </c>
      <c r="B435" s="1">
        <v>193.15</v>
      </c>
      <c r="C435">
        <v>48087680</v>
      </c>
      <c r="D435" s="1">
        <v>192.49</v>
      </c>
      <c r="E435" s="1">
        <v>193.5</v>
      </c>
      <c r="F435" s="1">
        <v>191.09</v>
      </c>
    </row>
    <row r="436" spans="1:6" x14ac:dyDescent="0.2">
      <c r="A436" t="s">
        <v>265</v>
      </c>
      <c r="B436" s="1">
        <v>193.05</v>
      </c>
      <c r="C436">
        <v>28919310</v>
      </c>
      <c r="D436" s="1">
        <v>193.61</v>
      </c>
      <c r="E436" s="1">
        <v>193.89</v>
      </c>
      <c r="F436" s="1">
        <v>192.83</v>
      </c>
    </row>
    <row r="437" spans="1:6" x14ac:dyDescent="0.2">
      <c r="A437" t="s">
        <v>266</v>
      </c>
      <c r="B437" s="1">
        <v>193.6</v>
      </c>
      <c r="C437">
        <v>37149570</v>
      </c>
      <c r="D437" s="1">
        <v>195.18</v>
      </c>
      <c r="E437" s="1">
        <v>195.41</v>
      </c>
      <c r="F437" s="1">
        <v>192.97</v>
      </c>
    </row>
    <row r="438" spans="1:6" x14ac:dyDescent="0.2">
      <c r="A438" t="s">
        <v>267</v>
      </c>
      <c r="B438" s="1">
        <v>194.68</v>
      </c>
      <c r="C438">
        <v>46482550</v>
      </c>
      <c r="D438" s="1">
        <v>196.1</v>
      </c>
      <c r="E438" s="1">
        <v>197.08</v>
      </c>
      <c r="F438" s="1">
        <v>193.5</v>
      </c>
    </row>
    <row r="439" spans="1:6" x14ac:dyDescent="0.2">
      <c r="A439" t="s">
        <v>268</v>
      </c>
      <c r="B439" s="1">
        <v>194.83</v>
      </c>
      <c r="C439">
        <v>52242820</v>
      </c>
      <c r="D439" s="1">
        <v>196.9</v>
      </c>
      <c r="E439" s="1">
        <v>197.68</v>
      </c>
      <c r="F439" s="1">
        <v>194.83</v>
      </c>
    </row>
    <row r="440" spans="1:6" x14ac:dyDescent="0.2">
      <c r="A440" t="s">
        <v>269</v>
      </c>
      <c r="B440" s="1">
        <v>196.94</v>
      </c>
      <c r="C440">
        <v>40714050</v>
      </c>
      <c r="D440" s="1">
        <v>196.16</v>
      </c>
      <c r="E440" s="1">
        <v>196.95</v>
      </c>
      <c r="F440" s="1">
        <v>195.89</v>
      </c>
    </row>
    <row r="441" spans="1:6" x14ac:dyDescent="0.2">
      <c r="A441" t="s">
        <v>270</v>
      </c>
      <c r="B441" s="1">
        <v>195.89</v>
      </c>
      <c r="C441">
        <v>55751860</v>
      </c>
      <c r="D441" s="1">
        <v>196.09</v>
      </c>
      <c r="E441" s="1">
        <v>196.63</v>
      </c>
      <c r="F441" s="1">
        <v>194.39</v>
      </c>
    </row>
    <row r="442" spans="1:6" x14ac:dyDescent="0.2">
      <c r="A442" t="s">
        <v>271</v>
      </c>
      <c r="B442" s="1">
        <v>197.57</v>
      </c>
      <c r="C442">
        <v>128538400</v>
      </c>
      <c r="D442" s="1">
        <v>197.53</v>
      </c>
      <c r="E442" s="1">
        <v>198.3999</v>
      </c>
      <c r="F442" s="1">
        <v>197</v>
      </c>
    </row>
    <row r="443" spans="1:6" x14ac:dyDescent="0.2">
      <c r="A443" t="s">
        <v>272</v>
      </c>
      <c r="B443" s="1">
        <v>198.11</v>
      </c>
      <c r="C443">
        <v>66831570</v>
      </c>
      <c r="D443" s="1">
        <v>198.02</v>
      </c>
      <c r="E443" s="1">
        <v>199.62</v>
      </c>
      <c r="F443" s="1">
        <v>196.16</v>
      </c>
    </row>
    <row r="444" spans="1:6" x14ac:dyDescent="0.2">
      <c r="A444" t="s">
        <v>273</v>
      </c>
      <c r="B444" s="1">
        <v>197.96</v>
      </c>
      <c r="C444">
        <v>70404180</v>
      </c>
      <c r="D444" s="1">
        <v>195.09</v>
      </c>
      <c r="E444" s="1">
        <v>198</v>
      </c>
      <c r="F444" s="1">
        <v>194.85</v>
      </c>
    </row>
    <row r="445" spans="1:6" x14ac:dyDescent="0.2">
      <c r="A445" s="2">
        <v>45272</v>
      </c>
      <c r="B445" s="1">
        <v>194.71</v>
      </c>
      <c r="C445">
        <v>52696900</v>
      </c>
      <c r="D445" s="1">
        <v>193.08</v>
      </c>
      <c r="E445" s="1">
        <v>194.72</v>
      </c>
      <c r="F445" s="1">
        <v>191.721</v>
      </c>
    </row>
    <row r="446" spans="1:6" x14ac:dyDescent="0.2">
      <c r="A446" s="2">
        <v>45242</v>
      </c>
      <c r="B446" s="1">
        <v>193.18</v>
      </c>
      <c r="C446">
        <v>60943700</v>
      </c>
      <c r="D446" s="1">
        <v>193.11</v>
      </c>
      <c r="E446" s="1">
        <v>193.49</v>
      </c>
      <c r="F446" s="1">
        <v>191.42</v>
      </c>
    </row>
    <row r="447" spans="1:6" x14ac:dyDescent="0.2">
      <c r="A447" s="2">
        <v>45150</v>
      </c>
      <c r="B447" s="1">
        <v>195.71</v>
      </c>
      <c r="C447">
        <v>53406360</v>
      </c>
      <c r="D447" s="1">
        <v>194.2</v>
      </c>
      <c r="E447" s="1">
        <v>195.99</v>
      </c>
      <c r="F447" s="1">
        <v>193.67</v>
      </c>
    </row>
    <row r="448" spans="1:6" x14ac:dyDescent="0.2">
      <c r="A448" s="2">
        <v>45119</v>
      </c>
      <c r="B448" s="1">
        <v>194.27</v>
      </c>
      <c r="C448">
        <v>47477660</v>
      </c>
      <c r="D448" s="1">
        <v>193.63</v>
      </c>
      <c r="E448" s="1">
        <v>195</v>
      </c>
      <c r="F448" s="1">
        <v>193.59</v>
      </c>
    </row>
    <row r="449" spans="1:6" x14ac:dyDescent="0.2">
      <c r="A449" s="2">
        <v>45089</v>
      </c>
      <c r="B449" s="1">
        <v>192.32</v>
      </c>
      <c r="C449">
        <v>41089740</v>
      </c>
      <c r="D449" s="1">
        <v>194.45</v>
      </c>
      <c r="E449" s="1">
        <v>194.76</v>
      </c>
      <c r="F449" s="1">
        <v>192.11</v>
      </c>
    </row>
    <row r="450" spans="1:6" x14ac:dyDescent="0.2">
      <c r="A450" s="2">
        <v>45058</v>
      </c>
      <c r="B450" s="1">
        <v>193.42</v>
      </c>
      <c r="C450">
        <v>66628400</v>
      </c>
      <c r="D450" s="1">
        <v>190.21</v>
      </c>
      <c r="E450" s="1">
        <v>194.4</v>
      </c>
      <c r="F450" s="1">
        <v>190.18</v>
      </c>
    </row>
    <row r="451" spans="1:6" x14ac:dyDescent="0.2">
      <c r="A451" s="2">
        <v>45028</v>
      </c>
      <c r="B451" s="1">
        <v>189.43</v>
      </c>
      <c r="C451">
        <v>43389520</v>
      </c>
      <c r="D451" s="1">
        <v>189.98</v>
      </c>
      <c r="E451" s="1">
        <v>190.05</v>
      </c>
      <c r="F451" s="1">
        <v>187.4511</v>
      </c>
    </row>
    <row r="452" spans="1:6" x14ac:dyDescent="0.2">
      <c r="A452" s="2">
        <v>44938</v>
      </c>
      <c r="B452" s="1">
        <v>191.24</v>
      </c>
      <c r="C452">
        <v>45704820</v>
      </c>
      <c r="D452" s="1">
        <v>190.33</v>
      </c>
      <c r="E452" s="1">
        <v>191.56</v>
      </c>
      <c r="F452" s="1">
        <v>189.23</v>
      </c>
    </row>
    <row r="453" spans="1:6" x14ac:dyDescent="0.2">
      <c r="A453" t="s">
        <v>274</v>
      </c>
      <c r="B453" s="1">
        <v>189.95</v>
      </c>
      <c r="C453">
        <v>48794370</v>
      </c>
      <c r="D453" s="1">
        <v>189.84</v>
      </c>
      <c r="E453" s="1">
        <v>190.32</v>
      </c>
      <c r="F453" s="1">
        <v>188.19</v>
      </c>
    </row>
    <row r="454" spans="1:6" x14ac:dyDescent="0.2">
      <c r="A454" t="s">
        <v>275</v>
      </c>
      <c r="B454" s="1">
        <v>189.37</v>
      </c>
      <c r="C454">
        <v>43014220</v>
      </c>
      <c r="D454" s="1">
        <v>190.9</v>
      </c>
      <c r="E454" s="1">
        <v>192.09</v>
      </c>
      <c r="F454" s="1">
        <v>188.97</v>
      </c>
    </row>
    <row r="455" spans="1:6" x14ac:dyDescent="0.2">
      <c r="A455" t="s">
        <v>276</v>
      </c>
      <c r="B455" s="1">
        <v>190.4</v>
      </c>
      <c r="C455">
        <v>38415420</v>
      </c>
      <c r="D455" s="1">
        <v>189.78</v>
      </c>
      <c r="E455" s="1">
        <v>191.08</v>
      </c>
      <c r="F455" s="1">
        <v>189.4</v>
      </c>
    </row>
    <row r="456" spans="1:6" x14ac:dyDescent="0.2">
      <c r="A456" t="s">
        <v>277</v>
      </c>
      <c r="B456" s="1">
        <v>189.79</v>
      </c>
      <c r="C456">
        <v>40552610</v>
      </c>
      <c r="D456" s="1">
        <v>189.92</v>
      </c>
      <c r="E456" s="1">
        <v>190.67</v>
      </c>
      <c r="F456" s="1">
        <v>188.9</v>
      </c>
    </row>
    <row r="457" spans="1:6" x14ac:dyDescent="0.2">
      <c r="A457" t="s">
        <v>278</v>
      </c>
      <c r="B457" s="1">
        <v>189.97</v>
      </c>
      <c r="C457">
        <v>24048340</v>
      </c>
      <c r="D457" s="1">
        <v>190.87</v>
      </c>
      <c r="E457" s="1">
        <v>190.9</v>
      </c>
      <c r="F457" s="1">
        <v>189.25</v>
      </c>
    </row>
    <row r="458" spans="1:6" x14ac:dyDescent="0.2">
      <c r="A458" t="s">
        <v>279</v>
      </c>
      <c r="B458" s="1">
        <v>191.31</v>
      </c>
      <c r="C458">
        <v>39630010</v>
      </c>
      <c r="D458" s="1">
        <v>191.49</v>
      </c>
      <c r="E458" s="1">
        <v>192.93</v>
      </c>
      <c r="F458" s="1">
        <v>190.82499999999999</v>
      </c>
    </row>
    <row r="459" spans="1:6" x14ac:dyDescent="0.2">
      <c r="A459" t="s">
        <v>280</v>
      </c>
      <c r="B459" s="1">
        <v>190.64</v>
      </c>
      <c r="C459">
        <v>38134490</v>
      </c>
      <c r="D459" s="1">
        <v>191.41</v>
      </c>
      <c r="E459" s="1">
        <v>191.52</v>
      </c>
      <c r="F459" s="1">
        <v>189.74</v>
      </c>
    </row>
    <row r="460" spans="1:6" x14ac:dyDescent="0.2">
      <c r="A460" t="s">
        <v>281</v>
      </c>
      <c r="B460" s="1">
        <v>191.45</v>
      </c>
      <c r="C460">
        <v>46538610</v>
      </c>
      <c r="D460" s="1">
        <v>189.89</v>
      </c>
      <c r="E460" s="1">
        <v>191.905</v>
      </c>
      <c r="F460" s="1">
        <v>189.88</v>
      </c>
    </row>
    <row r="461" spans="1:6" x14ac:dyDescent="0.2">
      <c r="A461" t="s">
        <v>282</v>
      </c>
      <c r="B461" s="1">
        <v>189.69</v>
      </c>
      <c r="C461">
        <v>50941400</v>
      </c>
      <c r="D461" s="1">
        <v>190.25</v>
      </c>
      <c r="E461" s="1">
        <v>190.38</v>
      </c>
      <c r="F461" s="1">
        <v>188.57</v>
      </c>
    </row>
    <row r="462" spans="1:6" x14ac:dyDescent="0.2">
      <c r="A462" t="s">
        <v>283</v>
      </c>
      <c r="B462" s="1">
        <v>189.71</v>
      </c>
      <c r="C462">
        <v>54412920</v>
      </c>
      <c r="D462" s="1">
        <v>189.57</v>
      </c>
      <c r="E462" s="1">
        <v>190.96</v>
      </c>
      <c r="F462" s="1">
        <v>188.65</v>
      </c>
    </row>
    <row r="463" spans="1:6" x14ac:dyDescent="0.2">
      <c r="A463" t="s">
        <v>284</v>
      </c>
      <c r="B463" s="1">
        <v>188.01</v>
      </c>
      <c r="C463">
        <v>53790500</v>
      </c>
      <c r="D463" s="1">
        <v>187.845</v>
      </c>
      <c r="E463" s="1">
        <v>189.5</v>
      </c>
      <c r="F463" s="1">
        <v>187.78</v>
      </c>
    </row>
    <row r="464" spans="1:6" x14ac:dyDescent="0.2">
      <c r="A464" t="s">
        <v>285</v>
      </c>
      <c r="B464" s="1">
        <v>187.44</v>
      </c>
      <c r="C464">
        <v>60108380</v>
      </c>
      <c r="D464" s="1">
        <v>187.7</v>
      </c>
      <c r="E464" s="1">
        <v>188.11</v>
      </c>
      <c r="F464" s="1">
        <v>186.3</v>
      </c>
    </row>
    <row r="465" spans="1:6" x14ac:dyDescent="0.2">
      <c r="A465" t="s">
        <v>286</v>
      </c>
      <c r="B465" s="1">
        <v>184.8</v>
      </c>
      <c r="C465">
        <v>43627520</v>
      </c>
      <c r="D465" s="1">
        <v>185.82</v>
      </c>
      <c r="E465" s="1">
        <v>186.03</v>
      </c>
      <c r="F465" s="1">
        <v>184.21</v>
      </c>
    </row>
    <row r="466" spans="1:6" x14ac:dyDescent="0.2">
      <c r="A466" s="2">
        <v>45210</v>
      </c>
      <c r="B466" s="1">
        <v>186.4</v>
      </c>
      <c r="C466">
        <v>66177920</v>
      </c>
      <c r="D466" s="1">
        <v>183.97</v>
      </c>
      <c r="E466" s="1">
        <v>186.565</v>
      </c>
      <c r="F466" s="1">
        <v>183.53</v>
      </c>
    </row>
    <row r="467" spans="1:6" x14ac:dyDescent="0.2">
      <c r="A467" s="2">
        <v>45180</v>
      </c>
      <c r="B467" s="1">
        <v>182.41</v>
      </c>
      <c r="C467">
        <v>53763540</v>
      </c>
      <c r="D467" s="1">
        <v>182.96</v>
      </c>
      <c r="E467" s="1">
        <v>184.12</v>
      </c>
      <c r="F467" s="1">
        <v>181.81</v>
      </c>
    </row>
    <row r="468" spans="1:6" x14ac:dyDescent="0.2">
      <c r="A468" s="2">
        <v>45149</v>
      </c>
      <c r="B468" s="1">
        <v>182.89</v>
      </c>
      <c r="C468">
        <v>49340280</v>
      </c>
      <c r="D468" s="1">
        <v>182.35</v>
      </c>
      <c r="E468" s="1">
        <v>183.45</v>
      </c>
      <c r="F468" s="1">
        <v>181.59</v>
      </c>
    </row>
    <row r="469" spans="1:6" x14ac:dyDescent="0.2">
      <c r="A469" s="2">
        <v>45118</v>
      </c>
      <c r="B469" s="1">
        <v>181.82</v>
      </c>
      <c r="C469">
        <v>70529970</v>
      </c>
      <c r="D469" s="1">
        <v>179.18</v>
      </c>
      <c r="E469" s="1">
        <v>182.44</v>
      </c>
      <c r="F469" s="1">
        <v>178.97</v>
      </c>
    </row>
    <row r="470" spans="1:6" x14ac:dyDescent="0.2">
      <c r="A470" s="2">
        <v>45088</v>
      </c>
      <c r="B470" s="1">
        <v>179.23</v>
      </c>
      <c r="C470">
        <v>63841310</v>
      </c>
      <c r="D470" s="1">
        <v>176.38</v>
      </c>
      <c r="E470" s="1">
        <v>179.43</v>
      </c>
      <c r="F470" s="1">
        <v>176.21</v>
      </c>
    </row>
    <row r="471" spans="1:6" x14ac:dyDescent="0.2">
      <c r="A471" s="2">
        <v>44996</v>
      </c>
      <c r="B471" s="1">
        <v>176.65</v>
      </c>
      <c r="C471">
        <v>79829250</v>
      </c>
      <c r="D471" s="1">
        <v>174.24</v>
      </c>
      <c r="E471" s="1">
        <v>176.82</v>
      </c>
      <c r="F471" s="1">
        <v>173.35</v>
      </c>
    </row>
    <row r="472" spans="1:6" x14ac:dyDescent="0.2">
      <c r="A472" s="2">
        <v>44968</v>
      </c>
      <c r="B472" s="1">
        <v>177.57</v>
      </c>
      <c r="C472">
        <v>77334750</v>
      </c>
      <c r="D472" s="1">
        <v>175.52</v>
      </c>
      <c r="E472" s="1">
        <v>177.78</v>
      </c>
      <c r="F472" s="1">
        <v>175.46</v>
      </c>
    </row>
    <row r="473" spans="1:6" x14ac:dyDescent="0.2">
      <c r="A473" s="2">
        <v>44937</v>
      </c>
      <c r="B473" s="1">
        <v>173.97</v>
      </c>
      <c r="C473">
        <v>56934910</v>
      </c>
      <c r="D473" s="1">
        <v>171</v>
      </c>
      <c r="E473" s="1">
        <v>174.23</v>
      </c>
      <c r="F473" s="1">
        <v>170.12</v>
      </c>
    </row>
    <row r="474" spans="1:6" x14ac:dyDescent="0.2">
      <c r="A474" t="s">
        <v>287</v>
      </c>
      <c r="B474" s="1">
        <v>170.77</v>
      </c>
      <c r="C474">
        <v>44846020</v>
      </c>
      <c r="D474" s="1">
        <v>169.35</v>
      </c>
      <c r="E474" s="1">
        <v>170.9</v>
      </c>
      <c r="F474" s="1">
        <v>167.9</v>
      </c>
    </row>
    <row r="475" spans="1:6" x14ac:dyDescent="0.2">
      <c r="A475" t="s">
        <v>288</v>
      </c>
      <c r="B475" s="1">
        <v>170.29</v>
      </c>
      <c r="C475">
        <v>51130960</v>
      </c>
      <c r="D475" s="1">
        <v>169.02</v>
      </c>
      <c r="E475" s="1">
        <v>171.17</v>
      </c>
      <c r="F475" s="1">
        <v>168.87</v>
      </c>
    </row>
    <row r="476" spans="1:6" x14ac:dyDescent="0.2">
      <c r="A476" t="s">
        <v>289</v>
      </c>
      <c r="B476" s="1">
        <v>168.22</v>
      </c>
      <c r="C476">
        <v>58499130</v>
      </c>
      <c r="D476" s="1">
        <v>166.91</v>
      </c>
      <c r="E476" s="1">
        <v>168.96</v>
      </c>
      <c r="F476" s="1">
        <v>166.83</v>
      </c>
    </row>
    <row r="477" spans="1:6" x14ac:dyDescent="0.2">
      <c r="A477" t="s">
        <v>290</v>
      </c>
      <c r="B477" s="1">
        <v>166.89</v>
      </c>
      <c r="C477">
        <v>70625260</v>
      </c>
      <c r="D477" s="1">
        <v>170.37</v>
      </c>
      <c r="E477" s="1">
        <v>171.3775</v>
      </c>
      <c r="F477" s="1">
        <v>165.67</v>
      </c>
    </row>
    <row r="478" spans="1:6" x14ac:dyDescent="0.2">
      <c r="A478" t="s">
        <v>291</v>
      </c>
      <c r="B478" s="1">
        <v>171.1</v>
      </c>
      <c r="C478">
        <v>57156960</v>
      </c>
      <c r="D478" s="1">
        <v>171.88</v>
      </c>
      <c r="E478" s="1">
        <v>173.06</v>
      </c>
      <c r="F478" s="1">
        <v>170.65</v>
      </c>
    </row>
    <row r="479" spans="1:6" x14ac:dyDescent="0.2">
      <c r="A479" t="s">
        <v>292</v>
      </c>
      <c r="B479" s="1">
        <v>173.44</v>
      </c>
      <c r="C479">
        <v>43816640</v>
      </c>
      <c r="D479" s="1">
        <v>173.05</v>
      </c>
      <c r="E479" s="1">
        <v>173.67</v>
      </c>
      <c r="F479" s="1">
        <v>171.45</v>
      </c>
    </row>
    <row r="480" spans="1:6" x14ac:dyDescent="0.2">
      <c r="A480" t="s">
        <v>293</v>
      </c>
      <c r="B480" s="1">
        <v>173</v>
      </c>
      <c r="C480">
        <v>55980110</v>
      </c>
      <c r="D480" s="1">
        <v>170.91</v>
      </c>
      <c r="E480" s="1">
        <v>174.01</v>
      </c>
      <c r="F480" s="1">
        <v>169.93</v>
      </c>
    </row>
    <row r="481" spans="1:6" x14ac:dyDescent="0.2">
      <c r="A481" t="s">
        <v>294</v>
      </c>
      <c r="B481" s="1">
        <v>172.88</v>
      </c>
      <c r="C481">
        <v>64244030</v>
      </c>
      <c r="D481" s="1">
        <v>175.31</v>
      </c>
      <c r="E481" s="1">
        <v>175.42</v>
      </c>
      <c r="F481" s="1">
        <v>172.64</v>
      </c>
    </row>
    <row r="482" spans="1:6" x14ac:dyDescent="0.2">
      <c r="A482" t="s">
        <v>295</v>
      </c>
      <c r="B482" s="1">
        <v>175.46</v>
      </c>
      <c r="C482">
        <v>59302860</v>
      </c>
      <c r="D482" s="1">
        <v>176.04</v>
      </c>
      <c r="E482" s="1">
        <v>177.84</v>
      </c>
      <c r="F482" s="1">
        <v>175.19</v>
      </c>
    </row>
    <row r="483" spans="1:6" x14ac:dyDescent="0.2">
      <c r="A483" t="s">
        <v>296</v>
      </c>
      <c r="B483" s="1">
        <v>175.84</v>
      </c>
      <c r="C483">
        <v>54764380</v>
      </c>
      <c r="D483" s="1">
        <v>175.58</v>
      </c>
      <c r="E483" s="1">
        <v>177.57499999999999</v>
      </c>
      <c r="F483" s="1">
        <v>175.11</v>
      </c>
    </row>
    <row r="484" spans="1:6" x14ac:dyDescent="0.2">
      <c r="A484" t="s">
        <v>297</v>
      </c>
      <c r="B484" s="1">
        <v>177.15</v>
      </c>
      <c r="C484">
        <v>57549350</v>
      </c>
      <c r="D484" s="1">
        <v>176.64500000000001</v>
      </c>
      <c r="E484" s="1">
        <v>178.42</v>
      </c>
      <c r="F484" s="1">
        <v>174.8</v>
      </c>
    </row>
    <row r="485" spans="1:6" x14ac:dyDescent="0.2">
      <c r="A485" t="s">
        <v>298</v>
      </c>
      <c r="B485" s="1">
        <v>178.72</v>
      </c>
      <c r="C485">
        <v>52516980</v>
      </c>
      <c r="D485" s="1">
        <v>176.75</v>
      </c>
      <c r="E485" s="1">
        <v>179.07499999999999</v>
      </c>
      <c r="F485" s="1">
        <v>176.51</v>
      </c>
    </row>
    <row r="486" spans="1:6" x14ac:dyDescent="0.2">
      <c r="A486" t="s">
        <v>299</v>
      </c>
      <c r="B486" s="1">
        <v>178.85</v>
      </c>
      <c r="C486">
        <v>51456080</v>
      </c>
      <c r="D486" s="1">
        <v>181.42</v>
      </c>
      <c r="E486" s="1">
        <v>181.93</v>
      </c>
      <c r="F486" s="1">
        <v>178.14</v>
      </c>
    </row>
    <row r="487" spans="1:6" x14ac:dyDescent="0.2">
      <c r="A487" s="2">
        <v>45270</v>
      </c>
      <c r="B487" s="1">
        <v>180.71</v>
      </c>
      <c r="C487">
        <v>56743120</v>
      </c>
      <c r="D487" s="1">
        <v>180.07</v>
      </c>
      <c r="E487" s="1">
        <v>182.34</v>
      </c>
      <c r="F487" s="1">
        <v>179.04</v>
      </c>
    </row>
    <row r="488" spans="1:6" x14ac:dyDescent="0.2">
      <c r="A488" s="2">
        <v>45240</v>
      </c>
      <c r="B488" s="1">
        <v>179.8</v>
      </c>
      <c r="C488">
        <v>47551100</v>
      </c>
      <c r="D488" s="1">
        <v>178.2</v>
      </c>
      <c r="E488" s="1">
        <v>179.85</v>
      </c>
      <c r="F488" s="1">
        <v>177.6</v>
      </c>
    </row>
    <row r="489" spans="1:6" x14ac:dyDescent="0.2">
      <c r="A489" s="2">
        <v>45209</v>
      </c>
      <c r="B489" s="1">
        <v>178.39</v>
      </c>
      <c r="C489">
        <v>43698020</v>
      </c>
      <c r="D489" s="1">
        <v>178.1</v>
      </c>
      <c r="E489" s="1">
        <v>179.72</v>
      </c>
      <c r="F489" s="1">
        <v>177.95</v>
      </c>
    </row>
    <row r="490" spans="1:6" x14ac:dyDescent="0.2">
      <c r="A490" s="2">
        <v>45179</v>
      </c>
      <c r="B490" s="1">
        <v>178.99</v>
      </c>
      <c r="C490">
        <v>42390770</v>
      </c>
      <c r="D490" s="1">
        <v>176.81</v>
      </c>
      <c r="E490" s="1">
        <v>179.05</v>
      </c>
      <c r="F490" s="1">
        <v>175.8</v>
      </c>
    </row>
    <row r="491" spans="1:6" x14ac:dyDescent="0.2">
      <c r="A491" s="2">
        <v>45087</v>
      </c>
      <c r="B491" s="1">
        <v>177.49</v>
      </c>
      <c r="C491">
        <v>57266680</v>
      </c>
      <c r="D491" s="1">
        <v>173.8</v>
      </c>
      <c r="E491" s="1">
        <v>177.99</v>
      </c>
      <c r="F491" s="1">
        <v>173.18</v>
      </c>
    </row>
    <row r="492" spans="1:6" x14ac:dyDescent="0.2">
      <c r="A492" s="2">
        <v>45056</v>
      </c>
      <c r="B492" s="1">
        <v>174.91</v>
      </c>
      <c r="C492">
        <v>48527920</v>
      </c>
      <c r="D492" s="1">
        <v>173.79</v>
      </c>
      <c r="E492" s="1">
        <v>175.45</v>
      </c>
      <c r="F492" s="1">
        <v>172.68</v>
      </c>
    </row>
    <row r="493" spans="1:6" x14ac:dyDescent="0.2">
      <c r="A493" s="2">
        <v>45026</v>
      </c>
      <c r="B493" s="1">
        <v>173.66</v>
      </c>
      <c r="C493">
        <v>53020290</v>
      </c>
      <c r="D493" s="1">
        <v>171.09</v>
      </c>
      <c r="E493" s="1">
        <v>174.21</v>
      </c>
      <c r="F493" s="1">
        <v>170.97</v>
      </c>
    </row>
    <row r="494" spans="1:6" x14ac:dyDescent="0.2">
      <c r="A494" s="2">
        <v>44995</v>
      </c>
      <c r="B494" s="1">
        <v>172.4</v>
      </c>
      <c r="C494">
        <v>49594610</v>
      </c>
      <c r="D494" s="1">
        <v>172.255</v>
      </c>
      <c r="E494" s="1">
        <v>173.63</v>
      </c>
      <c r="F494" s="1">
        <v>170.82</v>
      </c>
    </row>
    <row r="495" spans="1:6" x14ac:dyDescent="0.2">
      <c r="A495" s="2">
        <v>44967</v>
      </c>
      <c r="B495" s="1">
        <v>173.75</v>
      </c>
      <c r="C495">
        <v>52164540</v>
      </c>
      <c r="D495" s="1">
        <v>171.22</v>
      </c>
      <c r="E495" s="1">
        <v>174.3</v>
      </c>
      <c r="F495" s="1">
        <v>170.93</v>
      </c>
    </row>
    <row r="496" spans="1:6" x14ac:dyDescent="0.2">
      <c r="A496" t="s">
        <v>300</v>
      </c>
      <c r="B496" s="1">
        <v>171.21</v>
      </c>
      <c r="C496">
        <v>51861080</v>
      </c>
      <c r="D496" s="1">
        <v>172.02</v>
      </c>
      <c r="E496" s="1">
        <v>173.07</v>
      </c>
      <c r="F496" s="1">
        <v>170.34100000000001</v>
      </c>
    </row>
    <row r="497" spans="1:6" x14ac:dyDescent="0.2">
      <c r="A497" t="s">
        <v>301</v>
      </c>
      <c r="B497" s="1">
        <v>170.69</v>
      </c>
      <c r="C497">
        <v>56294420</v>
      </c>
      <c r="D497" s="1">
        <v>169.34</v>
      </c>
      <c r="E497" s="1">
        <v>172.03</v>
      </c>
      <c r="F497" s="1">
        <v>167.62</v>
      </c>
    </row>
    <row r="498" spans="1:6" x14ac:dyDescent="0.2">
      <c r="A498" t="s">
        <v>302</v>
      </c>
      <c r="B498" s="1">
        <v>170.43</v>
      </c>
      <c r="C498">
        <v>66921810</v>
      </c>
      <c r="D498" s="1">
        <v>172.62</v>
      </c>
      <c r="E498" s="1">
        <v>173.04</v>
      </c>
      <c r="F498" s="1">
        <v>169.05</v>
      </c>
    </row>
    <row r="499" spans="1:6" x14ac:dyDescent="0.2">
      <c r="A499" t="s">
        <v>303</v>
      </c>
      <c r="B499" s="1">
        <v>171.96</v>
      </c>
      <c r="C499">
        <v>64588950</v>
      </c>
      <c r="D499" s="1">
        <v>174.82</v>
      </c>
      <c r="E499" s="1">
        <v>175.2</v>
      </c>
      <c r="F499" s="1">
        <v>171.66</v>
      </c>
    </row>
    <row r="500" spans="1:6" x14ac:dyDescent="0.2">
      <c r="A500" t="s">
        <v>304</v>
      </c>
      <c r="B500" s="1">
        <v>176.08</v>
      </c>
      <c r="C500">
        <v>46172740</v>
      </c>
      <c r="D500" s="1">
        <v>174.2</v>
      </c>
      <c r="E500" s="1">
        <v>176.97</v>
      </c>
      <c r="F500" s="1">
        <v>174.15</v>
      </c>
    </row>
    <row r="501" spans="1:6" x14ac:dyDescent="0.2">
      <c r="A501" t="s">
        <v>305</v>
      </c>
      <c r="B501" s="1">
        <v>174.79</v>
      </c>
      <c r="C501">
        <v>56725390</v>
      </c>
      <c r="D501" s="1">
        <v>174.67</v>
      </c>
      <c r="E501" s="1">
        <v>177.07900000000001</v>
      </c>
      <c r="F501" s="1">
        <v>174.05</v>
      </c>
    </row>
    <row r="502" spans="1:6" x14ac:dyDescent="0.2">
      <c r="A502" t="s">
        <v>306</v>
      </c>
      <c r="B502" s="1">
        <v>173.93</v>
      </c>
      <c r="C502">
        <v>63149120</v>
      </c>
      <c r="D502" s="1">
        <v>174.55</v>
      </c>
      <c r="E502" s="1">
        <v>176.3</v>
      </c>
      <c r="F502" s="1">
        <v>173.86</v>
      </c>
    </row>
    <row r="503" spans="1:6" x14ac:dyDescent="0.2">
      <c r="A503" t="s">
        <v>307</v>
      </c>
      <c r="B503" s="1">
        <v>175.49</v>
      </c>
      <c r="C503">
        <v>58436180</v>
      </c>
      <c r="D503" s="1">
        <v>179.26</v>
      </c>
      <c r="E503" s="1">
        <v>179.69499999999999</v>
      </c>
      <c r="F503" s="1">
        <v>175.4</v>
      </c>
    </row>
    <row r="504" spans="1:6" x14ac:dyDescent="0.2">
      <c r="A504" t="s">
        <v>308</v>
      </c>
      <c r="B504" s="1">
        <v>179.07</v>
      </c>
      <c r="C504">
        <v>51826940</v>
      </c>
      <c r="D504" s="1">
        <v>177.52</v>
      </c>
      <c r="E504" s="1">
        <v>179.63</v>
      </c>
      <c r="F504" s="1">
        <v>177.13</v>
      </c>
    </row>
    <row r="505" spans="1:6" x14ac:dyDescent="0.2">
      <c r="A505" t="s">
        <v>309</v>
      </c>
      <c r="B505" s="1">
        <v>177.97</v>
      </c>
      <c r="C505">
        <v>67257570</v>
      </c>
      <c r="D505" s="1">
        <v>176.48</v>
      </c>
      <c r="E505" s="1">
        <v>179.38</v>
      </c>
      <c r="F505" s="1">
        <v>176.17</v>
      </c>
    </row>
    <row r="506" spans="1:6" x14ac:dyDescent="0.2">
      <c r="A506" t="s">
        <v>310</v>
      </c>
      <c r="B506" s="1">
        <v>175.01</v>
      </c>
      <c r="C506">
        <v>109259500</v>
      </c>
      <c r="D506" s="1">
        <v>176.48</v>
      </c>
      <c r="E506" s="1">
        <v>176.495</v>
      </c>
      <c r="F506" s="1">
        <v>173.82</v>
      </c>
    </row>
    <row r="507" spans="1:6" x14ac:dyDescent="0.2">
      <c r="A507" t="s">
        <v>311</v>
      </c>
      <c r="B507" s="1">
        <v>175.74</v>
      </c>
      <c r="C507">
        <v>60895760</v>
      </c>
      <c r="D507" s="1">
        <v>174</v>
      </c>
      <c r="E507" s="1">
        <v>176.1</v>
      </c>
      <c r="F507" s="1">
        <v>173.58</v>
      </c>
    </row>
    <row r="508" spans="1:6" x14ac:dyDescent="0.2">
      <c r="A508" t="s">
        <v>312</v>
      </c>
      <c r="B508" s="1">
        <v>174.21</v>
      </c>
      <c r="C508">
        <v>84267930</v>
      </c>
      <c r="D508" s="1">
        <v>176.51</v>
      </c>
      <c r="E508" s="1">
        <v>177.3</v>
      </c>
      <c r="F508" s="1">
        <v>173.98</v>
      </c>
    </row>
    <row r="509" spans="1:6" x14ac:dyDescent="0.2">
      <c r="A509" s="2">
        <v>45269</v>
      </c>
      <c r="B509" s="1">
        <v>176.3</v>
      </c>
      <c r="C509">
        <v>90370190</v>
      </c>
      <c r="D509" s="1">
        <v>179.49</v>
      </c>
      <c r="E509" s="1">
        <v>180.13</v>
      </c>
      <c r="F509" s="1">
        <v>174.82</v>
      </c>
    </row>
    <row r="510" spans="1:6" x14ac:dyDescent="0.2">
      <c r="A510" s="2">
        <v>45239</v>
      </c>
      <c r="B510" s="1">
        <v>179.36</v>
      </c>
      <c r="C510">
        <v>58953050</v>
      </c>
      <c r="D510" s="1">
        <v>180.07</v>
      </c>
      <c r="E510" s="1">
        <v>180.3</v>
      </c>
      <c r="F510" s="1">
        <v>177.34</v>
      </c>
    </row>
    <row r="511" spans="1:6" x14ac:dyDescent="0.2">
      <c r="A511" s="2">
        <v>45147</v>
      </c>
      <c r="B511" s="1">
        <v>178.18</v>
      </c>
      <c r="C511">
        <v>65602070</v>
      </c>
      <c r="D511" s="1">
        <v>178.35</v>
      </c>
      <c r="E511" s="1">
        <v>180.239</v>
      </c>
      <c r="F511" s="1">
        <v>177.79</v>
      </c>
    </row>
    <row r="512" spans="1:6" x14ac:dyDescent="0.2">
      <c r="A512" s="2">
        <v>45116</v>
      </c>
      <c r="B512" s="1">
        <v>177.56</v>
      </c>
      <c r="C512">
        <v>112488800</v>
      </c>
      <c r="D512" s="1">
        <v>175.18</v>
      </c>
      <c r="E512" s="1">
        <v>178.21</v>
      </c>
      <c r="F512" s="1">
        <v>173.54</v>
      </c>
    </row>
    <row r="513" spans="1:6" x14ac:dyDescent="0.2">
      <c r="A513" s="2">
        <v>45086</v>
      </c>
      <c r="B513" s="1">
        <v>182.91</v>
      </c>
      <c r="C513">
        <v>81755820</v>
      </c>
      <c r="D513" s="1">
        <v>188.4</v>
      </c>
      <c r="E513" s="1">
        <v>188.85</v>
      </c>
      <c r="F513" s="1">
        <v>181.47</v>
      </c>
    </row>
    <row r="514" spans="1:6" x14ac:dyDescent="0.2">
      <c r="A514" s="2">
        <v>45055</v>
      </c>
      <c r="B514" s="1">
        <v>189.7</v>
      </c>
      <c r="C514">
        <v>45280030</v>
      </c>
      <c r="D514" s="1">
        <v>188.28</v>
      </c>
      <c r="E514" s="1">
        <v>189.98</v>
      </c>
      <c r="F514" s="1">
        <v>187.61</v>
      </c>
    </row>
    <row r="515" spans="1:6" x14ac:dyDescent="0.2">
      <c r="A515" s="2">
        <v>44935</v>
      </c>
      <c r="B515" s="1">
        <v>189.46</v>
      </c>
      <c r="C515">
        <v>45766500</v>
      </c>
      <c r="D515" s="1">
        <v>189.48500000000001</v>
      </c>
      <c r="E515" s="1">
        <v>189.92</v>
      </c>
      <c r="F515" s="1">
        <v>188.28</v>
      </c>
    </row>
    <row r="516" spans="1:6" x14ac:dyDescent="0.2">
      <c r="A516" t="s">
        <v>313</v>
      </c>
      <c r="B516" s="1">
        <v>187.87</v>
      </c>
      <c r="C516">
        <v>60794470</v>
      </c>
      <c r="D516" s="1">
        <v>187.84</v>
      </c>
      <c r="E516" s="1">
        <v>189.12</v>
      </c>
      <c r="F516" s="1">
        <v>187.48</v>
      </c>
    </row>
    <row r="517" spans="1:6" x14ac:dyDescent="0.2">
      <c r="A517" t="s">
        <v>314</v>
      </c>
      <c r="B517" s="1">
        <v>187.65</v>
      </c>
      <c r="C517">
        <v>60813890</v>
      </c>
      <c r="D517" s="1">
        <v>184.94</v>
      </c>
      <c r="E517" s="1">
        <v>187.85</v>
      </c>
      <c r="F517" s="1">
        <v>184.74</v>
      </c>
    </row>
    <row r="518" spans="1:6" x14ac:dyDescent="0.2">
      <c r="A518" t="s">
        <v>315</v>
      </c>
      <c r="B518" s="1">
        <v>184.12</v>
      </c>
      <c r="C518">
        <v>53003950</v>
      </c>
      <c r="D518" s="1">
        <v>179.69499999999999</v>
      </c>
      <c r="E518" s="1">
        <v>184.9</v>
      </c>
      <c r="F518" s="1">
        <v>179.5</v>
      </c>
    </row>
    <row r="519" spans="1:6" x14ac:dyDescent="0.2">
      <c r="A519" t="s">
        <v>316</v>
      </c>
      <c r="B519" s="1">
        <v>180.19</v>
      </c>
      <c r="C519">
        <v>43820700</v>
      </c>
      <c r="D519" s="1">
        <v>180.09</v>
      </c>
      <c r="E519" s="1">
        <v>180.59</v>
      </c>
      <c r="F519" s="1">
        <v>178.54499999999999</v>
      </c>
    </row>
    <row r="520" spans="1:6" x14ac:dyDescent="0.2">
      <c r="A520" t="s">
        <v>317</v>
      </c>
      <c r="B520" s="1">
        <v>178.61</v>
      </c>
      <c r="C520">
        <v>51449590</v>
      </c>
      <c r="D520" s="1">
        <v>177.38</v>
      </c>
      <c r="E520" s="1">
        <v>179.15</v>
      </c>
      <c r="F520" s="1">
        <v>175.82</v>
      </c>
    </row>
    <row r="521" spans="1:6" x14ac:dyDescent="0.2">
      <c r="A521" t="s">
        <v>318</v>
      </c>
      <c r="B521" s="1">
        <v>176.38</v>
      </c>
      <c r="C521">
        <v>54945800</v>
      </c>
      <c r="D521" s="1">
        <v>180.67400000000001</v>
      </c>
      <c r="E521" s="1">
        <v>181.10400000000001</v>
      </c>
      <c r="F521" s="1">
        <v>176.01</v>
      </c>
    </row>
    <row r="522" spans="1:6" x14ac:dyDescent="0.2">
      <c r="A522" t="s">
        <v>319</v>
      </c>
      <c r="B522" s="1">
        <v>181.12</v>
      </c>
      <c r="C522">
        <v>52722750</v>
      </c>
      <c r="D522" s="1">
        <v>178.52</v>
      </c>
      <c r="E522" s="1">
        <v>181.55</v>
      </c>
      <c r="F522" s="1">
        <v>178.32499999999999</v>
      </c>
    </row>
    <row r="523" spans="1:6" x14ac:dyDescent="0.2">
      <c r="A523" t="s">
        <v>320</v>
      </c>
      <c r="B523" s="1">
        <v>177.23</v>
      </c>
      <c r="C523">
        <v>42084250</v>
      </c>
      <c r="D523" s="1">
        <v>177.06</v>
      </c>
      <c r="E523" s="1">
        <v>177.68</v>
      </c>
      <c r="F523" s="1">
        <v>176.25</v>
      </c>
    </row>
    <row r="524" spans="1:6" x14ac:dyDescent="0.2">
      <c r="A524" t="s">
        <v>321</v>
      </c>
      <c r="B524" s="1">
        <v>175.84</v>
      </c>
      <c r="C524">
        <v>46311880</v>
      </c>
      <c r="D524" s="1">
        <v>175.07</v>
      </c>
      <c r="E524" s="1">
        <v>176.13</v>
      </c>
      <c r="F524" s="1">
        <v>173.73500000000001</v>
      </c>
    </row>
    <row r="525" spans="1:6" x14ac:dyDescent="0.2">
      <c r="A525" t="s">
        <v>322</v>
      </c>
      <c r="B525" s="1">
        <v>174.49</v>
      </c>
      <c r="C525">
        <v>61172150</v>
      </c>
      <c r="D525" s="1">
        <v>172.3</v>
      </c>
      <c r="E525" s="1">
        <v>175.1</v>
      </c>
      <c r="F525" s="1">
        <v>171.96</v>
      </c>
    </row>
    <row r="526" spans="1:6" x14ac:dyDescent="0.2">
      <c r="A526" t="s">
        <v>323</v>
      </c>
      <c r="B526" s="1">
        <v>174</v>
      </c>
      <c r="C526">
        <v>66062880</v>
      </c>
      <c r="D526" s="1">
        <v>177.14</v>
      </c>
      <c r="E526" s="1">
        <v>177.50540000000001</v>
      </c>
      <c r="F526" s="1">
        <v>173.48</v>
      </c>
    </row>
    <row r="527" spans="1:6" x14ac:dyDescent="0.2">
      <c r="A527" t="s">
        <v>324</v>
      </c>
      <c r="B527" s="1">
        <v>176.57</v>
      </c>
      <c r="C527">
        <v>46964860</v>
      </c>
      <c r="D527" s="1">
        <v>177.13</v>
      </c>
      <c r="E527" s="1">
        <v>178.54</v>
      </c>
      <c r="F527" s="1">
        <v>176.5</v>
      </c>
    </row>
    <row r="528" spans="1:6" x14ac:dyDescent="0.2">
      <c r="A528" t="s">
        <v>325</v>
      </c>
      <c r="B528" s="1">
        <v>177.45</v>
      </c>
      <c r="C528">
        <v>43622590</v>
      </c>
      <c r="D528" s="1">
        <v>178.88</v>
      </c>
      <c r="E528" s="1">
        <v>179.48</v>
      </c>
      <c r="F528" s="1">
        <v>177.05</v>
      </c>
    </row>
    <row r="529" spans="1:6" x14ac:dyDescent="0.2">
      <c r="A529" t="s">
        <v>326</v>
      </c>
      <c r="B529" s="1">
        <v>179.46</v>
      </c>
      <c r="C529">
        <v>43675630</v>
      </c>
      <c r="D529" s="1">
        <v>177.97</v>
      </c>
      <c r="E529" s="1">
        <v>179.69</v>
      </c>
      <c r="F529" s="1">
        <v>177.30500000000001</v>
      </c>
    </row>
    <row r="530" spans="1:6" x14ac:dyDescent="0.2">
      <c r="A530" s="2">
        <v>45238</v>
      </c>
      <c r="B530" s="1">
        <v>177.79</v>
      </c>
      <c r="C530">
        <v>52036670</v>
      </c>
      <c r="D530" s="1">
        <v>177.32</v>
      </c>
      <c r="E530" s="1">
        <v>178.62</v>
      </c>
      <c r="F530" s="1">
        <v>176.55</v>
      </c>
    </row>
    <row r="531" spans="1:6" x14ac:dyDescent="0.2">
      <c r="A531" s="2">
        <v>45207</v>
      </c>
      <c r="B531" s="1">
        <v>177.97</v>
      </c>
      <c r="C531">
        <v>54686850</v>
      </c>
      <c r="D531" s="1">
        <v>179.48</v>
      </c>
      <c r="E531" s="1">
        <v>180.75</v>
      </c>
      <c r="F531" s="1">
        <v>177.6</v>
      </c>
    </row>
    <row r="532" spans="1:6" x14ac:dyDescent="0.2">
      <c r="A532" s="2">
        <v>45177</v>
      </c>
      <c r="B532" s="1">
        <v>178.19</v>
      </c>
      <c r="C532">
        <v>60378490</v>
      </c>
      <c r="D532" s="1">
        <v>180.87</v>
      </c>
      <c r="E532" s="1">
        <v>180.93</v>
      </c>
      <c r="F532" s="1">
        <v>177.01</v>
      </c>
    </row>
    <row r="533" spans="1:6" x14ac:dyDescent="0.2">
      <c r="A533" s="2">
        <v>45146</v>
      </c>
      <c r="B533" s="1">
        <v>179.8</v>
      </c>
      <c r="C533">
        <v>67823000</v>
      </c>
      <c r="D533" s="1">
        <v>179.69</v>
      </c>
      <c r="E533" s="1">
        <v>180.27</v>
      </c>
      <c r="F533" s="1">
        <v>177.58</v>
      </c>
    </row>
    <row r="534" spans="1:6" x14ac:dyDescent="0.2">
      <c r="A534" s="2">
        <v>45115</v>
      </c>
      <c r="B534" s="1">
        <v>178.85</v>
      </c>
      <c r="C534">
        <v>97576070</v>
      </c>
      <c r="D534" s="1">
        <v>182.13</v>
      </c>
      <c r="E534" s="1">
        <v>183.13</v>
      </c>
      <c r="F534" s="1">
        <v>177.35</v>
      </c>
    </row>
    <row r="535" spans="1:6" x14ac:dyDescent="0.2">
      <c r="A535" s="2">
        <v>45024</v>
      </c>
      <c r="B535" s="1">
        <v>181.99</v>
      </c>
      <c r="C535">
        <v>115956800</v>
      </c>
      <c r="D535" s="1">
        <v>185.52</v>
      </c>
      <c r="E535" s="1">
        <v>187.38</v>
      </c>
      <c r="F535" s="1">
        <v>181.92</v>
      </c>
    </row>
    <row r="536" spans="1:6" x14ac:dyDescent="0.2">
      <c r="A536" s="2">
        <v>44993</v>
      </c>
      <c r="B536" s="1">
        <v>191.17</v>
      </c>
      <c r="C536">
        <v>62243280</v>
      </c>
      <c r="D536" s="1">
        <v>191.57</v>
      </c>
      <c r="E536" s="1">
        <v>192.37</v>
      </c>
      <c r="F536" s="1">
        <v>190.69</v>
      </c>
    </row>
    <row r="537" spans="1:6" x14ac:dyDescent="0.2">
      <c r="A537" s="2">
        <v>44965</v>
      </c>
      <c r="B537" s="1">
        <v>192.58</v>
      </c>
      <c r="C537">
        <v>50389330</v>
      </c>
      <c r="D537" s="1">
        <v>195.04</v>
      </c>
      <c r="E537" s="1">
        <v>195.18</v>
      </c>
      <c r="F537" s="1">
        <v>191.85069999999999</v>
      </c>
    </row>
    <row r="538" spans="1:6" x14ac:dyDescent="0.2">
      <c r="A538" s="2">
        <v>44934</v>
      </c>
      <c r="B538" s="1">
        <v>195.60499999999999</v>
      </c>
      <c r="C538">
        <v>35281430</v>
      </c>
      <c r="D538" s="1">
        <v>196.23500000000001</v>
      </c>
      <c r="E538" s="1">
        <v>196.73</v>
      </c>
      <c r="F538" s="1">
        <v>195.28</v>
      </c>
    </row>
    <row r="539" spans="1:6" x14ac:dyDescent="0.2">
      <c r="A539" t="s">
        <v>327</v>
      </c>
      <c r="B539" s="1">
        <v>196.45</v>
      </c>
      <c r="C539">
        <v>38824110</v>
      </c>
      <c r="D539" s="1">
        <v>196.06</v>
      </c>
      <c r="E539" s="1">
        <v>196.49</v>
      </c>
      <c r="F539" s="1">
        <v>195.26</v>
      </c>
    </row>
    <row r="540" spans="1:6" x14ac:dyDescent="0.2">
      <c r="A540" t="s">
        <v>328</v>
      </c>
      <c r="B540" s="1">
        <v>195.83</v>
      </c>
      <c r="C540">
        <v>48291440</v>
      </c>
      <c r="D540" s="1">
        <v>194.67</v>
      </c>
      <c r="E540" s="1">
        <v>196.626</v>
      </c>
      <c r="F540" s="1">
        <v>194.14</v>
      </c>
    </row>
    <row r="541" spans="1:6" x14ac:dyDescent="0.2">
      <c r="A541" t="s">
        <v>329</v>
      </c>
      <c r="B541" s="1">
        <v>193.22</v>
      </c>
      <c r="C541">
        <v>47460180</v>
      </c>
      <c r="D541" s="1">
        <v>196.02</v>
      </c>
      <c r="E541" s="1">
        <v>197.2</v>
      </c>
      <c r="F541" s="1">
        <v>192.55</v>
      </c>
    </row>
    <row r="542" spans="1:6" x14ac:dyDescent="0.2">
      <c r="A542" t="s">
        <v>330</v>
      </c>
      <c r="B542" s="1">
        <v>194.5</v>
      </c>
      <c r="C542">
        <v>47471870</v>
      </c>
      <c r="D542" s="1">
        <v>193.67</v>
      </c>
      <c r="E542" s="1">
        <v>195.64</v>
      </c>
      <c r="F542" s="1">
        <v>193.32</v>
      </c>
    </row>
    <row r="543" spans="1:6" x14ac:dyDescent="0.2">
      <c r="A543" t="s">
        <v>331</v>
      </c>
      <c r="B543" s="1">
        <v>193.62</v>
      </c>
      <c r="C543">
        <v>37283200</v>
      </c>
      <c r="D543" s="1">
        <v>193.33</v>
      </c>
      <c r="E543" s="1">
        <v>194.44</v>
      </c>
      <c r="F543" s="1">
        <v>192.91499999999999</v>
      </c>
    </row>
    <row r="544" spans="1:6" x14ac:dyDescent="0.2">
      <c r="A544" t="s">
        <v>332</v>
      </c>
      <c r="B544" s="1">
        <v>192.75</v>
      </c>
      <c r="C544">
        <v>45505100</v>
      </c>
      <c r="D544" s="1">
        <v>193.41</v>
      </c>
      <c r="E544" s="1">
        <v>194.91</v>
      </c>
      <c r="F544" s="1">
        <v>192.25</v>
      </c>
    </row>
    <row r="545" spans="1:6" x14ac:dyDescent="0.2">
      <c r="A545" t="s">
        <v>333</v>
      </c>
      <c r="B545" s="1">
        <v>191.94</v>
      </c>
      <c r="C545">
        <v>71951680</v>
      </c>
      <c r="D545" s="1">
        <v>194.1</v>
      </c>
      <c r="E545" s="1">
        <v>194.97</v>
      </c>
      <c r="F545" s="1">
        <v>191.23</v>
      </c>
    </row>
    <row r="546" spans="1:6" x14ac:dyDescent="0.2">
      <c r="A546" t="s">
        <v>334</v>
      </c>
      <c r="B546" s="1">
        <v>193.13</v>
      </c>
      <c r="C546">
        <v>59581200</v>
      </c>
      <c r="D546" s="1">
        <v>195.09</v>
      </c>
      <c r="E546" s="1">
        <v>196.47</v>
      </c>
      <c r="F546" s="1">
        <v>192.495</v>
      </c>
    </row>
    <row r="547" spans="1:6" x14ac:dyDescent="0.2">
      <c r="A547" t="s">
        <v>335</v>
      </c>
      <c r="B547" s="1">
        <v>195.1</v>
      </c>
      <c r="C547">
        <v>80507320</v>
      </c>
      <c r="D547" s="1">
        <v>193.1</v>
      </c>
      <c r="E547" s="1">
        <v>198.23</v>
      </c>
      <c r="F547" s="1">
        <v>192.65</v>
      </c>
    </row>
    <row r="548" spans="1:6" x14ac:dyDescent="0.2">
      <c r="A548" t="s">
        <v>336</v>
      </c>
      <c r="B548" s="1">
        <v>193.73</v>
      </c>
      <c r="C548">
        <v>48353770</v>
      </c>
      <c r="D548" s="1">
        <v>193.35</v>
      </c>
      <c r="E548" s="1">
        <v>194.33</v>
      </c>
      <c r="F548" s="1">
        <v>192.41499999999999</v>
      </c>
    </row>
    <row r="549" spans="1:6" x14ac:dyDescent="0.2">
      <c r="A549" t="s">
        <v>337</v>
      </c>
      <c r="B549" s="1">
        <v>193.99</v>
      </c>
      <c r="C549">
        <v>50520160</v>
      </c>
      <c r="D549" s="1">
        <v>191.9</v>
      </c>
      <c r="E549" s="1">
        <v>194.32</v>
      </c>
      <c r="F549" s="1">
        <v>191.81</v>
      </c>
    </row>
    <row r="550" spans="1:6" x14ac:dyDescent="0.2">
      <c r="A550" t="s">
        <v>338</v>
      </c>
      <c r="B550" s="1">
        <v>190.69</v>
      </c>
      <c r="C550">
        <v>41616240</v>
      </c>
      <c r="D550" s="1">
        <v>190.23</v>
      </c>
      <c r="E550" s="1">
        <v>191.1799</v>
      </c>
      <c r="F550" s="1">
        <v>189.63</v>
      </c>
    </row>
    <row r="551" spans="1:6" x14ac:dyDescent="0.2">
      <c r="A551" t="s">
        <v>339</v>
      </c>
      <c r="B551" s="1">
        <v>190.54</v>
      </c>
      <c r="C551">
        <v>41342340</v>
      </c>
      <c r="D551" s="1">
        <v>190.5</v>
      </c>
      <c r="E551" s="1">
        <v>191.19</v>
      </c>
      <c r="F551" s="1">
        <v>189.78</v>
      </c>
    </row>
    <row r="552" spans="1:6" x14ac:dyDescent="0.2">
      <c r="A552" s="2">
        <v>45267</v>
      </c>
      <c r="B552" s="1">
        <v>189.77</v>
      </c>
      <c r="C552">
        <v>60750250</v>
      </c>
      <c r="D552" s="1">
        <v>189.68</v>
      </c>
      <c r="E552" s="1">
        <v>191.7</v>
      </c>
      <c r="F552" s="1">
        <v>188.47</v>
      </c>
    </row>
    <row r="553" spans="1:6" x14ac:dyDescent="0.2">
      <c r="A553" s="2">
        <v>45237</v>
      </c>
      <c r="B553" s="1">
        <v>188.08</v>
      </c>
      <c r="C553">
        <v>46638120</v>
      </c>
      <c r="D553" s="1">
        <v>189.16</v>
      </c>
      <c r="E553" s="1">
        <v>189.3</v>
      </c>
      <c r="F553" s="1">
        <v>186.6</v>
      </c>
    </row>
    <row r="554" spans="1:6" x14ac:dyDescent="0.2">
      <c r="A554" s="2">
        <v>45206</v>
      </c>
      <c r="B554" s="1">
        <v>188.61</v>
      </c>
      <c r="C554">
        <v>59922160</v>
      </c>
      <c r="D554" s="1">
        <v>189.26</v>
      </c>
      <c r="E554" s="1">
        <v>189.99</v>
      </c>
      <c r="F554" s="1">
        <v>187.035</v>
      </c>
    </row>
    <row r="555" spans="1:6" x14ac:dyDescent="0.2">
      <c r="A555" s="2">
        <v>45114</v>
      </c>
      <c r="B555" s="1">
        <v>190.68</v>
      </c>
      <c r="C555">
        <v>46815000</v>
      </c>
      <c r="D555" s="1">
        <v>191.41</v>
      </c>
      <c r="E555" s="1">
        <v>192.67</v>
      </c>
      <c r="F555" s="1">
        <v>190.24</v>
      </c>
    </row>
    <row r="556" spans="1:6" x14ac:dyDescent="0.2">
      <c r="A556" s="2">
        <v>45084</v>
      </c>
      <c r="B556" s="1">
        <v>191.81</v>
      </c>
      <c r="C556">
        <v>45156010</v>
      </c>
      <c r="D556" s="1">
        <v>189.84</v>
      </c>
      <c r="E556" s="1">
        <v>192.02</v>
      </c>
      <c r="F556" s="1">
        <v>189.2</v>
      </c>
    </row>
    <row r="557" spans="1:6" x14ac:dyDescent="0.2">
      <c r="A557" s="2">
        <v>45053</v>
      </c>
      <c r="B557" s="1">
        <v>191.33</v>
      </c>
      <c r="C557">
        <v>46920260</v>
      </c>
      <c r="D557" s="1">
        <v>191.565</v>
      </c>
      <c r="E557" s="1">
        <v>192.98</v>
      </c>
      <c r="F557" s="1">
        <v>190.62</v>
      </c>
    </row>
    <row r="558" spans="1:6" x14ac:dyDescent="0.2">
      <c r="A558" s="2">
        <v>44992</v>
      </c>
      <c r="B558" s="1">
        <v>192.46</v>
      </c>
      <c r="C558">
        <v>31346600</v>
      </c>
      <c r="D558" s="1">
        <v>193.78</v>
      </c>
      <c r="E558" s="1">
        <v>193.88</v>
      </c>
      <c r="F558" s="1">
        <v>191.76</v>
      </c>
    </row>
    <row r="559" spans="1:6" x14ac:dyDescent="0.2">
      <c r="A559" t="s">
        <v>340</v>
      </c>
      <c r="B559" s="1">
        <v>193.97</v>
      </c>
      <c r="C559">
        <v>85213220</v>
      </c>
      <c r="D559" s="1">
        <v>191.63</v>
      </c>
      <c r="E559" s="1">
        <v>194.48</v>
      </c>
      <c r="F559" s="1">
        <v>191.26</v>
      </c>
    </row>
    <row r="560" spans="1:6" x14ac:dyDescent="0.2">
      <c r="A560" t="s">
        <v>341</v>
      </c>
      <c r="B560" s="1">
        <v>189.59</v>
      </c>
      <c r="C560">
        <v>46347310</v>
      </c>
      <c r="D560" s="1">
        <v>189.08</v>
      </c>
      <c r="E560" s="1">
        <v>190.07</v>
      </c>
      <c r="F560" s="1">
        <v>188.94</v>
      </c>
    </row>
    <row r="561" spans="1:6" x14ac:dyDescent="0.2">
      <c r="A561" t="s">
        <v>342</v>
      </c>
      <c r="B561" s="1">
        <v>189.25</v>
      </c>
      <c r="C561">
        <v>51216800</v>
      </c>
      <c r="D561" s="1">
        <v>187.93</v>
      </c>
      <c r="E561" s="1">
        <v>189.9</v>
      </c>
      <c r="F561" s="1">
        <v>187.6</v>
      </c>
    </row>
    <row r="562" spans="1:6" x14ac:dyDescent="0.2">
      <c r="A562" t="s">
        <v>343</v>
      </c>
      <c r="B562" s="1">
        <v>188.06</v>
      </c>
      <c r="C562">
        <v>50730850</v>
      </c>
      <c r="D562" s="1">
        <v>185.89</v>
      </c>
      <c r="E562" s="1">
        <v>188.39</v>
      </c>
      <c r="F562" s="1">
        <v>185.67</v>
      </c>
    </row>
    <row r="563" spans="1:6" x14ac:dyDescent="0.2">
      <c r="A563" t="s">
        <v>344</v>
      </c>
      <c r="B563" s="1">
        <v>185.27</v>
      </c>
      <c r="C563">
        <v>48088660</v>
      </c>
      <c r="D563" s="1">
        <v>186.83</v>
      </c>
      <c r="E563" s="1">
        <v>188.05</v>
      </c>
      <c r="F563" s="1">
        <v>185.23</v>
      </c>
    </row>
    <row r="564" spans="1:6" x14ac:dyDescent="0.2">
      <c r="A564" t="s">
        <v>345</v>
      </c>
      <c r="B564" s="1">
        <v>186.68</v>
      </c>
      <c r="C564">
        <v>53117000</v>
      </c>
      <c r="D564" s="1">
        <v>185.55</v>
      </c>
      <c r="E564" s="1">
        <v>187.56</v>
      </c>
      <c r="F564" s="1">
        <v>185.01</v>
      </c>
    </row>
    <row r="565" spans="1:6" x14ac:dyDescent="0.2">
      <c r="A565" t="s">
        <v>346</v>
      </c>
      <c r="B565" s="1">
        <v>187</v>
      </c>
      <c r="C565">
        <v>51245330</v>
      </c>
      <c r="D565" s="1">
        <v>183.74</v>
      </c>
      <c r="E565" s="1">
        <v>187.04499999999999</v>
      </c>
      <c r="F565" s="1">
        <v>183.67</v>
      </c>
    </row>
    <row r="566" spans="1:6" x14ac:dyDescent="0.2">
      <c r="A566" t="s">
        <v>347</v>
      </c>
      <c r="B566" s="1">
        <v>183.96</v>
      </c>
      <c r="C566">
        <v>49515700</v>
      </c>
      <c r="D566" s="1">
        <v>184.9</v>
      </c>
      <c r="E566" s="1">
        <v>185.41</v>
      </c>
      <c r="F566" s="1">
        <v>182.59010000000001</v>
      </c>
    </row>
    <row r="567" spans="1:6" x14ac:dyDescent="0.2">
      <c r="A567" t="s">
        <v>348</v>
      </c>
      <c r="B567" s="1">
        <v>185.01</v>
      </c>
      <c r="C567">
        <v>49799090</v>
      </c>
      <c r="D567" s="1">
        <v>184.41</v>
      </c>
      <c r="E567" s="1">
        <v>186.1</v>
      </c>
      <c r="F567" s="1">
        <v>184.41</v>
      </c>
    </row>
    <row r="568" spans="1:6" x14ac:dyDescent="0.2">
      <c r="A568" t="s">
        <v>349</v>
      </c>
      <c r="B568" s="1">
        <v>184.92</v>
      </c>
      <c r="C568">
        <v>101256200</v>
      </c>
      <c r="D568" s="1">
        <v>186.73</v>
      </c>
      <c r="E568" s="1">
        <v>186.99</v>
      </c>
      <c r="F568" s="1">
        <v>184.27</v>
      </c>
    </row>
    <row r="569" spans="1:6" x14ac:dyDescent="0.2">
      <c r="A569" t="s">
        <v>350</v>
      </c>
      <c r="B569" s="1">
        <v>186.01</v>
      </c>
      <c r="C569">
        <v>65433170</v>
      </c>
      <c r="D569" s="1">
        <v>183.96</v>
      </c>
      <c r="E569" s="1">
        <v>186.52</v>
      </c>
      <c r="F569" s="1">
        <v>183.78</v>
      </c>
    </row>
    <row r="570" spans="1:6" x14ac:dyDescent="0.2">
      <c r="A570" t="s">
        <v>351</v>
      </c>
      <c r="B570" s="1">
        <v>183.95</v>
      </c>
      <c r="C570">
        <v>57462880</v>
      </c>
      <c r="D570" s="1">
        <v>183.37</v>
      </c>
      <c r="E570" s="1">
        <v>184.39</v>
      </c>
      <c r="F570" s="1">
        <v>182.02</v>
      </c>
    </row>
    <row r="571" spans="1:6" x14ac:dyDescent="0.2">
      <c r="A571" t="s">
        <v>352</v>
      </c>
      <c r="B571" s="1">
        <v>183.31</v>
      </c>
      <c r="C571">
        <v>54929130</v>
      </c>
      <c r="D571" s="1">
        <v>182.8</v>
      </c>
      <c r="E571" s="1">
        <v>184.15</v>
      </c>
      <c r="F571" s="1">
        <v>182.44</v>
      </c>
    </row>
    <row r="572" spans="1:6" x14ac:dyDescent="0.2">
      <c r="A572" s="2">
        <v>45266</v>
      </c>
      <c r="B572" s="1">
        <v>183.79</v>
      </c>
      <c r="C572">
        <v>54755000</v>
      </c>
      <c r="D572" s="1">
        <v>181.27</v>
      </c>
      <c r="E572" s="1">
        <v>183.89</v>
      </c>
      <c r="F572" s="1">
        <v>180.97</v>
      </c>
    </row>
    <row r="573" spans="1:6" x14ac:dyDescent="0.2">
      <c r="A573" s="2">
        <v>45175</v>
      </c>
      <c r="B573" s="1">
        <v>180.96</v>
      </c>
      <c r="C573">
        <v>48899970</v>
      </c>
      <c r="D573" s="1">
        <v>181.5</v>
      </c>
      <c r="E573" s="1">
        <v>182.23</v>
      </c>
      <c r="F573" s="1">
        <v>180.63</v>
      </c>
    </row>
    <row r="574" spans="1:6" x14ac:dyDescent="0.2">
      <c r="A574" s="2">
        <v>45144</v>
      </c>
      <c r="B574" s="1">
        <v>180.57</v>
      </c>
      <c r="C574">
        <v>50214880</v>
      </c>
      <c r="D574" s="1">
        <v>177.89500000000001</v>
      </c>
      <c r="E574" s="1">
        <v>180.84</v>
      </c>
      <c r="F574" s="1">
        <v>177.46</v>
      </c>
    </row>
    <row r="575" spans="1:6" x14ac:dyDescent="0.2">
      <c r="A575" s="2">
        <v>45113</v>
      </c>
      <c r="B575" s="1">
        <v>177.82</v>
      </c>
      <c r="C575">
        <v>61944620</v>
      </c>
      <c r="D575" s="1">
        <v>178.44</v>
      </c>
      <c r="E575" s="1">
        <v>181.21</v>
      </c>
      <c r="F575" s="1">
        <v>177.32</v>
      </c>
    </row>
    <row r="576" spans="1:6" x14ac:dyDescent="0.2">
      <c r="A576" s="2">
        <v>45083</v>
      </c>
      <c r="B576" s="1">
        <v>179.21</v>
      </c>
      <c r="C576">
        <v>64848370</v>
      </c>
      <c r="D576" s="1">
        <v>179.965</v>
      </c>
      <c r="E576" s="1">
        <v>180.12</v>
      </c>
      <c r="F576" s="1">
        <v>177.43</v>
      </c>
    </row>
    <row r="577" spans="1:6" x14ac:dyDescent="0.2">
      <c r="A577" s="2">
        <v>45052</v>
      </c>
      <c r="B577" s="1">
        <v>179.58</v>
      </c>
      <c r="C577">
        <v>121946500</v>
      </c>
      <c r="D577" s="1">
        <v>182.63</v>
      </c>
      <c r="E577" s="1">
        <v>184.95099999999999</v>
      </c>
      <c r="F577" s="1">
        <v>178.035</v>
      </c>
    </row>
    <row r="578" spans="1:6" x14ac:dyDescent="0.2">
      <c r="A578" s="2">
        <v>44963</v>
      </c>
      <c r="B578" s="1">
        <v>180.95</v>
      </c>
      <c r="C578">
        <v>61996910</v>
      </c>
      <c r="D578" s="1">
        <v>181.03</v>
      </c>
      <c r="E578" s="1">
        <v>181.78</v>
      </c>
      <c r="F578" s="1">
        <v>179.26</v>
      </c>
    </row>
    <row r="579" spans="1:6" x14ac:dyDescent="0.2">
      <c r="A579" s="2">
        <v>44932</v>
      </c>
      <c r="B579" s="1">
        <v>180.09</v>
      </c>
      <c r="C579">
        <v>68901810</v>
      </c>
      <c r="D579" s="1">
        <v>177.7</v>
      </c>
      <c r="E579" s="1">
        <v>180.12</v>
      </c>
      <c r="F579" s="1">
        <v>176.9306</v>
      </c>
    </row>
    <row r="580" spans="1:6" x14ac:dyDescent="0.2">
      <c r="A580" t="s">
        <v>353</v>
      </c>
      <c r="B580" s="1">
        <v>177.25</v>
      </c>
      <c r="C580">
        <v>99625290</v>
      </c>
      <c r="D580" s="1">
        <v>177.32499999999999</v>
      </c>
      <c r="E580" s="1">
        <v>179.35</v>
      </c>
      <c r="F580" s="1">
        <v>176.76</v>
      </c>
    </row>
    <row r="581" spans="1:6" x14ac:dyDescent="0.2">
      <c r="A581" t="s">
        <v>354</v>
      </c>
      <c r="B581" s="1">
        <v>177.3</v>
      </c>
      <c r="C581">
        <v>55964400</v>
      </c>
      <c r="D581" s="1">
        <v>176.96</v>
      </c>
      <c r="E581" s="1">
        <v>178.99</v>
      </c>
      <c r="F581" s="1">
        <v>176.57</v>
      </c>
    </row>
    <row r="582" spans="1:6" x14ac:dyDescent="0.2">
      <c r="A582" t="s">
        <v>355</v>
      </c>
      <c r="B582" s="1">
        <v>175.43</v>
      </c>
      <c r="C582">
        <v>54834980</v>
      </c>
      <c r="D582" s="1">
        <v>173.32</v>
      </c>
      <c r="E582" s="1">
        <v>175.77</v>
      </c>
      <c r="F582" s="1">
        <v>173.11</v>
      </c>
    </row>
    <row r="583" spans="1:6" x14ac:dyDescent="0.2">
      <c r="A583" t="s">
        <v>356</v>
      </c>
      <c r="B583" s="1">
        <v>172.99</v>
      </c>
      <c r="C583">
        <v>56058260</v>
      </c>
      <c r="D583" s="1">
        <v>172.41</v>
      </c>
      <c r="E583" s="1">
        <v>173.89500000000001</v>
      </c>
      <c r="F583" s="1">
        <v>171.69</v>
      </c>
    </row>
    <row r="584" spans="1:6" x14ac:dyDescent="0.2">
      <c r="A584" t="s">
        <v>357</v>
      </c>
      <c r="B584" s="1">
        <v>171.84</v>
      </c>
      <c r="C584">
        <v>45143490</v>
      </c>
      <c r="D584" s="1">
        <v>171.09</v>
      </c>
      <c r="E584" s="1">
        <v>172.41829999999999</v>
      </c>
      <c r="F584" s="1">
        <v>170.52</v>
      </c>
    </row>
    <row r="585" spans="1:6" x14ac:dyDescent="0.2">
      <c r="A585" t="s">
        <v>358</v>
      </c>
      <c r="B585" s="1">
        <v>171.56</v>
      </c>
      <c r="C585">
        <v>50747260</v>
      </c>
      <c r="D585" s="1">
        <v>173.13</v>
      </c>
      <c r="E585" s="1">
        <v>173.3794</v>
      </c>
      <c r="F585" s="1">
        <v>171.27500000000001</v>
      </c>
    </row>
    <row r="586" spans="1:6" x14ac:dyDescent="0.2">
      <c r="A586" t="s">
        <v>359</v>
      </c>
      <c r="B586" s="1">
        <v>174.2</v>
      </c>
      <c r="C586">
        <v>43570930</v>
      </c>
      <c r="D586" s="1">
        <v>173.98</v>
      </c>
      <c r="E586" s="1">
        <v>174.71</v>
      </c>
      <c r="F586" s="1">
        <v>173.45</v>
      </c>
    </row>
    <row r="587" spans="1:6" x14ac:dyDescent="0.2">
      <c r="A587" t="s">
        <v>360</v>
      </c>
      <c r="B587" s="1">
        <v>175.16</v>
      </c>
      <c r="C587">
        <v>55809480</v>
      </c>
      <c r="D587" s="1">
        <v>176.39</v>
      </c>
      <c r="E587" s="1">
        <v>176.39</v>
      </c>
      <c r="F587" s="1">
        <v>174.94</v>
      </c>
    </row>
    <row r="588" spans="1:6" x14ac:dyDescent="0.2">
      <c r="A588" t="s">
        <v>361</v>
      </c>
      <c r="B588" s="1">
        <v>175.05</v>
      </c>
      <c r="C588">
        <v>65496660</v>
      </c>
      <c r="D588" s="1">
        <v>173</v>
      </c>
      <c r="E588" s="1">
        <v>175.24</v>
      </c>
      <c r="F588" s="1">
        <v>172.58</v>
      </c>
    </row>
    <row r="589" spans="1:6" x14ac:dyDescent="0.2">
      <c r="A589" t="s">
        <v>362</v>
      </c>
      <c r="B589" s="1">
        <v>172.69</v>
      </c>
      <c r="C589">
        <v>57951600</v>
      </c>
      <c r="D589" s="1">
        <v>171.71</v>
      </c>
      <c r="E589" s="1">
        <v>172.92500000000001</v>
      </c>
      <c r="F589" s="1">
        <v>170.42009999999999</v>
      </c>
    </row>
    <row r="590" spans="1:6" x14ac:dyDescent="0.2">
      <c r="A590" t="s">
        <v>363</v>
      </c>
      <c r="B590" s="1">
        <v>172.07</v>
      </c>
      <c r="C590">
        <v>42110290</v>
      </c>
      <c r="D590" s="1">
        <v>171.99</v>
      </c>
      <c r="E590" s="1">
        <v>173.13829999999999</v>
      </c>
      <c r="F590" s="1">
        <v>171.79910000000001</v>
      </c>
    </row>
    <row r="591" spans="1:6" x14ac:dyDescent="0.2">
      <c r="A591" t="s">
        <v>364</v>
      </c>
      <c r="B591" s="1">
        <v>172.07</v>
      </c>
      <c r="C591">
        <v>37266660</v>
      </c>
      <c r="D591" s="1">
        <v>173.16</v>
      </c>
      <c r="E591" s="1">
        <v>173.21</v>
      </c>
      <c r="F591" s="1">
        <v>171.47</v>
      </c>
    </row>
    <row r="592" spans="1:6" x14ac:dyDescent="0.2">
      <c r="A592" s="2">
        <v>45265</v>
      </c>
      <c r="B592" s="1">
        <v>172.57</v>
      </c>
      <c r="C592">
        <v>45533140</v>
      </c>
      <c r="D592" s="1">
        <v>173.62</v>
      </c>
      <c r="E592" s="1">
        <v>174.06</v>
      </c>
      <c r="F592" s="1">
        <v>171</v>
      </c>
    </row>
    <row r="593" spans="1:6" x14ac:dyDescent="0.2">
      <c r="A593" s="2">
        <v>45235</v>
      </c>
      <c r="B593" s="1">
        <v>173.75</v>
      </c>
      <c r="C593">
        <v>49514680</v>
      </c>
      <c r="D593" s="1">
        <v>173.85</v>
      </c>
      <c r="E593" s="1">
        <v>174.59</v>
      </c>
      <c r="F593" s="1">
        <v>172.17</v>
      </c>
    </row>
    <row r="594" spans="1:6" x14ac:dyDescent="0.2">
      <c r="A594" s="2">
        <v>45204</v>
      </c>
      <c r="B594" s="1">
        <v>173.55500000000001</v>
      </c>
      <c r="C594">
        <v>53724500</v>
      </c>
      <c r="D594" s="1">
        <v>173.02</v>
      </c>
      <c r="E594" s="1">
        <v>174.03</v>
      </c>
      <c r="F594" s="1">
        <v>171.9</v>
      </c>
    </row>
    <row r="595" spans="1:6" x14ac:dyDescent="0.2">
      <c r="A595" s="2">
        <v>45174</v>
      </c>
      <c r="B595" s="1">
        <v>171.77</v>
      </c>
      <c r="C595">
        <v>45326870</v>
      </c>
      <c r="D595" s="1">
        <v>173.05</v>
      </c>
      <c r="E595" s="1">
        <v>173.54</v>
      </c>
      <c r="F595" s="1">
        <v>171.6</v>
      </c>
    </row>
    <row r="596" spans="1:6" x14ac:dyDescent="0.2">
      <c r="A596" s="2">
        <v>45143</v>
      </c>
      <c r="B596" s="1">
        <v>173.5</v>
      </c>
      <c r="C596">
        <v>55962790</v>
      </c>
      <c r="D596" s="1">
        <v>172.48</v>
      </c>
      <c r="E596" s="1">
        <v>173.85</v>
      </c>
      <c r="F596" s="1">
        <v>172.11</v>
      </c>
    </row>
    <row r="597" spans="1:6" x14ac:dyDescent="0.2">
      <c r="A597" s="2">
        <v>45051</v>
      </c>
      <c r="B597" s="1">
        <v>173.57</v>
      </c>
      <c r="C597">
        <v>113453200</v>
      </c>
      <c r="D597" s="1">
        <v>170.97499999999999</v>
      </c>
      <c r="E597" s="1">
        <v>174.3</v>
      </c>
      <c r="F597" s="1">
        <v>170.76</v>
      </c>
    </row>
    <row r="598" spans="1:6" x14ac:dyDescent="0.2">
      <c r="A598" s="2">
        <v>45021</v>
      </c>
      <c r="B598" s="1">
        <v>165.79</v>
      </c>
      <c r="C598">
        <v>81235430</v>
      </c>
      <c r="D598" s="1">
        <v>164.89</v>
      </c>
      <c r="E598" s="1">
        <v>167.04</v>
      </c>
      <c r="F598" s="1">
        <v>164.31</v>
      </c>
    </row>
    <row r="599" spans="1:6" x14ac:dyDescent="0.2">
      <c r="A599" s="2">
        <v>44990</v>
      </c>
      <c r="B599" s="1">
        <v>167.45</v>
      </c>
      <c r="C599">
        <v>65136020</v>
      </c>
      <c r="D599" s="1">
        <v>169.5</v>
      </c>
      <c r="E599" s="1">
        <v>170.92</v>
      </c>
      <c r="F599" s="1">
        <v>167.16</v>
      </c>
    </row>
    <row r="600" spans="1:6" x14ac:dyDescent="0.2">
      <c r="A600" s="2">
        <v>44962</v>
      </c>
      <c r="B600" s="1">
        <v>168.54</v>
      </c>
      <c r="C600">
        <v>48425700</v>
      </c>
      <c r="D600" s="1">
        <v>170.09</v>
      </c>
      <c r="E600" s="1">
        <v>170.35</v>
      </c>
      <c r="F600" s="1">
        <v>167.54</v>
      </c>
    </row>
    <row r="601" spans="1:6" x14ac:dyDescent="0.2">
      <c r="A601" s="2">
        <v>44931</v>
      </c>
      <c r="B601" s="1">
        <v>169.59</v>
      </c>
      <c r="C601">
        <v>52472940</v>
      </c>
      <c r="D601" s="1">
        <v>169.28</v>
      </c>
      <c r="E601" s="1">
        <v>170.45</v>
      </c>
      <c r="F601" s="1">
        <v>168.64</v>
      </c>
    </row>
    <row r="602" spans="1:6" x14ac:dyDescent="0.2">
      <c r="A602" t="s">
        <v>365</v>
      </c>
      <c r="B602" s="1">
        <v>169.68</v>
      </c>
      <c r="C602">
        <v>55275850</v>
      </c>
      <c r="D602" s="1">
        <v>168.49</v>
      </c>
      <c r="E602" s="1">
        <v>169.85</v>
      </c>
      <c r="F602" s="1">
        <v>167.8801</v>
      </c>
    </row>
    <row r="603" spans="1:6" x14ac:dyDescent="0.2">
      <c r="A603" t="s">
        <v>366</v>
      </c>
      <c r="B603" s="1">
        <v>168.41</v>
      </c>
      <c r="C603">
        <v>64902330</v>
      </c>
      <c r="D603" s="1">
        <v>165.19</v>
      </c>
      <c r="E603" s="1">
        <v>168.56</v>
      </c>
      <c r="F603" s="1">
        <v>165.19</v>
      </c>
    </row>
    <row r="604" spans="1:6" x14ac:dyDescent="0.2">
      <c r="A604" t="s">
        <v>367</v>
      </c>
      <c r="B604" s="1">
        <v>163.76</v>
      </c>
      <c r="C604">
        <v>45498800</v>
      </c>
      <c r="D604" s="1">
        <v>163.05500000000001</v>
      </c>
      <c r="E604" s="1">
        <v>165.28</v>
      </c>
      <c r="F604" s="1">
        <v>162.80000000000001</v>
      </c>
    </row>
    <row r="605" spans="1:6" x14ac:dyDescent="0.2">
      <c r="A605" t="s">
        <v>368</v>
      </c>
      <c r="B605" s="1">
        <v>163.77000000000001</v>
      </c>
      <c r="C605">
        <v>48714060</v>
      </c>
      <c r="D605" s="1">
        <v>165.19</v>
      </c>
      <c r="E605" s="1">
        <v>166.30500000000001</v>
      </c>
      <c r="F605" s="1">
        <v>163.72999999999999</v>
      </c>
    </row>
    <row r="606" spans="1:6" x14ac:dyDescent="0.2">
      <c r="A606" t="s">
        <v>369</v>
      </c>
      <c r="B606" s="1">
        <v>165.33</v>
      </c>
      <c r="C606">
        <v>41949580</v>
      </c>
      <c r="D606" s="1">
        <v>165</v>
      </c>
      <c r="E606" s="1">
        <v>165.6</v>
      </c>
      <c r="F606" s="1">
        <v>163.89</v>
      </c>
    </row>
    <row r="607" spans="1:6" x14ac:dyDescent="0.2">
      <c r="A607" t="s">
        <v>370</v>
      </c>
      <c r="B607" s="1">
        <v>165.02</v>
      </c>
      <c r="C607">
        <v>58337340</v>
      </c>
      <c r="D607" s="1">
        <v>165.05</v>
      </c>
      <c r="E607" s="1">
        <v>166.4521</v>
      </c>
      <c r="F607" s="1">
        <v>164.49</v>
      </c>
    </row>
    <row r="608" spans="1:6" x14ac:dyDescent="0.2">
      <c r="A608" t="s">
        <v>371</v>
      </c>
      <c r="B608" s="1">
        <v>166.65</v>
      </c>
      <c r="C608">
        <v>52456380</v>
      </c>
      <c r="D608" s="1">
        <v>166.09</v>
      </c>
      <c r="E608" s="1">
        <v>167.87</v>
      </c>
      <c r="F608" s="1">
        <v>165.56</v>
      </c>
    </row>
    <row r="609" spans="1:6" x14ac:dyDescent="0.2">
      <c r="A609" t="s">
        <v>372</v>
      </c>
      <c r="B609" s="1">
        <v>167.63</v>
      </c>
      <c r="C609">
        <v>47720170</v>
      </c>
      <c r="D609" s="1">
        <v>165.8</v>
      </c>
      <c r="E609" s="1">
        <v>168.16</v>
      </c>
      <c r="F609" s="1">
        <v>165.54</v>
      </c>
    </row>
    <row r="610" spans="1:6" x14ac:dyDescent="0.2">
      <c r="A610" t="s">
        <v>373</v>
      </c>
      <c r="B610" s="1">
        <v>166.47</v>
      </c>
      <c r="C610">
        <v>49923010</v>
      </c>
      <c r="D610" s="1">
        <v>166.1</v>
      </c>
      <c r="E610" s="1">
        <v>167.41</v>
      </c>
      <c r="F610" s="1">
        <v>165.65</v>
      </c>
    </row>
    <row r="611" spans="1:6" x14ac:dyDescent="0.2">
      <c r="A611" t="s">
        <v>374</v>
      </c>
      <c r="B611" s="1">
        <v>165.23</v>
      </c>
      <c r="C611">
        <v>41516220</v>
      </c>
      <c r="D611" s="1">
        <v>165.09</v>
      </c>
      <c r="E611" s="1">
        <v>165.39</v>
      </c>
      <c r="F611" s="1">
        <v>164.03</v>
      </c>
    </row>
    <row r="612" spans="1:6" x14ac:dyDescent="0.2">
      <c r="A612" t="s">
        <v>375</v>
      </c>
      <c r="B612" s="1">
        <v>165.21</v>
      </c>
      <c r="C612">
        <v>49386480</v>
      </c>
      <c r="D612" s="1">
        <v>164.59</v>
      </c>
      <c r="E612" s="1">
        <v>166.32</v>
      </c>
      <c r="F612" s="1">
        <v>163.82</v>
      </c>
    </row>
    <row r="613" spans="1:6" x14ac:dyDescent="0.2">
      <c r="A613" t="s">
        <v>376</v>
      </c>
      <c r="B613" s="1">
        <v>165.56</v>
      </c>
      <c r="C613">
        <v>68445650</v>
      </c>
      <c r="D613" s="1">
        <v>161.63</v>
      </c>
      <c r="E613" s="1">
        <v>165.8</v>
      </c>
      <c r="F613" s="1">
        <v>161.41999999999999</v>
      </c>
    </row>
    <row r="614" spans="1:6" x14ac:dyDescent="0.2">
      <c r="A614" s="2">
        <v>45264</v>
      </c>
      <c r="B614" s="1">
        <v>160.1</v>
      </c>
      <c r="C614">
        <v>50133060</v>
      </c>
      <c r="D614" s="1">
        <v>161.22</v>
      </c>
      <c r="E614" s="1">
        <v>162.06</v>
      </c>
      <c r="F614" s="1">
        <v>159.78</v>
      </c>
    </row>
    <row r="615" spans="1:6" x14ac:dyDescent="0.2">
      <c r="A615" s="2">
        <v>45234</v>
      </c>
      <c r="B615" s="1">
        <v>160.80000000000001</v>
      </c>
      <c r="C615">
        <v>47644220</v>
      </c>
      <c r="D615" s="1">
        <v>162.35</v>
      </c>
      <c r="E615" s="1">
        <v>162.36000000000001</v>
      </c>
      <c r="F615" s="1">
        <v>160.51</v>
      </c>
    </row>
    <row r="616" spans="1:6" x14ac:dyDescent="0.2">
      <c r="A616" s="2">
        <v>45203</v>
      </c>
      <c r="B616" s="1">
        <v>162.03</v>
      </c>
      <c r="C616">
        <v>47716880</v>
      </c>
      <c r="D616" s="1">
        <v>161.41999999999999</v>
      </c>
      <c r="E616" s="1">
        <v>162.03</v>
      </c>
      <c r="F616" s="1">
        <v>160.08000000000001</v>
      </c>
    </row>
    <row r="617" spans="1:6" x14ac:dyDescent="0.2">
      <c r="A617" s="2">
        <v>45081</v>
      </c>
      <c r="B617" s="1">
        <v>164.66</v>
      </c>
      <c r="C617">
        <v>45390120</v>
      </c>
      <c r="D617" s="1">
        <v>162.43</v>
      </c>
      <c r="E617" s="1">
        <v>164.95840000000001</v>
      </c>
      <c r="F617" s="1">
        <v>162</v>
      </c>
    </row>
    <row r="618" spans="1:6" x14ac:dyDescent="0.2">
      <c r="A618" s="2">
        <v>45050</v>
      </c>
      <c r="B618" s="1">
        <v>163.76</v>
      </c>
      <c r="C618">
        <v>51511740</v>
      </c>
      <c r="D618" s="1">
        <v>164.74</v>
      </c>
      <c r="E618" s="1">
        <v>165.05</v>
      </c>
      <c r="F618" s="1">
        <v>161.80000000000001</v>
      </c>
    </row>
    <row r="619" spans="1:6" x14ac:dyDescent="0.2">
      <c r="A619" s="2">
        <v>45020</v>
      </c>
      <c r="B619" s="1">
        <v>165.63</v>
      </c>
      <c r="C619">
        <v>46278300</v>
      </c>
      <c r="D619" s="1">
        <v>166.595</v>
      </c>
      <c r="E619" s="1">
        <v>166.84</v>
      </c>
      <c r="F619" s="1">
        <v>165.11</v>
      </c>
    </row>
    <row r="620" spans="1:6" x14ac:dyDescent="0.2">
      <c r="A620" s="2">
        <v>44989</v>
      </c>
      <c r="B620" s="1">
        <v>166.17</v>
      </c>
      <c r="C620">
        <v>56976190</v>
      </c>
      <c r="D620" s="1">
        <v>164.27</v>
      </c>
      <c r="E620" s="1">
        <v>166.29</v>
      </c>
      <c r="F620" s="1">
        <v>164.22</v>
      </c>
    </row>
    <row r="621" spans="1:6" x14ac:dyDescent="0.2">
      <c r="A621" t="s">
        <v>377</v>
      </c>
      <c r="B621" s="1">
        <v>164.9</v>
      </c>
      <c r="C621">
        <v>68749790</v>
      </c>
      <c r="D621" s="1">
        <v>162.44</v>
      </c>
      <c r="E621" s="1">
        <v>165</v>
      </c>
      <c r="F621" s="1">
        <v>161.91</v>
      </c>
    </row>
    <row r="622" spans="1:6" x14ac:dyDescent="0.2">
      <c r="A622" t="s">
        <v>378</v>
      </c>
      <c r="B622" s="1">
        <v>162.36000000000001</v>
      </c>
      <c r="C622">
        <v>49501690</v>
      </c>
      <c r="D622" s="1">
        <v>161.53</v>
      </c>
      <c r="E622" s="1">
        <v>162.47</v>
      </c>
      <c r="F622" s="1">
        <v>161.27099999999999</v>
      </c>
    </row>
    <row r="623" spans="1:6" x14ac:dyDescent="0.2">
      <c r="A623" t="s">
        <v>379</v>
      </c>
      <c r="B623" s="1">
        <v>160.77000000000001</v>
      </c>
      <c r="C623">
        <v>51305690</v>
      </c>
      <c r="D623" s="1">
        <v>159.37</v>
      </c>
      <c r="E623" s="1">
        <v>161.05000000000001</v>
      </c>
      <c r="F623" s="1">
        <v>159.35</v>
      </c>
    </row>
    <row r="624" spans="1:6" x14ac:dyDescent="0.2">
      <c r="A624" t="s">
        <v>380</v>
      </c>
      <c r="B624" s="1">
        <v>157.65</v>
      </c>
      <c r="C624">
        <v>45992150</v>
      </c>
      <c r="D624" s="1">
        <v>157.97</v>
      </c>
      <c r="E624" s="1">
        <v>158.49</v>
      </c>
      <c r="F624" s="1">
        <v>155.97999999999999</v>
      </c>
    </row>
    <row r="625" spans="1:6" x14ac:dyDescent="0.2">
      <c r="A625" t="s">
        <v>381</v>
      </c>
      <c r="B625" s="1">
        <v>158.28</v>
      </c>
      <c r="C625">
        <v>52390270</v>
      </c>
      <c r="D625" s="1">
        <v>159.94</v>
      </c>
      <c r="E625" s="1">
        <v>160.77000000000001</v>
      </c>
      <c r="F625" s="1">
        <v>157.87</v>
      </c>
    </row>
    <row r="626" spans="1:6" x14ac:dyDescent="0.2">
      <c r="A626" t="s">
        <v>382</v>
      </c>
      <c r="B626" s="1">
        <v>160.25</v>
      </c>
      <c r="C626">
        <v>59256340</v>
      </c>
      <c r="D626" s="1">
        <v>158.86000000000001</v>
      </c>
      <c r="E626" s="1">
        <v>160.34</v>
      </c>
      <c r="F626" s="1">
        <v>157.85</v>
      </c>
    </row>
    <row r="627" spans="1:6" x14ac:dyDescent="0.2">
      <c r="A627" t="s">
        <v>383</v>
      </c>
      <c r="B627" s="1">
        <v>158.93</v>
      </c>
      <c r="C627">
        <v>67622060</v>
      </c>
      <c r="D627" s="1">
        <v>158.83000000000001</v>
      </c>
      <c r="E627" s="1">
        <v>161.55009999999999</v>
      </c>
      <c r="F627" s="1">
        <v>157.68</v>
      </c>
    </row>
    <row r="628" spans="1:6" x14ac:dyDescent="0.2">
      <c r="A628" t="s">
        <v>384</v>
      </c>
      <c r="B628" s="1">
        <v>157.83000000000001</v>
      </c>
      <c r="C628">
        <v>75701810</v>
      </c>
      <c r="D628" s="1">
        <v>159.30000000000001</v>
      </c>
      <c r="E628" s="1">
        <v>162.13999999999999</v>
      </c>
      <c r="F628" s="1">
        <v>157.81</v>
      </c>
    </row>
    <row r="629" spans="1:6" x14ac:dyDescent="0.2">
      <c r="A629" t="s">
        <v>385</v>
      </c>
      <c r="B629" s="1">
        <v>159.28</v>
      </c>
      <c r="C629">
        <v>73938290</v>
      </c>
      <c r="D629" s="1">
        <v>157.32</v>
      </c>
      <c r="E629" s="1">
        <v>159.4</v>
      </c>
      <c r="F629" s="1">
        <v>156.54</v>
      </c>
    </row>
    <row r="630" spans="1:6" x14ac:dyDescent="0.2">
      <c r="A630" t="s">
        <v>386</v>
      </c>
      <c r="B630" s="1">
        <v>157.4</v>
      </c>
      <c r="C630">
        <v>73641420</v>
      </c>
      <c r="D630" s="1">
        <v>155.07</v>
      </c>
      <c r="E630" s="1">
        <v>157.82</v>
      </c>
      <c r="F630" s="1">
        <v>154.15</v>
      </c>
    </row>
    <row r="631" spans="1:6" x14ac:dyDescent="0.2">
      <c r="A631" t="s">
        <v>387</v>
      </c>
      <c r="B631" s="1">
        <v>155</v>
      </c>
      <c r="C631">
        <v>98944630</v>
      </c>
      <c r="D631" s="1">
        <v>156.08000000000001</v>
      </c>
      <c r="E631" s="1">
        <v>156.74</v>
      </c>
      <c r="F631" s="1">
        <v>154.28</v>
      </c>
    </row>
    <row r="632" spans="1:6" x14ac:dyDescent="0.2">
      <c r="A632" t="s">
        <v>388</v>
      </c>
      <c r="B632" s="1">
        <v>155.85</v>
      </c>
      <c r="C632">
        <v>76254420</v>
      </c>
      <c r="D632" s="1">
        <v>152.16</v>
      </c>
      <c r="E632" s="1">
        <v>156.46</v>
      </c>
      <c r="F632" s="1">
        <v>151.63999999999999</v>
      </c>
    </row>
    <row r="633" spans="1:6" x14ac:dyDescent="0.2">
      <c r="A633" t="s">
        <v>389</v>
      </c>
      <c r="B633" s="1">
        <v>152.99</v>
      </c>
      <c r="C633">
        <v>77167870</v>
      </c>
      <c r="D633" s="1">
        <v>151.19</v>
      </c>
      <c r="E633" s="1">
        <v>153.245</v>
      </c>
      <c r="F633" s="1">
        <v>149.91999999999999</v>
      </c>
    </row>
    <row r="634" spans="1:6" x14ac:dyDescent="0.2">
      <c r="A634" t="s">
        <v>390</v>
      </c>
      <c r="B634" s="1">
        <v>152.59</v>
      </c>
      <c r="C634">
        <v>73695890</v>
      </c>
      <c r="D634" s="1">
        <v>151.28</v>
      </c>
      <c r="E634" s="1">
        <v>153.4</v>
      </c>
      <c r="F634" s="1">
        <v>150.1</v>
      </c>
    </row>
    <row r="635" spans="1:6" x14ac:dyDescent="0.2">
      <c r="A635" t="s">
        <v>391</v>
      </c>
      <c r="B635" s="1">
        <v>150.47</v>
      </c>
      <c r="C635">
        <v>84457120</v>
      </c>
      <c r="D635" s="1">
        <v>147.80500000000001</v>
      </c>
      <c r="E635" s="1">
        <v>153.13999999999999</v>
      </c>
      <c r="F635" s="1">
        <v>147.69999999999999</v>
      </c>
    </row>
    <row r="636" spans="1:6" x14ac:dyDescent="0.2">
      <c r="A636" s="2">
        <v>45202</v>
      </c>
      <c r="B636" s="1">
        <v>148.5</v>
      </c>
      <c r="C636">
        <v>68572400</v>
      </c>
      <c r="D636" s="1">
        <v>150.21</v>
      </c>
      <c r="E636" s="1">
        <v>150.94</v>
      </c>
      <c r="F636" s="1">
        <v>147.6096</v>
      </c>
    </row>
    <row r="637" spans="1:6" x14ac:dyDescent="0.2">
      <c r="A637" s="2">
        <v>45172</v>
      </c>
      <c r="B637" s="1">
        <v>150.59</v>
      </c>
      <c r="C637">
        <v>53833580</v>
      </c>
      <c r="D637" s="1">
        <v>153.559</v>
      </c>
      <c r="E637" s="1">
        <v>154.535</v>
      </c>
      <c r="F637" s="1">
        <v>150.22499999999999</v>
      </c>
    </row>
    <row r="638" spans="1:6" x14ac:dyDescent="0.2">
      <c r="A638" s="2">
        <v>45141</v>
      </c>
      <c r="B638" s="1">
        <v>152.87</v>
      </c>
      <c r="C638">
        <v>47204790</v>
      </c>
      <c r="D638" s="1">
        <v>152.81</v>
      </c>
      <c r="E638" s="1">
        <v>153.47</v>
      </c>
      <c r="F638" s="1">
        <v>151.83000000000001</v>
      </c>
    </row>
    <row r="639" spans="1:6" x14ac:dyDescent="0.2">
      <c r="A639" s="2">
        <v>45110</v>
      </c>
      <c r="B639" s="1">
        <v>151.6</v>
      </c>
      <c r="C639">
        <v>56182030</v>
      </c>
      <c r="D639" s="1">
        <v>153.69999999999999</v>
      </c>
      <c r="E639" s="1">
        <v>154.0299</v>
      </c>
      <c r="F639" s="1">
        <v>151.13</v>
      </c>
    </row>
    <row r="640" spans="1:6" x14ac:dyDescent="0.2">
      <c r="A640" s="2">
        <v>45080</v>
      </c>
      <c r="B640" s="1">
        <v>153.83000000000001</v>
      </c>
      <c r="C640">
        <v>87558030</v>
      </c>
      <c r="D640" s="1">
        <v>153.785</v>
      </c>
      <c r="E640" s="1">
        <v>156.30000000000001</v>
      </c>
      <c r="F640" s="1">
        <v>153.46</v>
      </c>
    </row>
    <row r="641" spans="1:6" x14ac:dyDescent="0.2">
      <c r="A641" s="2">
        <v>44988</v>
      </c>
      <c r="B641" s="1">
        <v>151.03</v>
      </c>
      <c r="C641">
        <v>70732300</v>
      </c>
      <c r="D641" s="1">
        <v>148.04499999999999</v>
      </c>
      <c r="E641" s="1">
        <v>151.11000000000001</v>
      </c>
      <c r="F641" s="1">
        <v>147.33000000000001</v>
      </c>
    </row>
    <row r="642" spans="1:6" x14ac:dyDescent="0.2">
      <c r="A642" s="2">
        <v>44960</v>
      </c>
      <c r="B642" s="1">
        <v>145.91</v>
      </c>
      <c r="C642">
        <v>52279760</v>
      </c>
      <c r="D642" s="1">
        <v>144.38</v>
      </c>
      <c r="E642" s="1">
        <v>146.71</v>
      </c>
      <c r="F642" s="1">
        <v>143.9</v>
      </c>
    </row>
    <row r="643" spans="1:6" x14ac:dyDescent="0.2">
      <c r="A643" s="2">
        <v>44929</v>
      </c>
      <c r="B643" s="1">
        <v>145.31</v>
      </c>
      <c r="C643">
        <v>55478990</v>
      </c>
      <c r="D643" s="1">
        <v>146.83000000000001</v>
      </c>
      <c r="E643" s="1">
        <v>147.2285</v>
      </c>
      <c r="F643" s="1">
        <v>145.01</v>
      </c>
    </row>
    <row r="644" spans="1:6" x14ac:dyDescent="0.2">
      <c r="A644" t="s">
        <v>392</v>
      </c>
      <c r="B644" s="1">
        <v>147.41</v>
      </c>
      <c r="C644">
        <v>50547000</v>
      </c>
      <c r="D644" s="1">
        <v>147.05000000000001</v>
      </c>
      <c r="E644" s="1">
        <v>149.08000000000001</v>
      </c>
      <c r="F644" s="1">
        <v>146.83000000000001</v>
      </c>
    </row>
    <row r="645" spans="1:6" x14ac:dyDescent="0.2">
      <c r="A645" t="s">
        <v>393</v>
      </c>
      <c r="B645" s="1">
        <v>147.91999999999999</v>
      </c>
      <c r="C645">
        <v>44998470</v>
      </c>
      <c r="D645" s="1">
        <v>147.71</v>
      </c>
      <c r="E645" s="1">
        <v>149.16999999999999</v>
      </c>
      <c r="F645" s="1">
        <v>147.44999999999999</v>
      </c>
    </row>
    <row r="646" spans="1:6" x14ac:dyDescent="0.2">
      <c r="A646" t="s">
        <v>394</v>
      </c>
      <c r="B646" s="1">
        <v>146.71</v>
      </c>
      <c r="C646">
        <v>55469610</v>
      </c>
      <c r="D646" s="1">
        <v>147.11000000000001</v>
      </c>
      <c r="E646" s="1">
        <v>147.19</v>
      </c>
      <c r="F646" s="1">
        <v>145.72020000000001</v>
      </c>
    </row>
    <row r="647" spans="1:6" x14ac:dyDescent="0.2">
      <c r="A647" t="s">
        <v>395</v>
      </c>
      <c r="B647" s="1">
        <v>149.4</v>
      </c>
      <c r="C647">
        <v>48394250</v>
      </c>
      <c r="D647" s="1">
        <v>150.09</v>
      </c>
      <c r="E647" s="1">
        <v>150.34</v>
      </c>
      <c r="F647" s="1">
        <v>147.24</v>
      </c>
    </row>
    <row r="648" spans="1:6" x14ac:dyDescent="0.2">
      <c r="A648" t="s">
        <v>396</v>
      </c>
      <c r="B648" s="1">
        <v>148.91</v>
      </c>
      <c r="C648">
        <v>51011310</v>
      </c>
      <c r="D648" s="1">
        <v>148.87</v>
      </c>
      <c r="E648" s="1">
        <v>149.94999999999999</v>
      </c>
      <c r="F648" s="1">
        <v>147.16</v>
      </c>
    </row>
    <row r="649" spans="1:6" x14ac:dyDescent="0.2">
      <c r="A649" t="s">
        <v>397</v>
      </c>
      <c r="B649" s="1">
        <v>148.47999999999999</v>
      </c>
      <c r="C649">
        <v>58867230</v>
      </c>
      <c r="D649" s="1">
        <v>150.19999999999999</v>
      </c>
      <c r="E649" s="1">
        <v>151.30000000000001</v>
      </c>
      <c r="F649" s="1">
        <v>148.405</v>
      </c>
    </row>
    <row r="650" spans="1:6" x14ac:dyDescent="0.2">
      <c r="A650" t="s">
        <v>398</v>
      </c>
      <c r="B650" s="1">
        <v>152.55000000000001</v>
      </c>
      <c r="C650">
        <v>59144120</v>
      </c>
      <c r="D650" s="1">
        <v>152.35</v>
      </c>
      <c r="E650" s="1">
        <v>153</v>
      </c>
      <c r="F650" s="1">
        <v>150.85</v>
      </c>
    </row>
    <row r="651" spans="1:6" x14ac:dyDescent="0.2">
      <c r="A651" t="s">
        <v>399</v>
      </c>
      <c r="B651" s="1">
        <v>153.71</v>
      </c>
      <c r="C651">
        <v>68167940</v>
      </c>
      <c r="D651" s="1">
        <v>153.51</v>
      </c>
      <c r="E651" s="1">
        <v>156.33000000000001</v>
      </c>
      <c r="F651" s="1">
        <v>153.3475</v>
      </c>
    </row>
    <row r="652" spans="1:6" x14ac:dyDescent="0.2">
      <c r="A652" t="s">
        <v>400</v>
      </c>
      <c r="B652" s="1">
        <v>155.33000000000001</v>
      </c>
      <c r="C652">
        <v>65669250</v>
      </c>
      <c r="D652" s="1">
        <v>153.11000000000001</v>
      </c>
      <c r="E652" s="1">
        <v>155.5</v>
      </c>
      <c r="F652" s="1">
        <v>152.88</v>
      </c>
    </row>
    <row r="653" spans="1:6" x14ac:dyDescent="0.2">
      <c r="A653" t="s">
        <v>401</v>
      </c>
      <c r="B653" s="1">
        <v>153.19999999999999</v>
      </c>
      <c r="C653">
        <v>61707570</v>
      </c>
      <c r="D653" s="1">
        <v>152.12</v>
      </c>
      <c r="E653" s="1">
        <v>153.77000000000001</v>
      </c>
      <c r="F653" s="1">
        <v>150.86000000000001</v>
      </c>
    </row>
    <row r="654" spans="1:6" x14ac:dyDescent="0.2">
      <c r="A654" t="s">
        <v>402</v>
      </c>
      <c r="B654" s="1">
        <v>153.85</v>
      </c>
      <c r="C654">
        <v>62199010</v>
      </c>
      <c r="D654" s="1">
        <v>150.952</v>
      </c>
      <c r="E654" s="1">
        <v>154.26</v>
      </c>
      <c r="F654" s="1">
        <v>150.91999999999999</v>
      </c>
    </row>
    <row r="655" spans="1:6" x14ac:dyDescent="0.2">
      <c r="A655" s="2">
        <v>45201</v>
      </c>
      <c r="B655" s="1">
        <v>151.01</v>
      </c>
      <c r="C655">
        <v>57450710</v>
      </c>
      <c r="D655" s="1">
        <v>149.46</v>
      </c>
      <c r="E655" s="1">
        <v>151.34010000000001</v>
      </c>
      <c r="F655" s="1">
        <v>149.22</v>
      </c>
    </row>
    <row r="656" spans="1:6" x14ac:dyDescent="0.2">
      <c r="A656" s="2">
        <v>45171</v>
      </c>
      <c r="B656" s="1">
        <v>150.87</v>
      </c>
      <c r="C656">
        <v>56007140</v>
      </c>
      <c r="D656" s="1">
        <v>153.77500000000001</v>
      </c>
      <c r="E656" s="1">
        <v>154.33000000000001</v>
      </c>
      <c r="F656" s="1">
        <v>150.41999999999999</v>
      </c>
    </row>
    <row r="657" spans="1:6" x14ac:dyDescent="0.2">
      <c r="A657" s="2">
        <v>45140</v>
      </c>
      <c r="B657" s="1">
        <v>151.91999999999999</v>
      </c>
      <c r="C657">
        <v>64120080</v>
      </c>
      <c r="D657" s="1">
        <v>153.88</v>
      </c>
      <c r="E657" s="1">
        <v>154.58000000000001</v>
      </c>
      <c r="F657" s="1">
        <v>151.16800000000001</v>
      </c>
    </row>
    <row r="658" spans="1:6" x14ac:dyDescent="0.2">
      <c r="A658" s="2">
        <v>45109</v>
      </c>
      <c r="B658" s="1">
        <v>154.65</v>
      </c>
      <c r="C658">
        <v>83322550</v>
      </c>
      <c r="D658" s="1">
        <v>150.63999999999999</v>
      </c>
      <c r="E658" s="1">
        <v>155.22999999999999</v>
      </c>
      <c r="F658" s="1">
        <v>150.63999999999999</v>
      </c>
    </row>
    <row r="659" spans="1:6" x14ac:dyDescent="0.2">
      <c r="A659" s="2">
        <v>45079</v>
      </c>
      <c r="B659" s="1">
        <v>151.72999999999999</v>
      </c>
      <c r="C659">
        <v>69858310</v>
      </c>
      <c r="D659" s="1">
        <v>152.57499999999999</v>
      </c>
      <c r="E659" s="1">
        <v>153.1</v>
      </c>
      <c r="F659" s="1">
        <v>150.78</v>
      </c>
    </row>
    <row r="660" spans="1:6" x14ac:dyDescent="0.2">
      <c r="A660" s="2">
        <v>44987</v>
      </c>
      <c r="B660" s="1">
        <v>154.5</v>
      </c>
      <c r="C660">
        <v>154357300</v>
      </c>
      <c r="D660" s="1">
        <v>148.03</v>
      </c>
      <c r="E660" s="1">
        <v>157.38</v>
      </c>
      <c r="F660" s="1">
        <v>147.83000000000001</v>
      </c>
    </row>
    <row r="661" spans="1:6" x14ac:dyDescent="0.2">
      <c r="A661" s="2">
        <v>44959</v>
      </c>
      <c r="B661" s="1">
        <v>150.82</v>
      </c>
      <c r="C661">
        <v>118339000</v>
      </c>
      <c r="D661" s="1">
        <v>148.9</v>
      </c>
      <c r="E661" s="1">
        <v>151.18</v>
      </c>
      <c r="F661" s="1">
        <v>148.16999999999999</v>
      </c>
    </row>
    <row r="662" spans="1:6" x14ac:dyDescent="0.2">
      <c r="A662" s="2">
        <v>44928</v>
      </c>
      <c r="B662" s="1">
        <v>145.43</v>
      </c>
      <c r="C662">
        <v>77663630</v>
      </c>
      <c r="D662" s="1">
        <v>143.97</v>
      </c>
      <c r="E662" s="1">
        <v>146.61000000000001</v>
      </c>
      <c r="F662" s="1">
        <v>141.32</v>
      </c>
    </row>
    <row r="663" spans="1:6" x14ac:dyDescent="0.2">
      <c r="A663" t="s">
        <v>403</v>
      </c>
      <c r="B663" s="1">
        <v>144.29</v>
      </c>
      <c r="C663">
        <v>65874460</v>
      </c>
      <c r="D663" s="1">
        <v>142.69999999999999</v>
      </c>
      <c r="E663" s="1">
        <v>144.34</v>
      </c>
      <c r="F663" s="1">
        <v>142.28</v>
      </c>
    </row>
    <row r="664" spans="1:6" x14ac:dyDescent="0.2">
      <c r="A664" t="s">
        <v>404</v>
      </c>
      <c r="B664" s="1">
        <v>143</v>
      </c>
      <c r="C664">
        <v>64015270</v>
      </c>
      <c r="D664" s="1">
        <v>144.95500000000001</v>
      </c>
      <c r="E664" s="1">
        <v>145.55000000000001</v>
      </c>
      <c r="F664" s="1">
        <v>142.85</v>
      </c>
    </row>
    <row r="665" spans="1:6" x14ac:dyDescent="0.2">
      <c r="A665" t="s">
        <v>405</v>
      </c>
      <c r="B665" s="1">
        <v>145.93</v>
      </c>
      <c r="C665">
        <v>70555840</v>
      </c>
      <c r="D665" s="1">
        <v>143.155</v>
      </c>
      <c r="E665" s="1">
        <v>147.22999999999999</v>
      </c>
      <c r="F665" s="1">
        <v>143.08000000000001</v>
      </c>
    </row>
    <row r="666" spans="1:6" x14ac:dyDescent="0.2">
      <c r="A666" t="s">
        <v>406</v>
      </c>
      <c r="B666" s="1">
        <v>143.96</v>
      </c>
      <c r="C666">
        <v>54105070</v>
      </c>
      <c r="D666" s="1">
        <v>143.16999999999999</v>
      </c>
      <c r="E666" s="1">
        <v>144.25</v>
      </c>
      <c r="F666" s="1">
        <v>141.9</v>
      </c>
    </row>
    <row r="667" spans="1:6" x14ac:dyDescent="0.2">
      <c r="A667" t="s">
        <v>407</v>
      </c>
      <c r="B667" s="1">
        <v>141.86000000000001</v>
      </c>
      <c r="C667">
        <v>65799350</v>
      </c>
      <c r="D667" s="1">
        <v>140.88999999999999</v>
      </c>
      <c r="E667" s="1">
        <v>142.43</v>
      </c>
      <c r="F667" s="1">
        <v>138.81</v>
      </c>
    </row>
    <row r="668" spans="1:6" x14ac:dyDescent="0.2">
      <c r="A668" t="s">
        <v>408</v>
      </c>
      <c r="B668" s="1">
        <v>142.53</v>
      </c>
      <c r="C668">
        <v>66435140</v>
      </c>
      <c r="D668" s="1">
        <v>140.30500000000001</v>
      </c>
      <c r="E668" s="1">
        <v>143.16</v>
      </c>
      <c r="F668" s="1">
        <v>140.30000000000001</v>
      </c>
    </row>
    <row r="669" spans="1:6" x14ac:dyDescent="0.2">
      <c r="A669" t="s">
        <v>409</v>
      </c>
      <c r="B669" s="1">
        <v>141.11000000000001</v>
      </c>
      <c r="C669">
        <v>81760310</v>
      </c>
      <c r="D669" s="1">
        <v>138.12</v>
      </c>
      <c r="E669" s="1">
        <v>143.315</v>
      </c>
      <c r="F669" s="1">
        <v>137.9</v>
      </c>
    </row>
    <row r="670" spans="1:6" x14ac:dyDescent="0.2">
      <c r="A670" t="s">
        <v>410</v>
      </c>
      <c r="B670" s="1">
        <v>137.87</v>
      </c>
      <c r="C670">
        <v>80223630</v>
      </c>
      <c r="D670" s="1">
        <v>135.28</v>
      </c>
      <c r="E670" s="1">
        <v>138.02000000000001</v>
      </c>
      <c r="F670" s="1">
        <v>134.22</v>
      </c>
    </row>
    <row r="671" spans="1:6" x14ac:dyDescent="0.2">
      <c r="A671" t="s">
        <v>411</v>
      </c>
      <c r="B671" s="1">
        <v>135.27000000000001</v>
      </c>
      <c r="C671">
        <v>58280410</v>
      </c>
      <c r="D671" s="1">
        <v>134.08000000000001</v>
      </c>
      <c r="E671" s="1">
        <v>136.25</v>
      </c>
      <c r="F671" s="1">
        <v>133.77000000000001</v>
      </c>
    </row>
    <row r="672" spans="1:6" x14ac:dyDescent="0.2">
      <c r="A672" t="s">
        <v>412</v>
      </c>
      <c r="B672" s="1">
        <v>135.21</v>
      </c>
      <c r="C672">
        <v>69672800</v>
      </c>
      <c r="D672" s="1">
        <v>136.815</v>
      </c>
      <c r="E672" s="1">
        <v>138.61000000000001</v>
      </c>
      <c r="F672" s="1">
        <v>135.03</v>
      </c>
    </row>
    <row r="673" spans="1:6" x14ac:dyDescent="0.2">
      <c r="A673" t="s">
        <v>413</v>
      </c>
      <c r="B673" s="1">
        <v>135.94</v>
      </c>
      <c r="C673">
        <v>63646630</v>
      </c>
      <c r="D673" s="1">
        <v>134.83000000000001</v>
      </c>
      <c r="E673" s="1">
        <v>137.29</v>
      </c>
      <c r="F673" s="1">
        <v>134.13</v>
      </c>
    </row>
    <row r="674" spans="1:6" x14ac:dyDescent="0.2">
      <c r="A674" t="s">
        <v>414</v>
      </c>
      <c r="B674" s="1">
        <v>134.76</v>
      </c>
      <c r="C674">
        <v>57809720</v>
      </c>
      <c r="D674" s="1">
        <v>132.03</v>
      </c>
      <c r="E674" s="1">
        <v>134.91999999999999</v>
      </c>
      <c r="F674" s="1">
        <v>131.66</v>
      </c>
    </row>
    <row r="675" spans="1:6" x14ac:dyDescent="0.2">
      <c r="A675" s="2">
        <v>45261</v>
      </c>
      <c r="B675" s="1">
        <v>133.41</v>
      </c>
      <c r="C675">
        <v>71379650</v>
      </c>
      <c r="D675" s="1">
        <v>133.88</v>
      </c>
      <c r="E675" s="1">
        <v>134.26</v>
      </c>
      <c r="F675" s="1">
        <v>131.44</v>
      </c>
    </row>
    <row r="676" spans="1:6" x14ac:dyDescent="0.2">
      <c r="A676" s="2">
        <v>45231</v>
      </c>
      <c r="B676" s="1">
        <v>133.49</v>
      </c>
      <c r="C676">
        <v>69458950</v>
      </c>
      <c r="D676" s="1">
        <v>131.25</v>
      </c>
      <c r="E676" s="1">
        <v>133.51</v>
      </c>
      <c r="F676" s="1">
        <v>130.46</v>
      </c>
    </row>
    <row r="677" spans="1:6" x14ac:dyDescent="0.2">
      <c r="A677" s="2">
        <v>45200</v>
      </c>
      <c r="B677" s="1">
        <v>130.72999999999999</v>
      </c>
      <c r="C677">
        <v>63896160</v>
      </c>
      <c r="D677" s="1">
        <v>130.26</v>
      </c>
      <c r="E677" s="1">
        <v>131.2636</v>
      </c>
      <c r="F677" s="1">
        <v>128.12</v>
      </c>
    </row>
    <row r="678" spans="1:6" x14ac:dyDescent="0.2">
      <c r="A678" s="2">
        <v>45170</v>
      </c>
      <c r="B678" s="1">
        <v>130.15</v>
      </c>
      <c r="C678">
        <v>70790810</v>
      </c>
      <c r="D678" s="1">
        <v>130.465</v>
      </c>
      <c r="E678" s="1">
        <v>133.41</v>
      </c>
      <c r="F678" s="1">
        <v>129.88999999999999</v>
      </c>
    </row>
    <row r="679" spans="1:6" x14ac:dyDescent="0.2">
      <c r="A679" s="2">
        <v>45078</v>
      </c>
      <c r="B679" s="1">
        <v>129.62</v>
      </c>
      <c r="C679">
        <v>87754720</v>
      </c>
      <c r="D679" s="1">
        <v>126.01</v>
      </c>
      <c r="E679" s="1">
        <v>130.29</v>
      </c>
      <c r="F679" s="1">
        <v>124.89</v>
      </c>
    </row>
    <row r="680" spans="1:6" x14ac:dyDescent="0.2">
      <c r="A680" s="2">
        <v>45047</v>
      </c>
      <c r="B680" s="1">
        <v>125.02</v>
      </c>
      <c r="C680">
        <v>80962710</v>
      </c>
      <c r="D680" s="1">
        <v>127.13</v>
      </c>
      <c r="E680" s="1">
        <v>127.77</v>
      </c>
      <c r="F680" s="1">
        <v>124.76</v>
      </c>
    </row>
    <row r="681" spans="1:6" x14ac:dyDescent="0.2">
      <c r="A681" s="2">
        <v>45017</v>
      </c>
      <c r="B681" s="1">
        <v>126.36</v>
      </c>
      <c r="C681">
        <v>89113630</v>
      </c>
      <c r="D681" s="1">
        <v>126.89</v>
      </c>
      <c r="E681" s="1">
        <v>128.6557</v>
      </c>
      <c r="F681" s="1">
        <v>125.08</v>
      </c>
    </row>
    <row r="682" spans="1:6" x14ac:dyDescent="0.2">
      <c r="A682" s="2">
        <v>44986</v>
      </c>
      <c r="B682" s="1">
        <v>125.07</v>
      </c>
      <c r="C682">
        <v>112117500</v>
      </c>
      <c r="D682" s="1">
        <v>130.28</v>
      </c>
      <c r="E682" s="1">
        <v>130.9</v>
      </c>
      <c r="F682" s="1">
        <v>124.17</v>
      </c>
    </row>
    <row r="683" spans="1:6" x14ac:dyDescent="0.2">
      <c r="A683" t="s">
        <v>415</v>
      </c>
      <c r="B683" s="1">
        <v>129.93</v>
      </c>
      <c r="C683">
        <v>77034210</v>
      </c>
      <c r="D683" s="1">
        <v>128.41</v>
      </c>
      <c r="E683" s="1">
        <v>129.94999999999999</v>
      </c>
      <c r="F683" s="1">
        <v>127.43</v>
      </c>
    </row>
    <row r="684" spans="1:6" x14ac:dyDescent="0.2">
      <c r="A684" t="s">
        <v>416</v>
      </c>
      <c r="B684" s="1">
        <v>129.61000000000001</v>
      </c>
      <c r="C684">
        <v>75703710</v>
      </c>
      <c r="D684" s="1">
        <v>127.99</v>
      </c>
      <c r="E684" s="1">
        <v>130.48140000000001</v>
      </c>
      <c r="F684" s="1">
        <v>127.73</v>
      </c>
    </row>
    <row r="685" spans="1:6" x14ac:dyDescent="0.2">
      <c r="A685" t="s">
        <v>417</v>
      </c>
      <c r="B685" s="1">
        <v>126.04</v>
      </c>
      <c r="C685">
        <v>85438390</v>
      </c>
      <c r="D685" s="1">
        <v>129.66999999999999</v>
      </c>
      <c r="E685" s="1">
        <v>131.0275</v>
      </c>
      <c r="F685" s="1">
        <v>125.87</v>
      </c>
    </row>
    <row r="686" spans="1:6" x14ac:dyDescent="0.2">
      <c r="A686" t="s">
        <v>418</v>
      </c>
      <c r="B686" s="1">
        <v>130.03</v>
      </c>
      <c r="C686">
        <v>69007830</v>
      </c>
      <c r="D686" s="1">
        <v>131.38</v>
      </c>
      <c r="E686" s="1">
        <v>131.41</v>
      </c>
      <c r="F686" s="1">
        <v>128.72</v>
      </c>
    </row>
    <row r="687" spans="1:6" x14ac:dyDescent="0.2">
      <c r="A687" t="s">
        <v>419</v>
      </c>
      <c r="B687" s="1">
        <v>131.86000000000001</v>
      </c>
      <c r="C687">
        <v>63814890</v>
      </c>
      <c r="D687" s="1">
        <v>130.91999999999999</v>
      </c>
      <c r="E687" s="1">
        <v>132.41499999999999</v>
      </c>
      <c r="F687" s="1">
        <v>129.63999999999999</v>
      </c>
    </row>
    <row r="688" spans="1:6" x14ac:dyDescent="0.2">
      <c r="A688" t="s">
        <v>420</v>
      </c>
      <c r="B688" s="1">
        <v>132.22999999999999</v>
      </c>
      <c r="C688">
        <v>77852110</v>
      </c>
      <c r="D688" s="1">
        <v>134.352</v>
      </c>
      <c r="E688" s="1">
        <v>134.56</v>
      </c>
      <c r="F688" s="1">
        <v>130.30000000000001</v>
      </c>
    </row>
    <row r="689" spans="1:6" x14ac:dyDescent="0.2">
      <c r="A689" t="s">
        <v>421</v>
      </c>
      <c r="B689" s="1">
        <v>135.44999999999999</v>
      </c>
      <c r="C689">
        <v>85927990</v>
      </c>
      <c r="D689" s="1">
        <v>132.97999999999999</v>
      </c>
      <c r="E689" s="1">
        <v>136.81</v>
      </c>
      <c r="F689" s="1">
        <v>132.75</v>
      </c>
    </row>
    <row r="690" spans="1:6" x14ac:dyDescent="0.2">
      <c r="A690" t="s">
        <v>422</v>
      </c>
      <c r="B690" s="1">
        <v>132.30000000000001</v>
      </c>
      <c r="C690">
        <v>77432820</v>
      </c>
      <c r="D690" s="1">
        <v>131.38999999999999</v>
      </c>
      <c r="E690" s="1">
        <v>133.25</v>
      </c>
      <c r="F690" s="1">
        <v>129.88999999999999</v>
      </c>
    </row>
    <row r="691" spans="1:6" x14ac:dyDescent="0.2">
      <c r="A691" t="s">
        <v>423</v>
      </c>
      <c r="B691" s="1">
        <v>132.37</v>
      </c>
      <c r="C691">
        <v>79592610</v>
      </c>
      <c r="D691" s="1">
        <v>135.11000000000001</v>
      </c>
      <c r="E691" s="1">
        <v>135.19999999999999</v>
      </c>
      <c r="F691" s="1">
        <v>131.32</v>
      </c>
    </row>
    <row r="692" spans="1:6" x14ac:dyDescent="0.2">
      <c r="A692" t="s">
        <v>424</v>
      </c>
      <c r="B692" s="1">
        <v>134.51</v>
      </c>
      <c r="C692">
        <v>160156900</v>
      </c>
      <c r="D692" s="1">
        <v>136.685</v>
      </c>
      <c r="E692" s="1">
        <v>137.65</v>
      </c>
      <c r="F692" s="1">
        <v>133.72999999999999</v>
      </c>
    </row>
    <row r="693" spans="1:6" x14ac:dyDescent="0.2">
      <c r="A693" t="s">
        <v>425</v>
      </c>
      <c r="B693" s="1">
        <v>136.5</v>
      </c>
      <c r="C693">
        <v>98931910</v>
      </c>
      <c r="D693" s="1">
        <v>141.11000000000001</v>
      </c>
      <c r="E693" s="1">
        <v>141.80000000000001</v>
      </c>
      <c r="F693" s="1">
        <v>136.02500000000001</v>
      </c>
    </row>
    <row r="694" spans="1:6" x14ac:dyDescent="0.2">
      <c r="A694" t="s">
        <v>426</v>
      </c>
      <c r="B694" s="1">
        <v>143.21</v>
      </c>
      <c r="C694">
        <v>82291180</v>
      </c>
      <c r="D694" s="1">
        <v>145.35</v>
      </c>
      <c r="E694" s="1">
        <v>146.655</v>
      </c>
      <c r="F694" s="1">
        <v>141.16</v>
      </c>
    </row>
    <row r="695" spans="1:6" x14ac:dyDescent="0.2">
      <c r="A695" t="s">
        <v>427</v>
      </c>
      <c r="B695" s="1">
        <v>145.47</v>
      </c>
      <c r="C695">
        <v>93886160</v>
      </c>
      <c r="D695" s="1">
        <v>149.5</v>
      </c>
      <c r="E695" s="1">
        <v>149.9692</v>
      </c>
      <c r="F695" s="1">
        <v>144.24</v>
      </c>
    </row>
    <row r="696" spans="1:6" x14ac:dyDescent="0.2">
      <c r="A696" s="2">
        <v>44907</v>
      </c>
      <c r="B696" s="1">
        <v>144.49</v>
      </c>
      <c r="C696">
        <v>70462650</v>
      </c>
      <c r="D696" s="1">
        <v>142.69999999999999</v>
      </c>
      <c r="E696" s="1">
        <v>144.5</v>
      </c>
      <c r="F696" s="1">
        <v>141.06</v>
      </c>
    </row>
    <row r="697" spans="1:6" x14ac:dyDescent="0.2">
      <c r="A697" s="2">
        <v>44816</v>
      </c>
      <c r="B697" s="1">
        <v>142.16</v>
      </c>
      <c r="C697">
        <v>76097010</v>
      </c>
      <c r="D697" s="1">
        <v>142.34</v>
      </c>
      <c r="E697" s="1">
        <v>145.57</v>
      </c>
      <c r="F697" s="1">
        <v>140.9</v>
      </c>
    </row>
    <row r="698" spans="1:6" x14ac:dyDescent="0.2">
      <c r="A698" s="2">
        <v>44785</v>
      </c>
      <c r="B698" s="1">
        <v>142.65</v>
      </c>
      <c r="C698">
        <v>62128340</v>
      </c>
      <c r="D698" s="1">
        <v>142.36000000000001</v>
      </c>
      <c r="E698" s="1">
        <v>143.52000000000001</v>
      </c>
      <c r="F698" s="1">
        <v>141.1</v>
      </c>
    </row>
    <row r="699" spans="1:6" x14ac:dyDescent="0.2">
      <c r="A699" s="2">
        <v>44754</v>
      </c>
      <c r="B699" s="1">
        <v>140.94</v>
      </c>
      <c r="C699">
        <v>69721090</v>
      </c>
      <c r="D699" s="1">
        <v>142.19</v>
      </c>
      <c r="E699" s="1">
        <v>143.37</v>
      </c>
      <c r="F699" s="1">
        <v>140</v>
      </c>
    </row>
    <row r="700" spans="1:6" x14ac:dyDescent="0.2">
      <c r="A700" s="2">
        <v>44724</v>
      </c>
      <c r="B700" s="1">
        <v>142.91</v>
      </c>
      <c r="C700">
        <v>64727190</v>
      </c>
      <c r="D700" s="1">
        <v>147.07499999999999</v>
      </c>
      <c r="E700" s="1">
        <v>147.30000000000001</v>
      </c>
      <c r="F700" s="1">
        <v>141.91999999999999</v>
      </c>
    </row>
    <row r="701" spans="1:6" x14ac:dyDescent="0.2">
      <c r="A701" s="2">
        <v>44693</v>
      </c>
      <c r="B701" s="1">
        <v>146.63</v>
      </c>
      <c r="C701">
        <v>68826440</v>
      </c>
      <c r="D701" s="1">
        <v>147.77000000000001</v>
      </c>
      <c r="E701" s="1">
        <v>150.91990000000001</v>
      </c>
      <c r="F701" s="1">
        <v>145.77000000000001</v>
      </c>
    </row>
    <row r="702" spans="1:6" x14ac:dyDescent="0.2">
      <c r="A702" s="2">
        <v>44604</v>
      </c>
      <c r="B702" s="1">
        <v>147.81</v>
      </c>
      <c r="C702">
        <v>65447450</v>
      </c>
      <c r="D702" s="1">
        <v>145.96</v>
      </c>
      <c r="E702" s="1">
        <v>148</v>
      </c>
      <c r="F702" s="1">
        <v>145.65</v>
      </c>
    </row>
    <row r="703" spans="1:6" x14ac:dyDescent="0.2">
      <c r="A703" s="2">
        <v>44573</v>
      </c>
      <c r="B703" s="1">
        <v>148.31</v>
      </c>
      <c r="C703">
        <v>71250420</v>
      </c>
      <c r="D703" s="1">
        <v>148.21</v>
      </c>
      <c r="E703" s="1">
        <v>149.13</v>
      </c>
      <c r="F703" s="1">
        <v>146.61000000000001</v>
      </c>
    </row>
    <row r="704" spans="1:6" x14ac:dyDescent="0.2">
      <c r="A704" t="s">
        <v>428</v>
      </c>
      <c r="B704" s="1">
        <v>148.03</v>
      </c>
      <c r="C704">
        <v>111380900</v>
      </c>
      <c r="D704" s="1">
        <v>141.39500000000001</v>
      </c>
      <c r="E704" s="1">
        <v>148.72</v>
      </c>
      <c r="F704" s="1">
        <v>140.55000000000001</v>
      </c>
    </row>
    <row r="705" spans="1:6" x14ac:dyDescent="0.2">
      <c r="A705" t="s">
        <v>429</v>
      </c>
      <c r="B705" s="1">
        <v>141.16999999999999</v>
      </c>
      <c r="C705">
        <v>83763800</v>
      </c>
      <c r="D705" s="1">
        <v>144.29</v>
      </c>
      <c r="E705" s="1">
        <v>144.81</v>
      </c>
      <c r="F705" s="1">
        <v>140.35499999999999</v>
      </c>
    </row>
    <row r="706" spans="1:6" x14ac:dyDescent="0.2">
      <c r="A706" t="s">
        <v>430</v>
      </c>
      <c r="B706" s="1">
        <v>144.22</v>
      </c>
      <c r="C706">
        <v>69346520</v>
      </c>
      <c r="D706" s="1">
        <v>145.13999999999999</v>
      </c>
      <c r="E706" s="1">
        <v>146.63999999999999</v>
      </c>
      <c r="F706" s="1">
        <v>143.38</v>
      </c>
    </row>
    <row r="707" spans="1:6" x14ac:dyDescent="0.2">
      <c r="A707" t="s">
        <v>431</v>
      </c>
      <c r="B707" s="1">
        <v>148.11000000000001</v>
      </c>
      <c r="C707">
        <v>35195860</v>
      </c>
      <c r="D707" s="1">
        <v>148.30500000000001</v>
      </c>
      <c r="E707" s="1">
        <v>148.88</v>
      </c>
      <c r="F707" s="1">
        <v>147.12</v>
      </c>
    </row>
    <row r="708" spans="1:6" x14ac:dyDescent="0.2">
      <c r="A708" t="s">
        <v>432</v>
      </c>
      <c r="B708" s="1">
        <v>151.07</v>
      </c>
      <c r="C708">
        <v>58301400</v>
      </c>
      <c r="D708" s="1">
        <v>149.44999999999999</v>
      </c>
      <c r="E708" s="1">
        <v>151.83000000000001</v>
      </c>
      <c r="F708" s="1">
        <v>149.34</v>
      </c>
    </row>
    <row r="709" spans="1:6" x14ac:dyDescent="0.2">
      <c r="A709" t="s">
        <v>433</v>
      </c>
      <c r="B709" s="1">
        <v>150.18</v>
      </c>
      <c r="C709">
        <v>51804130</v>
      </c>
      <c r="D709" s="1">
        <v>148.13</v>
      </c>
      <c r="E709" s="1">
        <v>150.41999999999999</v>
      </c>
      <c r="F709" s="1">
        <v>146.92500000000001</v>
      </c>
    </row>
    <row r="710" spans="1:6" x14ac:dyDescent="0.2">
      <c r="A710" t="s">
        <v>434</v>
      </c>
      <c r="B710" s="1">
        <v>148.01</v>
      </c>
      <c r="C710">
        <v>58724070</v>
      </c>
      <c r="D710" s="1">
        <v>150.16</v>
      </c>
      <c r="E710" s="1">
        <v>150.37</v>
      </c>
      <c r="F710" s="1">
        <v>147.715</v>
      </c>
    </row>
    <row r="711" spans="1:6" x14ac:dyDescent="0.2">
      <c r="A711" t="s">
        <v>435</v>
      </c>
      <c r="B711" s="1">
        <v>151.29</v>
      </c>
      <c r="C711">
        <v>74829570</v>
      </c>
      <c r="D711" s="1">
        <v>152.30500000000001</v>
      </c>
      <c r="E711" s="1">
        <v>152.69999999999999</v>
      </c>
      <c r="F711" s="1">
        <v>149.97</v>
      </c>
    </row>
    <row r="712" spans="1:6" x14ac:dyDescent="0.2">
      <c r="A712" t="s">
        <v>436</v>
      </c>
      <c r="B712" s="1">
        <v>150.72</v>
      </c>
      <c r="C712">
        <v>80389400</v>
      </c>
      <c r="D712" s="1">
        <v>146.43</v>
      </c>
      <c r="E712" s="1">
        <v>151.47999999999999</v>
      </c>
      <c r="F712" s="1">
        <v>146.15</v>
      </c>
    </row>
    <row r="713" spans="1:6" x14ac:dyDescent="0.2">
      <c r="A713" t="s">
        <v>437</v>
      </c>
      <c r="B713" s="1">
        <v>148.79</v>
      </c>
      <c r="C713">
        <v>64218270</v>
      </c>
      <c r="D713" s="1">
        <v>149.13</v>
      </c>
      <c r="E713" s="1">
        <v>149.87</v>
      </c>
      <c r="F713" s="1">
        <v>147.29</v>
      </c>
    </row>
    <row r="714" spans="1:6" x14ac:dyDescent="0.2">
      <c r="A714" t="s">
        <v>438</v>
      </c>
      <c r="B714" s="1">
        <v>150.04</v>
      </c>
      <c r="C714">
        <v>89868330</v>
      </c>
      <c r="D714" s="1">
        <v>152.215</v>
      </c>
      <c r="E714" s="1">
        <v>153.59</v>
      </c>
      <c r="F714" s="1">
        <v>148.56129999999999</v>
      </c>
    </row>
    <row r="715" spans="1:6" x14ac:dyDescent="0.2">
      <c r="A715" t="s">
        <v>439</v>
      </c>
      <c r="B715" s="1">
        <v>148.28</v>
      </c>
      <c r="C715">
        <v>73374110</v>
      </c>
      <c r="D715" s="1">
        <v>148.97</v>
      </c>
      <c r="E715" s="1">
        <v>150.28</v>
      </c>
      <c r="F715" s="1">
        <v>147.43</v>
      </c>
    </row>
    <row r="716" spans="1:6" x14ac:dyDescent="0.2">
      <c r="A716" s="2">
        <v>44876</v>
      </c>
      <c r="B716" s="1">
        <v>149.69999999999999</v>
      </c>
      <c r="C716">
        <v>93979670</v>
      </c>
      <c r="D716" s="1">
        <v>145.82</v>
      </c>
      <c r="E716" s="1">
        <v>150.01</v>
      </c>
      <c r="F716" s="1">
        <v>144.37</v>
      </c>
    </row>
    <row r="717" spans="1:6" x14ac:dyDescent="0.2">
      <c r="A717" s="2">
        <v>44845</v>
      </c>
      <c r="B717" s="1">
        <v>146.87</v>
      </c>
      <c r="C717">
        <v>118854000</v>
      </c>
      <c r="D717" s="1">
        <v>141.24</v>
      </c>
      <c r="E717" s="1">
        <v>146.87</v>
      </c>
      <c r="F717" s="1">
        <v>139.5</v>
      </c>
    </row>
    <row r="718" spans="1:6" x14ac:dyDescent="0.2">
      <c r="A718" s="2">
        <v>44815</v>
      </c>
      <c r="B718" s="1">
        <v>134.87</v>
      </c>
      <c r="C718">
        <v>74917790</v>
      </c>
      <c r="D718" s="1">
        <v>138.5</v>
      </c>
      <c r="E718" s="1">
        <v>138.55000000000001</v>
      </c>
      <c r="F718" s="1">
        <v>134.5933</v>
      </c>
    </row>
    <row r="719" spans="1:6" x14ac:dyDescent="0.2">
      <c r="A719" s="2">
        <v>44784</v>
      </c>
      <c r="B719" s="1">
        <v>139.5</v>
      </c>
      <c r="C719">
        <v>89908480</v>
      </c>
      <c r="D719" s="1">
        <v>140.41</v>
      </c>
      <c r="E719" s="1">
        <v>141.43</v>
      </c>
      <c r="F719" s="1">
        <v>137.49</v>
      </c>
    </row>
    <row r="720" spans="1:6" x14ac:dyDescent="0.2">
      <c r="A720" s="2">
        <v>44753</v>
      </c>
      <c r="B720" s="1">
        <v>138.91999999999999</v>
      </c>
      <c r="C720">
        <v>83374630</v>
      </c>
      <c r="D720" s="1">
        <v>137.11000000000001</v>
      </c>
      <c r="E720" s="1">
        <v>139.14500000000001</v>
      </c>
      <c r="F720" s="1">
        <v>135.67099999999999</v>
      </c>
    </row>
    <row r="721" spans="1:6" x14ac:dyDescent="0.2">
      <c r="A721" s="2">
        <v>44662</v>
      </c>
      <c r="B721" s="1">
        <v>138.38</v>
      </c>
      <c r="C721">
        <v>140814800</v>
      </c>
      <c r="D721" s="1">
        <v>142.09</v>
      </c>
      <c r="E721" s="1">
        <v>142.66999999999999</v>
      </c>
      <c r="F721" s="1">
        <v>134.38</v>
      </c>
    </row>
    <row r="722" spans="1:6" x14ac:dyDescent="0.2">
      <c r="A722" s="2">
        <v>44631</v>
      </c>
      <c r="B722" s="1">
        <v>138.88</v>
      </c>
      <c r="C722">
        <v>97918520</v>
      </c>
      <c r="D722" s="1">
        <v>142.06</v>
      </c>
      <c r="E722" s="1">
        <v>142.80000000000001</v>
      </c>
      <c r="F722" s="1">
        <v>138.75</v>
      </c>
    </row>
    <row r="723" spans="1:6" x14ac:dyDescent="0.2">
      <c r="A723" s="2">
        <v>44603</v>
      </c>
      <c r="B723" s="1">
        <v>145.03</v>
      </c>
      <c r="C723">
        <v>93604620</v>
      </c>
      <c r="D723" s="1">
        <v>148.94499999999999</v>
      </c>
      <c r="E723" s="1">
        <v>152.16999999999999</v>
      </c>
      <c r="F723" s="1">
        <v>145</v>
      </c>
    </row>
    <row r="724" spans="1:6" x14ac:dyDescent="0.2">
      <c r="A724" s="2">
        <v>44572</v>
      </c>
      <c r="B724" s="1">
        <v>150.65</v>
      </c>
      <c r="C724">
        <v>80379350</v>
      </c>
      <c r="D724" s="1">
        <v>155.08000000000001</v>
      </c>
      <c r="E724" s="1">
        <v>155.44999999999999</v>
      </c>
      <c r="F724" s="1">
        <v>149.13</v>
      </c>
    </row>
    <row r="725" spans="1:6" x14ac:dyDescent="0.2">
      <c r="A725" t="s">
        <v>440</v>
      </c>
      <c r="B725" s="1">
        <v>153.34</v>
      </c>
      <c r="C725">
        <v>97943170</v>
      </c>
      <c r="D725" s="1">
        <v>153.155</v>
      </c>
      <c r="E725" s="1">
        <v>154.24</v>
      </c>
      <c r="F725" s="1">
        <v>151.91999999999999</v>
      </c>
    </row>
    <row r="726" spans="1:6" x14ac:dyDescent="0.2">
      <c r="A726" t="s">
        <v>441</v>
      </c>
      <c r="B726" s="1">
        <v>155.74</v>
      </c>
      <c r="C726">
        <v>164762400</v>
      </c>
      <c r="D726" s="1">
        <v>148.19999999999999</v>
      </c>
      <c r="E726" s="1">
        <v>157.5</v>
      </c>
      <c r="F726" s="1">
        <v>147.82</v>
      </c>
    </row>
    <row r="727" spans="1:6" x14ac:dyDescent="0.2">
      <c r="A727" t="s">
        <v>442</v>
      </c>
      <c r="B727" s="1">
        <v>144.80000000000001</v>
      </c>
      <c r="C727">
        <v>109180200</v>
      </c>
      <c r="D727" s="1">
        <v>148.07</v>
      </c>
      <c r="E727" s="1">
        <v>149.04599999999999</v>
      </c>
      <c r="F727" s="1">
        <v>144.13</v>
      </c>
    </row>
    <row r="728" spans="1:6" x14ac:dyDescent="0.2">
      <c r="A728" t="s">
        <v>443</v>
      </c>
      <c r="B728" s="1">
        <v>149.35</v>
      </c>
      <c r="C728">
        <v>88436170</v>
      </c>
      <c r="D728" s="1">
        <v>150.96</v>
      </c>
      <c r="E728" s="1">
        <v>151.99</v>
      </c>
      <c r="F728" s="1">
        <v>148.04</v>
      </c>
    </row>
    <row r="729" spans="1:6" x14ac:dyDescent="0.2">
      <c r="A729" t="s">
        <v>444</v>
      </c>
      <c r="B729" s="1">
        <v>152.34</v>
      </c>
      <c r="C729">
        <v>74732290</v>
      </c>
      <c r="D729" s="1">
        <v>150.09</v>
      </c>
      <c r="E729" s="1">
        <v>152.49</v>
      </c>
      <c r="F729" s="1">
        <v>149.36000000000001</v>
      </c>
    </row>
    <row r="730" spans="1:6" x14ac:dyDescent="0.2">
      <c r="A730" t="s">
        <v>445</v>
      </c>
      <c r="B730" s="1">
        <v>149.44999999999999</v>
      </c>
      <c r="C730">
        <v>75981920</v>
      </c>
      <c r="D730" s="1">
        <v>147.185</v>
      </c>
      <c r="E730" s="1">
        <v>150.22999999999999</v>
      </c>
      <c r="F730" s="1">
        <v>146</v>
      </c>
    </row>
    <row r="731" spans="1:6" x14ac:dyDescent="0.2">
      <c r="A731" t="s">
        <v>446</v>
      </c>
      <c r="B731" s="1">
        <v>147.27000000000001</v>
      </c>
      <c r="C731">
        <v>86548610</v>
      </c>
      <c r="D731" s="1">
        <v>142.87</v>
      </c>
      <c r="E731" s="1">
        <v>147.84790000000001</v>
      </c>
      <c r="F731" s="1">
        <v>142.649</v>
      </c>
    </row>
    <row r="732" spans="1:6" x14ac:dyDescent="0.2">
      <c r="A732" t="s">
        <v>447</v>
      </c>
      <c r="B732" s="1">
        <v>143.38999999999999</v>
      </c>
      <c r="C732">
        <v>64521990</v>
      </c>
      <c r="D732" s="1">
        <v>143.02000000000001</v>
      </c>
      <c r="E732" s="1">
        <v>145.88999999999999</v>
      </c>
      <c r="F732" s="1">
        <v>142.65</v>
      </c>
    </row>
    <row r="733" spans="1:6" x14ac:dyDescent="0.2">
      <c r="A733" t="s">
        <v>448</v>
      </c>
      <c r="B733" s="1">
        <v>143.86000000000001</v>
      </c>
      <c r="C733">
        <v>61758340</v>
      </c>
      <c r="D733" s="1">
        <v>141.69</v>
      </c>
      <c r="E733" s="1">
        <v>144.94919999999999</v>
      </c>
      <c r="F733" s="1">
        <v>141.5</v>
      </c>
    </row>
    <row r="734" spans="1:6" x14ac:dyDescent="0.2">
      <c r="A734" t="s">
        <v>449</v>
      </c>
      <c r="B734" s="1">
        <v>143.75</v>
      </c>
      <c r="C734">
        <v>99136610</v>
      </c>
      <c r="D734" s="1">
        <v>145.49</v>
      </c>
      <c r="E734" s="1">
        <v>146.69999999999999</v>
      </c>
      <c r="F734" s="1">
        <v>140.61000000000001</v>
      </c>
    </row>
    <row r="735" spans="1:6" x14ac:dyDescent="0.2">
      <c r="A735" t="s">
        <v>450</v>
      </c>
      <c r="B735" s="1">
        <v>142.41</v>
      </c>
      <c r="C735">
        <v>85250940</v>
      </c>
      <c r="D735" s="1">
        <v>141.065</v>
      </c>
      <c r="E735" s="1">
        <v>142.9</v>
      </c>
      <c r="F735" s="1">
        <v>140.27000000000001</v>
      </c>
    </row>
    <row r="736" spans="1:6" x14ac:dyDescent="0.2">
      <c r="A736" t="s">
        <v>451</v>
      </c>
      <c r="B736" s="1">
        <v>138.38</v>
      </c>
      <c r="C736">
        <v>88597970</v>
      </c>
      <c r="D736" s="1">
        <v>144.31</v>
      </c>
      <c r="E736" s="1">
        <v>144.52000000000001</v>
      </c>
      <c r="F736" s="1">
        <v>138.19</v>
      </c>
    </row>
    <row r="737" spans="1:6" x14ac:dyDescent="0.2">
      <c r="A737" t="s">
        <v>452</v>
      </c>
      <c r="B737" s="1">
        <v>142.99</v>
      </c>
      <c r="C737">
        <v>113224000</v>
      </c>
      <c r="D737" s="1">
        <v>134.99</v>
      </c>
      <c r="E737" s="1">
        <v>143.59</v>
      </c>
      <c r="F737" s="1">
        <v>134.37</v>
      </c>
    </row>
    <row r="738" spans="1:6" x14ac:dyDescent="0.2">
      <c r="A738" s="2">
        <v>44905</v>
      </c>
      <c r="B738" s="1">
        <v>138.34</v>
      </c>
      <c r="C738">
        <v>70433740</v>
      </c>
      <c r="D738" s="1">
        <v>139.13</v>
      </c>
      <c r="E738" s="1">
        <v>140.36000000000001</v>
      </c>
      <c r="F738" s="1">
        <v>138.16</v>
      </c>
    </row>
    <row r="739" spans="1:6" x14ac:dyDescent="0.2">
      <c r="A739" s="2">
        <v>44875</v>
      </c>
      <c r="B739" s="1">
        <v>138.97999999999999</v>
      </c>
      <c r="C739">
        <v>77033670</v>
      </c>
      <c r="D739" s="1">
        <v>139.9</v>
      </c>
      <c r="E739" s="1">
        <v>141.35</v>
      </c>
      <c r="F739" s="1">
        <v>138.22</v>
      </c>
    </row>
    <row r="740" spans="1:6" x14ac:dyDescent="0.2">
      <c r="A740" s="2">
        <v>44844</v>
      </c>
      <c r="B740" s="1">
        <v>140.41999999999999</v>
      </c>
      <c r="C740">
        <v>74899000</v>
      </c>
      <c r="D740" s="1">
        <v>140.41999999999999</v>
      </c>
      <c r="E740" s="1">
        <v>141.88999999999999</v>
      </c>
      <c r="F740" s="1">
        <v>138.5729</v>
      </c>
    </row>
    <row r="741" spans="1:6" x14ac:dyDescent="0.2">
      <c r="A741" s="2">
        <v>44752</v>
      </c>
      <c r="B741" s="1">
        <v>140.09</v>
      </c>
      <c r="C741">
        <v>85925560</v>
      </c>
      <c r="D741" s="1">
        <v>142.54</v>
      </c>
      <c r="E741" s="1">
        <v>143.1</v>
      </c>
      <c r="F741" s="1">
        <v>139.44499999999999</v>
      </c>
    </row>
    <row r="742" spans="1:6" x14ac:dyDescent="0.2">
      <c r="A742" s="2">
        <v>44722</v>
      </c>
      <c r="B742" s="1">
        <v>145.43</v>
      </c>
      <c r="C742">
        <v>68402170</v>
      </c>
      <c r="D742" s="1">
        <v>145.81</v>
      </c>
      <c r="E742" s="1">
        <v>147.54</v>
      </c>
      <c r="F742" s="1">
        <v>145.22</v>
      </c>
    </row>
    <row r="743" spans="1:6" x14ac:dyDescent="0.2">
      <c r="A743" s="2">
        <v>44691</v>
      </c>
      <c r="B743" s="1">
        <v>146.4</v>
      </c>
      <c r="C743">
        <v>79470970</v>
      </c>
      <c r="D743" s="1">
        <v>144.07499999999999</v>
      </c>
      <c r="E743" s="1">
        <v>147.38</v>
      </c>
      <c r="F743" s="1">
        <v>143.01</v>
      </c>
    </row>
    <row r="744" spans="1:6" x14ac:dyDescent="0.2">
      <c r="A744" s="2">
        <v>44661</v>
      </c>
      <c r="B744" s="1">
        <v>146.1</v>
      </c>
      <c r="C744">
        <v>87830060</v>
      </c>
      <c r="D744" s="1">
        <v>145.03</v>
      </c>
      <c r="E744" s="1">
        <v>146.22</v>
      </c>
      <c r="F744" s="1">
        <v>144.26</v>
      </c>
    </row>
    <row r="745" spans="1:6" x14ac:dyDescent="0.2">
      <c r="A745" s="2">
        <v>44630</v>
      </c>
      <c r="B745" s="1">
        <v>142.44999999999999</v>
      </c>
      <c r="C745">
        <v>114311700</v>
      </c>
      <c r="D745" s="1">
        <v>138.21</v>
      </c>
      <c r="E745" s="1">
        <v>143.07</v>
      </c>
      <c r="F745" s="1">
        <v>137.685</v>
      </c>
    </row>
    <row r="746" spans="1:6" x14ac:dyDescent="0.2">
      <c r="A746" t="s">
        <v>453</v>
      </c>
      <c r="B746" s="1">
        <v>138.19999999999999</v>
      </c>
      <c r="C746">
        <v>124925300</v>
      </c>
      <c r="D746" s="1">
        <v>141.28</v>
      </c>
      <c r="E746" s="1">
        <v>143.1</v>
      </c>
      <c r="F746" s="1">
        <v>138</v>
      </c>
    </row>
    <row r="747" spans="1:6" x14ac:dyDescent="0.2">
      <c r="A747" t="s">
        <v>454</v>
      </c>
      <c r="B747" s="1">
        <v>142.47999999999999</v>
      </c>
      <c r="C747">
        <v>128138200</v>
      </c>
      <c r="D747" s="1">
        <v>146.1</v>
      </c>
      <c r="E747" s="1">
        <v>146.72</v>
      </c>
      <c r="F747" s="1">
        <v>140.68</v>
      </c>
    </row>
    <row r="748" spans="1:6" x14ac:dyDescent="0.2">
      <c r="A748" t="s">
        <v>455</v>
      </c>
      <c r="B748" s="1">
        <v>149.84</v>
      </c>
      <c r="C748">
        <v>146691400</v>
      </c>
      <c r="D748" s="1">
        <v>147.63999999999999</v>
      </c>
      <c r="E748" s="1">
        <v>150.6414</v>
      </c>
      <c r="F748" s="1">
        <v>144.84</v>
      </c>
    </row>
    <row r="749" spans="1:6" x14ac:dyDescent="0.2">
      <c r="A749" t="s">
        <v>456</v>
      </c>
      <c r="B749" s="1">
        <v>151.76</v>
      </c>
      <c r="C749">
        <v>84442740</v>
      </c>
      <c r="D749" s="1">
        <v>152.74</v>
      </c>
      <c r="E749" s="1">
        <v>154.72</v>
      </c>
      <c r="F749" s="1">
        <v>149.94499999999999</v>
      </c>
    </row>
    <row r="750" spans="1:6" x14ac:dyDescent="0.2">
      <c r="A750" t="s">
        <v>457</v>
      </c>
      <c r="B750" s="1">
        <v>150.77000000000001</v>
      </c>
      <c r="C750">
        <v>93339410</v>
      </c>
      <c r="D750" s="1">
        <v>149.66</v>
      </c>
      <c r="E750" s="1">
        <v>153.77010000000001</v>
      </c>
      <c r="F750" s="1">
        <v>149.63999999999999</v>
      </c>
    </row>
    <row r="751" spans="1:6" x14ac:dyDescent="0.2">
      <c r="A751" t="s">
        <v>458</v>
      </c>
      <c r="B751" s="1">
        <v>150.43</v>
      </c>
      <c r="C751">
        <v>96029910</v>
      </c>
      <c r="D751" s="1">
        <v>151.19</v>
      </c>
      <c r="E751" s="1">
        <v>151.47</v>
      </c>
      <c r="F751" s="1">
        <v>148.56</v>
      </c>
    </row>
    <row r="752" spans="1:6" x14ac:dyDescent="0.2">
      <c r="A752" t="s">
        <v>459</v>
      </c>
      <c r="B752" s="1">
        <v>152.74</v>
      </c>
      <c r="C752">
        <v>86652540</v>
      </c>
      <c r="D752" s="1">
        <v>152.38</v>
      </c>
      <c r="E752" s="1">
        <v>154.47</v>
      </c>
      <c r="F752" s="1">
        <v>150.91</v>
      </c>
    </row>
    <row r="753" spans="1:6" x14ac:dyDescent="0.2">
      <c r="A753" t="s">
        <v>460</v>
      </c>
      <c r="B753" s="1">
        <v>153.72</v>
      </c>
      <c r="C753">
        <v>101696800</v>
      </c>
      <c r="D753" s="1">
        <v>157.34</v>
      </c>
      <c r="E753" s="1">
        <v>158.74</v>
      </c>
      <c r="F753" s="1">
        <v>153.6</v>
      </c>
    </row>
    <row r="754" spans="1:6" x14ac:dyDescent="0.2">
      <c r="A754" t="s">
        <v>461</v>
      </c>
      <c r="B754" s="1">
        <v>156.9</v>
      </c>
      <c r="C754">
        <v>107689800</v>
      </c>
      <c r="D754" s="1">
        <v>153.4</v>
      </c>
      <c r="E754" s="1">
        <v>158.08000000000001</v>
      </c>
      <c r="F754" s="1">
        <v>153.08000000000001</v>
      </c>
    </row>
    <row r="755" spans="1:6" x14ac:dyDescent="0.2">
      <c r="A755" t="s">
        <v>462</v>
      </c>
      <c r="B755" s="1">
        <v>154.47999999999999</v>
      </c>
      <c r="C755">
        <v>81474250</v>
      </c>
      <c r="D755" s="1">
        <v>149.31</v>
      </c>
      <c r="E755" s="1">
        <v>154.56</v>
      </c>
      <c r="F755" s="1">
        <v>149.1</v>
      </c>
    </row>
    <row r="756" spans="1:6" x14ac:dyDescent="0.2">
      <c r="A756" t="s">
        <v>463</v>
      </c>
      <c r="B756" s="1">
        <v>150.69999999999999</v>
      </c>
      <c r="C756">
        <v>162278800</v>
      </c>
      <c r="D756" s="1">
        <v>151.21</v>
      </c>
      <c r="E756" s="1">
        <v>151.35</v>
      </c>
      <c r="F756" s="1">
        <v>148.37</v>
      </c>
    </row>
    <row r="757" spans="1:6" x14ac:dyDescent="0.2">
      <c r="A757" t="s">
        <v>464</v>
      </c>
      <c r="B757" s="1">
        <v>152.37</v>
      </c>
      <c r="C757">
        <v>90481110</v>
      </c>
      <c r="D757" s="1">
        <v>154.65</v>
      </c>
      <c r="E757" s="1">
        <v>155.24</v>
      </c>
      <c r="F757" s="1">
        <v>151.38</v>
      </c>
    </row>
    <row r="758" spans="1:6" x14ac:dyDescent="0.2">
      <c r="A758" t="s">
        <v>465</v>
      </c>
      <c r="B758" s="1">
        <v>155.31</v>
      </c>
      <c r="C758">
        <v>87965410</v>
      </c>
      <c r="D758" s="1">
        <v>154.785</v>
      </c>
      <c r="E758" s="1">
        <v>157.1</v>
      </c>
      <c r="F758" s="1">
        <v>153.61060000000001</v>
      </c>
    </row>
    <row r="759" spans="1:6" x14ac:dyDescent="0.2">
      <c r="A759" t="s">
        <v>466</v>
      </c>
      <c r="B759" s="1">
        <v>153.84</v>
      </c>
      <c r="C759">
        <v>122656600</v>
      </c>
      <c r="D759" s="1">
        <v>159.9</v>
      </c>
      <c r="E759" s="1">
        <v>160.54</v>
      </c>
      <c r="F759" s="1">
        <v>153.37</v>
      </c>
    </row>
    <row r="760" spans="1:6" x14ac:dyDescent="0.2">
      <c r="A760" s="2">
        <v>44904</v>
      </c>
      <c r="B760" s="1">
        <v>163.43</v>
      </c>
      <c r="C760">
        <v>104956000</v>
      </c>
      <c r="D760" s="1">
        <v>159.59</v>
      </c>
      <c r="E760" s="1">
        <v>164.26</v>
      </c>
      <c r="F760" s="1">
        <v>159.30000000000001</v>
      </c>
    </row>
    <row r="761" spans="1:6" x14ac:dyDescent="0.2">
      <c r="A761" s="2">
        <v>44813</v>
      </c>
      <c r="B761" s="1">
        <v>157.37</v>
      </c>
      <c r="C761">
        <v>68081010</v>
      </c>
      <c r="D761" s="1">
        <v>155.47</v>
      </c>
      <c r="E761" s="1">
        <v>157.82</v>
      </c>
      <c r="F761" s="1">
        <v>154.75</v>
      </c>
    </row>
    <row r="762" spans="1:6" x14ac:dyDescent="0.2">
      <c r="A762" s="2">
        <v>44782</v>
      </c>
      <c r="B762" s="1">
        <v>154.46</v>
      </c>
      <c r="C762">
        <v>84923850</v>
      </c>
      <c r="D762" s="1">
        <v>154.63999999999999</v>
      </c>
      <c r="E762" s="1">
        <v>156.36000000000001</v>
      </c>
      <c r="F762" s="1">
        <v>152.68</v>
      </c>
    </row>
    <row r="763" spans="1:6" x14ac:dyDescent="0.2">
      <c r="A763" s="2">
        <v>44751</v>
      </c>
      <c r="B763" s="1">
        <v>155.96</v>
      </c>
      <c r="C763">
        <v>87449570</v>
      </c>
      <c r="D763" s="1">
        <v>154.82499999999999</v>
      </c>
      <c r="E763" s="1">
        <v>156.66999999999999</v>
      </c>
      <c r="F763" s="1">
        <v>153.61000000000001</v>
      </c>
    </row>
    <row r="764" spans="1:6" x14ac:dyDescent="0.2">
      <c r="A764" s="2">
        <v>44721</v>
      </c>
      <c r="B764" s="1">
        <v>154.53</v>
      </c>
      <c r="C764">
        <v>73714840</v>
      </c>
      <c r="D764" s="1">
        <v>156.47</v>
      </c>
      <c r="E764" s="1">
        <v>157.09</v>
      </c>
      <c r="F764" s="1">
        <v>153.69</v>
      </c>
    </row>
    <row r="765" spans="1:6" x14ac:dyDescent="0.2">
      <c r="A765" s="2">
        <v>44601</v>
      </c>
      <c r="B765" s="1">
        <v>155.81</v>
      </c>
      <c r="C765">
        <v>76957770</v>
      </c>
      <c r="D765" s="1">
        <v>159.75</v>
      </c>
      <c r="E765" s="1">
        <v>160.36199999999999</v>
      </c>
      <c r="F765" s="1">
        <v>154.965</v>
      </c>
    </row>
    <row r="766" spans="1:6" x14ac:dyDescent="0.2">
      <c r="A766" s="2">
        <v>44570</v>
      </c>
      <c r="B766" s="1">
        <v>157.96</v>
      </c>
      <c r="C766">
        <v>74229900</v>
      </c>
      <c r="D766" s="1">
        <v>156.63999999999999</v>
      </c>
      <c r="E766" s="1">
        <v>158.41999999999999</v>
      </c>
      <c r="F766" s="1">
        <v>154.66999999999999</v>
      </c>
    </row>
    <row r="767" spans="1:6" x14ac:dyDescent="0.2">
      <c r="A767" t="s">
        <v>467</v>
      </c>
      <c r="B767" s="1">
        <v>157.22</v>
      </c>
      <c r="C767">
        <v>87991090</v>
      </c>
      <c r="D767" s="1">
        <v>160.30500000000001</v>
      </c>
      <c r="E767" s="1">
        <v>160.58000000000001</v>
      </c>
      <c r="F767" s="1">
        <v>157.13999999999999</v>
      </c>
    </row>
    <row r="768" spans="1:6" x14ac:dyDescent="0.2">
      <c r="A768" t="s">
        <v>468</v>
      </c>
      <c r="B768" s="1">
        <v>158.91</v>
      </c>
      <c r="C768">
        <v>77906200</v>
      </c>
      <c r="D768" s="1">
        <v>162.13</v>
      </c>
      <c r="E768" s="1">
        <v>162.56</v>
      </c>
      <c r="F768" s="1">
        <v>157.72</v>
      </c>
    </row>
    <row r="769" spans="1:6" x14ac:dyDescent="0.2">
      <c r="A769" t="s">
        <v>469</v>
      </c>
      <c r="B769" s="1">
        <v>161.38</v>
      </c>
      <c r="C769">
        <v>73313950</v>
      </c>
      <c r="D769" s="1">
        <v>161.14500000000001</v>
      </c>
      <c r="E769" s="1">
        <v>162.9</v>
      </c>
      <c r="F769" s="1">
        <v>159.82</v>
      </c>
    </row>
    <row r="770" spans="1:6" x14ac:dyDescent="0.2">
      <c r="A770" t="s">
        <v>470</v>
      </c>
      <c r="B770" s="1">
        <v>163.62</v>
      </c>
      <c r="C770">
        <v>78960980</v>
      </c>
      <c r="D770" s="1">
        <v>170.57</v>
      </c>
      <c r="E770" s="1">
        <v>171.05</v>
      </c>
      <c r="F770" s="1">
        <v>163.56</v>
      </c>
    </row>
    <row r="771" spans="1:6" x14ac:dyDescent="0.2">
      <c r="A771" t="s">
        <v>471</v>
      </c>
      <c r="B771" s="1">
        <v>170.03</v>
      </c>
      <c r="C771">
        <v>51218210</v>
      </c>
      <c r="D771" s="1">
        <v>168.78</v>
      </c>
      <c r="E771" s="1">
        <v>170.14</v>
      </c>
      <c r="F771" s="1">
        <v>168.35</v>
      </c>
    </row>
    <row r="772" spans="1:6" x14ac:dyDescent="0.2">
      <c r="A772" t="s">
        <v>472</v>
      </c>
      <c r="B772" s="1">
        <v>167.53</v>
      </c>
      <c r="C772">
        <v>53841520</v>
      </c>
      <c r="D772" s="1">
        <v>167.32</v>
      </c>
      <c r="E772" s="1">
        <v>168.11</v>
      </c>
      <c r="F772" s="1">
        <v>166.245</v>
      </c>
    </row>
    <row r="773" spans="1:6" x14ac:dyDescent="0.2">
      <c r="A773" t="s">
        <v>473</v>
      </c>
      <c r="B773" s="1">
        <v>167.23</v>
      </c>
      <c r="C773">
        <v>54147080</v>
      </c>
      <c r="D773" s="1">
        <v>167.08</v>
      </c>
      <c r="E773" s="1">
        <v>168.71</v>
      </c>
      <c r="F773" s="1">
        <v>166.65</v>
      </c>
    </row>
    <row r="774" spans="1:6" x14ac:dyDescent="0.2">
      <c r="A774" t="s">
        <v>474</v>
      </c>
      <c r="B774" s="1">
        <v>167.57</v>
      </c>
      <c r="C774">
        <v>69026810</v>
      </c>
      <c r="D774" s="1">
        <v>169.69</v>
      </c>
      <c r="E774" s="1">
        <v>169.86</v>
      </c>
      <c r="F774" s="1">
        <v>167.13499999999999</v>
      </c>
    </row>
    <row r="775" spans="1:6" x14ac:dyDescent="0.2">
      <c r="A775" t="s">
        <v>475</v>
      </c>
      <c r="B775" s="1">
        <v>171.52</v>
      </c>
      <c r="C775">
        <v>70346300</v>
      </c>
      <c r="D775" s="1">
        <v>173.03</v>
      </c>
      <c r="E775" s="1">
        <v>173.74</v>
      </c>
      <c r="F775" s="1">
        <v>171.31010000000001</v>
      </c>
    </row>
    <row r="776" spans="1:6" x14ac:dyDescent="0.2">
      <c r="A776" t="s">
        <v>476</v>
      </c>
      <c r="B776" s="1">
        <v>174.15</v>
      </c>
      <c r="C776">
        <v>62290080</v>
      </c>
      <c r="D776" s="1">
        <v>173.75</v>
      </c>
      <c r="E776" s="1">
        <v>174.9</v>
      </c>
      <c r="F776" s="1">
        <v>173.12</v>
      </c>
    </row>
    <row r="777" spans="1:6" x14ac:dyDescent="0.2">
      <c r="A777" t="s">
        <v>477</v>
      </c>
      <c r="B777" s="1">
        <v>174.55</v>
      </c>
      <c r="C777">
        <v>79542040</v>
      </c>
      <c r="D777" s="1">
        <v>172.77</v>
      </c>
      <c r="E777" s="1">
        <v>176.15</v>
      </c>
      <c r="F777" s="1">
        <v>172.57</v>
      </c>
    </row>
    <row r="778" spans="1:6" x14ac:dyDescent="0.2">
      <c r="A778" t="s">
        <v>478</v>
      </c>
      <c r="B778" s="1">
        <v>173.03</v>
      </c>
      <c r="C778">
        <v>56377050</v>
      </c>
      <c r="D778" s="1">
        <v>172.78</v>
      </c>
      <c r="E778" s="1">
        <v>173.71</v>
      </c>
      <c r="F778" s="1">
        <v>171.6618</v>
      </c>
    </row>
    <row r="779" spans="1:6" x14ac:dyDescent="0.2">
      <c r="A779" t="s">
        <v>479</v>
      </c>
      <c r="B779" s="1">
        <v>173.19</v>
      </c>
      <c r="C779">
        <v>54091690</v>
      </c>
      <c r="D779" s="1">
        <v>171.52</v>
      </c>
      <c r="E779" s="1">
        <v>173.39</v>
      </c>
      <c r="F779" s="1">
        <v>171.345</v>
      </c>
    </row>
    <row r="780" spans="1:6" x14ac:dyDescent="0.2">
      <c r="A780" s="2">
        <v>44903</v>
      </c>
      <c r="B780" s="1">
        <v>172.1</v>
      </c>
      <c r="C780">
        <v>68039380</v>
      </c>
      <c r="D780" s="1">
        <v>169.82</v>
      </c>
      <c r="E780" s="1">
        <v>172.17</v>
      </c>
      <c r="F780" s="1">
        <v>169.4</v>
      </c>
    </row>
    <row r="781" spans="1:6" x14ac:dyDescent="0.2">
      <c r="A781" s="2">
        <v>44873</v>
      </c>
      <c r="B781" s="1">
        <v>168.49</v>
      </c>
      <c r="C781">
        <v>57149160</v>
      </c>
      <c r="D781" s="1">
        <v>170.06</v>
      </c>
      <c r="E781" s="1">
        <v>170.99</v>
      </c>
      <c r="F781" s="1">
        <v>168.19</v>
      </c>
    </row>
    <row r="782" spans="1:6" x14ac:dyDescent="0.2">
      <c r="A782" s="2">
        <v>44842</v>
      </c>
      <c r="B782" s="1">
        <v>169.24</v>
      </c>
      <c r="C782">
        <v>70170540</v>
      </c>
      <c r="D782" s="1">
        <v>167.68</v>
      </c>
      <c r="E782" s="1">
        <v>169.34</v>
      </c>
      <c r="F782" s="1">
        <v>166.9</v>
      </c>
    </row>
    <row r="783" spans="1:6" x14ac:dyDescent="0.2">
      <c r="A783" s="2">
        <v>44812</v>
      </c>
      <c r="B783" s="1">
        <v>164.92</v>
      </c>
      <c r="C783">
        <v>63135500</v>
      </c>
      <c r="D783" s="1">
        <v>164.02</v>
      </c>
      <c r="E783" s="1">
        <v>165.82</v>
      </c>
      <c r="F783" s="1">
        <v>163.25</v>
      </c>
    </row>
    <row r="784" spans="1:6" x14ac:dyDescent="0.2">
      <c r="A784" s="2">
        <v>44781</v>
      </c>
      <c r="B784" s="1">
        <v>164.87</v>
      </c>
      <c r="C784">
        <v>60362340</v>
      </c>
      <c r="D784" s="1">
        <v>166.37</v>
      </c>
      <c r="E784" s="1">
        <v>167.81</v>
      </c>
      <c r="F784" s="1">
        <v>164.2</v>
      </c>
    </row>
    <row r="785" spans="1:6" x14ac:dyDescent="0.2">
      <c r="A785" s="2">
        <v>44689</v>
      </c>
      <c r="B785" s="1">
        <v>165.35</v>
      </c>
      <c r="C785">
        <v>56696990</v>
      </c>
      <c r="D785" s="1">
        <v>163.21</v>
      </c>
      <c r="E785" s="1">
        <v>165.85</v>
      </c>
      <c r="F785" s="1">
        <v>163</v>
      </c>
    </row>
    <row r="786" spans="1:6" x14ac:dyDescent="0.2">
      <c r="A786" s="2">
        <v>44659</v>
      </c>
      <c r="B786" s="1">
        <v>165.81</v>
      </c>
      <c r="C786">
        <v>55474140</v>
      </c>
      <c r="D786" s="1">
        <v>166.005</v>
      </c>
      <c r="E786" s="1">
        <v>167.19</v>
      </c>
      <c r="F786" s="1">
        <v>164.43</v>
      </c>
    </row>
    <row r="787" spans="1:6" x14ac:dyDescent="0.2">
      <c r="A787" s="2">
        <v>44628</v>
      </c>
      <c r="B787" s="1">
        <v>166.13</v>
      </c>
      <c r="C787">
        <v>82507490</v>
      </c>
      <c r="D787" s="1">
        <v>160.84</v>
      </c>
      <c r="E787" s="1">
        <v>166.59</v>
      </c>
      <c r="F787" s="1">
        <v>160.75</v>
      </c>
    </row>
    <row r="788" spans="1:6" x14ac:dyDescent="0.2">
      <c r="A788" s="2">
        <v>44600</v>
      </c>
      <c r="B788" s="1">
        <v>160.01</v>
      </c>
      <c r="C788">
        <v>59907030</v>
      </c>
      <c r="D788" s="1">
        <v>160.1</v>
      </c>
      <c r="E788" s="1">
        <v>162.41</v>
      </c>
      <c r="F788" s="1">
        <v>159.63</v>
      </c>
    </row>
    <row r="789" spans="1:6" x14ac:dyDescent="0.2">
      <c r="A789" s="2">
        <v>44569</v>
      </c>
      <c r="B789" s="1">
        <v>161.51</v>
      </c>
      <c r="C789">
        <v>67829380</v>
      </c>
      <c r="D789" s="1">
        <v>161.01</v>
      </c>
      <c r="E789" s="1">
        <v>163.59</v>
      </c>
      <c r="F789" s="1">
        <v>160.88999999999999</v>
      </c>
    </row>
    <row r="790" spans="1:6" x14ac:dyDescent="0.2">
      <c r="A790" t="s">
        <v>480</v>
      </c>
      <c r="B790" s="1">
        <v>162.51</v>
      </c>
      <c r="C790">
        <v>101786900</v>
      </c>
      <c r="D790" s="1">
        <v>161.24</v>
      </c>
      <c r="E790" s="1">
        <v>163.63</v>
      </c>
      <c r="F790" s="1">
        <v>159.5</v>
      </c>
    </row>
    <row r="791" spans="1:6" x14ac:dyDescent="0.2">
      <c r="A791" t="s">
        <v>481</v>
      </c>
      <c r="B791" s="1">
        <v>157.35</v>
      </c>
      <c r="C791">
        <v>81378730</v>
      </c>
      <c r="D791" s="1">
        <v>156.97999999999999</v>
      </c>
      <c r="E791" s="1">
        <v>157.63999999999999</v>
      </c>
      <c r="F791" s="1">
        <v>154.41</v>
      </c>
    </row>
    <row r="792" spans="1:6" x14ac:dyDescent="0.2">
      <c r="A792" t="s">
        <v>482</v>
      </c>
      <c r="B792" s="1">
        <v>156.79</v>
      </c>
      <c r="C792">
        <v>78620690</v>
      </c>
      <c r="D792" s="1">
        <v>152.58000000000001</v>
      </c>
      <c r="E792" s="1">
        <v>157.33000000000001</v>
      </c>
      <c r="F792" s="1">
        <v>152.16</v>
      </c>
    </row>
    <row r="793" spans="1:6" x14ac:dyDescent="0.2">
      <c r="A793" t="s">
        <v>483</v>
      </c>
      <c r="B793" s="1">
        <v>151.6</v>
      </c>
      <c r="C793">
        <v>55138690</v>
      </c>
      <c r="D793" s="1">
        <v>152.26499999999999</v>
      </c>
      <c r="E793" s="1">
        <v>153.08500000000001</v>
      </c>
      <c r="F793" s="1">
        <v>150.80000000000001</v>
      </c>
    </row>
    <row r="794" spans="1:6" x14ac:dyDescent="0.2">
      <c r="A794" t="s">
        <v>484</v>
      </c>
      <c r="B794" s="1">
        <v>152.94999999999999</v>
      </c>
      <c r="C794">
        <v>53623950</v>
      </c>
      <c r="D794" s="1">
        <v>154.01</v>
      </c>
      <c r="E794" s="1">
        <v>155.04</v>
      </c>
      <c r="F794" s="1">
        <v>152.28</v>
      </c>
    </row>
    <row r="795" spans="1:6" x14ac:dyDescent="0.2">
      <c r="A795" t="s">
        <v>485</v>
      </c>
      <c r="B795" s="1">
        <v>154.09</v>
      </c>
      <c r="C795">
        <v>66675410</v>
      </c>
      <c r="D795" s="1">
        <v>155.38999999999999</v>
      </c>
      <c r="E795" s="1">
        <v>156.28</v>
      </c>
      <c r="F795" s="1">
        <v>153.41</v>
      </c>
    </row>
    <row r="796" spans="1:6" x14ac:dyDescent="0.2">
      <c r="A796" t="s">
        <v>486</v>
      </c>
      <c r="B796" s="1">
        <v>155.35</v>
      </c>
      <c r="C796">
        <v>65086640</v>
      </c>
      <c r="D796" s="1">
        <v>154.5</v>
      </c>
      <c r="E796" s="1">
        <v>155.57</v>
      </c>
      <c r="F796" s="1">
        <v>151.94</v>
      </c>
    </row>
    <row r="797" spans="1:6" x14ac:dyDescent="0.2">
      <c r="A797" t="s">
        <v>487</v>
      </c>
      <c r="B797" s="1">
        <v>153.04</v>
      </c>
      <c r="C797">
        <v>64823410</v>
      </c>
      <c r="D797" s="1">
        <v>151.12</v>
      </c>
      <c r="E797" s="1">
        <v>153.72</v>
      </c>
      <c r="F797" s="1">
        <v>150.37</v>
      </c>
    </row>
    <row r="798" spans="1:6" x14ac:dyDescent="0.2">
      <c r="A798" t="s">
        <v>488</v>
      </c>
      <c r="B798" s="1">
        <v>151</v>
      </c>
      <c r="C798">
        <v>82982370</v>
      </c>
      <c r="D798" s="1">
        <v>147.91999999999999</v>
      </c>
      <c r="E798" s="1">
        <v>151.22999999999999</v>
      </c>
      <c r="F798" s="1">
        <v>146.91</v>
      </c>
    </row>
    <row r="799" spans="1:6" x14ac:dyDescent="0.2">
      <c r="A799" t="s">
        <v>489</v>
      </c>
      <c r="B799" s="1">
        <v>147.07</v>
      </c>
      <c r="C799">
        <v>81420870</v>
      </c>
      <c r="D799" s="1">
        <v>150.74</v>
      </c>
      <c r="E799" s="1">
        <v>151.57</v>
      </c>
      <c r="F799" s="1">
        <v>146.69999999999999</v>
      </c>
    </row>
    <row r="800" spans="1:6" x14ac:dyDescent="0.2">
      <c r="A800" t="s">
        <v>490</v>
      </c>
      <c r="B800" s="1">
        <v>150.16999999999999</v>
      </c>
      <c r="C800">
        <v>76259930</v>
      </c>
      <c r="D800" s="1">
        <v>149.78</v>
      </c>
      <c r="E800" s="1">
        <v>150.86000000000001</v>
      </c>
      <c r="F800" s="1">
        <v>148.19999999999999</v>
      </c>
    </row>
    <row r="801" spans="1:6" x14ac:dyDescent="0.2">
      <c r="A801" t="s">
        <v>491</v>
      </c>
      <c r="B801" s="1">
        <v>148.47</v>
      </c>
      <c r="C801">
        <v>78140740</v>
      </c>
      <c r="D801" s="1">
        <v>144.08000000000001</v>
      </c>
      <c r="E801" s="1">
        <v>148.94999999999999</v>
      </c>
      <c r="F801" s="1">
        <v>143.25</v>
      </c>
    </row>
    <row r="802" spans="1:6" x14ac:dyDescent="0.2">
      <c r="A802" t="s">
        <v>492</v>
      </c>
      <c r="B802" s="1">
        <v>145.49</v>
      </c>
      <c r="C802">
        <v>71185560</v>
      </c>
      <c r="D802" s="1">
        <v>142.99</v>
      </c>
      <c r="E802" s="1">
        <v>146.44999999999999</v>
      </c>
      <c r="F802" s="1">
        <v>142.12010000000001</v>
      </c>
    </row>
    <row r="803" spans="1:6" x14ac:dyDescent="0.2">
      <c r="A803" s="2">
        <v>44902</v>
      </c>
      <c r="B803" s="1">
        <v>145.86000000000001</v>
      </c>
      <c r="C803">
        <v>77588760</v>
      </c>
      <c r="D803" s="1">
        <v>145.76</v>
      </c>
      <c r="E803" s="1">
        <v>148.44999999999999</v>
      </c>
      <c r="F803" s="1">
        <v>145.05000000000001</v>
      </c>
    </row>
    <row r="804" spans="1:6" x14ac:dyDescent="0.2">
      <c r="A804" s="2">
        <v>44872</v>
      </c>
      <c r="B804" s="1">
        <v>144.87</v>
      </c>
      <c r="C804">
        <v>63305110</v>
      </c>
      <c r="D804" s="1">
        <v>145.66999999999999</v>
      </c>
      <c r="E804" s="1">
        <v>146.63999999999999</v>
      </c>
      <c r="F804" s="1">
        <v>143.78</v>
      </c>
    </row>
    <row r="805" spans="1:6" x14ac:dyDescent="0.2">
      <c r="A805" s="2">
        <v>44780</v>
      </c>
      <c r="B805" s="1">
        <v>147.04</v>
      </c>
      <c r="C805">
        <v>64547800</v>
      </c>
      <c r="D805" s="1">
        <v>145.26499999999999</v>
      </c>
      <c r="E805" s="1">
        <v>147.55000000000001</v>
      </c>
      <c r="F805" s="1">
        <v>145</v>
      </c>
    </row>
    <row r="806" spans="1:6" x14ac:dyDescent="0.2">
      <c r="A806" s="2">
        <v>44749</v>
      </c>
      <c r="B806" s="1">
        <v>146.35</v>
      </c>
      <c r="C806">
        <v>66253710</v>
      </c>
      <c r="D806" s="1">
        <v>143.29</v>
      </c>
      <c r="E806" s="1">
        <v>146.55000000000001</v>
      </c>
      <c r="F806" s="1">
        <v>143.28</v>
      </c>
    </row>
    <row r="807" spans="1:6" x14ac:dyDescent="0.2">
      <c r="A807" s="2">
        <v>44719</v>
      </c>
      <c r="B807" s="1">
        <v>142.91999999999999</v>
      </c>
      <c r="C807">
        <v>74064250</v>
      </c>
      <c r="D807" s="1">
        <v>141.35499999999999</v>
      </c>
      <c r="E807" s="1">
        <v>144.12</v>
      </c>
      <c r="F807" s="1">
        <v>141.08000000000001</v>
      </c>
    </row>
    <row r="808" spans="1:6" x14ac:dyDescent="0.2">
      <c r="A808" s="2">
        <v>44688</v>
      </c>
      <c r="B808" s="1">
        <v>141.56</v>
      </c>
      <c r="C808">
        <v>73429640</v>
      </c>
      <c r="D808" s="1">
        <v>137.77000000000001</v>
      </c>
      <c r="E808" s="1">
        <v>141.61000000000001</v>
      </c>
      <c r="F808" s="1">
        <v>136.93</v>
      </c>
    </row>
    <row r="809" spans="1:6" x14ac:dyDescent="0.2">
      <c r="A809" s="2">
        <v>44568</v>
      </c>
      <c r="B809" s="1">
        <v>138.93</v>
      </c>
      <c r="C809">
        <v>71051550</v>
      </c>
      <c r="D809" s="1">
        <v>136.04</v>
      </c>
      <c r="E809" s="1">
        <v>139.04</v>
      </c>
      <c r="F809" s="1">
        <v>135.66</v>
      </c>
    </row>
    <row r="810" spans="1:6" x14ac:dyDescent="0.2">
      <c r="A810" t="s">
        <v>493</v>
      </c>
      <c r="B810" s="1">
        <v>136.72</v>
      </c>
      <c r="C810">
        <v>98964470</v>
      </c>
      <c r="D810" s="1">
        <v>137.25</v>
      </c>
      <c r="E810" s="1">
        <v>138.37</v>
      </c>
      <c r="F810" s="1">
        <v>133.77369999999999</v>
      </c>
    </row>
    <row r="811" spans="1:6" x14ac:dyDescent="0.2">
      <c r="A811" t="s">
        <v>494</v>
      </c>
      <c r="B811" s="1">
        <v>139.22999999999999</v>
      </c>
      <c r="C811">
        <v>66242410</v>
      </c>
      <c r="D811" s="1">
        <v>137.46</v>
      </c>
      <c r="E811" s="1">
        <v>140.66999999999999</v>
      </c>
      <c r="F811" s="1">
        <v>136.66999999999999</v>
      </c>
    </row>
    <row r="812" spans="1:6" x14ac:dyDescent="0.2">
      <c r="A812" t="s">
        <v>495</v>
      </c>
      <c r="B812" s="1">
        <v>137.44</v>
      </c>
      <c r="C812">
        <v>67315330</v>
      </c>
      <c r="D812" s="1">
        <v>142.13</v>
      </c>
      <c r="E812" s="1">
        <v>143.422</v>
      </c>
      <c r="F812" s="1">
        <v>137.32499999999999</v>
      </c>
    </row>
    <row r="813" spans="1:6" x14ac:dyDescent="0.2">
      <c r="A813" t="s">
        <v>496</v>
      </c>
      <c r="B813" s="1">
        <v>141.66</v>
      </c>
      <c r="C813">
        <v>70207910</v>
      </c>
      <c r="D813" s="1">
        <v>142.69499999999999</v>
      </c>
      <c r="E813" s="1">
        <v>143.49</v>
      </c>
      <c r="F813" s="1">
        <v>140.965</v>
      </c>
    </row>
    <row r="814" spans="1:6" x14ac:dyDescent="0.2">
      <c r="A814" t="s">
        <v>497</v>
      </c>
      <c r="B814" s="1">
        <v>141.66</v>
      </c>
      <c r="C814">
        <v>89116840</v>
      </c>
      <c r="D814" s="1">
        <v>139.9</v>
      </c>
      <c r="E814" s="1">
        <v>141.91</v>
      </c>
      <c r="F814" s="1">
        <v>139.77000000000001</v>
      </c>
    </row>
    <row r="815" spans="1:6" x14ac:dyDescent="0.2">
      <c r="A815" t="s">
        <v>498</v>
      </c>
      <c r="B815" s="1">
        <v>138.27000000000001</v>
      </c>
      <c r="C815">
        <v>72433770</v>
      </c>
      <c r="D815" s="1">
        <v>136.82</v>
      </c>
      <c r="E815" s="1">
        <v>138.59</v>
      </c>
      <c r="F815" s="1">
        <v>135.63</v>
      </c>
    </row>
    <row r="816" spans="1:6" x14ac:dyDescent="0.2">
      <c r="A816" t="s">
        <v>499</v>
      </c>
      <c r="B816" s="1">
        <v>135.35</v>
      </c>
      <c r="C816">
        <v>73409230</v>
      </c>
      <c r="D816" s="1">
        <v>134.79</v>
      </c>
      <c r="E816" s="1">
        <v>137.76</v>
      </c>
      <c r="F816" s="1">
        <v>133.91</v>
      </c>
    </row>
    <row r="817" spans="1:6" x14ac:dyDescent="0.2">
      <c r="A817" t="s">
        <v>500</v>
      </c>
      <c r="B817" s="1">
        <v>135.87</v>
      </c>
      <c r="C817">
        <v>81000490</v>
      </c>
      <c r="D817" s="1">
        <v>133.41999999999999</v>
      </c>
      <c r="E817" s="1">
        <v>137.06</v>
      </c>
      <c r="F817" s="1">
        <v>133.32</v>
      </c>
    </row>
    <row r="818" spans="1:6" x14ac:dyDescent="0.2">
      <c r="A818" t="s">
        <v>501</v>
      </c>
      <c r="B818" s="1">
        <v>131.56</v>
      </c>
      <c r="C818">
        <v>134520300</v>
      </c>
      <c r="D818" s="1">
        <v>130.065</v>
      </c>
      <c r="E818" s="1">
        <v>133.07900000000001</v>
      </c>
      <c r="F818" s="1">
        <v>129.81</v>
      </c>
    </row>
    <row r="819" spans="1:6" x14ac:dyDescent="0.2">
      <c r="A819" t="s">
        <v>502</v>
      </c>
      <c r="B819" s="1">
        <v>130.06</v>
      </c>
      <c r="C819">
        <v>107961500</v>
      </c>
      <c r="D819" s="1">
        <v>132.08000000000001</v>
      </c>
      <c r="E819" s="1">
        <v>132.38999999999999</v>
      </c>
      <c r="F819" s="1">
        <v>129.04</v>
      </c>
    </row>
    <row r="820" spans="1:6" x14ac:dyDescent="0.2">
      <c r="A820" t="s">
        <v>503</v>
      </c>
      <c r="B820" s="1">
        <v>135.43</v>
      </c>
      <c r="C820">
        <v>91532970</v>
      </c>
      <c r="D820" s="1">
        <v>134.29</v>
      </c>
      <c r="E820" s="1">
        <v>137.34</v>
      </c>
      <c r="F820" s="1">
        <v>132.16</v>
      </c>
    </row>
    <row r="821" spans="1:6" x14ac:dyDescent="0.2">
      <c r="A821" t="s">
        <v>504</v>
      </c>
      <c r="B821" s="1">
        <v>132.76</v>
      </c>
      <c r="C821">
        <v>84784330</v>
      </c>
      <c r="D821" s="1">
        <v>133.13</v>
      </c>
      <c r="E821" s="1">
        <v>133.88999999999999</v>
      </c>
      <c r="F821" s="1">
        <v>131.47999999999999</v>
      </c>
    </row>
    <row r="822" spans="1:6" x14ac:dyDescent="0.2">
      <c r="A822" t="s">
        <v>505</v>
      </c>
      <c r="B822" s="1">
        <v>131.88</v>
      </c>
      <c r="C822">
        <v>122207100</v>
      </c>
      <c r="D822" s="1">
        <v>132.87</v>
      </c>
      <c r="E822" s="1">
        <v>135.19999999999999</v>
      </c>
      <c r="F822" s="1">
        <v>131.44</v>
      </c>
    </row>
    <row r="823" spans="1:6" x14ac:dyDescent="0.2">
      <c r="A823" s="2">
        <v>44840</v>
      </c>
      <c r="B823" s="1">
        <v>137.13</v>
      </c>
      <c r="C823">
        <v>91566640</v>
      </c>
      <c r="D823" s="1">
        <v>140.28</v>
      </c>
      <c r="E823" s="1">
        <v>140.76</v>
      </c>
      <c r="F823" s="1">
        <v>137.06</v>
      </c>
    </row>
    <row r="824" spans="1:6" x14ac:dyDescent="0.2">
      <c r="A824" s="2">
        <v>44810</v>
      </c>
      <c r="B824" s="1">
        <v>142.63999999999999</v>
      </c>
      <c r="C824">
        <v>69472980</v>
      </c>
      <c r="D824" s="1">
        <v>147.08000000000001</v>
      </c>
      <c r="E824" s="1">
        <v>147.94999999999999</v>
      </c>
      <c r="F824" s="1">
        <v>142.53</v>
      </c>
    </row>
    <row r="825" spans="1:6" x14ac:dyDescent="0.2">
      <c r="A825" s="2">
        <v>44779</v>
      </c>
      <c r="B825" s="1">
        <v>147.96</v>
      </c>
      <c r="C825">
        <v>53950200</v>
      </c>
      <c r="D825" s="1">
        <v>148.58000000000001</v>
      </c>
      <c r="E825" s="1">
        <v>149.86969999999999</v>
      </c>
      <c r="F825" s="1">
        <v>147.46</v>
      </c>
    </row>
    <row r="826" spans="1:6" x14ac:dyDescent="0.2">
      <c r="A826" s="2">
        <v>44748</v>
      </c>
      <c r="B826" s="1">
        <v>148.71</v>
      </c>
      <c r="C826">
        <v>67808150</v>
      </c>
      <c r="D826" s="1">
        <v>144.345</v>
      </c>
      <c r="E826" s="1">
        <v>149</v>
      </c>
      <c r="F826" s="1">
        <v>144.1</v>
      </c>
    </row>
    <row r="827" spans="1:6" x14ac:dyDescent="0.2">
      <c r="A827" s="2">
        <v>44718</v>
      </c>
      <c r="B827" s="1">
        <v>146.13999999999999</v>
      </c>
      <c r="C827">
        <v>71598380</v>
      </c>
      <c r="D827" s="1">
        <v>147.03</v>
      </c>
      <c r="E827" s="1">
        <v>148.56890000000001</v>
      </c>
      <c r="F827" s="1">
        <v>144.9</v>
      </c>
    </row>
    <row r="828" spans="1:6" x14ac:dyDescent="0.2">
      <c r="A828" s="2">
        <v>44626</v>
      </c>
      <c r="B828" s="1">
        <v>145.38</v>
      </c>
      <c r="C828">
        <v>88570290</v>
      </c>
      <c r="D828" s="1">
        <v>146.9</v>
      </c>
      <c r="E828" s="1">
        <v>147.97</v>
      </c>
      <c r="F828" s="1">
        <v>144.46</v>
      </c>
    </row>
    <row r="829" spans="1:6" x14ac:dyDescent="0.2">
      <c r="A829" s="2">
        <v>44598</v>
      </c>
      <c r="B829" s="1">
        <v>151.21</v>
      </c>
      <c r="C829">
        <v>72348060</v>
      </c>
      <c r="D829" s="1">
        <v>147.83000000000001</v>
      </c>
      <c r="E829" s="1">
        <v>151.27000000000001</v>
      </c>
      <c r="F829" s="1">
        <v>146.86000000000001</v>
      </c>
    </row>
    <row r="830" spans="1:6" x14ac:dyDescent="0.2">
      <c r="A830" s="2">
        <v>44567</v>
      </c>
      <c r="B830" s="1">
        <v>148.71</v>
      </c>
      <c r="C830">
        <v>74286640</v>
      </c>
      <c r="D830" s="1">
        <v>149.9</v>
      </c>
      <c r="E830" s="1">
        <v>151.74</v>
      </c>
      <c r="F830" s="1">
        <v>147.68</v>
      </c>
    </row>
    <row r="831" spans="1:6" x14ac:dyDescent="0.2">
      <c r="A831" t="s">
        <v>506</v>
      </c>
      <c r="B831" s="1">
        <v>148.84</v>
      </c>
      <c r="C831">
        <v>103718400</v>
      </c>
      <c r="D831" s="1">
        <v>149.07</v>
      </c>
      <c r="E831" s="1">
        <v>150.66</v>
      </c>
      <c r="F831" s="1">
        <v>146.84</v>
      </c>
    </row>
    <row r="832" spans="1:6" x14ac:dyDescent="0.2">
      <c r="A832" t="s">
        <v>507</v>
      </c>
      <c r="B832" s="1">
        <v>149.63999999999999</v>
      </c>
      <c r="C832">
        <v>90978500</v>
      </c>
      <c r="D832" s="1">
        <v>145.38999999999999</v>
      </c>
      <c r="E832" s="1">
        <v>149.68</v>
      </c>
      <c r="F832" s="1">
        <v>145.26</v>
      </c>
    </row>
    <row r="833" spans="1:6" x14ac:dyDescent="0.2">
      <c r="A833" t="s">
        <v>508</v>
      </c>
      <c r="B833" s="1">
        <v>143.78</v>
      </c>
      <c r="C833">
        <v>90601550</v>
      </c>
      <c r="D833" s="1">
        <v>137.38999999999999</v>
      </c>
      <c r="E833" s="1">
        <v>144.34</v>
      </c>
      <c r="F833" s="1">
        <v>137.13999999999999</v>
      </c>
    </row>
    <row r="834" spans="1:6" x14ac:dyDescent="0.2">
      <c r="A834" t="s">
        <v>509</v>
      </c>
      <c r="B834" s="1">
        <v>140.52000000000001</v>
      </c>
      <c r="C834">
        <v>92482700</v>
      </c>
      <c r="D834" s="1">
        <v>138.43</v>
      </c>
      <c r="E834" s="1">
        <v>141.785</v>
      </c>
      <c r="F834" s="1">
        <v>138.34</v>
      </c>
    </row>
    <row r="835" spans="1:6" x14ac:dyDescent="0.2">
      <c r="A835" t="s">
        <v>510</v>
      </c>
      <c r="B835" s="1">
        <v>140.36000000000001</v>
      </c>
      <c r="C835">
        <v>104132700</v>
      </c>
      <c r="D835" s="1">
        <v>140.80500000000001</v>
      </c>
      <c r="E835" s="1">
        <v>141.97</v>
      </c>
      <c r="F835" s="1">
        <v>137.33000000000001</v>
      </c>
    </row>
    <row r="836" spans="1:6" x14ac:dyDescent="0.2">
      <c r="A836" t="s">
        <v>511</v>
      </c>
      <c r="B836" s="1">
        <v>143.11000000000001</v>
      </c>
      <c r="C836">
        <v>117726300</v>
      </c>
      <c r="D836" s="1">
        <v>137.79</v>
      </c>
      <c r="E836" s="1">
        <v>143.26</v>
      </c>
      <c r="F836" s="1">
        <v>137.65</v>
      </c>
    </row>
    <row r="837" spans="1:6" x14ac:dyDescent="0.2">
      <c r="A837" t="s">
        <v>512</v>
      </c>
      <c r="B837" s="1">
        <v>137.59</v>
      </c>
      <c r="C837">
        <v>137426100</v>
      </c>
      <c r="D837" s="1">
        <v>139.09</v>
      </c>
      <c r="E837" s="1">
        <v>140.69999999999999</v>
      </c>
      <c r="F837" s="1">
        <v>132.61000000000001</v>
      </c>
    </row>
    <row r="838" spans="1:6" x14ac:dyDescent="0.2">
      <c r="A838" t="s">
        <v>513</v>
      </c>
      <c r="B838" s="1">
        <v>137.35</v>
      </c>
      <c r="C838">
        <v>136095600</v>
      </c>
      <c r="D838" s="1">
        <v>139.88</v>
      </c>
      <c r="E838" s="1">
        <v>141.66</v>
      </c>
      <c r="F838" s="1">
        <v>136.6</v>
      </c>
    </row>
    <row r="839" spans="1:6" x14ac:dyDescent="0.2">
      <c r="A839" t="s">
        <v>514</v>
      </c>
      <c r="B839" s="1">
        <v>140.82</v>
      </c>
      <c r="C839">
        <v>109742900</v>
      </c>
      <c r="D839" s="1">
        <v>146.85</v>
      </c>
      <c r="E839" s="1">
        <v>147.36009999999999</v>
      </c>
      <c r="F839" s="1">
        <v>139.9</v>
      </c>
    </row>
    <row r="840" spans="1:6" x14ac:dyDescent="0.2">
      <c r="A840" t="s">
        <v>515</v>
      </c>
      <c r="B840" s="1">
        <v>149.24</v>
      </c>
      <c r="C840">
        <v>78336250</v>
      </c>
      <c r="D840" s="1">
        <v>148.86000000000001</v>
      </c>
      <c r="E840" s="1">
        <v>149.77000000000001</v>
      </c>
      <c r="F840" s="1">
        <v>146.68</v>
      </c>
    </row>
    <row r="841" spans="1:6" x14ac:dyDescent="0.2">
      <c r="A841" t="s">
        <v>516</v>
      </c>
      <c r="B841" s="1">
        <v>145.54</v>
      </c>
      <c r="C841">
        <v>86643780</v>
      </c>
      <c r="D841" s="1">
        <v>145.55000000000001</v>
      </c>
      <c r="E841" s="1">
        <v>147.51990000000001</v>
      </c>
      <c r="F841" s="1">
        <v>144.18</v>
      </c>
    </row>
    <row r="842" spans="1:6" x14ac:dyDescent="0.2">
      <c r="A842" t="s">
        <v>517</v>
      </c>
      <c r="B842" s="1">
        <v>147.11000000000001</v>
      </c>
      <c r="C842">
        <v>113990900</v>
      </c>
      <c r="D842" s="1">
        <v>144.59</v>
      </c>
      <c r="E842" s="1">
        <v>148.10499999999999</v>
      </c>
      <c r="F842" s="1">
        <v>143.11000000000001</v>
      </c>
    </row>
    <row r="843" spans="1:6" x14ac:dyDescent="0.2">
      <c r="A843" s="2">
        <v>44900</v>
      </c>
      <c r="B843" s="1">
        <v>142.56</v>
      </c>
      <c r="C843">
        <v>182602000</v>
      </c>
      <c r="D843" s="1">
        <v>142.77000000000001</v>
      </c>
      <c r="E843" s="1">
        <v>146.19999999999999</v>
      </c>
      <c r="F843" s="1">
        <v>138.80000000000001</v>
      </c>
    </row>
    <row r="844" spans="1:6" x14ac:dyDescent="0.2">
      <c r="A844" s="2">
        <v>44870</v>
      </c>
      <c r="B844" s="1">
        <v>146.5</v>
      </c>
      <c r="C844">
        <v>142689800</v>
      </c>
      <c r="D844" s="1">
        <v>153.5</v>
      </c>
      <c r="E844" s="1">
        <v>155.44999999999999</v>
      </c>
      <c r="F844" s="1">
        <v>145.81</v>
      </c>
    </row>
    <row r="845" spans="1:6" x14ac:dyDescent="0.2">
      <c r="A845" s="2">
        <v>44839</v>
      </c>
      <c r="B845" s="1">
        <v>154.51</v>
      </c>
      <c r="C845">
        <v>115366700</v>
      </c>
      <c r="D845" s="1">
        <v>155.52000000000001</v>
      </c>
      <c r="E845" s="1">
        <v>156.74</v>
      </c>
      <c r="F845" s="1">
        <v>152.93</v>
      </c>
    </row>
    <row r="846" spans="1:6" x14ac:dyDescent="0.2">
      <c r="A846" s="2">
        <v>44809</v>
      </c>
      <c r="B846" s="1">
        <v>152.06</v>
      </c>
      <c r="C846">
        <v>131577900</v>
      </c>
      <c r="D846" s="1">
        <v>154.92500000000001</v>
      </c>
      <c r="E846" s="1">
        <v>155.83000000000001</v>
      </c>
      <c r="F846" s="1">
        <v>151.49</v>
      </c>
    </row>
    <row r="847" spans="1:6" x14ac:dyDescent="0.2">
      <c r="A847" s="2">
        <v>44717</v>
      </c>
      <c r="B847" s="1">
        <v>157.28</v>
      </c>
      <c r="C847">
        <v>116124600</v>
      </c>
      <c r="D847" s="1">
        <v>156.01</v>
      </c>
      <c r="E847" s="1">
        <v>159.44</v>
      </c>
      <c r="F847" s="1">
        <v>154.18</v>
      </c>
    </row>
    <row r="848" spans="1:6" x14ac:dyDescent="0.2">
      <c r="A848" s="2">
        <v>44686</v>
      </c>
      <c r="B848" s="1">
        <v>156.77000000000001</v>
      </c>
      <c r="C848">
        <v>130525300</v>
      </c>
      <c r="D848" s="1">
        <v>163.85</v>
      </c>
      <c r="E848" s="1">
        <v>164.08</v>
      </c>
      <c r="F848" s="1">
        <v>154.94999999999999</v>
      </c>
    </row>
    <row r="849" spans="1:6" x14ac:dyDescent="0.2">
      <c r="A849" s="2">
        <v>44656</v>
      </c>
      <c r="B849" s="1">
        <v>166.02</v>
      </c>
      <c r="C849">
        <v>108256500</v>
      </c>
      <c r="D849" s="1">
        <v>159.66999999999999</v>
      </c>
      <c r="E849" s="1">
        <v>166.48</v>
      </c>
      <c r="F849" s="1">
        <v>159.26</v>
      </c>
    </row>
    <row r="850" spans="1:6" x14ac:dyDescent="0.2">
      <c r="A850" s="2">
        <v>44625</v>
      </c>
      <c r="B850" s="1">
        <v>159.47999999999999</v>
      </c>
      <c r="C850">
        <v>88966530</v>
      </c>
      <c r="D850" s="1">
        <v>158.15</v>
      </c>
      <c r="E850" s="1">
        <v>160.71</v>
      </c>
      <c r="F850" s="1">
        <v>156.32</v>
      </c>
    </row>
    <row r="851" spans="1:6" x14ac:dyDescent="0.2">
      <c r="A851" s="2">
        <v>44597</v>
      </c>
      <c r="B851" s="1">
        <v>157.96</v>
      </c>
      <c r="C851">
        <v>123055300</v>
      </c>
      <c r="D851" s="1">
        <v>156.71</v>
      </c>
      <c r="E851" s="1">
        <v>158.22999999999999</v>
      </c>
      <c r="F851" s="1">
        <v>153.27000000000001</v>
      </c>
    </row>
    <row r="852" spans="1:6" x14ac:dyDescent="0.2">
      <c r="A852" t="s">
        <v>518</v>
      </c>
      <c r="B852" s="1">
        <v>157.65</v>
      </c>
      <c r="C852">
        <v>131747600</v>
      </c>
      <c r="D852" s="1">
        <v>161.84</v>
      </c>
      <c r="E852" s="1">
        <v>166.2</v>
      </c>
      <c r="F852" s="1">
        <v>157.25</v>
      </c>
    </row>
    <row r="853" spans="1:6" x14ac:dyDescent="0.2">
      <c r="A853" t="s">
        <v>519</v>
      </c>
      <c r="B853" s="1">
        <v>163.63999999999999</v>
      </c>
      <c r="C853">
        <v>130216800</v>
      </c>
      <c r="D853" s="1">
        <v>159.25</v>
      </c>
      <c r="E853" s="1">
        <v>164.51499999999999</v>
      </c>
      <c r="F853" s="1">
        <v>158.93</v>
      </c>
    </row>
    <row r="854" spans="1:6" x14ac:dyDescent="0.2">
      <c r="A854" t="s">
        <v>520</v>
      </c>
      <c r="B854" s="1">
        <v>156.57</v>
      </c>
      <c r="C854">
        <v>88063190</v>
      </c>
      <c r="D854" s="1">
        <v>155.91</v>
      </c>
      <c r="E854" s="1">
        <v>159.79</v>
      </c>
      <c r="F854" s="1">
        <v>155.38</v>
      </c>
    </row>
    <row r="855" spans="1:6" x14ac:dyDescent="0.2">
      <c r="A855" t="s">
        <v>521</v>
      </c>
      <c r="B855" s="1">
        <v>156.80000000000001</v>
      </c>
      <c r="C855">
        <v>95623240</v>
      </c>
      <c r="D855" s="1">
        <v>162.25</v>
      </c>
      <c r="E855" s="1">
        <v>162.34</v>
      </c>
      <c r="F855" s="1">
        <v>156.72</v>
      </c>
    </row>
    <row r="856" spans="1:6" x14ac:dyDescent="0.2">
      <c r="A856" t="s">
        <v>522</v>
      </c>
      <c r="B856" s="1">
        <v>162.88</v>
      </c>
      <c r="C856">
        <v>96046380</v>
      </c>
      <c r="D856" s="1">
        <v>161.12</v>
      </c>
      <c r="E856" s="1">
        <v>163.16999999999999</v>
      </c>
      <c r="F856" s="1">
        <v>158.46</v>
      </c>
    </row>
    <row r="857" spans="1:6" x14ac:dyDescent="0.2">
      <c r="A857" t="s">
        <v>523</v>
      </c>
      <c r="B857" s="1">
        <v>161.79</v>
      </c>
      <c r="C857">
        <v>84882420</v>
      </c>
      <c r="D857" s="1">
        <v>166.46</v>
      </c>
      <c r="E857" s="1">
        <v>167.8699</v>
      </c>
      <c r="F857" s="1">
        <v>161.5</v>
      </c>
    </row>
    <row r="858" spans="1:6" x14ac:dyDescent="0.2">
      <c r="A858" t="s">
        <v>524</v>
      </c>
      <c r="B858" s="1">
        <v>166.42</v>
      </c>
      <c r="C858">
        <v>87227770</v>
      </c>
      <c r="D858" s="1">
        <v>168.91</v>
      </c>
      <c r="E858" s="1">
        <v>171.53</v>
      </c>
      <c r="F858" s="1">
        <v>165.91</v>
      </c>
    </row>
    <row r="859" spans="1:6" x14ac:dyDescent="0.2">
      <c r="A859" t="s">
        <v>525</v>
      </c>
      <c r="B859" s="1">
        <v>167.23</v>
      </c>
      <c r="C859">
        <v>67929810</v>
      </c>
      <c r="D859" s="1">
        <v>168.76</v>
      </c>
      <c r="E859" s="1">
        <v>168.88</v>
      </c>
      <c r="F859" s="1">
        <v>166.1</v>
      </c>
    </row>
    <row r="860" spans="1:6" x14ac:dyDescent="0.2">
      <c r="A860" t="s">
        <v>526</v>
      </c>
      <c r="B860" s="1">
        <v>167.4</v>
      </c>
      <c r="C860">
        <v>67723830</v>
      </c>
      <c r="D860" s="1">
        <v>165.02</v>
      </c>
      <c r="E860" s="1">
        <v>167.82</v>
      </c>
      <c r="F860" s="1">
        <v>163.91</v>
      </c>
    </row>
    <row r="861" spans="1:6" x14ac:dyDescent="0.2">
      <c r="A861" t="s">
        <v>527</v>
      </c>
      <c r="B861" s="1">
        <v>165.07</v>
      </c>
      <c r="C861">
        <v>69023940</v>
      </c>
      <c r="D861" s="1">
        <v>163.92</v>
      </c>
      <c r="E861" s="1">
        <v>166.5984</v>
      </c>
      <c r="F861" s="1">
        <v>163.57</v>
      </c>
    </row>
    <row r="862" spans="1:6" x14ac:dyDescent="0.2">
      <c r="A862" t="s">
        <v>528</v>
      </c>
      <c r="B862" s="1">
        <v>165.29</v>
      </c>
      <c r="C862">
        <v>75329380</v>
      </c>
      <c r="D862" s="1">
        <v>170.62</v>
      </c>
      <c r="E862" s="1">
        <v>171.27</v>
      </c>
      <c r="F862" s="1">
        <v>165.04</v>
      </c>
    </row>
    <row r="863" spans="1:6" x14ac:dyDescent="0.2">
      <c r="A863" t="s">
        <v>529</v>
      </c>
      <c r="B863" s="1">
        <v>170.4</v>
      </c>
      <c r="C863">
        <v>70618930</v>
      </c>
      <c r="D863" s="1">
        <v>167.39</v>
      </c>
      <c r="E863" s="1">
        <v>171.04</v>
      </c>
      <c r="F863" s="1">
        <v>166.77</v>
      </c>
    </row>
    <row r="864" spans="1:6" x14ac:dyDescent="0.2">
      <c r="A864" s="2">
        <v>44899</v>
      </c>
      <c r="B864" s="1">
        <v>167.66</v>
      </c>
      <c r="C864">
        <v>79265180</v>
      </c>
      <c r="D864" s="1">
        <v>168.02</v>
      </c>
      <c r="E864" s="1">
        <v>169.87</v>
      </c>
      <c r="F864" s="1">
        <v>166.64</v>
      </c>
    </row>
    <row r="865" spans="1:6" x14ac:dyDescent="0.2">
      <c r="A865" s="2">
        <v>44869</v>
      </c>
      <c r="B865" s="1">
        <v>165.75</v>
      </c>
      <c r="C865">
        <v>72246710</v>
      </c>
      <c r="D865" s="1">
        <v>168.71</v>
      </c>
      <c r="E865" s="1">
        <v>169.03</v>
      </c>
      <c r="F865" s="1">
        <v>165.5</v>
      </c>
    </row>
    <row r="866" spans="1:6" x14ac:dyDescent="0.2">
      <c r="A866" s="2">
        <v>44777</v>
      </c>
      <c r="B866" s="1">
        <v>170.09</v>
      </c>
      <c r="C866">
        <v>76575510</v>
      </c>
      <c r="D866" s="1">
        <v>171.78</v>
      </c>
      <c r="E866" s="1">
        <v>171.78</v>
      </c>
      <c r="F866" s="1">
        <v>169.2</v>
      </c>
    </row>
    <row r="867" spans="1:6" x14ac:dyDescent="0.2">
      <c r="A867" s="2">
        <v>44746</v>
      </c>
      <c r="B867" s="1">
        <v>172.14</v>
      </c>
      <c r="C867">
        <v>77594650</v>
      </c>
      <c r="D867" s="1">
        <v>171.16</v>
      </c>
      <c r="E867" s="1">
        <v>173.36</v>
      </c>
      <c r="F867" s="1">
        <v>169.85</v>
      </c>
    </row>
    <row r="868" spans="1:6" x14ac:dyDescent="0.2">
      <c r="A868" s="2">
        <v>44716</v>
      </c>
      <c r="B868" s="1">
        <v>171.83</v>
      </c>
      <c r="C868">
        <v>89058780</v>
      </c>
      <c r="D868" s="1">
        <v>172.36</v>
      </c>
      <c r="E868" s="1">
        <v>173.63</v>
      </c>
      <c r="F868" s="1">
        <v>170.13</v>
      </c>
    </row>
    <row r="869" spans="1:6" x14ac:dyDescent="0.2">
      <c r="A869" s="2">
        <v>44685</v>
      </c>
      <c r="B869" s="1">
        <v>175.06</v>
      </c>
      <c r="C869">
        <v>73401790</v>
      </c>
      <c r="D869" s="1">
        <v>177.5</v>
      </c>
      <c r="E869" s="1">
        <v>178.3</v>
      </c>
      <c r="F869" s="1">
        <v>174.41499999999999</v>
      </c>
    </row>
    <row r="870" spans="1:6" x14ac:dyDescent="0.2">
      <c r="A870" s="2">
        <v>44655</v>
      </c>
      <c r="B870" s="1">
        <v>178.44</v>
      </c>
      <c r="C870">
        <v>76545980</v>
      </c>
      <c r="D870" s="1">
        <v>174.57</v>
      </c>
      <c r="E870" s="1">
        <v>178.49</v>
      </c>
      <c r="F870" s="1">
        <v>174.44</v>
      </c>
    </row>
    <row r="871" spans="1:6" x14ac:dyDescent="0.2">
      <c r="A871" s="2">
        <v>44565</v>
      </c>
      <c r="B871" s="1">
        <v>174.31</v>
      </c>
      <c r="C871">
        <v>78751330</v>
      </c>
      <c r="D871" s="1">
        <v>174.03</v>
      </c>
      <c r="E871" s="1">
        <v>174.88</v>
      </c>
      <c r="F871" s="1">
        <v>171.94</v>
      </c>
    </row>
    <row r="872" spans="1:6" x14ac:dyDescent="0.2">
      <c r="A872" t="s">
        <v>530</v>
      </c>
      <c r="B872" s="1">
        <v>174.61</v>
      </c>
      <c r="C872">
        <v>103049300</v>
      </c>
      <c r="D872" s="1">
        <v>177.84</v>
      </c>
      <c r="E872" s="1">
        <v>178.03</v>
      </c>
      <c r="F872" s="1">
        <v>174.4</v>
      </c>
    </row>
    <row r="873" spans="1:6" x14ac:dyDescent="0.2">
      <c r="A873" t="s">
        <v>531</v>
      </c>
      <c r="B873" s="1">
        <v>177.77</v>
      </c>
      <c r="C873">
        <v>92633150</v>
      </c>
      <c r="D873" s="1">
        <v>178.55</v>
      </c>
      <c r="E873" s="1">
        <v>179.61</v>
      </c>
      <c r="F873" s="1">
        <v>176.7</v>
      </c>
    </row>
    <row r="874" spans="1:6" x14ac:dyDescent="0.2">
      <c r="A874" t="s">
        <v>532</v>
      </c>
      <c r="B874" s="1">
        <v>178.96</v>
      </c>
      <c r="C874">
        <v>100589400</v>
      </c>
      <c r="D874" s="1">
        <v>176.69</v>
      </c>
      <c r="E874" s="1">
        <v>179.01</v>
      </c>
      <c r="F874" s="1">
        <v>176.34</v>
      </c>
    </row>
    <row r="875" spans="1:6" x14ac:dyDescent="0.2">
      <c r="A875" t="s">
        <v>533</v>
      </c>
      <c r="B875" s="1">
        <v>175.6</v>
      </c>
      <c r="C875">
        <v>90371920</v>
      </c>
      <c r="D875" s="1">
        <v>172.17</v>
      </c>
      <c r="E875" s="1">
        <v>175.73</v>
      </c>
      <c r="F875" s="1">
        <v>172</v>
      </c>
    </row>
    <row r="876" spans="1:6" x14ac:dyDescent="0.2">
      <c r="A876" t="s">
        <v>534</v>
      </c>
      <c r="B876" s="1">
        <v>174.72</v>
      </c>
      <c r="C876">
        <v>80546160</v>
      </c>
      <c r="D876" s="1">
        <v>173.88</v>
      </c>
      <c r="E876" s="1">
        <v>175.28</v>
      </c>
      <c r="F876" s="1">
        <v>172.75</v>
      </c>
    </row>
    <row r="877" spans="1:6" x14ac:dyDescent="0.2">
      <c r="A877" t="s">
        <v>535</v>
      </c>
      <c r="B877" s="1">
        <v>174.07</v>
      </c>
      <c r="C877">
        <v>90131420</v>
      </c>
      <c r="D877" s="1">
        <v>171.06</v>
      </c>
      <c r="E877" s="1">
        <v>174.14</v>
      </c>
      <c r="F877" s="1">
        <v>170.21</v>
      </c>
    </row>
    <row r="878" spans="1:6" x14ac:dyDescent="0.2">
      <c r="A878" t="s">
        <v>536</v>
      </c>
      <c r="B878" s="1">
        <v>170.21</v>
      </c>
      <c r="C878">
        <v>98062670</v>
      </c>
      <c r="D878" s="1">
        <v>167.99</v>
      </c>
      <c r="E878" s="1">
        <v>172.64</v>
      </c>
      <c r="F878" s="1">
        <v>167.65</v>
      </c>
    </row>
    <row r="879" spans="1:6" x14ac:dyDescent="0.2">
      <c r="A879" t="s">
        <v>537</v>
      </c>
      <c r="B879" s="1">
        <v>168.82</v>
      </c>
      <c r="C879">
        <v>81532010</v>
      </c>
      <c r="D879" s="1">
        <v>165.51</v>
      </c>
      <c r="E879" s="1">
        <v>169.42</v>
      </c>
      <c r="F879" s="1">
        <v>164.91</v>
      </c>
    </row>
    <row r="880" spans="1:6" x14ac:dyDescent="0.2">
      <c r="A880" t="s">
        <v>538</v>
      </c>
      <c r="B880" s="1">
        <v>165.38</v>
      </c>
      <c r="C880">
        <v>95811350</v>
      </c>
      <c r="D880" s="1">
        <v>163.51</v>
      </c>
      <c r="E880" s="1">
        <v>166.35</v>
      </c>
      <c r="F880" s="1">
        <v>163.01499999999999</v>
      </c>
    </row>
    <row r="881" spans="1:6" x14ac:dyDescent="0.2">
      <c r="A881" t="s">
        <v>539</v>
      </c>
      <c r="B881" s="1">
        <v>163.98</v>
      </c>
      <c r="C881">
        <v>123511700</v>
      </c>
      <c r="D881" s="1">
        <v>160.51</v>
      </c>
      <c r="E881" s="1">
        <v>164.48</v>
      </c>
      <c r="F881" s="1">
        <v>159.76</v>
      </c>
    </row>
    <row r="882" spans="1:6" x14ac:dyDescent="0.2">
      <c r="A882" t="s">
        <v>540</v>
      </c>
      <c r="B882" s="1">
        <v>160.62</v>
      </c>
      <c r="C882">
        <v>75615380</v>
      </c>
      <c r="D882" s="1">
        <v>158.61000000000001</v>
      </c>
      <c r="E882" s="1">
        <v>161</v>
      </c>
      <c r="F882" s="1">
        <v>157.63</v>
      </c>
    </row>
    <row r="883" spans="1:6" x14ac:dyDescent="0.2">
      <c r="A883" t="s">
        <v>541</v>
      </c>
      <c r="B883" s="1">
        <v>159.59</v>
      </c>
      <c r="C883">
        <v>102300200</v>
      </c>
      <c r="D883" s="1">
        <v>157.05000000000001</v>
      </c>
      <c r="E883" s="1">
        <v>160</v>
      </c>
      <c r="F883" s="1">
        <v>154.46</v>
      </c>
    </row>
    <row r="884" spans="1:6" x14ac:dyDescent="0.2">
      <c r="A884" t="s">
        <v>542</v>
      </c>
      <c r="B884" s="1">
        <v>155.09</v>
      </c>
      <c r="C884">
        <v>92964300</v>
      </c>
      <c r="D884" s="1">
        <v>150.9</v>
      </c>
      <c r="E884" s="1">
        <v>155.57</v>
      </c>
      <c r="F884" s="1">
        <v>150.38</v>
      </c>
    </row>
    <row r="885" spans="1:6" x14ac:dyDescent="0.2">
      <c r="A885" t="s">
        <v>543</v>
      </c>
      <c r="B885" s="1">
        <v>150.62</v>
      </c>
      <c r="C885">
        <v>108732100</v>
      </c>
      <c r="D885" s="1">
        <v>151.44999999999999</v>
      </c>
      <c r="E885" s="1">
        <v>154.12</v>
      </c>
      <c r="F885" s="1">
        <v>150.1</v>
      </c>
    </row>
    <row r="886" spans="1:6" x14ac:dyDescent="0.2">
      <c r="A886" s="2">
        <v>44868</v>
      </c>
      <c r="B886" s="1">
        <v>154.72999999999999</v>
      </c>
      <c r="C886">
        <v>96970100</v>
      </c>
      <c r="D886" s="1">
        <v>158.93</v>
      </c>
      <c r="E886" s="1">
        <v>159.28</v>
      </c>
      <c r="F886" s="1">
        <v>154.5</v>
      </c>
    </row>
    <row r="887" spans="1:6" x14ac:dyDescent="0.2">
      <c r="A887" s="2">
        <v>44837</v>
      </c>
      <c r="B887" s="1">
        <v>158.52000000000001</v>
      </c>
      <c r="C887">
        <v>105342000</v>
      </c>
      <c r="D887" s="1">
        <v>160.19999999999999</v>
      </c>
      <c r="E887" s="1">
        <v>160.38999999999999</v>
      </c>
      <c r="F887" s="1">
        <v>155.97999999999999</v>
      </c>
    </row>
    <row r="888" spans="1:6" x14ac:dyDescent="0.2">
      <c r="A888" s="2">
        <v>44807</v>
      </c>
      <c r="B888" s="1">
        <v>162.94999999999999</v>
      </c>
      <c r="C888">
        <v>91454910</v>
      </c>
      <c r="D888" s="1">
        <v>161.47499999999999</v>
      </c>
      <c r="E888" s="1">
        <v>163.41</v>
      </c>
      <c r="F888" s="1">
        <v>159.41</v>
      </c>
    </row>
    <row r="889" spans="1:6" x14ac:dyDescent="0.2">
      <c r="A889" s="2">
        <v>44776</v>
      </c>
      <c r="B889" s="1">
        <v>157.44</v>
      </c>
      <c r="C889">
        <v>131148300</v>
      </c>
      <c r="D889" s="1">
        <v>158.82</v>
      </c>
      <c r="E889" s="1">
        <v>162.88</v>
      </c>
      <c r="F889" s="1">
        <v>155.80000000000001</v>
      </c>
    </row>
    <row r="890" spans="1:6" x14ac:dyDescent="0.2">
      <c r="A890" s="2">
        <v>44745</v>
      </c>
      <c r="B890" s="1">
        <v>159.30000000000001</v>
      </c>
      <c r="C890">
        <v>96418850</v>
      </c>
      <c r="D890" s="1">
        <v>163.36000000000001</v>
      </c>
      <c r="E890" s="1">
        <v>165.02</v>
      </c>
      <c r="F890" s="1">
        <v>159.04</v>
      </c>
    </row>
    <row r="891" spans="1:6" x14ac:dyDescent="0.2">
      <c r="A891" s="2">
        <v>44654</v>
      </c>
      <c r="B891" s="1">
        <v>163.16999999999999</v>
      </c>
      <c r="C891">
        <v>83819590</v>
      </c>
      <c r="D891" s="1">
        <v>164.49</v>
      </c>
      <c r="E891" s="1">
        <v>165.55</v>
      </c>
      <c r="F891" s="1">
        <v>162.1</v>
      </c>
    </row>
    <row r="892" spans="1:6" x14ac:dyDescent="0.2">
      <c r="A892" s="2">
        <v>44623</v>
      </c>
      <c r="B892" s="1">
        <v>166.23</v>
      </c>
      <c r="C892">
        <v>76678440</v>
      </c>
      <c r="D892" s="1">
        <v>168.47</v>
      </c>
      <c r="E892" s="1">
        <v>168.91</v>
      </c>
      <c r="F892" s="1">
        <v>165.55</v>
      </c>
    </row>
    <row r="893" spans="1:6" x14ac:dyDescent="0.2">
      <c r="A893" s="2">
        <v>44595</v>
      </c>
      <c r="B893" s="1">
        <v>166.56</v>
      </c>
      <c r="C893">
        <v>79724750</v>
      </c>
      <c r="D893" s="1">
        <v>164.39</v>
      </c>
      <c r="E893" s="1">
        <v>167.36</v>
      </c>
      <c r="F893" s="1">
        <v>162.94999999999999</v>
      </c>
    </row>
    <row r="894" spans="1:6" x14ac:dyDescent="0.2">
      <c r="A894" s="2">
        <v>44564</v>
      </c>
      <c r="B894" s="1">
        <v>163.19999999999999</v>
      </c>
      <c r="C894">
        <v>83474430</v>
      </c>
      <c r="D894" s="1">
        <v>164.69499999999999</v>
      </c>
      <c r="E894" s="1">
        <v>166.6</v>
      </c>
      <c r="F894" s="1">
        <v>161.97</v>
      </c>
    </row>
    <row r="895" spans="1:6" x14ac:dyDescent="0.2">
      <c r="A895" t="s">
        <v>544</v>
      </c>
      <c r="B895" s="1">
        <v>165.12</v>
      </c>
      <c r="C895">
        <v>95056630</v>
      </c>
      <c r="D895" s="1">
        <v>163.06</v>
      </c>
      <c r="E895" s="1">
        <v>165.42</v>
      </c>
      <c r="F895" s="1">
        <v>162.43</v>
      </c>
    </row>
    <row r="896" spans="1:6" x14ac:dyDescent="0.2">
      <c r="A896" t="s">
        <v>545</v>
      </c>
      <c r="B896" s="1">
        <v>164.85</v>
      </c>
      <c r="C896">
        <v>91974220</v>
      </c>
      <c r="D896" s="1">
        <v>163.84</v>
      </c>
      <c r="E896" s="1">
        <v>165.12</v>
      </c>
      <c r="F896" s="1">
        <v>160.87379999999999</v>
      </c>
    </row>
    <row r="897" spans="1:6" x14ac:dyDescent="0.2">
      <c r="A897" t="s">
        <v>546</v>
      </c>
      <c r="B897" s="1">
        <v>162.74</v>
      </c>
      <c r="C897">
        <v>141147500</v>
      </c>
      <c r="D897" s="1">
        <v>152.58000000000001</v>
      </c>
      <c r="E897" s="1">
        <v>162.85</v>
      </c>
      <c r="F897" s="1">
        <v>152</v>
      </c>
    </row>
    <row r="898" spans="1:6" x14ac:dyDescent="0.2">
      <c r="A898" t="s">
        <v>547</v>
      </c>
      <c r="B898" s="1">
        <v>160.07</v>
      </c>
      <c r="C898">
        <v>90009250</v>
      </c>
      <c r="D898" s="1">
        <v>165.54</v>
      </c>
      <c r="E898" s="1">
        <v>166.15</v>
      </c>
      <c r="F898" s="1">
        <v>159.75</v>
      </c>
    </row>
    <row r="899" spans="1:6" x14ac:dyDescent="0.2">
      <c r="A899" t="s">
        <v>548</v>
      </c>
      <c r="B899" s="1">
        <v>164.32</v>
      </c>
      <c r="C899">
        <v>91162760</v>
      </c>
      <c r="D899" s="1">
        <v>164.98</v>
      </c>
      <c r="E899" s="1">
        <v>166.69</v>
      </c>
      <c r="F899" s="1">
        <v>162.15</v>
      </c>
    </row>
    <row r="900" spans="1:6" x14ac:dyDescent="0.2">
      <c r="A900" t="s">
        <v>549</v>
      </c>
      <c r="B900" s="1">
        <v>167.3</v>
      </c>
      <c r="C900">
        <v>82772670</v>
      </c>
      <c r="D900" s="1">
        <v>169.82</v>
      </c>
      <c r="E900" s="1">
        <v>170.54130000000001</v>
      </c>
      <c r="F900" s="1">
        <v>166.19</v>
      </c>
    </row>
    <row r="901" spans="1:6" x14ac:dyDescent="0.2">
      <c r="A901" t="s">
        <v>550</v>
      </c>
      <c r="B901" s="1">
        <v>168.88</v>
      </c>
      <c r="C901">
        <v>69589340</v>
      </c>
      <c r="D901" s="1">
        <v>171.03</v>
      </c>
      <c r="E901" s="1">
        <v>171.91</v>
      </c>
      <c r="F901" s="1">
        <v>168.47</v>
      </c>
    </row>
    <row r="902" spans="1:6" x14ac:dyDescent="0.2">
      <c r="A902" t="s">
        <v>551</v>
      </c>
      <c r="B902" s="1">
        <v>172.55</v>
      </c>
      <c r="C902">
        <v>61177400</v>
      </c>
      <c r="D902" s="1">
        <v>171.85</v>
      </c>
      <c r="E902" s="1">
        <v>173.34</v>
      </c>
      <c r="F902" s="1">
        <v>170.05</v>
      </c>
    </row>
    <row r="903" spans="1:6" x14ac:dyDescent="0.2">
      <c r="A903" t="s">
        <v>552</v>
      </c>
      <c r="B903" s="1">
        <v>172.79</v>
      </c>
      <c r="C903">
        <v>64286320</v>
      </c>
      <c r="D903" s="1">
        <v>170.97</v>
      </c>
      <c r="E903" s="1">
        <v>172.95</v>
      </c>
      <c r="F903" s="1">
        <v>170.25</v>
      </c>
    </row>
    <row r="904" spans="1:6" x14ac:dyDescent="0.2">
      <c r="A904" t="s">
        <v>553</v>
      </c>
      <c r="B904" s="1">
        <v>168.88</v>
      </c>
      <c r="C904">
        <v>86185530</v>
      </c>
      <c r="D904" s="1">
        <v>167.37</v>
      </c>
      <c r="E904" s="1">
        <v>169.58</v>
      </c>
      <c r="F904" s="1">
        <v>166.56</v>
      </c>
    </row>
    <row r="905" spans="1:6" x14ac:dyDescent="0.2">
      <c r="A905" s="2">
        <v>44867</v>
      </c>
      <c r="B905" s="1">
        <v>168.64</v>
      </c>
      <c r="C905">
        <v>98670690</v>
      </c>
      <c r="D905" s="1">
        <v>172.33</v>
      </c>
      <c r="E905" s="1">
        <v>173.08</v>
      </c>
      <c r="F905" s="1">
        <v>168.04</v>
      </c>
    </row>
    <row r="906" spans="1:6" x14ac:dyDescent="0.2">
      <c r="A906" s="2">
        <v>44836</v>
      </c>
      <c r="B906" s="1">
        <v>172.12</v>
      </c>
      <c r="C906">
        <v>90865900</v>
      </c>
      <c r="D906" s="1">
        <v>174.14</v>
      </c>
      <c r="E906" s="1">
        <v>175.48</v>
      </c>
      <c r="F906" s="1">
        <v>171.55</v>
      </c>
    </row>
    <row r="907" spans="1:6" x14ac:dyDescent="0.2">
      <c r="A907" s="2">
        <v>44806</v>
      </c>
      <c r="B907" s="1">
        <v>176.28</v>
      </c>
      <c r="C907">
        <v>71285040</v>
      </c>
      <c r="D907" s="1">
        <v>176.05</v>
      </c>
      <c r="E907" s="1">
        <v>176.65</v>
      </c>
      <c r="F907" s="1">
        <v>174.9</v>
      </c>
    </row>
    <row r="908" spans="1:6" x14ac:dyDescent="0.2">
      <c r="A908" s="2">
        <v>44775</v>
      </c>
      <c r="B908" s="1">
        <v>174.83</v>
      </c>
      <c r="C908">
        <v>74829220</v>
      </c>
      <c r="D908" s="1">
        <v>171.73</v>
      </c>
      <c r="E908" s="1">
        <v>175.35</v>
      </c>
      <c r="F908" s="1">
        <v>171.43</v>
      </c>
    </row>
    <row r="909" spans="1:6" x14ac:dyDescent="0.2">
      <c r="A909" s="2">
        <v>44744</v>
      </c>
      <c r="B909" s="1">
        <v>171.66</v>
      </c>
      <c r="C909">
        <v>77251200</v>
      </c>
      <c r="D909" s="1">
        <v>172.86</v>
      </c>
      <c r="E909" s="1">
        <v>173.94579999999999</v>
      </c>
      <c r="F909" s="1">
        <v>170.95</v>
      </c>
    </row>
    <row r="910" spans="1:6" x14ac:dyDescent="0.2">
      <c r="A910" s="2">
        <v>44653</v>
      </c>
      <c r="B910" s="1">
        <v>172.39</v>
      </c>
      <c r="C910">
        <v>82465400</v>
      </c>
      <c r="D910" s="1">
        <v>171.68</v>
      </c>
      <c r="E910" s="1">
        <v>174.1</v>
      </c>
      <c r="F910" s="1">
        <v>170.68</v>
      </c>
    </row>
    <row r="911" spans="1:6" x14ac:dyDescent="0.2">
      <c r="A911" s="2">
        <v>44622</v>
      </c>
      <c r="B911" s="1">
        <v>172.9</v>
      </c>
      <c r="C911">
        <v>89418070</v>
      </c>
      <c r="D911" s="1">
        <v>174.48</v>
      </c>
      <c r="E911" s="1">
        <v>176.23990000000001</v>
      </c>
      <c r="F911" s="1">
        <v>172.12</v>
      </c>
    </row>
    <row r="912" spans="1:6" x14ac:dyDescent="0.2">
      <c r="A912" s="2">
        <v>44594</v>
      </c>
      <c r="B912" s="1">
        <v>175.84</v>
      </c>
      <c r="C912">
        <v>84914260</v>
      </c>
      <c r="D912" s="1">
        <v>174.745</v>
      </c>
      <c r="E912" s="1">
        <v>175.88</v>
      </c>
      <c r="F912" s="1">
        <v>173.33</v>
      </c>
    </row>
    <row r="913" spans="1:6" x14ac:dyDescent="0.2">
      <c r="A913" s="2">
        <v>44563</v>
      </c>
      <c r="B913" s="1">
        <v>174.61</v>
      </c>
      <c r="C913">
        <v>86213910</v>
      </c>
      <c r="D913" s="1">
        <v>174.01</v>
      </c>
      <c r="E913" s="1">
        <v>174.84</v>
      </c>
      <c r="F913" s="1">
        <v>172.31</v>
      </c>
    </row>
    <row r="914" spans="1:6" x14ac:dyDescent="0.2">
      <c r="A914" t="s">
        <v>554</v>
      </c>
      <c r="B914" s="1">
        <v>174.78</v>
      </c>
      <c r="C914">
        <v>115541600</v>
      </c>
      <c r="D914" s="1">
        <v>170.16</v>
      </c>
      <c r="E914" s="1">
        <v>175</v>
      </c>
      <c r="F914" s="1">
        <v>169.51</v>
      </c>
    </row>
    <row r="915" spans="1:6" x14ac:dyDescent="0.2">
      <c r="A915" t="s">
        <v>555</v>
      </c>
      <c r="B915" s="1">
        <v>170.33</v>
      </c>
      <c r="C915">
        <v>179935700</v>
      </c>
      <c r="D915" s="1">
        <v>165.71</v>
      </c>
      <c r="E915" s="1">
        <v>170.35</v>
      </c>
      <c r="F915" s="1">
        <v>162.80000000000001</v>
      </c>
    </row>
    <row r="916" spans="1:6" x14ac:dyDescent="0.2">
      <c r="A916" t="s">
        <v>556</v>
      </c>
      <c r="B916" s="1">
        <v>159.22</v>
      </c>
      <c r="C916">
        <v>121954600</v>
      </c>
      <c r="D916" s="1">
        <v>162.44999999999999</v>
      </c>
      <c r="E916" s="1">
        <v>163.84</v>
      </c>
      <c r="F916" s="1">
        <v>158.28</v>
      </c>
    </row>
    <row r="917" spans="1:6" x14ac:dyDescent="0.2">
      <c r="A917" t="s">
        <v>557</v>
      </c>
      <c r="B917" s="1">
        <v>159.69</v>
      </c>
      <c r="C917">
        <v>108275300</v>
      </c>
      <c r="D917" s="1">
        <v>163.5</v>
      </c>
      <c r="E917" s="1">
        <v>164.38939999999999</v>
      </c>
      <c r="F917" s="1">
        <v>157.82</v>
      </c>
    </row>
    <row r="918" spans="1:6" x14ac:dyDescent="0.2">
      <c r="A918" t="s">
        <v>558</v>
      </c>
      <c r="B918" s="1">
        <v>159.78</v>
      </c>
      <c r="C918">
        <v>115798400</v>
      </c>
      <c r="D918" s="1">
        <v>158.97999999999999</v>
      </c>
      <c r="E918" s="1">
        <v>162.76</v>
      </c>
      <c r="F918" s="1">
        <v>157.02000000000001</v>
      </c>
    </row>
    <row r="919" spans="1:6" x14ac:dyDescent="0.2">
      <c r="A919" t="s">
        <v>559</v>
      </c>
      <c r="B919" s="1">
        <v>161.62</v>
      </c>
      <c r="C919">
        <v>162706700</v>
      </c>
      <c r="D919" s="1">
        <v>160.02000000000001</v>
      </c>
      <c r="E919" s="1">
        <v>162.30000000000001</v>
      </c>
      <c r="F919" s="1">
        <v>154.69999999999999</v>
      </c>
    </row>
    <row r="920" spans="1:6" x14ac:dyDescent="0.2">
      <c r="A920" t="s">
        <v>560</v>
      </c>
      <c r="B920" s="1">
        <v>162.41</v>
      </c>
      <c r="C920">
        <v>122848900</v>
      </c>
      <c r="D920" s="1">
        <v>164.41499999999999</v>
      </c>
      <c r="E920" s="1">
        <v>166.33</v>
      </c>
      <c r="F920" s="1">
        <v>162.30000000000001</v>
      </c>
    </row>
    <row r="921" spans="1:6" x14ac:dyDescent="0.2">
      <c r="A921" t="s">
        <v>561</v>
      </c>
      <c r="B921" s="1">
        <v>164.51</v>
      </c>
      <c r="C921">
        <v>91420520</v>
      </c>
      <c r="D921" s="1">
        <v>166.98</v>
      </c>
      <c r="E921" s="1">
        <v>169.68</v>
      </c>
      <c r="F921" s="1">
        <v>164.18</v>
      </c>
    </row>
    <row r="922" spans="1:6" x14ac:dyDescent="0.2">
      <c r="A922" t="s">
        <v>562</v>
      </c>
      <c r="B922" s="1">
        <v>166.23</v>
      </c>
      <c r="C922">
        <v>94814990</v>
      </c>
      <c r="D922" s="1">
        <v>170</v>
      </c>
      <c r="E922" s="1">
        <v>171.08</v>
      </c>
      <c r="F922" s="1">
        <v>165.94</v>
      </c>
    </row>
    <row r="923" spans="1:6" x14ac:dyDescent="0.2">
      <c r="A923" t="s">
        <v>563</v>
      </c>
      <c r="B923" s="1">
        <v>169.8</v>
      </c>
      <c r="C923">
        <v>91168730</v>
      </c>
      <c r="D923" s="1">
        <v>171.51</v>
      </c>
      <c r="E923" s="1">
        <v>172.54</v>
      </c>
      <c r="F923" s="1">
        <v>169.405</v>
      </c>
    </row>
    <row r="924" spans="1:6" x14ac:dyDescent="0.2">
      <c r="A924" t="s">
        <v>564</v>
      </c>
      <c r="B924" s="1">
        <v>173.07</v>
      </c>
      <c r="C924">
        <v>80440780</v>
      </c>
      <c r="D924" s="1">
        <v>171.34</v>
      </c>
      <c r="E924" s="1">
        <v>173.78</v>
      </c>
      <c r="F924" s="1">
        <v>171.09</v>
      </c>
    </row>
    <row r="925" spans="1:6" x14ac:dyDescent="0.2">
      <c r="A925" t="s">
        <v>565</v>
      </c>
      <c r="B925" s="1">
        <v>172.19</v>
      </c>
      <c r="C925">
        <v>84505760</v>
      </c>
      <c r="D925" s="1">
        <v>175.78</v>
      </c>
      <c r="E925" s="1">
        <v>176.62</v>
      </c>
      <c r="F925" s="1">
        <v>171.79</v>
      </c>
    </row>
    <row r="926" spans="1:6" x14ac:dyDescent="0.2">
      <c r="A926" s="2">
        <v>44896</v>
      </c>
      <c r="B926" s="1">
        <v>175.53</v>
      </c>
      <c r="C926">
        <v>74805170</v>
      </c>
      <c r="D926" s="1">
        <v>176.12</v>
      </c>
      <c r="E926" s="1">
        <v>177.18</v>
      </c>
      <c r="F926" s="1">
        <v>174.82</v>
      </c>
    </row>
    <row r="927" spans="1:6" x14ac:dyDescent="0.2">
      <c r="A927" s="2">
        <v>44866</v>
      </c>
      <c r="B927" s="1">
        <v>175.08</v>
      </c>
      <c r="C927">
        <v>76138310</v>
      </c>
      <c r="D927" s="1">
        <v>172.32</v>
      </c>
      <c r="E927" s="1">
        <v>175.18</v>
      </c>
      <c r="F927" s="1">
        <v>170.82</v>
      </c>
    </row>
    <row r="928" spans="1:6" x14ac:dyDescent="0.2">
      <c r="A928" s="2">
        <v>44835</v>
      </c>
      <c r="B928" s="1">
        <v>172.19</v>
      </c>
      <c r="C928">
        <v>106765600</v>
      </c>
      <c r="D928" s="1">
        <v>169.08</v>
      </c>
      <c r="E928" s="1">
        <v>172.5</v>
      </c>
      <c r="F928" s="1">
        <v>168.17</v>
      </c>
    </row>
    <row r="929" spans="1:6" x14ac:dyDescent="0.2">
      <c r="A929" s="2">
        <v>44743</v>
      </c>
      <c r="B929" s="1">
        <v>172.17</v>
      </c>
      <c r="C929">
        <v>86709150</v>
      </c>
      <c r="D929" s="1">
        <v>172.89</v>
      </c>
      <c r="E929" s="1">
        <v>174.14</v>
      </c>
      <c r="F929" s="1">
        <v>171.03</v>
      </c>
    </row>
    <row r="930" spans="1:6" x14ac:dyDescent="0.2">
      <c r="A930" s="2">
        <v>44713</v>
      </c>
      <c r="B930" s="1">
        <v>172</v>
      </c>
      <c r="C930">
        <v>96903960</v>
      </c>
      <c r="D930" s="1">
        <v>172.7</v>
      </c>
      <c r="E930" s="1">
        <v>175.3</v>
      </c>
      <c r="F930" s="1">
        <v>171.64</v>
      </c>
    </row>
    <row r="931" spans="1:6" x14ac:dyDescent="0.2">
      <c r="A931" s="2">
        <v>44682</v>
      </c>
      <c r="B931" s="1">
        <v>174.92</v>
      </c>
      <c r="C931">
        <v>94537600</v>
      </c>
      <c r="D931" s="1">
        <v>179.61</v>
      </c>
      <c r="E931" s="1">
        <v>180.17</v>
      </c>
      <c r="F931" s="1">
        <v>174.64</v>
      </c>
    </row>
    <row r="932" spans="1:6" x14ac:dyDescent="0.2">
      <c r="A932" s="2">
        <v>44652</v>
      </c>
      <c r="B932" s="1">
        <v>179.7</v>
      </c>
      <c r="C932">
        <v>99310440</v>
      </c>
      <c r="D932" s="1">
        <v>182.63</v>
      </c>
      <c r="E932" s="1">
        <v>182.94</v>
      </c>
      <c r="F932" s="1">
        <v>179.12</v>
      </c>
    </row>
    <row r="933" spans="1:6" x14ac:dyDescent="0.2">
      <c r="A933" s="2">
        <v>44621</v>
      </c>
      <c r="B933" s="1">
        <v>182.01</v>
      </c>
      <c r="C933">
        <v>104701200</v>
      </c>
      <c r="D933" s="1">
        <v>177.83</v>
      </c>
      <c r="E933" s="1">
        <v>182.88</v>
      </c>
      <c r="F933" s="1">
        <v>177.71</v>
      </c>
    </row>
    <row r="934" spans="1:6" x14ac:dyDescent="0.2">
      <c r="A934" t="s">
        <v>566</v>
      </c>
      <c r="B934" s="1">
        <v>177.57</v>
      </c>
      <c r="C934">
        <v>64062260</v>
      </c>
      <c r="D934" s="1">
        <v>178.08500000000001</v>
      </c>
      <c r="E934" s="1">
        <v>179.23</v>
      </c>
      <c r="F934" s="1">
        <v>177.26</v>
      </c>
    </row>
    <row r="935" spans="1:6" x14ac:dyDescent="0.2">
      <c r="A935" t="s">
        <v>567</v>
      </c>
      <c r="B935" s="1">
        <v>178.2</v>
      </c>
      <c r="C935">
        <v>59773010</v>
      </c>
      <c r="D935" s="1">
        <v>179.47</v>
      </c>
      <c r="E935" s="1">
        <v>180.57</v>
      </c>
      <c r="F935" s="1">
        <v>178.09</v>
      </c>
    </row>
    <row r="936" spans="1:6" x14ac:dyDescent="0.2">
      <c r="A936" t="s">
        <v>568</v>
      </c>
      <c r="B936" s="1">
        <v>179.38</v>
      </c>
      <c r="C936">
        <v>62348930</v>
      </c>
      <c r="D936" s="1">
        <v>179.33</v>
      </c>
      <c r="E936" s="1">
        <v>180.63</v>
      </c>
      <c r="F936" s="1">
        <v>178.14</v>
      </c>
    </row>
    <row r="937" spans="1:6" x14ac:dyDescent="0.2">
      <c r="A937" t="s">
        <v>569</v>
      </c>
      <c r="B937" s="1">
        <v>179.29</v>
      </c>
      <c r="C937">
        <v>79144340</v>
      </c>
      <c r="D937" s="1">
        <v>180.16</v>
      </c>
      <c r="E937" s="1">
        <v>181.33</v>
      </c>
      <c r="F937" s="1">
        <v>178.53</v>
      </c>
    </row>
    <row r="938" spans="1:6" x14ac:dyDescent="0.2">
      <c r="A938" t="s">
        <v>570</v>
      </c>
      <c r="B938" s="1">
        <v>180.33</v>
      </c>
      <c r="C938">
        <v>74919580</v>
      </c>
      <c r="D938" s="1">
        <v>177.08500000000001</v>
      </c>
      <c r="E938" s="1">
        <v>180.42</v>
      </c>
      <c r="F938" s="1">
        <v>177.07</v>
      </c>
    </row>
    <row r="939" spans="1:6" x14ac:dyDescent="0.2">
      <c r="A939" t="s">
        <v>571</v>
      </c>
      <c r="B939" s="1">
        <v>176.28</v>
      </c>
      <c r="C939">
        <v>68356570</v>
      </c>
      <c r="D939" s="1">
        <v>175.85</v>
      </c>
      <c r="E939" s="1">
        <v>176.84989999999999</v>
      </c>
      <c r="F939" s="1">
        <v>175.27</v>
      </c>
    </row>
    <row r="940" spans="1:6" x14ac:dyDescent="0.2">
      <c r="A940" t="s">
        <v>572</v>
      </c>
      <c r="B940" s="1">
        <v>175.64</v>
      </c>
      <c r="C940">
        <v>92135300</v>
      </c>
      <c r="D940" s="1">
        <v>173.04</v>
      </c>
      <c r="E940" s="1">
        <v>175.86</v>
      </c>
      <c r="F940" s="1">
        <v>172.15</v>
      </c>
    </row>
    <row r="941" spans="1:6" x14ac:dyDescent="0.2">
      <c r="A941" t="s">
        <v>573</v>
      </c>
      <c r="B941" s="1">
        <v>172.99</v>
      </c>
      <c r="C941">
        <v>91185910</v>
      </c>
      <c r="D941" s="1">
        <v>171.55500000000001</v>
      </c>
      <c r="E941" s="1">
        <v>173.2</v>
      </c>
      <c r="F941" s="1">
        <v>169.12</v>
      </c>
    </row>
    <row r="942" spans="1:6" x14ac:dyDescent="0.2">
      <c r="A942" t="s">
        <v>574</v>
      </c>
      <c r="B942" s="1">
        <v>169.75</v>
      </c>
      <c r="C942">
        <v>107499100</v>
      </c>
      <c r="D942" s="1">
        <v>168.28</v>
      </c>
      <c r="E942" s="1">
        <v>170.58</v>
      </c>
      <c r="F942" s="1">
        <v>167.46</v>
      </c>
    </row>
    <row r="943" spans="1:6" x14ac:dyDescent="0.2">
      <c r="A943" t="s">
        <v>575</v>
      </c>
      <c r="B943" s="1">
        <v>171.14</v>
      </c>
      <c r="C943">
        <v>195923400</v>
      </c>
      <c r="D943" s="1">
        <v>169.93</v>
      </c>
      <c r="E943" s="1">
        <v>173.47</v>
      </c>
      <c r="F943" s="1">
        <v>169.69</v>
      </c>
    </row>
    <row r="944" spans="1:6" x14ac:dyDescent="0.2">
      <c r="A944" t="s">
        <v>576</v>
      </c>
      <c r="B944" s="1">
        <v>172.26</v>
      </c>
      <c r="C944">
        <v>150185800</v>
      </c>
      <c r="D944" s="1">
        <v>179.28</v>
      </c>
      <c r="E944" s="1">
        <v>181.14</v>
      </c>
      <c r="F944" s="1">
        <v>170.75</v>
      </c>
    </row>
    <row r="945" spans="1:6" x14ac:dyDescent="0.2">
      <c r="A945" t="s">
        <v>577</v>
      </c>
      <c r="B945" s="1">
        <v>179.3</v>
      </c>
      <c r="C945">
        <v>131063300</v>
      </c>
      <c r="D945" s="1">
        <v>175.11</v>
      </c>
      <c r="E945" s="1">
        <v>179.5</v>
      </c>
      <c r="F945" s="1">
        <v>172.3108</v>
      </c>
    </row>
    <row r="946" spans="1:6" x14ac:dyDescent="0.2">
      <c r="A946" t="s">
        <v>578</v>
      </c>
      <c r="B946" s="1">
        <v>174.33</v>
      </c>
      <c r="C946">
        <v>139380400</v>
      </c>
      <c r="D946" s="1">
        <v>175.25</v>
      </c>
      <c r="E946" s="1">
        <v>177.74</v>
      </c>
      <c r="F946" s="1">
        <v>172.21</v>
      </c>
    </row>
    <row r="947" spans="1:6" x14ac:dyDescent="0.2">
      <c r="A947" t="s">
        <v>579</v>
      </c>
      <c r="B947" s="1">
        <v>175.74</v>
      </c>
      <c r="C947">
        <v>153237000</v>
      </c>
      <c r="D947" s="1">
        <v>181.11500000000001</v>
      </c>
      <c r="E947" s="1">
        <v>182.13</v>
      </c>
      <c r="F947" s="1">
        <v>175.53</v>
      </c>
    </row>
    <row r="948" spans="1:6" x14ac:dyDescent="0.2">
      <c r="A948" s="2">
        <v>44481</v>
      </c>
      <c r="B948" s="1">
        <v>179.45</v>
      </c>
      <c r="C948">
        <v>115402700</v>
      </c>
      <c r="D948" s="1">
        <v>175.20500000000001</v>
      </c>
      <c r="E948" s="1">
        <v>179.63</v>
      </c>
      <c r="F948" s="1">
        <v>174.69</v>
      </c>
    </row>
    <row r="949" spans="1:6" x14ac:dyDescent="0.2">
      <c r="A949" s="2">
        <v>44451</v>
      </c>
      <c r="B949" s="1">
        <v>174.56</v>
      </c>
      <c r="C949">
        <v>108923700</v>
      </c>
      <c r="D949" s="1">
        <v>174.91</v>
      </c>
      <c r="E949" s="1">
        <v>176.75</v>
      </c>
      <c r="F949" s="1">
        <v>173.92</v>
      </c>
    </row>
    <row r="950" spans="1:6" x14ac:dyDescent="0.2">
      <c r="A950" s="2">
        <v>44420</v>
      </c>
      <c r="B950" s="1">
        <v>175.08</v>
      </c>
      <c r="C950">
        <v>116998900</v>
      </c>
      <c r="D950" s="1">
        <v>172.125</v>
      </c>
      <c r="E950" s="1">
        <v>175.96</v>
      </c>
      <c r="F950" s="1">
        <v>170.7</v>
      </c>
    </row>
    <row r="951" spans="1:6" x14ac:dyDescent="0.2">
      <c r="A951" s="2">
        <v>44389</v>
      </c>
      <c r="B951" s="1">
        <v>171.18</v>
      </c>
      <c r="C951">
        <v>120405400</v>
      </c>
      <c r="D951" s="1">
        <v>169.08</v>
      </c>
      <c r="E951" s="1">
        <v>171.58</v>
      </c>
      <c r="F951" s="1">
        <v>168.34</v>
      </c>
    </row>
    <row r="952" spans="1:6" x14ac:dyDescent="0.2">
      <c r="A952" s="2">
        <v>44359</v>
      </c>
      <c r="B952" s="1">
        <v>165.32</v>
      </c>
      <c r="C952">
        <v>107497000</v>
      </c>
      <c r="D952" s="1">
        <v>164.29</v>
      </c>
      <c r="E952" s="1">
        <v>167.87989999999999</v>
      </c>
      <c r="F952" s="1">
        <v>164.28</v>
      </c>
    </row>
    <row r="953" spans="1:6" x14ac:dyDescent="0.2">
      <c r="A953" s="2">
        <v>44267</v>
      </c>
      <c r="B953" s="1">
        <v>161.84</v>
      </c>
      <c r="C953">
        <v>118023100</v>
      </c>
      <c r="D953" s="1">
        <v>164.02</v>
      </c>
      <c r="E953" s="1">
        <v>164.96</v>
      </c>
      <c r="F953" s="1">
        <v>159.72</v>
      </c>
    </row>
    <row r="954" spans="1:6" x14ac:dyDescent="0.2">
      <c r="A954" s="2">
        <v>44239</v>
      </c>
      <c r="B954" s="1">
        <v>163.76</v>
      </c>
      <c r="C954">
        <v>136739200</v>
      </c>
      <c r="D954" s="1">
        <v>158.73500000000001</v>
      </c>
      <c r="E954" s="1">
        <v>164.2</v>
      </c>
      <c r="F954" s="1">
        <v>157.80000000000001</v>
      </c>
    </row>
    <row r="955" spans="1:6" x14ac:dyDescent="0.2">
      <c r="A955" s="2">
        <v>44208</v>
      </c>
      <c r="B955" s="1">
        <v>164.77</v>
      </c>
      <c r="C955">
        <v>152423000</v>
      </c>
      <c r="D955" s="1">
        <v>167.48</v>
      </c>
      <c r="E955" s="1">
        <v>170.3</v>
      </c>
      <c r="F955" s="1">
        <v>164.53</v>
      </c>
    </row>
    <row r="956" spans="1:6" x14ac:dyDescent="0.2">
      <c r="A956" t="s">
        <v>580</v>
      </c>
      <c r="B956" s="1">
        <v>165.3</v>
      </c>
      <c r="C956">
        <v>174048100</v>
      </c>
      <c r="D956" s="1">
        <v>159.98500000000001</v>
      </c>
      <c r="E956" s="1">
        <v>165.52</v>
      </c>
      <c r="F956" s="1">
        <v>159.91999999999999</v>
      </c>
    </row>
    <row r="957" spans="1:6" x14ac:dyDescent="0.2">
      <c r="A957" t="s">
        <v>581</v>
      </c>
      <c r="B957" s="1">
        <v>160.24</v>
      </c>
      <c r="C957">
        <v>88748220</v>
      </c>
      <c r="D957" s="1">
        <v>159.37</v>
      </c>
      <c r="E957" s="1">
        <v>161.19</v>
      </c>
      <c r="F957" s="1">
        <v>158.7901</v>
      </c>
    </row>
    <row r="958" spans="1:6" x14ac:dyDescent="0.2">
      <c r="A958" t="s">
        <v>582</v>
      </c>
      <c r="B958" s="1">
        <v>156.81</v>
      </c>
      <c r="C958">
        <v>76959750</v>
      </c>
      <c r="D958" s="1">
        <v>159.565</v>
      </c>
      <c r="E958" s="1">
        <v>160.44999999999999</v>
      </c>
      <c r="F958" s="1">
        <v>156.36000000000001</v>
      </c>
    </row>
    <row r="959" spans="1:6" x14ac:dyDescent="0.2">
      <c r="A959" t="s">
        <v>583</v>
      </c>
      <c r="B959" s="1">
        <v>161.94</v>
      </c>
      <c r="C959">
        <v>69463620</v>
      </c>
      <c r="D959" s="1">
        <v>160.75</v>
      </c>
      <c r="E959" s="1">
        <v>162.13999999999999</v>
      </c>
      <c r="F959" s="1">
        <v>159.63999999999999</v>
      </c>
    </row>
    <row r="960" spans="1:6" x14ac:dyDescent="0.2">
      <c r="A960" t="s">
        <v>584</v>
      </c>
      <c r="B960" s="1">
        <v>161.41</v>
      </c>
      <c r="C960">
        <v>96041900</v>
      </c>
      <c r="D960" s="1">
        <v>161.12</v>
      </c>
      <c r="E960" s="1">
        <v>161.80000000000001</v>
      </c>
      <c r="F960" s="1">
        <v>159.06010000000001</v>
      </c>
    </row>
    <row r="961" spans="1:6" x14ac:dyDescent="0.2">
      <c r="A961" t="s">
        <v>585</v>
      </c>
      <c r="B961" s="1">
        <v>161.02000000000001</v>
      </c>
      <c r="C961">
        <v>117467900</v>
      </c>
      <c r="D961" s="1">
        <v>161.68</v>
      </c>
      <c r="E961" s="1">
        <v>165.7</v>
      </c>
      <c r="F961" s="1">
        <v>161</v>
      </c>
    </row>
    <row r="962" spans="1:6" x14ac:dyDescent="0.2">
      <c r="A962" t="s">
        <v>586</v>
      </c>
      <c r="B962" s="1">
        <v>160.55000000000001</v>
      </c>
      <c r="C962">
        <v>117305600</v>
      </c>
      <c r="D962" s="1">
        <v>157.65</v>
      </c>
      <c r="E962" s="1">
        <v>161.02000000000001</v>
      </c>
      <c r="F962" s="1">
        <v>156.53280000000001</v>
      </c>
    </row>
    <row r="963" spans="1:6" x14ac:dyDescent="0.2">
      <c r="A963" t="s">
        <v>587</v>
      </c>
      <c r="B963" s="1">
        <v>157.87</v>
      </c>
      <c r="C963">
        <v>137827700</v>
      </c>
      <c r="D963" s="1">
        <v>153.71</v>
      </c>
      <c r="E963" s="1">
        <v>158.66999999999999</v>
      </c>
      <c r="F963" s="1">
        <v>153.05000000000001</v>
      </c>
    </row>
    <row r="964" spans="1:6" x14ac:dyDescent="0.2">
      <c r="A964" t="s">
        <v>588</v>
      </c>
      <c r="B964" s="1">
        <v>153.49</v>
      </c>
      <c r="C964">
        <v>88807000</v>
      </c>
      <c r="D964" s="1">
        <v>150.995</v>
      </c>
      <c r="E964" s="1">
        <v>155</v>
      </c>
      <c r="F964" s="1">
        <v>150.99</v>
      </c>
    </row>
    <row r="965" spans="1:6" x14ac:dyDescent="0.2">
      <c r="A965" t="s">
        <v>589</v>
      </c>
      <c r="B965" s="1">
        <v>151</v>
      </c>
      <c r="C965">
        <v>59256210</v>
      </c>
      <c r="D965" s="1">
        <v>149.94</v>
      </c>
      <c r="E965" s="1">
        <v>151.488</v>
      </c>
      <c r="F965" s="1">
        <v>149.34</v>
      </c>
    </row>
    <row r="966" spans="1:6" x14ac:dyDescent="0.2">
      <c r="A966" t="s">
        <v>590</v>
      </c>
      <c r="B966" s="1">
        <v>150</v>
      </c>
      <c r="C966">
        <v>59222800</v>
      </c>
      <c r="D966" s="1">
        <v>150.37</v>
      </c>
      <c r="E966" s="1">
        <v>151.88</v>
      </c>
      <c r="F966" s="1">
        <v>149.43</v>
      </c>
    </row>
    <row r="967" spans="1:6" x14ac:dyDescent="0.2">
      <c r="A967" s="2">
        <v>44541</v>
      </c>
      <c r="B967" s="1">
        <v>149.99</v>
      </c>
      <c r="C967">
        <v>63804010</v>
      </c>
      <c r="D967" s="1">
        <v>148.43</v>
      </c>
      <c r="E967" s="1">
        <v>150.4</v>
      </c>
      <c r="F967" s="1">
        <v>147.47999999999999</v>
      </c>
    </row>
    <row r="968" spans="1:6" x14ac:dyDescent="0.2">
      <c r="A968" s="2">
        <v>44511</v>
      </c>
      <c r="B968" s="1">
        <v>147.87</v>
      </c>
      <c r="C968">
        <v>40999950</v>
      </c>
      <c r="D968" s="1">
        <v>148.96</v>
      </c>
      <c r="E968" s="1">
        <v>149.43</v>
      </c>
      <c r="F968" s="1">
        <v>147.68100000000001</v>
      </c>
    </row>
    <row r="969" spans="1:6" x14ac:dyDescent="0.2">
      <c r="A969" s="2">
        <v>44480</v>
      </c>
      <c r="B969" s="1">
        <v>147.91999999999999</v>
      </c>
      <c r="C969">
        <v>65187090</v>
      </c>
      <c r="D969" s="1">
        <v>150.02000000000001</v>
      </c>
      <c r="E969" s="1">
        <v>150.13</v>
      </c>
      <c r="F969" s="1">
        <v>147.85</v>
      </c>
    </row>
    <row r="970" spans="1:6" x14ac:dyDescent="0.2">
      <c r="A970" s="2">
        <v>44450</v>
      </c>
      <c r="B970" s="1">
        <v>150.81</v>
      </c>
      <c r="C970">
        <v>56787930</v>
      </c>
      <c r="D970" s="1">
        <v>150.19999999999999</v>
      </c>
      <c r="E970" s="1">
        <v>151.428</v>
      </c>
      <c r="F970" s="1">
        <v>150.06010000000001</v>
      </c>
    </row>
    <row r="971" spans="1:6" x14ac:dyDescent="0.2">
      <c r="A971" s="2">
        <v>44419</v>
      </c>
      <c r="B971" s="1">
        <v>150.44</v>
      </c>
      <c r="C971">
        <v>55020870</v>
      </c>
      <c r="D971" s="1">
        <v>151.41</v>
      </c>
      <c r="E971" s="1">
        <v>151.57</v>
      </c>
      <c r="F971" s="1">
        <v>150.16</v>
      </c>
    </row>
    <row r="972" spans="1:6" x14ac:dyDescent="0.2">
      <c r="A972" s="2">
        <v>44327</v>
      </c>
      <c r="B972" s="1">
        <v>151.28</v>
      </c>
      <c r="C972">
        <v>65463880</v>
      </c>
      <c r="D972" s="1">
        <v>151.88999999999999</v>
      </c>
      <c r="E972" s="1">
        <v>152.19999999999999</v>
      </c>
      <c r="F972" s="1">
        <v>150.06</v>
      </c>
    </row>
    <row r="973" spans="1:6" x14ac:dyDescent="0.2">
      <c r="A973" s="2">
        <v>44297</v>
      </c>
      <c r="B973" s="1">
        <v>150.96</v>
      </c>
      <c r="C973">
        <v>60394620</v>
      </c>
      <c r="D973" s="1">
        <v>151.58000000000001</v>
      </c>
      <c r="E973" s="1">
        <v>152.43</v>
      </c>
      <c r="F973" s="1">
        <v>150.63999999999999</v>
      </c>
    </row>
    <row r="974" spans="1:6" x14ac:dyDescent="0.2">
      <c r="A974" s="2">
        <v>44266</v>
      </c>
      <c r="B974" s="1">
        <v>151.49</v>
      </c>
      <c r="C974">
        <v>54511530</v>
      </c>
      <c r="D974" s="1">
        <v>150.38999999999999</v>
      </c>
      <c r="E974" s="1">
        <v>151.97</v>
      </c>
      <c r="F974" s="1">
        <v>149.82</v>
      </c>
    </row>
    <row r="975" spans="1:6" x14ac:dyDescent="0.2">
      <c r="A975" s="2">
        <v>44238</v>
      </c>
      <c r="B975" s="1">
        <v>150.02000000000001</v>
      </c>
      <c r="C975">
        <v>69121990</v>
      </c>
      <c r="D975" s="1">
        <v>148.66</v>
      </c>
      <c r="E975" s="1">
        <v>151.57</v>
      </c>
      <c r="F975" s="1">
        <v>148.65</v>
      </c>
    </row>
    <row r="976" spans="1:6" x14ac:dyDescent="0.2">
      <c r="A976" s="2">
        <v>44207</v>
      </c>
      <c r="B976" s="1">
        <v>148.96</v>
      </c>
      <c r="C976">
        <v>74588260</v>
      </c>
      <c r="D976" s="1">
        <v>148.98500000000001</v>
      </c>
      <c r="E976" s="1">
        <v>149.69999999999999</v>
      </c>
      <c r="F976" s="1">
        <v>147.80000000000001</v>
      </c>
    </row>
    <row r="977" spans="1:6" x14ac:dyDescent="0.2">
      <c r="A977" t="s">
        <v>591</v>
      </c>
      <c r="B977" s="1">
        <v>149.80000000000001</v>
      </c>
      <c r="C977">
        <v>124953200</v>
      </c>
      <c r="D977" s="1">
        <v>147.215</v>
      </c>
      <c r="E977" s="1">
        <v>149.94</v>
      </c>
      <c r="F977" s="1">
        <v>146.4128</v>
      </c>
    </row>
    <row r="978" spans="1:6" x14ac:dyDescent="0.2">
      <c r="A978" t="s">
        <v>592</v>
      </c>
      <c r="B978" s="1">
        <v>152.57</v>
      </c>
      <c r="C978">
        <v>100077900</v>
      </c>
      <c r="D978" s="1">
        <v>149.82</v>
      </c>
      <c r="E978" s="1">
        <v>153.16499999999999</v>
      </c>
      <c r="F978" s="1">
        <v>149.72</v>
      </c>
    </row>
    <row r="979" spans="1:6" x14ac:dyDescent="0.2">
      <c r="A979" t="s">
        <v>593</v>
      </c>
      <c r="B979" s="1">
        <v>148.85</v>
      </c>
      <c r="C979">
        <v>56094930</v>
      </c>
      <c r="D979" s="1">
        <v>149.36000000000001</v>
      </c>
      <c r="E979" s="1">
        <v>149.72999999999999</v>
      </c>
      <c r="F979" s="1">
        <v>148.49</v>
      </c>
    </row>
    <row r="980" spans="1:6" x14ac:dyDescent="0.2">
      <c r="A980" t="s">
        <v>594</v>
      </c>
      <c r="B980" s="1">
        <v>149.32</v>
      </c>
      <c r="C980">
        <v>60893400</v>
      </c>
      <c r="D980" s="1">
        <v>149.33000000000001</v>
      </c>
      <c r="E980" s="1">
        <v>150.84</v>
      </c>
      <c r="F980" s="1">
        <v>149.01009999999999</v>
      </c>
    </row>
    <row r="981" spans="1:6" x14ac:dyDescent="0.2">
      <c r="A981" t="s">
        <v>595</v>
      </c>
      <c r="B981" s="1">
        <v>148.63999999999999</v>
      </c>
      <c r="C981">
        <v>50720560</v>
      </c>
      <c r="D981" s="1">
        <v>148.68</v>
      </c>
      <c r="E981" s="1">
        <v>149.37</v>
      </c>
      <c r="F981" s="1">
        <v>147.62110000000001</v>
      </c>
    </row>
    <row r="982" spans="1:6" x14ac:dyDescent="0.2">
      <c r="A982" t="s">
        <v>596</v>
      </c>
      <c r="B982" s="1">
        <v>148.69</v>
      </c>
      <c r="C982">
        <v>58883440</v>
      </c>
      <c r="D982" s="1">
        <v>149.69</v>
      </c>
      <c r="E982" s="1">
        <v>150.18</v>
      </c>
      <c r="F982" s="1">
        <v>148.63999999999999</v>
      </c>
    </row>
    <row r="983" spans="1:6" x14ac:dyDescent="0.2">
      <c r="A983" t="s">
        <v>597</v>
      </c>
      <c r="B983" s="1">
        <v>149.47999999999999</v>
      </c>
      <c r="C983">
        <v>61420990</v>
      </c>
      <c r="D983" s="1">
        <v>148.81</v>
      </c>
      <c r="E983" s="1">
        <v>149.63999999999999</v>
      </c>
      <c r="F983" s="1">
        <v>147.87</v>
      </c>
    </row>
    <row r="984" spans="1:6" x14ac:dyDescent="0.2">
      <c r="A984" t="s">
        <v>598</v>
      </c>
      <c r="B984" s="1">
        <v>149.26</v>
      </c>
      <c r="C984">
        <v>58418790</v>
      </c>
      <c r="D984" s="1">
        <v>148.69999999999999</v>
      </c>
      <c r="E984" s="1">
        <v>149.75389999999999</v>
      </c>
      <c r="F984" s="1">
        <v>148.12</v>
      </c>
    </row>
    <row r="985" spans="1:6" x14ac:dyDescent="0.2">
      <c r="A985" t="s">
        <v>599</v>
      </c>
      <c r="B985" s="1">
        <v>148.76</v>
      </c>
      <c r="C985">
        <v>76378890</v>
      </c>
      <c r="D985" s="1">
        <v>147.01</v>
      </c>
      <c r="E985" s="1">
        <v>149.16999999999999</v>
      </c>
      <c r="F985" s="1">
        <v>146.55000000000001</v>
      </c>
    </row>
    <row r="986" spans="1:6" x14ac:dyDescent="0.2">
      <c r="A986" t="s">
        <v>600</v>
      </c>
      <c r="B986" s="1">
        <v>146.55000000000001</v>
      </c>
      <c r="C986">
        <v>85589180</v>
      </c>
      <c r="D986" s="1">
        <v>143.44499999999999</v>
      </c>
      <c r="E986" s="1">
        <v>146.84</v>
      </c>
      <c r="F986" s="1">
        <v>143.16</v>
      </c>
    </row>
    <row r="987" spans="1:6" x14ac:dyDescent="0.2">
      <c r="A987" t="s">
        <v>601</v>
      </c>
      <c r="B987" s="1">
        <v>144.84</v>
      </c>
      <c r="C987">
        <v>67940330</v>
      </c>
      <c r="D987" s="1">
        <v>143.77000000000001</v>
      </c>
      <c r="E987" s="1">
        <v>144.89500000000001</v>
      </c>
      <c r="F987" s="1">
        <v>143.51</v>
      </c>
    </row>
    <row r="988" spans="1:6" x14ac:dyDescent="0.2">
      <c r="A988" t="s">
        <v>602</v>
      </c>
      <c r="B988" s="1">
        <v>143.76</v>
      </c>
      <c r="C988">
        <v>69907100</v>
      </c>
      <c r="D988" s="1">
        <v>142.11000000000001</v>
      </c>
      <c r="E988" s="1">
        <v>143.88</v>
      </c>
      <c r="F988" s="1">
        <v>141.51</v>
      </c>
    </row>
    <row r="989" spans="1:6" x14ac:dyDescent="0.2">
      <c r="A989" t="s">
        <v>603</v>
      </c>
      <c r="B989" s="1">
        <v>140.91</v>
      </c>
      <c r="C989">
        <v>78762720</v>
      </c>
      <c r="D989" s="1">
        <v>141.23500000000001</v>
      </c>
      <c r="E989" s="1">
        <v>141.4</v>
      </c>
      <c r="F989" s="1">
        <v>139.19999999999999</v>
      </c>
    </row>
    <row r="990" spans="1:6" x14ac:dyDescent="0.2">
      <c r="A990" s="2">
        <v>44540</v>
      </c>
      <c r="B990" s="1">
        <v>141.51</v>
      </c>
      <c r="C990">
        <v>73035860</v>
      </c>
      <c r="D990" s="1">
        <v>143.22999999999999</v>
      </c>
      <c r="E990" s="1">
        <v>143.25</v>
      </c>
      <c r="F990" s="1">
        <v>141.0401</v>
      </c>
    </row>
    <row r="991" spans="1:6" x14ac:dyDescent="0.2">
      <c r="A991" s="2">
        <v>44510</v>
      </c>
      <c r="B991" s="1">
        <v>142.81</v>
      </c>
      <c r="C991">
        <v>64452220</v>
      </c>
      <c r="D991" s="1">
        <v>142.27000000000001</v>
      </c>
      <c r="E991" s="1">
        <v>144.81</v>
      </c>
      <c r="F991" s="1">
        <v>141.81</v>
      </c>
    </row>
    <row r="992" spans="1:6" x14ac:dyDescent="0.2">
      <c r="A992" s="2">
        <v>44418</v>
      </c>
      <c r="B992" s="1">
        <v>142.9</v>
      </c>
      <c r="C992">
        <v>58773160</v>
      </c>
      <c r="D992" s="1">
        <v>144.03</v>
      </c>
      <c r="E992" s="1">
        <v>144.1781</v>
      </c>
      <c r="F992" s="1">
        <v>142.56</v>
      </c>
    </row>
    <row r="993" spans="1:6" x14ac:dyDescent="0.2">
      <c r="A993" s="2">
        <v>44387</v>
      </c>
      <c r="B993" s="1">
        <v>143.29</v>
      </c>
      <c r="C993">
        <v>61732660</v>
      </c>
      <c r="D993" s="1">
        <v>143.06</v>
      </c>
      <c r="E993" s="1">
        <v>144.215</v>
      </c>
      <c r="F993" s="1">
        <v>142.72</v>
      </c>
    </row>
    <row r="994" spans="1:6" x14ac:dyDescent="0.2">
      <c r="A994" s="2">
        <v>44357</v>
      </c>
      <c r="B994" s="1">
        <v>142</v>
      </c>
      <c r="C994">
        <v>83221120</v>
      </c>
      <c r="D994" s="1">
        <v>139.47</v>
      </c>
      <c r="E994" s="1">
        <v>142.15</v>
      </c>
      <c r="F994" s="1">
        <v>138.37</v>
      </c>
    </row>
    <row r="995" spans="1:6" x14ac:dyDescent="0.2">
      <c r="A995" s="2">
        <v>44326</v>
      </c>
      <c r="B995" s="1">
        <v>141.11000000000001</v>
      </c>
      <c r="C995">
        <v>80861060</v>
      </c>
      <c r="D995" s="1">
        <v>139.49</v>
      </c>
      <c r="E995" s="1">
        <v>142.24</v>
      </c>
      <c r="F995" s="1">
        <v>139.36000000000001</v>
      </c>
    </row>
    <row r="996" spans="1:6" x14ac:dyDescent="0.2">
      <c r="A996" s="2">
        <v>44296</v>
      </c>
      <c r="B996" s="1">
        <v>139.13999999999999</v>
      </c>
      <c r="C996">
        <v>98322010</v>
      </c>
      <c r="D996" s="1">
        <v>141.76</v>
      </c>
      <c r="E996" s="1">
        <v>142.21</v>
      </c>
      <c r="F996" s="1">
        <v>138.27000000000001</v>
      </c>
    </row>
    <row r="997" spans="1:6" x14ac:dyDescent="0.2">
      <c r="A997" s="2">
        <v>44206</v>
      </c>
      <c r="B997" s="1">
        <v>142.65</v>
      </c>
      <c r="C997">
        <v>94639580</v>
      </c>
      <c r="D997" s="1">
        <v>141.9</v>
      </c>
      <c r="E997" s="1">
        <v>142.91999999999999</v>
      </c>
      <c r="F997" s="1">
        <v>139.11009999999999</v>
      </c>
    </row>
    <row r="998" spans="1:6" x14ac:dyDescent="0.2">
      <c r="A998" t="s">
        <v>604</v>
      </c>
      <c r="B998" s="1">
        <v>141.5</v>
      </c>
      <c r="C998">
        <v>89056660</v>
      </c>
      <c r="D998" s="1">
        <v>143.66</v>
      </c>
      <c r="E998" s="1">
        <v>144.37799999999999</v>
      </c>
      <c r="F998" s="1">
        <v>141.28</v>
      </c>
    </row>
    <row r="999" spans="1:6" x14ac:dyDescent="0.2">
      <c r="A999" t="s">
        <v>605</v>
      </c>
      <c r="B999" s="1">
        <v>142.83000000000001</v>
      </c>
      <c r="C999">
        <v>74602040</v>
      </c>
      <c r="D999" s="1">
        <v>142.47</v>
      </c>
      <c r="E999" s="1">
        <v>144.44999999999999</v>
      </c>
      <c r="F999" s="1">
        <v>142.03</v>
      </c>
    </row>
    <row r="1000" spans="1:6" x14ac:dyDescent="0.2">
      <c r="A1000" t="s">
        <v>606</v>
      </c>
      <c r="B1000" s="1">
        <v>141.91</v>
      </c>
      <c r="C1000">
        <v>108972300</v>
      </c>
      <c r="D1000" s="1">
        <v>143.25</v>
      </c>
      <c r="E1000" s="1">
        <v>144.75</v>
      </c>
      <c r="F1000" s="1">
        <v>141.69</v>
      </c>
    </row>
    <row r="1001" spans="1:6" x14ac:dyDescent="0.2">
      <c r="A1001" t="s">
        <v>607</v>
      </c>
      <c r="B1001" s="1">
        <v>145.37</v>
      </c>
      <c r="C1001">
        <v>74150730</v>
      </c>
      <c r="D1001" s="1">
        <v>145.47</v>
      </c>
      <c r="E1001" s="1">
        <v>145.96</v>
      </c>
      <c r="F1001" s="1">
        <v>143.82</v>
      </c>
    </row>
    <row r="1002" spans="1:6" x14ac:dyDescent="0.2">
      <c r="A1002" t="s">
        <v>608</v>
      </c>
      <c r="B1002" s="1">
        <v>146.91999999999999</v>
      </c>
      <c r="C1002">
        <v>53477870</v>
      </c>
      <c r="D1002" s="1">
        <v>145.66</v>
      </c>
      <c r="E1002" s="1">
        <v>147.4701</v>
      </c>
      <c r="F1002" s="1">
        <v>145.56</v>
      </c>
    </row>
    <row r="1003" spans="1:6" x14ac:dyDescent="0.2">
      <c r="A1003" t="s">
        <v>609</v>
      </c>
      <c r="B1003" s="1">
        <v>146.83000000000001</v>
      </c>
      <c r="C1003">
        <v>64838170</v>
      </c>
      <c r="D1003" s="1">
        <v>146.65</v>
      </c>
      <c r="E1003" s="1">
        <v>147.08000000000001</v>
      </c>
      <c r="F1003" s="1">
        <v>145.63999999999999</v>
      </c>
    </row>
    <row r="1004" spans="1:6" x14ac:dyDescent="0.2">
      <c r="A1004" t="s">
        <v>610</v>
      </c>
      <c r="B1004" s="1">
        <v>145.85</v>
      </c>
      <c r="C1004">
        <v>76404340</v>
      </c>
      <c r="D1004" s="1">
        <v>144.44999999999999</v>
      </c>
      <c r="E1004" s="1">
        <v>146.43</v>
      </c>
      <c r="F1004" s="1">
        <v>143.70009999999999</v>
      </c>
    </row>
    <row r="1005" spans="1:6" x14ac:dyDescent="0.2">
      <c r="A1005" t="s">
        <v>611</v>
      </c>
      <c r="B1005" s="1">
        <v>143.43</v>
      </c>
      <c r="C1005">
        <v>75833960</v>
      </c>
      <c r="D1005" s="1">
        <v>143.93</v>
      </c>
      <c r="E1005" s="1">
        <v>144.6</v>
      </c>
      <c r="F1005" s="1">
        <v>142.78</v>
      </c>
    </row>
    <row r="1006" spans="1:6" x14ac:dyDescent="0.2">
      <c r="A1006" t="s">
        <v>612</v>
      </c>
      <c r="B1006" s="1">
        <v>142.94</v>
      </c>
      <c r="C1006">
        <v>123478900</v>
      </c>
      <c r="D1006" s="1">
        <v>143.80000000000001</v>
      </c>
      <c r="E1006" s="1">
        <v>144.84</v>
      </c>
      <c r="F1006" s="1">
        <v>141.27000000000001</v>
      </c>
    </row>
    <row r="1007" spans="1:6" x14ac:dyDescent="0.2">
      <c r="A1007" t="s">
        <v>613</v>
      </c>
      <c r="B1007" s="1">
        <v>146.06</v>
      </c>
      <c r="C1007">
        <v>129868800</v>
      </c>
      <c r="D1007" s="1">
        <v>148.82</v>
      </c>
      <c r="E1007" s="1">
        <v>148.82</v>
      </c>
      <c r="F1007" s="1">
        <v>145.76</v>
      </c>
    </row>
    <row r="1008" spans="1:6" x14ac:dyDescent="0.2">
      <c r="A1008" t="s">
        <v>614</v>
      </c>
      <c r="B1008" s="1">
        <v>148.79</v>
      </c>
      <c r="C1008">
        <v>68034150</v>
      </c>
      <c r="D1008" s="1">
        <v>148.44</v>
      </c>
      <c r="E1008" s="1">
        <v>148.97</v>
      </c>
      <c r="F1008" s="1">
        <v>147.221</v>
      </c>
    </row>
    <row r="1009" spans="1:6" x14ac:dyDescent="0.2">
      <c r="A1009" t="s">
        <v>615</v>
      </c>
      <c r="B1009" s="1">
        <v>149.03</v>
      </c>
      <c r="C1009">
        <v>83281320</v>
      </c>
      <c r="D1009" s="1">
        <v>148.56</v>
      </c>
      <c r="E1009" s="1">
        <v>149.44</v>
      </c>
      <c r="F1009" s="1">
        <v>146.37</v>
      </c>
    </row>
    <row r="1010" spans="1:6" x14ac:dyDescent="0.2">
      <c r="A1010" t="s">
        <v>616</v>
      </c>
      <c r="B1010" s="1">
        <v>148.12</v>
      </c>
      <c r="C1010">
        <v>109296300</v>
      </c>
      <c r="D1010" s="1">
        <v>150.35</v>
      </c>
      <c r="E1010" s="1">
        <v>151.07</v>
      </c>
      <c r="F1010" s="1">
        <v>146.91</v>
      </c>
    </row>
    <row r="1011" spans="1:6" x14ac:dyDescent="0.2">
      <c r="A1011" t="s">
        <v>617</v>
      </c>
      <c r="B1011" s="1">
        <v>149.55000000000001</v>
      </c>
      <c r="C1011">
        <v>102404300</v>
      </c>
      <c r="D1011" s="1">
        <v>150.63</v>
      </c>
      <c r="E1011" s="1">
        <v>151.41999999999999</v>
      </c>
      <c r="F1011" s="1">
        <v>148.75</v>
      </c>
    </row>
    <row r="1012" spans="1:6" x14ac:dyDescent="0.2">
      <c r="A1012" s="2">
        <v>44478</v>
      </c>
      <c r="B1012" s="1">
        <v>148.97</v>
      </c>
      <c r="C1012">
        <v>140893200</v>
      </c>
      <c r="D1012" s="1">
        <v>155</v>
      </c>
      <c r="E1012" s="1">
        <v>155.47999999999999</v>
      </c>
      <c r="F1012" s="1">
        <v>148.69999999999999</v>
      </c>
    </row>
    <row r="1013" spans="1:6" x14ac:dyDescent="0.2">
      <c r="A1013" s="2">
        <v>44448</v>
      </c>
      <c r="B1013" s="1">
        <v>154.07</v>
      </c>
      <c r="C1013">
        <v>57305730</v>
      </c>
      <c r="D1013" s="1">
        <v>155.49</v>
      </c>
      <c r="E1013" s="1">
        <v>156.11000000000001</v>
      </c>
      <c r="F1013" s="1">
        <v>153.94999999999999</v>
      </c>
    </row>
    <row r="1014" spans="1:6" x14ac:dyDescent="0.2">
      <c r="A1014" s="2">
        <v>44417</v>
      </c>
      <c r="B1014" s="1">
        <v>155.11000000000001</v>
      </c>
      <c r="C1014">
        <v>74420210</v>
      </c>
      <c r="D1014" s="1">
        <v>156.97999999999999</v>
      </c>
      <c r="E1014" s="1">
        <v>157.04</v>
      </c>
      <c r="F1014" s="1">
        <v>153.97499999999999</v>
      </c>
    </row>
    <row r="1015" spans="1:6" x14ac:dyDescent="0.2">
      <c r="A1015" s="2">
        <v>44386</v>
      </c>
      <c r="B1015" s="1">
        <v>156.69</v>
      </c>
      <c r="C1015">
        <v>82278260</v>
      </c>
      <c r="D1015" s="1">
        <v>154.97</v>
      </c>
      <c r="E1015" s="1">
        <v>157.26</v>
      </c>
      <c r="F1015" s="1">
        <v>154.38999999999999</v>
      </c>
    </row>
    <row r="1016" spans="1:6" x14ac:dyDescent="0.2">
      <c r="A1016" s="2">
        <v>44264</v>
      </c>
      <c r="B1016" s="1">
        <v>154.30000000000001</v>
      </c>
      <c r="C1016">
        <v>57866070</v>
      </c>
      <c r="D1016" s="1">
        <v>153.76</v>
      </c>
      <c r="E1016" s="1">
        <v>154.63</v>
      </c>
      <c r="F1016" s="1">
        <v>153.09</v>
      </c>
    </row>
    <row r="1017" spans="1:6" x14ac:dyDescent="0.2">
      <c r="A1017" s="2">
        <v>44236</v>
      </c>
      <c r="B1017" s="1">
        <v>153.65</v>
      </c>
      <c r="C1017">
        <v>71171320</v>
      </c>
      <c r="D1017" s="1">
        <v>153.87</v>
      </c>
      <c r="E1017" s="1">
        <v>154.72</v>
      </c>
      <c r="F1017" s="1">
        <v>152.4</v>
      </c>
    </row>
    <row r="1018" spans="1:6" x14ac:dyDescent="0.2">
      <c r="A1018" s="2">
        <v>44205</v>
      </c>
      <c r="B1018" s="1">
        <v>152.51</v>
      </c>
      <c r="C1018">
        <v>80313710</v>
      </c>
      <c r="D1018" s="1">
        <v>152.83000000000001</v>
      </c>
      <c r="E1018" s="1">
        <v>154.97999999999999</v>
      </c>
      <c r="F1018" s="1">
        <v>152.34</v>
      </c>
    </row>
    <row r="1019" spans="1:6" x14ac:dyDescent="0.2">
      <c r="A1019" t="s">
        <v>618</v>
      </c>
      <c r="B1019" s="1">
        <v>151.83000000000001</v>
      </c>
      <c r="C1019">
        <v>86453120</v>
      </c>
      <c r="D1019" s="1">
        <v>152.66</v>
      </c>
      <c r="E1019" s="1">
        <v>152.80000000000001</v>
      </c>
      <c r="F1019" s="1">
        <v>151.29</v>
      </c>
    </row>
    <row r="1020" spans="1:6" x14ac:dyDescent="0.2">
      <c r="A1020" t="s">
        <v>619</v>
      </c>
      <c r="B1020" s="1">
        <v>153.12</v>
      </c>
      <c r="C1020">
        <v>90956720</v>
      </c>
      <c r="D1020" s="1">
        <v>149</v>
      </c>
      <c r="E1020" s="1">
        <v>153.49</v>
      </c>
      <c r="F1020" s="1">
        <v>148.61000000000001</v>
      </c>
    </row>
    <row r="1021" spans="1:6" x14ac:dyDescent="0.2">
      <c r="A1021" t="s">
        <v>620</v>
      </c>
      <c r="B1021" s="1">
        <v>148.6</v>
      </c>
      <c r="C1021">
        <v>55802390</v>
      </c>
      <c r="D1021" s="1">
        <v>147.47999999999999</v>
      </c>
      <c r="E1021" s="1">
        <v>148.75</v>
      </c>
      <c r="F1021" s="1">
        <v>146.83000000000001</v>
      </c>
    </row>
    <row r="1022" spans="1:6" x14ac:dyDescent="0.2">
      <c r="A1022" t="s">
        <v>621</v>
      </c>
      <c r="B1022" s="1">
        <v>147.54</v>
      </c>
      <c r="C1022">
        <v>48597200</v>
      </c>
      <c r="D1022" s="1">
        <v>148.35</v>
      </c>
      <c r="E1022" s="1">
        <v>149.12</v>
      </c>
      <c r="F1022" s="1">
        <v>147.51</v>
      </c>
    </row>
    <row r="1023" spans="1:6" x14ac:dyDescent="0.2">
      <c r="A1023" t="s">
        <v>622</v>
      </c>
      <c r="B1023" s="1">
        <v>148.36000000000001</v>
      </c>
      <c r="C1023">
        <v>58991300</v>
      </c>
      <c r="D1023" s="1">
        <v>149.81</v>
      </c>
      <c r="E1023" s="1">
        <v>150.32</v>
      </c>
      <c r="F1023" s="1">
        <v>147.80000000000001</v>
      </c>
    </row>
    <row r="1024" spans="1:6" x14ac:dyDescent="0.2">
      <c r="A1024" t="s">
        <v>623</v>
      </c>
      <c r="B1024" s="1">
        <v>149.62</v>
      </c>
      <c r="C1024">
        <v>48606430</v>
      </c>
      <c r="D1024" s="1">
        <v>149.44999999999999</v>
      </c>
      <c r="E1024" s="1">
        <v>150.86000000000001</v>
      </c>
      <c r="F1024" s="1">
        <v>149.15</v>
      </c>
    </row>
    <row r="1025" spans="1:6" x14ac:dyDescent="0.2">
      <c r="A1025" t="s">
        <v>624</v>
      </c>
      <c r="B1025" s="1">
        <v>149.71</v>
      </c>
      <c r="C1025">
        <v>60131810</v>
      </c>
      <c r="D1025" s="1">
        <v>148.31</v>
      </c>
      <c r="E1025" s="1">
        <v>150.19</v>
      </c>
      <c r="F1025" s="1">
        <v>147.88999999999999</v>
      </c>
    </row>
    <row r="1026" spans="1:6" x14ac:dyDescent="0.2">
      <c r="A1026" t="s">
        <v>625</v>
      </c>
      <c r="B1026" s="1">
        <v>148.19</v>
      </c>
      <c r="C1026">
        <v>60549630</v>
      </c>
      <c r="D1026" s="1">
        <v>147.44</v>
      </c>
      <c r="E1026" s="1">
        <v>148.5</v>
      </c>
      <c r="F1026" s="1">
        <v>146.78</v>
      </c>
    </row>
    <row r="1027" spans="1:6" x14ac:dyDescent="0.2">
      <c r="A1027" t="s">
        <v>626</v>
      </c>
      <c r="B1027" s="1">
        <v>146.69999999999999</v>
      </c>
      <c r="C1027">
        <v>86960310</v>
      </c>
      <c r="D1027" s="1">
        <v>145.03</v>
      </c>
      <c r="E1027" s="1">
        <v>148</v>
      </c>
      <c r="F1027" s="1">
        <v>144.5</v>
      </c>
    </row>
    <row r="1028" spans="1:6" x14ac:dyDescent="0.2">
      <c r="A1028" t="s">
        <v>627</v>
      </c>
      <c r="B1028" s="1">
        <v>146.36000000000001</v>
      </c>
      <c r="C1028">
        <v>86325990</v>
      </c>
      <c r="D1028" s="1">
        <v>149.80000000000001</v>
      </c>
      <c r="E1028" s="1">
        <v>150.72</v>
      </c>
      <c r="F1028" s="1">
        <v>146.15</v>
      </c>
    </row>
    <row r="1029" spans="1:6" x14ac:dyDescent="0.2">
      <c r="A1029" t="s">
        <v>628</v>
      </c>
      <c r="B1029" s="1">
        <v>150.19</v>
      </c>
      <c r="C1029">
        <v>92229740</v>
      </c>
      <c r="D1029" s="1">
        <v>150.22999999999999</v>
      </c>
      <c r="E1029" s="1">
        <v>151.68</v>
      </c>
      <c r="F1029" s="1">
        <v>149.09</v>
      </c>
    </row>
    <row r="1030" spans="1:6" x14ac:dyDescent="0.2">
      <c r="A1030" t="s">
        <v>629</v>
      </c>
      <c r="B1030" s="1">
        <v>151.12</v>
      </c>
      <c r="C1030">
        <v>103558800</v>
      </c>
      <c r="D1030" s="1">
        <v>148.535</v>
      </c>
      <c r="E1030" s="1">
        <v>151.19</v>
      </c>
      <c r="F1030" s="1">
        <v>146.47</v>
      </c>
    </row>
    <row r="1031" spans="1:6" x14ac:dyDescent="0.2">
      <c r="A1031" t="s">
        <v>630</v>
      </c>
      <c r="B1031" s="1">
        <v>149.1</v>
      </c>
      <c r="C1031">
        <v>59375010</v>
      </c>
      <c r="D1031" s="1">
        <v>148.97</v>
      </c>
      <c r="E1031" s="1">
        <v>149.4444</v>
      </c>
      <c r="F1031" s="1">
        <v>148.27000000000001</v>
      </c>
    </row>
    <row r="1032" spans="1:6" x14ac:dyDescent="0.2">
      <c r="A1032" s="2">
        <v>44538</v>
      </c>
      <c r="B1032" s="1">
        <v>148.88999999999999</v>
      </c>
      <c r="C1032">
        <v>73779110</v>
      </c>
      <c r="D1032" s="1">
        <v>146.19</v>
      </c>
      <c r="E1032" s="1">
        <v>149.05000000000001</v>
      </c>
      <c r="F1032" s="1">
        <v>145.84</v>
      </c>
    </row>
    <row r="1033" spans="1:6" x14ac:dyDescent="0.2">
      <c r="A1033" s="2">
        <v>44508</v>
      </c>
      <c r="B1033" s="1">
        <v>145.86000000000001</v>
      </c>
      <c r="C1033">
        <v>48493460</v>
      </c>
      <c r="D1033" s="1">
        <v>146.05000000000001</v>
      </c>
      <c r="E1033" s="1">
        <v>146.72</v>
      </c>
      <c r="F1033" s="1">
        <v>145.53</v>
      </c>
    </row>
    <row r="1034" spans="1:6" x14ac:dyDescent="0.2">
      <c r="A1034" s="2">
        <v>44477</v>
      </c>
      <c r="B1034" s="1">
        <v>145.6</v>
      </c>
      <c r="C1034">
        <v>69023080</v>
      </c>
      <c r="D1034" s="1">
        <v>146.44</v>
      </c>
      <c r="E1034" s="1">
        <v>147.71</v>
      </c>
      <c r="F1034" s="1">
        <v>145.30000000000001</v>
      </c>
    </row>
    <row r="1035" spans="1:6" x14ac:dyDescent="0.2">
      <c r="A1035" s="2">
        <v>44447</v>
      </c>
      <c r="B1035" s="1">
        <v>146.09</v>
      </c>
      <c r="C1035">
        <v>48908690</v>
      </c>
      <c r="D1035" s="1">
        <v>146.19999999999999</v>
      </c>
      <c r="E1035" s="1">
        <v>146.69999999999999</v>
      </c>
      <c r="F1035" s="1">
        <v>145.52000000000001</v>
      </c>
    </row>
    <row r="1036" spans="1:6" x14ac:dyDescent="0.2">
      <c r="A1036" s="2">
        <v>44355</v>
      </c>
      <c r="B1036" s="1">
        <v>146.13999999999999</v>
      </c>
      <c r="C1036">
        <v>54126810</v>
      </c>
      <c r="D1036" s="1">
        <v>146.35</v>
      </c>
      <c r="E1036" s="1">
        <v>147.11000000000001</v>
      </c>
      <c r="F1036" s="1">
        <v>145.63</v>
      </c>
    </row>
    <row r="1037" spans="1:6" x14ac:dyDescent="0.2">
      <c r="A1037" s="2">
        <v>44324</v>
      </c>
      <c r="B1037" s="1">
        <v>147.06</v>
      </c>
      <c r="C1037">
        <v>46397670</v>
      </c>
      <c r="D1037" s="1">
        <v>146.97999999999999</v>
      </c>
      <c r="E1037" s="1">
        <v>147.84</v>
      </c>
      <c r="F1037" s="1">
        <v>146.16999999999999</v>
      </c>
    </row>
    <row r="1038" spans="1:6" x14ac:dyDescent="0.2">
      <c r="A1038" s="2">
        <v>44294</v>
      </c>
      <c r="B1038" s="1">
        <v>146.94999999999999</v>
      </c>
      <c r="C1038">
        <v>56368270</v>
      </c>
      <c r="D1038" s="1">
        <v>147.27000000000001</v>
      </c>
      <c r="E1038" s="1">
        <v>147.79</v>
      </c>
      <c r="F1038" s="1">
        <v>146.28</v>
      </c>
    </row>
    <row r="1039" spans="1:6" x14ac:dyDescent="0.2">
      <c r="A1039" s="2">
        <v>44263</v>
      </c>
      <c r="B1039" s="1">
        <v>147.36000000000001</v>
      </c>
      <c r="C1039">
        <v>64786620</v>
      </c>
      <c r="D1039" s="1">
        <v>145.81</v>
      </c>
      <c r="E1039" s="1">
        <v>148.04499999999999</v>
      </c>
      <c r="F1039" s="1">
        <v>145.18</v>
      </c>
    </row>
    <row r="1040" spans="1:6" x14ac:dyDescent="0.2">
      <c r="A1040" s="2">
        <v>44235</v>
      </c>
      <c r="B1040" s="1">
        <v>145.52000000000001</v>
      </c>
      <c r="C1040">
        <v>62879960</v>
      </c>
      <c r="D1040" s="1">
        <v>146.36000000000001</v>
      </c>
      <c r="E1040" s="1">
        <v>146.94999999999999</v>
      </c>
      <c r="F1040" s="1">
        <v>145.25</v>
      </c>
    </row>
    <row r="1041" spans="1:6" x14ac:dyDescent="0.2">
      <c r="A1041" t="s">
        <v>631</v>
      </c>
      <c r="B1041" s="1">
        <v>145.86000000000001</v>
      </c>
      <c r="C1041">
        <v>70440630</v>
      </c>
      <c r="D1041" s="1">
        <v>144.38</v>
      </c>
      <c r="E1041" s="1">
        <v>146.33000000000001</v>
      </c>
      <c r="F1041" s="1">
        <v>144.11000000000001</v>
      </c>
    </row>
    <row r="1042" spans="1:6" x14ac:dyDescent="0.2">
      <c r="A1042" t="s">
        <v>632</v>
      </c>
      <c r="B1042" s="1">
        <v>145.63999999999999</v>
      </c>
      <c r="C1042">
        <v>56699480</v>
      </c>
      <c r="D1042" s="1">
        <v>144.685</v>
      </c>
      <c r="E1042" s="1">
        <v>146.55000000000001</v>
      </c>
      <c r="F1042" s="1">
        <v>144.58000000000001</v>
      </c>
    </row>
    <row r="1043" spans="1:6" x14ac:dyDescent="0.2">
      <c r="A1043" t="s">
        <v>633</v>
      </c>
      <c r="B1043" s="1">
        <v>144.97999999999999</v>
      </c>
      <c r="C1043">
        <v>118931200</v>
      </c>
      <c r="D1043" s="1">
        <v>144.81</v>
      </c>
      <c r="E1043" s="1">
        <v>146.97</v>
      </c>
      <c r="F1043" s="1">
        <v>142.54</v>
      </c>
    </row>
    <row r="1044" spans="1:6" x14ac:dyDescent="0.2">
      <c r="A1044" t="s">
        <v>634</v>
      </c>
      <c r="B1044" s="1">
        <v>146.77000000000001</v>
      </c>
      <c r="C1044">
        <v>104818600</v>
      </c>
      <c r="D1044" s="1">
        <v>149.12</v>
      </c>
      <c r="E1044" s="1">
        <v>149.21</v>
      </c>
      <c r="F1044" s="1">
        <v>145.55000000000001</v>
      </c>
    </row>
    <row r="1045" spans="1:6" x14ac:dyDescent="0.2">
      <c r="A1045" t="s">
        <v>635</v>
      </c>
      <c r="B1045" s="1">
        <v>148.99</v>
      </c>
      <c r="C1045">
        <v>72434090</v>
      </c>
      <c r="D1045" s="1">
        <v>148.27000000000001</v>
      </c>
      <c r="E1045" s="1">
        <v>149.83000000000001</v>
      </c>
      <c r="F1045" s="1">
        <v>147.69999999999999</v>
      </c>
    </row>
    <row r="1046" spans="1:6" x14ac:dyDescent="0.2">
      <c r="A1046" t="s">
        <v>636</v>
      </c>
      <c r="B1046" s="1">
        <v>148.56</v>
      </c>
      <c r="C1046">
        <v>71447420</v>
      </c>
      <c r="D1046" s="1">
        <v>147.55000000000001</v>
      </c>
      <c r="E1046" s="1">
        <v>148.71770000000001</v>
      </c>
      <c r="F1046" s="1">
        <v>146.91999999999999</v>
      </c>
    </row>
    <row r="1047" spans="1:6" x14ac:dyDescent="0.2">
      <c r="A1047" t="s">
        <v>637</v>
      </c>
      <c r="B1047" s="1">
        <v>146.80000000000001</v>
      </c>
      <c r="C1047">
        <v>77338160</v>
      </c>
      <c r="D1047" s="1">
        <v>145.935</v>
      </c>
      <c r="E1047" s="1">
        <v>148.19499999999999</v>
      </c>
      <c r="F1047" s="1">
        <v>145.81</v>
      </c>
    </row>
    <row r="1048" spans="1:6" x14ac:dyDescent="0.2">
      <c r="A1048" t="s">
        <v>638</v>
      </c>
      <c r="B1048" s="1">
        <v>145.4</v>
      </c>
      <c r="C1048">
        <v>74993460</v>
      </c>
      <c r="D1048" s="1">
        <v>145.53</v>
      </c>
      <c r="E1048" s="1">
        <v>146.13</v>
      </c>
      <c r="F1048" s="1">
        <v>144.63</v>
      </c>
    </row>
    <row r="1049" spans="1:6" x14ac:dyDescent="0.2">
      <c r="A1049" t="s">
        <v>639</v>
      </c>
      <c r="B1049" s="1">
        <v>146.15</v>
      </c>
      <c r="C1049">
        <v>96350040</v>
      </c>
      <c r="D1049" s="1">
        <v>143.46</v>
      </c>
      <c r="E1049" s="1">
        <v>147.09970000000001</v>
      </c>
      <c r="F1049" s="1">
        <v>142.96</v>
      </c>
    </row>
    <row r="1050" spans="1:6" x14ac:dyDescent="0.2">
      <c r="A1050" t="s">
        <v>640</v>
      </c>
      <c r="B1050" s="1">
        <v>142.44999999999999</v>
      </c>
      <c r="C1050">
        <v>121434600</v>
      </c>
      <c r="D1050" s="1">
        <v>143.75</v>
      </c>
      <c r="E1050" s="1">
        <v>144.07</v>
      </c>
      <c r="F1050" s="1">
        <v>141.66999999999999</v>
      </c>
    </row>
    <row r="1051" spans="1:6" x14ac:dyDescent="0.2">
      <c r="A1051" t="s">
        <v>641</v>
      </c>
      <c r="B1051" s="1">
        <v>146.38999999999999</v>
      </c>
      <c r="C1051">
        <v>93251430</v>
      </c>
      <c r="D1051" s="1">
        <v>148.46</v>
      </c>
      <c r="E1051" s="1">
        <v>149.76</v>
      </c>
      <c r="F1051" s="1">
        <v>145.88</v>
      </c>
    </row>
    <row r="1052" spans="1:6" x14ac:dyDescent="0.2">
      <c r="A1052" t="s">
        <v>642</v>
      </c>
      <c r="B1052" s="1">
        <v>148.47999999999999</v>
      </c>
      <c r="C1052">
        <v>106820300</v>
      </c>
      <c r="D1052" s="1">
        <v>149.24</v>
      </c>
      <c r="E1052" s="1">
        <v>150</v>
      </c>
      <c r="F1052" s="1">
        <v>147.09</v>
      </c>
    </row>
    <row r="1053" spans="1:6" x14ac:dyDescent="0.2">
      <c r="A1053" t="s">
        <v>643</v>
      </c>
      <c r="B1053" s="1">
        <v>149.15</v>
      </c>
      <c r="C1053">
        <v>127050800</v>
      </c>
      <c r="D1053" s="1">
        <v>148.1</v>
      </c>
      <c r="E1053" s="1">
        <v>149.57</v>
      </c>
      <c r="F1053" s="1">
        <v>147.68</v>
      </c>
    </row>
    <row r="1054" spans="1:6" x14ac:dyDescent="0.2">
      <c r="A1054" t="s">
        <v>644</v>
      </c>
      <c r="B1054" s="1">
        <v>145.63999999999999</v>
      </c>
      <c r="C1054">
        <v>100827100</v>
      </c>
      <c r="D1054" s="1">
        <v>144.03</v>
      </c>
      <c r="E1054" s="1">
        <v>147.46</v>
      </c>
      <c r="F1054" s="1">
        <v>143.63</v>
      </c>
    </row>
    <row r="1055" spans="1:6" x14ac:dyDescent="0.2">
      <c r="A1055" s="2">
        <v>44537</v>
      </c>
      <c r="B1055" s="1">
        <v>144.5</v>
      </c>
      <c r="C1055">
        <v>76299720</v>
      </c>
      <c r="D1055" s="1">
        <v>146.21</v>
      </c>
      <c r="E1055" s="1">
        <v>146.32</v>
      </c>
      <c r="F1055" s="1">
        <v>144</v>
      </c>
    </row>
    <row r="1056" spans="1:6" x14ac:dyDescent="0.2">
      <c r="A1056" s="2">
        <v>44446</v>
      </c>
      <c r="B1056" s="1">
        <v>145.11000000000001</v>
      </c>
      <c r="C1056">
        <v>99890800</v>
      </c>
      <c r="D1056" s="1">
        <v>142.75</v>
      </c>
      <c r="E1056" s="1">
        <v>145.65</v>
      </c>
      <c r="F1056" s="1">
        <v>142.65219999999999</v>
      </c>
    </row>
    <row r="1057" spans="1:6" x14ac:dyDescent="0.2">
      <c r="A1057" s="2">
        <v>44415</v>
      </c>
      <c r="B1057" s="1">
        <v>143.24</v>
      </c>
      <c r="C1057">
        <v>105575500</v>
      </c>
      <c r="D1057" s="1">
        <v>141.58000000000001</v>
      </c>
      <c r="E1057" s="1">
        <v>144.06</v>
      </c>
      <c r="F1057" s="1">
        <v>140.66499999999999</v>
      </c>
    </row>
    <row r="1058" spans="1:6" x14ac:dyDescent="0.2">
      <c r="A1058" s="2">
        <v>44384</v>
      </c>
      <c r="B1058" s="1">
        <v>144.57</v>
      </c>
      <c r="C1058">
        <v>104911600</v>
      </c>
      <c r="D1058" s="1">
        <v>143.535</v>
      </c>
      <c r="E1058" s="1">
        <v>144.88999999999999</v>
      </c>
      <c r="F1058" s="1">
        <v>142.66</v>
      </c>
    </row>
    <row r="1059" spans="1:6" x14ac:dyDescent="0.2">
      <c r="A1059" s="2">
        <v>44354</v>
      </c>
      <c r="B1059" s="1">
        <v>142.02000000000001</v>
      </c>
      <c r="C1059">
        <v>108181800</v>
      </c>
      <c r="D1059" s="1">
        <v>140.07</v>
      </c>
      <c r="E1059" s="1">
        <v>143.15</v>
      </c>
      <c r="F1059" s="1">
        <v>140.07</v>
      </c>
    </row>
    <row r="1060" spans="1:6" x14ac:dyDescent="0.2">
      <c r="A1060" s="2">
        <v>44234</v>
      </c>
      <c r="B1060" s="1">
        <v>139.96</v>
      </c>
      <c r="C1060">
        <v>78945570</v>
      </c>
      <c r="D1060" s="1">
        <v>137.9</v>
      </c>
      <c r="E1060" s="1">
        <v>140</v>
      </c>
      <c r="F1060" s="1">
        <v>137.745</v>
      </c>
    </row>
    <row r="1061" spans="1:6" x14ac:dyDescent="0.2">
      <c r="A1061" s="2">
        <v>44203</v>
      </c>
      <c r="B1061" s="1">
        <v>137.27000000000001</v>
      </c>
      <c r="C1061">
        <v>52485780</v>
      </c>
      <c r="D1061" s="1">
        <v>136.6</v>
      </c>
      <c r="E1061" s="1">
        <v>137.33000000000001</v>
      </c>
      <c r="F1061" s="1">
        <v>135.76</v>
      </c>
    </row>
    <row r="1062" spans="1:6" x14ac:dyDescent="0.2">
      <c r="A1062" t="s">
        <v>645</v>
      </c>
      <c r="B1062" s="1">
        <v>136.96</v>
      </c>
      <c r="C1062">
        <v>63261390</v>
      </c>
      <c r="D1062" s="1">
        <v>136.16999999999999</v>
      </c>
      <c r="E1062" s="1">
        <v>137.41</v>
      </c>
      <c r="F1062" s="1">
        <v>135.87</v>
      </c>
    </row>
    <row r="1063" spans="1:6" x14ac:dyDescent="0.2">
      <c r="A1063" t="s">
        <v>646</v>
      </c>
      <c r="B1063" s="1">
        <v>136.33000000000001</v>
      </c>
      <c r="C1063">
        <v>64556080</v>
      </c>
      <c r="D1063" s="1">
        <v>134.80000000000001</v>
      </c>
      <c r="E1063" s="1">
        <v>136.49</v>
      </c>
      <c r="F1063" s="1">
        <v>134.35</v>
      </c>
    </row>
    <row r="1064" spans="1:6" x14ac:dyDescent="0.2">
      <c r="A1064" t="s">
        <v>647</v>
      </c>
      <c r="B1064" s="1">
        <v>134.78</v>
      </c>
      <c r="C1064">
        <v>62111300</v>
      </c>
      <c r="D1064" s="1">
        <v>133.41</v>
      </c>
      <c r="E1064" s="1">
        <v>135.245</v>
      </c>
      <c r="F1064" s="1">
        <v>133.35</v>
      </c>
    </row>
    <row r="1065" spans="1:6" x14ac:dyDescent="0.2">
      <c r="A1065" t="s">
        <v>648</v>
      </c>
      <c r="B1065" s="1">
        <v>133.11000000000001</v>
      </c>
      <c r="C1065">
        <v>70783750</v>
      </c>
      <c r="D1065" s="1">
        <v>133.46</v>
      </c>
      <c r="E1065" s="1">
        <v>133.88999999999999</v>
      </c>
      <c r="F1065" s="1">
        <v>132.81</v>
      </c>
    </row>
    <row r="1066" spans="1:6" x14ac:dyDescent="0.2">
      <c r="A1066" t="s">
        <v>649</v>
      </c>
      <c r="B1066" s="1">
        <v>133.41</v>
      </c>
      <c r="C1066">
        <v>68711000</v>
      </c>
      <c r="D1066" s="1">
        <v>134.44999999999999</v>
      </c>
      <c r="E1066" s="1">
        <v>134.63999999999999</v>
      </c>
      <c r="F1066" s="1">
        <v>132.93</v>
      </c>
    </row>
    <row r="1067" spans="1:6" x14ac:dyDescent="0.2">
      <c r="A1067" t="s">
        <v>650</v>
      </c>
      <c r="B1067" s="1">
        <v>133.69999999999999</v>
      </c>
      <c r="C1067">
        <v>60214200</v>
      </c>
      <c r="D1067" s="1">
        <v>133.77000000000001</v>
      </c>
      <c r="E1067" s="1">
        <v>134.32</v>
      </c>
      <c r="F1067" s="1">
        <v>133.22999999999999</v>
      </c>
    </row>
    <row r="1068" spans="1:6" x14ac:dyDescent="0.2">
      <c r="A1068" t="s">
        <v>651</v>
      </c>
      <c r="B1068" s="1">
        <v>133.97999999999999</v>
      </c>
      <c r="C1068">
        <v>74783620</v>
      </c>
      <c r="D1068" s="1">
        <v>132.13</v>
      </c>
      <c r="E1068" s="1">
        <v>134.08000000000001</v>
      </c>
      <c r="F1068" s="1">
        <v>131.62</v>
      </c>
    </row>
    <row r="1069" spans="1:6" x14ac:dyDescent="0.2">
      <c r="A1069" t="s">
        <v>652</v>
      </c>
      <c r="B1069" s="1">
        <v>132.30000000000001</v>
      </c>
      <c r="C1069">
        <v>79663320</v>
      </c>
      <c r="D1069" s="1">
        <v>130.30000000000001</v>
      </c>
      <c r="E1069" s="1">
        <v>132.41</v>
      </c>
      <c r="F1069" s="1">
        <v>129.21</v>
      </c>
    </row>
    <row r="1070" spans="1:6" x14ac:dyDescent="0.2">
      <c r="A1070" t="s">
        <v>653</v>
      </c>
      <c r="B1070" s="1">
        <v>130.46</v>
      </c>
      <c r="C1070">
        <v>108953300</v>
      </c>
      <c r="D1070" s="1">
        <v>130.71</v>
      </c>
      <c r="E1070" s="1">
        <v>131.51</v>
      </c>
      <c r="F1070" s="1">
        <v>130.24</v>
      </c>
    </row>
    <row r="1071" spans="1:6" x14ac:dyDescent="0.2">
      <c r="A1071" t="s">
        <v>654</v>
      </c>
      <c r="B1071" s="1">
        <v>131.79</v>
      </c>
      <c r="C1071">
        <v>96721670</v>
      </c>
      <c r="D1071" s="1">
        <v>129.80000000000001</v>
      </c>
      <c r="E1071" s="1">
        <v>132.55000000000001</v>
      </c>
      <c r="F1071" s="1">
        <v>129.65</v>
      </c>
    </row>
    <row r="1072" spans="1:6" x14ac:dyDescent="0.2">
      <c r="A1072" t="s">
        <v>655</v>
      </c>
      <c r="B1072" s="1">
        <v>130.15</v>
      </c>
      <c r="C1072">
        <v>91815030</v>
      </c>
      <c r="D1072" s="1">
        <v>130.37</v>
      </c>
      <c r="E1072" s="1">
        <v>130.88999999999999</v>
      </c>
      <c r="F1072" s="1">
        <v>128.46100000000001</v>
      </c>
    </row>
    <row r="1073" spans="1:6" x14ac:dyDescent="0.2">
      <c r="A1073" t="s">
        <v>656</v>
      </c>
      <c r="B1073" s="1">
        <v>129.63999999999999</v>
      </c>
      <c r="C1073">
        <v>62746330</v>
      </c>
      <c r="D1073" s="1">
        <v>129.94</v>
      </c>
      <c r="E1073" s="1">
        <v>130.6</v>
      </c>
      <c r="F1073" s="1">
        <v>129.38999999999999</v>
      </c>
    </row>
    <row r="1074" spans="1:6" x14ac:dyDescent="0.2">
      <c r="A1074" t="s">
        <v>657</v>
      </c>
      <c r="B1074" s="1">
        <v>130.47999999999999</v>
      </c>
      <c r="C1074">
        <v>96906490</v>
      </c>
      <c r="D1074" s="1">
        <v>127.82</v>
      </c>
      <c r="E1074" s="1">
        <v>130.54</v>
      </c>
      <c r="F1074" s="1">
        <v>127.07</v>
      </c>
    </row>
    <row r="1075" spans="1:6" x14ac:dyDescent="0.2">
      <c r="A1075" s="2">
        <v>44506</v>
      </c>
      <c r="B1075" s="1">
        <v>127.35</v>
      </c>
      <c r="C1075">
        <v>53522370</v>
      </c>
      <c r="D1075" s="1">
        <v>126.53</v>
      </c>
      <c r="E1075" s="1">
        <v>127.44</v>
      </c>
      <c r="F1075" s="1">
        <v>126.1</v>
      </c>
    </row>
    <row r="1076" spans="1:6" x14ac:dyDescent="0.2">
      <c r="A1076" s="2">
        <v>44475</v>
      </c>
      <c r="B1076" s="1">
        <v>126.11</v>
      </c>
      <c r="C1076">
        <v>71186420</v>
      </c>
      <c r="D1076" s="1">
        <v>127.02</v>
      </c>
      <c r="E1076" s="1">
        <v>128.19</v>
      </c>
      <c r="F1076" s="1">
        <v>125.94</v>
      </c>
    </row>
    <row r="1077" spans="1:6" x14ac:dyDescent="0.2">
      <c r="A1077" s="2">
        <v>44445</v>
      </c>
      <c r="B1077" s="1">
        <v>127.13</v>
      </c>
      <c r="C1077">
        <v>56877940</v>
      </c>
      <c r="D1077" s="1">
        <v>127.21</v>
      </c>
      <c r="E1077" s="1">
        <v>127.75</v>
      </c>
      <c r="F1077" s="1">
        <v>126.52</v>
      </c>
    </row>
    <row r="1078" spans="1:6" x14ac:dyDescent="0.2">
      <c r="A1078" s="2">
        <v>44414</v>
      </c>
      <c r="B1078" s="1">
        <v>126.74</v>
      </c>
      <c r="C1078">
        <v>74403770</v>
      </c>
      <c r="D1078" s="1">
        <v>126.6</v>
      </c>
      <c r="E1078" s="1">
        <v>128.46</v>
      </c>
      <c r="F1078" s="1">
        <v>126.2101</v>
      </c>
    </row>
    <row r="1079" spans="1:6" x14ac:dyDescent="0.2">
      <c r="A1079" s="2">
        <v>44383</v>
      </c>
      <c r="B1079" s="1">
        <v>125.9</v>
      </c>
      <c r="C1079">
        <v>71057550</v>
      </c>
      <c r="D1079" s="1">
        <v>126.17</v>
      </c>
      <c r="E1079" s="1">
        <v>126.32</v>
      </c>
      <c r="F1079" s="1">
        <v>124.8321</v>
      </c>
    </row>
    <row r="1080" spans="1:6" x14ac:dyDescent="0.2">
      <c r="A1080" s="2">
        <v>44292</v>
      </c>
      <c r="B1080" s="1">
        <v>125.89</v>
      </c>
      <c r="C1080">
        <v>75169340</v>
      </c>
      <c r="D1080" s="1">
        <v>124.07</v>
      </c>
      <c r="E1080" s="1">
        <v>126.16</v>
      </c>
      <c r="F1080" s="1">
        <v>123.85</v>
      </c>
    </row>
    <row r="1081" spans="1:6" x14ac:dyDescent="0.2">
      <c r="A1081" s="2">
        <v>44261</v>
      </c>
      <c r="B1081" s="1">
        <v>123.54</v>
      </c>
      <c r="C1081">
        <v>76229170</v>
      </c>
      <c r="D1081" s="1">
        <v>124.68</v>
      </c>
      <c r="E1081" s="1">
        <v>124.85</v>
      </c>
      <c r="F1081" s="1">
        <v>123.13</v>
      </c>
    </row>
    <row r="1082" spans="1:6" x14ac:dyDescent="0.2">
      <c r="A1082" s="2">
        <v>44233</v>
      </c>
      <c r="B1082" s="1">
        <v>125.06</v>
      </c>
      <c r="C1082">
        <v>59278860</v>
      </c>
      <c r="D1082" s="1">
        <v>124.28</v>
      </c>
      <c r="E1082" s="1">
        <v>125.24</v>
      </c>
      <c r="F1082" s="1">
        <v>124.05</v>
      </c>
    </row>
    <row r="1083" spans="1:6" x14ac:dyDescent="0.2">
      <c r="A1083" s="2">
        <v>44202</v>
      </c>
      <c r="B1083" s="1">
        <v>124.28</v>
      </c>
      <c r="C1083">
        <v>67637120</v>
      </c>
      <c r="D1083" s="1">
        <v>125.08</v>
      </c>
      <c r="E1083" s="1">
        <v>125.35</v>
      </c>
      <c r="F1083" s="1">
        <v>123.94</v>
      </c>
    </row>
    <row r="1084" spans="1:6" x14ac:dyDescent="0.2">
      <c r="A1084" t="s">
        <v>658</v>
      </c>
      <c r="B1084" s="1">
        <v>124.61</v>
      </c>
      <c r="C1084">
        <v>71311110</v>
      </c>
      <c r="D1084" s="1">
        <v>125.57</v>
      </c>
      <c r="E1084" s="1">
        <v>125.8</v>
      </c>
      <c r="F1084" s="1">
        <v>124.55</v>
      </c>
    </row>
    <row r="1085" spans="1:6" x14ac:dyDescent="0.2">
      <c r="A1085" t="s">
        <v>659</v>
      </c>
      <c r="B1085" s="1">
        <v>125.28</v>
      </c>
      <c r="C1085">
        <v>94625600</v>
      </c>
      <c r="D1085" s="1">
        <v>126.44</v>
      </c>
      <c r="E1085" s="1">
        <v>127.64</v>
      </c>
      <c r="F1085" s="1">
        <v>125.08</v>
      </c>
    </row>
    <row r="1086" spans="1:6" x14ac:dyDescent="0.2">
      <c r="A1086" t="s">
        <v>660</v>
      </c>
      <c r="B1086" s="1">
        <v>126.85</v>
      </c>
      <c r="C1086">
        <v>56575920</v>
      </c>
      <c r="D1086" s="1">
        <v>126.955</v>
      </c>
      <c r="E1086" s="1">
        <v>127.39</v>
      </c>
      <c r="F1086" s="1">
        <v>126.42</v>
      </c>
    </row>
    <row r="1087" spans="1:6" x14ac:dyDescent="0.2">
      <c r="A1087" t="s">
        <v>661</v>
      </c>
      <c r="B1087" s="1">
        <v>126.9</v>
      </c>
      <c r="C1087">
        <v>72009480</v>
      </c>
      <c r="D1087" s="1">
        <v>127.82</v>
      </c>
      <c r="E1087" s="1">
        <v>128.32</v>
      </c>
      <c r="F1087" s="1">
        <v>126.32</v>
      </c>
    </row>
    <row r="1088" spans="1:6" x14ac:dyDescent="0.2">
      <c r="A1088" t="s">
        <v>662</v>
      </c>
      <c r="B1088" s="1">
        <v>127.1</v>
      </c>
      <c r="C1088">
        <v>63092950</v>
      </c>
      <c r="D1088" s="1">
        <v>126.01</v>
      </c>
      <c r="E1088" s="1">
        <v>127.94</v>
      </c>
      <c r="F1088" s="1">
        <v>125.94</v>
      </c>
    </row>
    <row r="1089" spans="1:6" x14ac:dyDescent="0.2">
      <c r="A1089" t="s">
        <v>663</v>
      </c>
      <c r="B1089" s="1">
        <v>125.43</v>
      </c>
      <c r="C1089">
        <v>79295440</v>
      </c>
      <c r="D1089" s="1">
        <v>127.82</v>
      </c>
      <c r="E1089" s="1">
        <v>128</v>
      </c>
      <c r="F1089" s="1">
        <v>125.21</v>
      </c>
    </row>
    <row r="1090" spans="1:6" x14ac:dyDescent="0.2">
      <c r="A1090" t="s">
        <v>664</v>
      </c>
      <c r="B1090" s="1">
        <v>127.31</v>
      </c>
      <c r="C1090">
        <v>76857120</v>
      </c>
      <c r="D1090" s="1">
        <v>125.23</v>
      </c>
      <c r="E1090" s="1">
        <v>127.72</v>
      </c>
      <c r="F1090" s="1">
        <v>125.1</v>
      </c>
    </row>
    <row r="1091" spans="1:6" x14ac:dyDescent="0.2">
      <c r="A1091" t="s">
        <v>665</v>
      </c>
      <c r="B1091" s="1">
        <v>124.69</v>
      </c>
      <c r="C1091">
        <v>92611990</v>
      </c>
      <c r="D1091" s="1">
        <v>123.16</v>
      </c>
      <c r="E1091" s="1">
        <v>124.91500000000001</v>
      </c>
      <c r="F1091" s="1">
        <v>122.86</v>
      </c>
    </row>
    <row r="1092" spans="1:6" x14ac:dyDescent="0.2">
      <c r="A1092" t="s">
        <v>666</v>
      </c>
      <c r="B1092" s="1">
        <v>124.85</v>
      </c>
      <c r="C1092">
        <v>63342930</v>
      </c>
      <c r="D1092" s="1">
        <v>126.56</v>
      </c>
      <c r="E1092" s="1">
        <v>126.99</v>
      </c>
      <c r="F1092" s="1">
        <v>124.78</v>
      </c>
    </row>
    <row r="1093" spans="1:6" x14ac:dyDescent="0.2">
      <c r="A1093" t="s">
        <v>667</v>
      </c>
      <c r="B1093" s="1">
        <v>126.27</v>
      </c>
      <c r="C1093">
        <v>74116550</v>
      </c>
      <c r="D1093" s="1">
        <v>126.82</v>
      </c>
      <c r="E1093" s="1">
        <v>126.93</v>
      </c>
      <c r="F1093" s="1">
        <v>125.17</v>
      </c>
    </row>
    <row r="1094" spans="1:6" x14ac:dyDescent="0.2">
      <c r="A1094" t="s">
        <v>668</v>
      </c>
      <c r="B1094" s="1">
        <v>127.45</v>
      </c>
      <c r="C1094">
        <v>81917950</v>
      </c>
      <c r="D1094" s="1">
        <v>126.25</v>
      </c>
      <c r="E1094" s="1">
        <v>127.89</v>
      </c>
      <c r="F1094" s="1">
        <v>125.85</v>
      </c>
    </row>
    <row r="1095" spans="1:6" x14ac:dyDescent="0.2">
      <c r="A1095" t="s">
        <v>669</v>
      </c>
      <c r="B1095" s="1">
        <v>124.97</v>
      </c>
      <c r="C1095">
        <v>105861300</v>
      </c>
      <c r="D1095" s="1">
        <v>124.58</v>
      </c>
      <c r="E1095" s="1">
        <v>126.15</v>
      </c>
      <c r="F1095" s="1">
        <v>124.26</v>
      </c>
    </row>
    <row r="1096" spans="1:6" x14ac:dyDescent="0.2">
      <c r="A1096" s="2">
        <v>44535</v>
      </c>
      <c r="B1096" s="1">
        <v>122.77</v>
      </c>
      <c r="C1096">
        <v>112172300</v>
      </c>
      <c r="D1096" s="1">
        <v>123.4</v>
      </c>
      <c r="E1096" s="1">
        <v>124.64</v>
      </c>
      <c r="F1096" s="1">
        <v>122.25</v>
      </c>
    </row>
    <row r="1097" spans="1:6" x14ac:dyDescent="0.2">
      <c r="A1097" s="2">
        <v>44505</v>
      </c>
      <c r="B1097" s="1">
        <v>125.91</v>
      </c>
      <c r="C1097">
        <v>126142800</v>
      </c>
      <c r="D1097" s="1">
        <v>123.5</v>
      </c>
      <c r="E1097" s="1">
        <v>126.27</v>
      </c>
      <c r="F1097" s="1">
        <v>122.77</v>
      </c>
    </row>
    <row r="1098" spans="1:6" x14ac:dyDescent="0.2">
      <c r="A1098" s="2">
        <v>44474</v>
      </c>
      <c r="B1098" s="1">
        <v>126.85</v>
      </c>
      <c r="C1098">
        <v>88071230</v>
      </c>
      <c r="D1098" s="1">
        <v>129.41</v>
      </c>
      <c r="E1098" s="1">
        <v>129.54</v>
      </c>
      <c r="F1098" s="1">
        <v>126.81</v>
      </c>
    </row>
    <row r="1099" spans="1:6" x14ac:dyDescent="0.2">
      <c r="A1099" s="2">
        <v>44382</v>
      </c>
      <c r="B1099" s="1">
        <v>130.21</v>
      </c>
      <c r="C1099">
        <v>78973270</v>
      </c>
      <c r="D1099" s="1">
        <v>130.85</v>
      </c>
      <c r="E1099" s="1">
        <v>131.25819999999999</v>
      </c>
      <c r="F1099" s="1">
        <v>129.47499999999999</v>
      </c>
    </row>
    <row r="1100" spans="1:6" x14ac:dyDescent="0.2">
      <c r="A1100" s="2">
        <v>44352</v>
      </c>
      <c r="B1100" s="1">
        <v>129.74</v>
      </c>
      <c r="C1100">
        <v>78128330</v>
      </c>
      <c r="D1100" s="1">
        <v>127.89</v>
      </c>
      <c r="E1100" s="1">
        <v>129.75</v>
      </c>
      <c r="F1100" s="1">
        <v>127.13</v>
      </c>
    </row>
    <row r="1101" spans="1:6" x14ac:dyDescent="0.2">
      <c r="A1101" s="2">
        <v>44321</v>
      </c>
      <c r="B1101" s="1">
        <v>128.1</v>
      </c>
      <c r="C1101">
        <v>84000900</v>
      </c>
      <c r="D1101" s="1">
        <v>129.19999999999999</v>
      </c>
      <c r="E1101" s="1">
        <v>130.44999999999999</v>
      </c>
      <c r="F1101" s="1">
        <v>127.97</v>
      </c>
    </row>
    <row r="1102" spans="1:6" x14ac:dyDescent="0.2">
      <c r="A1102" s="2">
        <v>44291</v>
      </c>
      <c r="B1102" s="1">
        <v>127.85</v>
      </c>
      <c r="C1102">
        <v>137564700</v>
      </c>
      <c r="D1102" s="1">
        <v>131.19</v>
      </c>
      <c r="E1102" s="1">
        <v>131.48990000000001</v>
      </c>
      <c r="F1102" s="1">
        <v>126.7</v>
      </c>
    </row>
    <row r="1103" spans="1:6" x14ac:dyDescent="0.2">
      <c r="A1103" s="2">
        <v>44260</v>
      </c>
      <c r="B1103" s="1">
        <v>132.54</v>
      </c>
      <c r="C1103">
        <v>75135100</v>
      </c>
      <c r="D1103" s="1">
        <v>132.04</v>
      </c>
      <c r="E1103" s="1">
        <v>134.07</v>
      </c>
      <c r="F1103" s="1">
        <v>131.83000000000001</v>
      </c>
    </row>
    <row r="1104" spans="1:6" x14ac:dyDescent="0.2">
      <c r="A1104" t="s">
        <v>670</v>
      </c>
      <c r="B1104" s="1">
        <v>131.46</v>
      </c>
      <c r="C1104">
        <v>109839500</v>
      </c>
      <c r="D1104" s="1">
        <v>131.78</v>
      </c>
      <c r="E1104" s="1">
        <v>133.56</v>
      </c>
      <c r="F1104" s="1">
        <v>131.065</v>
      </c>
    </row>
    <row r="1105" spans="1:6" x14ac:dyDescent="0.2">
      <c r="A1105" t="s">
        <v>671</v>
      </c>
      <c r="B1105" s="1">
        <v>133.47999999999999</v>
      </c>
      <c r="C1105">
        <v>151101000</v>
      </c>
      <c r="D1105" s="1">
        <v>136.47</v>
      </c>
      <c r="E1105" s="1">
        <v>137.07</v>
      </c>
      <c r="F1105" s="1">
        <v>132.44999999999999</v>
      </c>
    </row>
    <row r="1106" spans="1:6" x14ac:dyDescent="0.2">
      <c r="A1106" t="s">
        <v>672</v>
      </c>
      <c r="B1106" s="1">
        <v>133.58000000000001</v>
      </c>
      <c r="C1106">
        <v>107760100</v>
      </c>
      <c r="D1106" s="1">
        <v>134.31</v>
      </c>
      <c r="E1106" s="1">
        <v>135.02000000000001</v>
      </c>
      <c r="F1106" s="1">
        <v>133.08000000000001</v>
      </c>
    </row>
    <row r="1107" spans="1:6" x14ac:dyDescent="0.2">
      <c r="A1107" t="s">
        <v>673</v>
      </c>
      <c r="B1107" s="1">
        <v>134.38999999999999</v>
      </c>
      <c r="C1107">
        <v>66015800</v>
      </c>
      <c r="D1107" s="1">
        <v>135.01</v>
      </c>
      <c r="E1107" s="1">
        <v>135.41</v>
      </c>
      <c r="F1107" s="1">
        <v>134.11000000000001</v>
      </c>
    </row>
    <row r="1108" spans="1:6" x14ac:dyDescent="0.2">
      <c r="A1108" t="s">
        <v>674</v>
      </c>
      <c r="B1108" s="1">
        <v>134.72</v>
      </c>
      <c r="C1108">
        <v>66905070</v>
      </c>
      <c r="D1108" s="1">
        <v>134.83000000000001</v>
      </c>
      <c r="E1108" s="1">
        <v>135.06</v>
      </c>
      <c r="F1108" s="1">
        <v>133.56</v>
      </c>
    </row>
    <row r="1109" spans="1:6" x14ac:dyDescent="0.2">
      <c r="A1109" t="s">
        <v>675</v>
      </c>
      <c r="B1109" s="1">
        <v>134.32</v>
      </c>
      <c r="C1109">
        <v>78756780</v>
      </c>
      <c r="D1109" s="1">
        <v>132.16</v>
      </c>
      <c r="E1109" s="1">
        <v>135.12</v>
      </c>
      <c r="F1109" s="1">
        <v>132.16</v>
      </c>
    </row>
    <row r="1110" spans="1:6" x14ac:dyDescent="0.2">
      <c r="A1110" t="s">
        <v>676</v>
      </c>
      <c r="B1110" s="1">
        <v>131.94</v>
      </c>
      <c r="C1110">
        <v>84566460</v>
      </c>
      <c r="D1110" s="1">
        <v>133.04</v>
      </c>
      <c r="E1110" s="1">
        <v>134.15</v>
      </c>
      <c r="F1110" s="1">
        <v>131.41</v>
      </c>
    </row>
    <row r="1111" spans="1:6" x14ac:dyDescent="0.2">
      <c r="A1111" t="s">
        <v>677</v>
      </c>
      <c r="B1111" s="1">
        <v>133.5</v>
      </c>
      <c r="C1111">
        <v>68847140</v>
      </c>
      <c r="D1111" s="1">
        <v>132.36000000000001</v>
      </c>
      <c r="E1111" s="1">
        <v>133.75</v>
      </c>
      <c r="F1111" s="1">
        <v>131.30009999999999</v>
      </c>
    </row>
    <row r="1112" spans="1:6" x14ac:dyDescent="0.2">
      <c r="A1112" t="s">
        <v>678</v>
      </c>
      <c r="B1112" s="1">
        <v>133.11000000000001</v>
      </c>
      <c r="C1112">
        <v>94812350</v>
      </c>
      <c r="D1112" s="1">
        <v>135.02000000000001</v>
      </c>
      <c r="E1112" s="1">
        <v>135.53</v>
      </c>
      <c r="F1112" s="1">
        <v>131.81</v>
      </c>
    </row>
    <row r="1113" spans="1:6" x14ac:dyDescent="0.2">
      <c r="A1113" t="s">
        <v>679</v>
      </c>
      <c r="B1113" s="1">
        <v>134.84</v>
      </c>
      <c r="C1113">
        <v>94264220</v>
      </c>
      <c r="D1113" s="1">
        <v>133.51</v>
      </c>
      <c r="E1113" s="1">
        <v>135.47</v>
      </c>
      <c r="F1113" s="1">
        <v>133.34</v>
      </c>
    </row>
    <row r="1114" spans="1:6" x14ac:dyDescent="0.2">
      <c r="A1114" t="s">
        <v>680</v>
      </c>
      <c r="B1114" s="1">
        <v>134.16</v>
      </c>
      <c r="C1114">
        <v>84922390</v>
      </c>
      <c r="D1114" s="1">
        <v>134.30000000000001</v>
      </c>
      <c r="E1114" s="1">
        <v>134.66999999999999</v>
      </c>
      <c r="F1114" s="1">
        <v>133.28</v>
      </c>
    </row>
    <row r="1115" spans="1:6" x14ac:dyDescent="0.2">
      <c r="A1115" t="s">
        <v>681</v>
      </c>
      <c r="B1115" s="1">
        <v>134.5</v>
      </c>
      <c r="C1115">
        <v>89347100</v>
      </c>
      <c r="D1115" s="1">
        <v>133.82</v>
      </c>
      <c r="E1115" s="1">
        <v>135</v>
      </c>
      <c r="F1115" s="1">
        <v>133.63999999999999</v>
      </c>
    </row>
    <row r="1116" spans="1:6" x14ac:dyDescent="0.2">
      <c r="A1116" t="s">
        <v>682</v>
      </c>
      <c r="B1116" s="1">
        <v>132.03</v>
      </c>
      <c r="C1116">
        <v>87222780</v>
      </c>
      <c r="D1116" s="1">
        <v>134.94</v>
      </c>
      <c r="E1116" s="1">
        <v>135</v>
      </c>
      <c r="F1116" s="1">
        <v>131.655</v>
      </c>
    </row>
    <row r="1117" spans="1:6" x14ac:dyDescent="0.2">
      <c r="A1117" t="s">
        <v>683</v>
      </c>
      <c r="B1117" s="1">
        <v>134.43</v>
      </c>
      <c r="C1117">
        <v>91266550</v>
      </c>
      <c r="D1117" s="1">
        <v>132.44</v>
      </c>
      <c r="E1117" s="1">
        <v>134.66</v>
      </c>
      <c r="F1117" s="1">
        <v>131.93</v>
      </c>
    </row>
    <row r="1118" spans="1:6" x14ac:dyDescent="0.2">
      <c r="A1118" s="2">
        <v>44534</v>
      </c>
      <c r="B1118" s="1">
        <v>131.24</v>
      </c>
      <c r="C1118">
        <v>91419980</v>
      </c>
      <c r="D1118" s="1">
        <v>132.52000000000001</v>
      </c>
      <c r="E1118" s="1">
        <v>132.85</v>
      </c>
      <c r="F1118" s="1">
        <v>130.63</v>
      </c>
    </row>
    <row r="1119" spans="1:6" x14ac:dyDescent="0.2">
      <c r="A1119" s="2">
        <v>44443</v>
      </c>
      <c r="B1119" s="1">
        <v>132.995</v>
      </c>
      <c r="C1119">
        <v>106686700</v>
      </c>
      <c r="D1119" s="1">
        <v>129.80000000000001</v>
      </c>
      <c r="E1119" s="1">
        <v>133.04</v>
      </c>
      <c r="F1119" s="1">
        <v>129.47</v>
      </c>
    </row>
    <row r="1120" spans="1:6" x14ac:dyDescent="0.2">
      <c r="A1120" s="2">
        <v>44412</v>
      </c>
      <c r="B1120" s="1">
        <v>130.36000000000001</v>
      </c>
      <c r="C1120">
        <v>88844590</v>
      </c>
      <c r="D1120" s="1">
        <v>128.94999999999999</v>
      </c>
      <c r="E1120" s="1">
        <v>130.38999999999999</v>
      </c>
      <c r="F1120" s="1">
        <v>128.52000000000001</v>
      </c>
    </row>
    <row r="1121" spans="1:6" x14ac:dyDescent="0.2">
      <c r="A1121" s="2">
        <v>44381</v>
      </c>
      <c r="B1121" s="1">
        <v>127.9</v>
      </c>
      <c r="C1121">
        <v>83466720</v>
      </c>
      <c r="D1121" s="1">
        <v>125.83</v>
      </c>
      <c r="E1121" s="1">
        <v>127.92</v>
      </c>
      <c r="F1121" s="1">
        <v>125.14</v>
      </c>
    </row>
    <row r="1122" spans="1:6" x14ac:dyDescent="0.2">
      <c r="A1122" s="2">
        <v>44351</v>
      </c>
      <c r="B1122" s="1">
        <v>126.21</v>
      </c>
      <c r="C1122">
        <v>80171250</v>
      </c>
      <c r="D1122" s="1">
        <v>126.5</v>
      </c>
      <c r="E1122" s="1">
        <v>127.13</v>
      </c>
      <c r="F1122" s="1">
        <v>125.65</v>
      </c>
    </row>
    <row r="1123" spans="1:6" x14ac:dyDescent="0.2">
      <c r="A1123" s="2">
        <v>44320</v>
      </c>
      <c r="B1123" s="1">
        <v>125.9</v>
      </c>
      <c r="C1123">
        <v>88651180</v>
      </c>
      <c r="D1123" s="1">
        <v>123.87</v>
      </c>
      <c r="E1123" s="1">
        <v>126.1601</v>
      </c>
      <c r="F1123" s="1">
        <v>123.07</v>
      </c>
    </row>
    <row r="1124" spans="1:6" x14ac:dyDescent="0.2">
      <c r="A1124" s="2">
        <v>44200</v>
      </c>
      <c r="B1124" s="1">
        <v>123</v>
      </c>
      <c r="C1124">
        <v>75089130</v>
      </c>
      <c r="D1124" s="1">
        <v>123.66</v>
      </c>
      <c r="E1124" s="1">
        <v>124.18</v>
      </c>
      <c r="F1124" s="1">
        <v>122.49</v>
      </c>
    </row>
    <row r="1125" spans="1:6" x14ac:dyDescent="0.2">
      <c r="A1125" t="s">
        <v>684</v>
      </c>
      <c r="B1125" s="1">
        <v>122.15</v>
      </c>
      <c r="C1125">
        <v>118323800</v>
      </c>
      <c r="D1125" s="1">
        <v>121.65</v>
      </c>
      <c r="E1125" s="1">
        <v>123.52</v>
      </c>
      <c r="F1125" s="1">
        <v>121.15</v>
      </c>
    </row>
    <row r="1126" spans="1:6" x14ac:dyDescent="0.2">
      <c r="A1126" t="s">
        <v>685</v>
      </c>
      <c r="B1126" s="1">
        <v>119.9</v>
      </c>
      <c r="C1126">
        <v>85671920</v>
      </c>
      <c r="D1126" s="1">
        <v>120.11</v>
      </c>
      <c r="E1126" s="1">
        <v>120.40309999999999</v>
      </c>
      <c r="F1126" s="1">
        <v>118.86</v>
      </c>
    </row>
    <row r="1127" spans="1:6" x14ac:dyDescent="0.2">
      <c r="A1127" t="s">
        <v>686</v>
      </c>
      <c r="B1127" s="1">
        <v>121.39</v>
      </c>
      <c r="C1127">
        <v>80819200</v>
      </c>
      <c r="D1127" s="1">
        <v>121.65</v>
      </c>
      <c r="E1127" s="1">
        <v>122.58</v>
      </c>
      <c r="F1127" s="1">
        <v>120.7299</v>
      </c>
    </row>
    <row r="1128" spans="1:6" x14ac:dyDescent="0.2">
      <c r="A1128" t="s">
        <v>687</v>
      </c>
      <c r="B1128" s="1">
        <v>121.21</v>
      </c>
      <c r="C1128">
        <v>94071230</v>
      </c>
      <c r="D1128" s="1">
        <v>120.35</v>
      </c>
      <c r="E1128" s="1">
        <v>121.48</v>
      </c>
      <c r="F1128" s="1">
        <v>118.92</v>
      </c>
    </row>
    <row r="1129" spans="1:6" x14ac:dyDescent="0.2">
      <c r="A1129" t="s">
        <v>688</v>
      </c>
      <c r="B1129" s="1">
        <v>120.59</v>
      </c>
      <c r="C1129">
        <v>98844680</v>
      </c>
      <c r="D1129" s="1">
        <v>119.54</v>
      </c>
      <c r="E1129" s="1">
        <v>121.66</v>
      </c>
      <c r="F1129" s="1">
        <v>119</v>
      </c>
    </row>
    <row r="1130" spans="1:6" x14ac:dyDescent="0.2">
      <c r="A1130" t="s">
        <v>689</v>
      </c>
      <c r="B1130" s="1">
        <v>120.09</v>
      </c>
      <c r="C1130">
        <v>88530490</v>
      </c>
      <c r="D1130" s="1">
        <v>122.82</v>
      </c>
      <c r="E1130" s="1">
        <v>122.9</v>
      </c>
      <c r="F1130" s="1">
        <v>120.065</v>
      </c>
    </row>
    <row r="1131" spans="1:6" x14ac:dyDescent="0.2">
      <c r="A1131" t="s">
        <v>690</v>
      </c>
      <c r="B1131" s="1">
        <v>122.54</v>
      </c>
      <c r="C1131">
        <v>95467140</v>
      </c>
      <c r="D1131" s="1">
        <v>123.33</v>
      </c>
      <c r="E1131" s="1">
        <v>124.24</v>
      </c>
      <c r="F1131" s="1">
        <v>122.14</v>
      </c>
    </row>
    <row r="1132" spans="1:6" x14ac:dyDescent="0.2">
      <c r="A1132" t="s">
        <v>691</v>
      </c>
      <c r="B1132" s="1">
        <v>123.39</v>
      </c>
      <c r="C1132">
        <v>111912300</v>
      </c>
      <c r="D1132" s="1">
        <v>120.33</v>
      </c>
      <c r="E1132" s="1">
        <v>123.87</v>
      </c>
      <c r="F1132" s="1">
        <v>120.26</v>
      </c>
    </row>
    <row r="1133" spans="1:6" x14ac:dyDescent="0.2">
      <c r="A1133" t="s">
        <v>692</v>
      </c>
      <c r="B1133" s="1">
        <v>119.99</v>
      </c>
      <c r="C1133">
        <v>185549500</v>
      </c>
      <c r="D1133" s="1">
        <v>119.9</v>
      </c>
      <c r="E1133" s="1">
        <v>121.43</v>
      </c>
      <c r="F1133" s="1">
        <v>119.675</v>
      </c>
    </row>
    <row r="1134" spans="1:6" x14ac:dyDescent="0.2">
      <c r="A1134" t="s">
        <v>693</v>
      </c>
      <c r="B1134" s="1">
        <v>120.53</v>
      </c>
      <c r="C1134">
        <v>121469800</v>
      </c>
      <c r="D1134" s="1">
        <v>122.88</v>
      </c>
      <c r="E1134" s="1">
        <v>123.18</v>
      </c>
      <c r="F1134" s="1">
        <v>120.32</v>
      </c>
    </row>
    <row r="1135" spans="1:6" x14ac:dyDescent="0.2">
      <c r="A1135" t="s">
        <v>694</v>
      </c>
      <c r="B1135" s="1">
        <v>124.76</v>
      </c>
      <c r="C1135">
        <v>111932600</v>
      </c>
      <c r="D1135" s="1">
        <v>124.05</v>
      </c>
      <c r="E1135" s="1">
        <v>125.8599</v>
      </c>
      <c r="F1135" s="1">
        <v>122.336</v>
      </c>
    </row>
    <row r="1136" spans="1:6" x14ac:dyDescent="0.2">
      <c r="A1136" t="s">
        <v>695</v>
      </c>
      <c r="B1136" s="1">
        <v>125.57</v>
      </c>
      <c r="C1136">
        <v>115227900</v>
      </c>
      <c r="D1136" s="1">
        <v>125.7</v>
      </c>
      <c r="E1136" s="1">
        <v>127.22</v>
      </c>
      <c r="F1136" s="1">
        <v>124.715</v>
      </c>
    </row>
    <row r="1137" spans="1:6" x14ac:dyDescent="0.2">
      <c r="A1137" t="s">
        <v>696</v>
      </c>
      <c r="B1137" s="1">
        <v>123.99</v>
      </c>
      <c r="C1137">
        <v>92590560</v>
      </c>
      <c r="D1137" s="1">
        <v>121.41</v>
      </c>
      <c r="E1137" s="1">
        <v>124</v>
      </c>
      <c r="F1137" s="1">
        <v>120.42</v>
      </c>
    </row>
    <row r="1138" spans="1:6" x14ac:dyDescent="0.2">
      <c r="A1138" s="2">
        <v>44533</v>
      </c>
      <c r="B1138" s="1">
        <v>121.03</v>
      </c>
      <c r="C1138">
        <v>88105050</v>
      </c>
      <c r="D1138" s="1">
        <v>120.4</v>
      </c>
      <c r="E1138" s="1">
        <v>121.17</v>
      </c>
      <c r="F1138" s="1">
        <v>119.16</v>
      </c>
    </row>
    <row r="1139" spans="1:6" x14ac:dyDescent="0.2">
      <c r="A1139" s="2">
        <v>44503</v>
      </c>
      <c r="B1139" s="1">
        <v>121.96</v>
      </c>
      <c r="C1139">
        <v>103026500</v>
      </c>
      <c r="D1139" s="1">
        <v>122.54</v>
      </c>
      <c r="E1139" s="1">
        <v>123.21</v>
      </c>
      <c r="F1139" s="1">
        <v>121.26</v>
      </c>
    </row>
    <row r="1140" spans="1:6" x14ac:dyDescent="0.2">
      <c r="A1140" s="2">
        <v>44472</v>
      </c>
      <c r="B1140" s="1">
        <v>119.98</v>
      </c>
      <c r="C1140">
        <v>111943300</v>
      </c>
      <c r="D1140" s="1">
        <v>121.69</v>
      </c>
      <c r="E1140" s="1">
        <v>122.17</v>
      </c>
      <c r="F1140" s="1">
        <v>119.45</v>
      </c>
    </row>
    <row r="1141" spans="1:6" x14ac:dyDescent="0.2">
      <c r="A1141" s="2">
        <v>44442</v>
      </c>
      <c r="B1141" s="1">
        <v>121.08499999999999</v>
      </c>
      <c r="C1141">
        <v>129525800</v>
      </c>
      <c r="D1141" s="1">
        <v>119.03</v>
      </c>
      <c r="E1141" s="1">
        <v>122.06</v>
      </c>
      <c r="F1141" s="1">
        <v>118.79</v>
      </c>
    </row>
    <row r="1142" spans="1:6" x14ac:dyDescent="0.2">
      <c r="A1142" s="2">
        <v>44411</v>
      </c>
      <c r="B1142" s="1">
        <v>116.36</v>
      </c>
      <c r="C1142">
        <v>154376600</v>
      </c>
      <c r="D1142" s="1">
        <v>120.93</v>
      </c>
      <c r="E1142" s="1">
        <v>121</v>
      </c>
      <c r="F1142" s="1">
        <v>116.21</v>
      </c>
    </row>
    <row r="1143" spans="1:6" x14ac:dyDescent="0.2">
      <c r="A1143" s="2">
        <v>44319</v>
      </c>
      <c r="B1143" s="1">
        <v>121.42</v>
      </c>
      <c r="C1143">
        <v>153766600</v>
      </c>
      <c r="D1143" s="1">
        <v>120.98</v>
      </c>
      <c r="E1143" s="1">
        <v>121.935</v>
      </c>
      <c r="F1143" s="1">
        <v>117.57</v>
      </c>
    </row>
    <row r="1144" spans="1:6" x14ac:dyDescent="0.2">
      <c r="A1144" s="2">
        <v>44289</v>
      </c>
      <c r="B1144" s="1">
        <v>120.13</v>
      </c>
      <c r="C1144">
        <v>178155000</v>
      </c>
      <c r="D1144" s="1">
        <v>121.75</v>
      </c>
      <c r="E1144" s="1">
        <v>123.6</v>
      </c>
      <c r="F1144" s="1">
        <v>118.62</v>
      </c>
    </row>
    <row r="1145" spans="1:6" x14ac:dyDescent="0.2">
      <c r="A1145" s="2">
        <v>44258</v>
      </c>
      <c r="B1145" s="1">
        <v>122.06</v>
      </c>
      <c r="C1145">
        <v>112966300</v>
      </c>
      <c r="D1145" s="1">
        <v>124.81</v>
      </c>
      <c r="E1145" s="1">
        <v>125.71</v>
      </c>
      <c r="F1145" s="1">
        <v>121.84</v>
      </c>
    </row>
    <row r="1146" spans="1:6" x14ac:dyDescent="0.2">
      <c r="A1146" s="2">
        <v>44230</v>
      </c>
      <c r="B1146" s="1">
        <v>125.12</v>
      </c>
      <c r="C1146">
        <v>102260900</v>
      </c>
      <c r="D1146" s="1">
        <v>128.41</v>
      </c>
      <c r="E1146" s="1">
        <v>128.72</v>
      </c>
      <c r="F1146" s="1">
        <v>125.01</v>
      </c>
    </row>
    <row r="1147" spans="1:6" x14ac:dyDescent="0.2">
      <c r="A1147" s="2">
        <v>44199</v>
      </c>
      <c r="B1147" s="1">
        <v>127.79</v>
      </c>
      <c r="C1147">
        <v>116307900</v>
      </c>
      <c r="D1147" s="1">
        <v>123.75</v>
      </c>
      <c r="E1147" s="1">
        <v>127.93</v>
      </c>
      <c r="F1147" s="1">
        <v>122.79</v>
      </c>
    </row>
    <row r="1148" spans="1:6" x14ac:dyDescent="0.2">
      <c r="A1148" t="s">
        <v>697</v>
      </c>
      <c r="B1148" s="1">
        <v>121.26</v>
      </c>
      <c r="C1148">
        <v>164560400</v>
      </c>
      <c r="D1148" s="1">
        <v>122.59</v>
      </c>
      <c r="E1148" s="1">
        <v>124.85</v>
      </c>
      <c r="F1148" s="1">
        <v>121.2</v>
      </c>
    </row>
    <row r="1149" spans="1:6" x14ac:dyDescent="0.2">
      <c r="A1149" t="s">
        <v>698</v>
      </c>
      <c r="B1149" s="1">
        <v>120.99</v>
      </c>
      <c r="C1149">
        <v>148199500</v>
      </c>
      <c r="D1149" s="1">
        <v>124.68</v>
      </c>
      <c r="E1149" s="1">
        <v>126.4585</v>
      </c>
      <c r="F1149" s="1">
        <v>120.54</v>
      </c>
    </row>
    <row r="1150" spans="1:6" x14ac:dyDescent="0.2">
      <c r="A1150" t="s">
        <v>699</v>
      </c>
      <c r="B1150" s="1">
        <v>125.35</v>
      </c>
      <c r="C1150">
        <v>111039900</v>
      </c>
      <c r="D1150" s="1">
        <v>124.94</v>
      </c>
      <c r="E1150" s="1">
        <v>125.56</v>
      </c>
      <c r="F1150" s="1">
        <v>122.23</v>
      </c>
    </row>
    <row r="1151" spans="1:6" x14ac:dyDescent="0.2">
      <c r="A1151" t="s">
        <v>700</v>
      </c>
      <c r="B1151" s="1">
        <v>125.86</v>
      </c>
      <c r="C1151">
        <v>158273000</v>
      </c>
      <c r="D1151" s="1">
        <v>123.76</v>
      </c>
      <c r="E1151" s="1">
        <v>126.71</v>
      </c>
      <c r="F1151" s="1">
        <v>118.39</v>
      </c>
    </row>
    <row r="1152" spans="1:6" x14ac:dyDescent="0.2">
      <c r="A1152" t="s">
        <v>701</v>
      </c>
      <c r="B1152" s="1">
        <v>126</v>
      </c>
      <c r="C1152">
        <v>103916400</v>
      </c>
      <c r="D1152" s="1">
        <v>128.01</v>
      </c>
      <c r="E1152" s="1">
        <v>129.72</v>
      </c>
      <c r="F1152" s="1">
        <v>125.6</v>
      </c>
    </row>
    <row r="1153" spans="1:6" x14ac:dyDescent="0.2">
      <c r="A1153" t="s">
        <v>702</v>
      </c>
      <c r="B1153" s="1">
        <v>129.87</v>
      </c>
      <c r="C1153">
        <v>87668830</v>
      </c>
      <c r="D1153" s="1">
        <v>130.24</v>
      </c>
      <c r="E1153" s="1">
        <v>130.71</v>
      </c>
      <c r="F1153" s="1">
        <v>128.80000000000001</v>
      </c>
    </row>
    <row r="1154" spans="1:6" x14ac:dyDescent="0.2">
      <c r="A1154" t="s">
        <v>703</v>
      </c>
      <c r="B1154" s="1">
        <v>129.71</v>
      </c>
      <c r="C1154">
        <v>96856750</v>
      </c>
      <c r="D1154" s="1">
        <v>129.19999999999999</v>
      </c>
      <c r="E1154" s="1">
        <v>129.995</v>
      </c>
      <c r="F1154" s="1">
        <v>127.41</v>
      </c>
    </row>
    <row r="1155" spans="1:6" x14ac:dyDescent="0.2">
      <c r="A1155" t="s">
        <v>704</v>
      </c>
      <c r="B1155" s="1">
        <v>130.84</v>
      </c>
      <c r="C1155">
        <v>98085250</v>
      </c>
      <c r="D1155" s="1">
        <v>131.25</v>
      </c>
      <c r="E1155" s="1">
        <v>132.22</v>
      </c>
      <c r="F1155" s="1">
        <v>129.47</v>
      </c>
    </row>
    <row r="1156" spans="1:6" x14ac:dyDescent="0.2">
      <c r="A1156" t="s">
        <v>705</v>
      </c>
      <c r="B1156" s="1">
        <v>133.19</v>
      </c>
      <c r="C1156">
        <v>80576320</v>
      </c>
      <c r="D1156" s="1">
        <v>135.49</v>
      </c>
      <c r="E1156" s="1">
        <v>136.01</v>
      </c>
      <c r="F1156" s="1">
        <v>132.79</v>
      </c>
    </row>
    <row r="1157" spans="1:6" x14ac:dyDescent="0.2">
      <c r="A1157" s="2">
        <v>44532</v>
      </c>
      <c r="B1157" s="1">
        <v>135.37</v>
      </c>
      <c r="C1157">
        <v>60145130</v>
      </c>
      <c r="D1157" s="1">
        <v>134.35</v>
      </c>
      <c r="E1157" s="1">
        <v>135.53</v>
      </c>
      <c r="F1157" s="1">
        <v>133.69210000000001</v>
      </c>
    </row>
    <row r="1158" spans="1:6" x14ac:dyDescent="0.2">
      <c r="A1158" s="2">
        <v>44502</v>
      </c>
      <c r="B1158" s="1">
        <v>135.13</v>
      </c>
      <c r="C1158">
        <v>64280030</v>
      </c>
      <c r="D1158" s="1">
        <v>135.9</v>
      </c>
      <c r="E1158" s="1">
        <v>136.38999999999999</v>
      </c>
      <c r="F1158" s="1">
        <v>133.77000000000001</v>
      </c>
    </row>
    <row r="1159" spans="1:6" x14ac:dyDescent="0.2">
      <c r="A1159" s="2">
        <v>44471</v>
      </c>
      <c r="B1159" s="1">
        <v>135.38999999999999</v>
      </c>
      <c r="C1159">
        <v>73046560</v>
      </c>
      <c r="D1159" s="1">
        <v>136.47999999999999</v>
      </c>
      <c r="E1159" s="1">
        <v>136.99</v>
      </c>
      <c r="F1159" s="1">
        <v>134.4</v>
      </c>
    </row>
    <row r="1160" spans="1:6" x14ac:dyDescent="0.2">
      <c r="A1160" s="2">
        <v>44441</v>
      </c>
      <c r="B1160" s="1">
        <v>136.01</v>
      </c>
      <c r="C1160">
        <v>76774210</v>
      </c>
      <c r="D1160" s="1">
        <v>136.62</v>
      </c>
      <c r="E1160" s="1">
        <v>137.87700000000001</v>
      </c>
      <c r="F1160" s="1">
        <v>135.85</v>
      </c>
    </row>
    <row r="1161" spans="1:6" x14ac:dyDescent="0.2">
      <c r="A1161" s="2">
        <v>44410</v>
      </c>
      <c r="B1161" s="1">
        <v>136.91</v>
      </c>
      <c r="C1161">
        <v>71297210</v>
      </c>
      <c r="D1161" s="1">
        <v>136.03</v>
      </c>
      <c r="E1161" s="1">
        <v>136.96</v>
      </c>
      <c r="F1161" s="1">
        <v>134.91999999999999</v>
      </c>
    </row>
    <row r="1162" spans="1:6" x14ac:dyDescent="0.2">
      <c r="A1162" s="2">
        <v>44318</v>
      </c>
      <c r="B1162" s="1">
        <v>136.76</v>
      </c>
      <c r="C1162">
        <v>75693830</v>
      </c>
      <c r="D1162" s="1">
        <v>137.35</v>
      </c>
      <c r="E1162" s="1">
        <v>137.41999999999999</v>
      </c>
      <c r="F1162" s="1">
        <v>135.86000000000001</v>
      </c>
    </row>
    <row r="1163" spans="1:6" x14ac:dyDescent="0.2">
      <c r="A1163" s="2">
        <v>44288</v>
      </c>
      <c r="B1163" s="1">
        <v>137.38999999999999</v>
      </c>
      <c r="C1163">
        <v>84183060</v>
      </c>
      <c r="D1163" s="1">
        <v>136.30000000000001</v>
      </c>
      <c r="E1163" s="1">
        <v>137.4</v>
      </c>
      <c r="F1163" s="1">
        <v>134.59</v>
      </c>
    </row>
    <row r="1164" spans="1:6" x14ac:dyDescent="0.2">
      <c r="A1164" s="2">
        <v>44257</v>
      </c>
      <c r="B1164" s="1">
        <v>133.94</v>
      </c>
      <c r="C1164">
        <v>89880940</v>
      </c>
      <c r="D1164" s="1">
        <v>135.76</v>
      </c>
      <c r="E1164" s="1">
        <v>135.77000000000001</v>
      </c>
      <c r="F1164" s="1">
        <v>133.61000000000001</v>
      </c>
    </row>
    <row r="1165" spans="1:6" x14ac:dyDescent="0.2">
      <c r="A1165" s="2">
        <v>44229</v>
      </c>
      <c r="B1165" s="1">
        <v>134.99</v>
      </c>
      <c r="C1165">
        <v>83305370</v>
      </c>
      <c r="D1165" s="1">
        <v>135.72999999999999</v>
      </c>
      <c r="E1165" s="1">
        <v>136.31</v>
      </c>
      <c r="F1165" s="1">
        <v>134.61000000000001</v>
      </c>
    </row>
    <row r="1166" spans="1:6" x14ac:dyDescent="0.2">
      <c r="A1166" s="2">
        <v>44198</v>
      </c>
      <c r="B1166" s="1">
        <v>134.13999999999999</v>
      </c>
      <c r="C1166">
        <v>106239800</v>
      </c>
      <c r="D1166" s="1">
        <v>133.75</v>
      </c>
      <c r="E1166" s="1">
        <v>135.38</v>
      </c>
      <c r="F1166" s="1">
        <v>130.93</v>
      </c>
    </row>
    <row r="1167" spans="1:6" x14ac:dyDescent="0.2">
      <c r="A1167" t="s">
        <v>706</v>
      </c>
      <c r="B1167" s="1">
        <v>131.96</v>
      </c>
      <c r="C1167">
        <v>177523800</v>
      </c>
      <c r="D1167" s="1">
        <v>135.83000000000001</v>
      </c>
      <c r="E1167" s="1">
        <v>136.74</v>
      </c>
      <c r="F1167" s="1">
        <v>130.21</v>
      </c>
    </row>
    <row r="1168" spans="1:6" x14ac:dyDescent="0.2">
      <c r="A1168" t="s">
        <v>707</v>
      </c>
      <c r="B1168" s="1">
        <v>137.09</v>
      </c>
      <c r="C1168">
        <v>142621100</v>
      </c>
      <c r="D1168" s="1">
        <v>139.52000000000001</v>
      </c>
      <c r="E1168" s="1">
        <v>141.99</v>
      </c>
      <c r="F1168" s="1">
        <v>136.69999999999999</v>
      </c>
    </row>
    <row r="1169" spans="1:6" x14ac:dyDescent="0.2">
      <c r="A1169" t="s">
        <v>708</v>
      </c>
      <c r="B1169" s="1">
        <v>142.06</v>
      </c>
      <c r="C1169">
        <v>140843800</v>
      </c>
      <c r="D1169" s="1">
        <v>143.43</v>
      </c>
      <c r="E1169" s="1">
        <v>144.30000000000001</v>
      </c>
      <c r="F1169" s="1">
        <v>140.41</v>
      </c>
    </row>
    <row r="1170" spans="1:6" x14ac:dyDescent="0.2">
      <c r="A1170" t="s">
        <v>709</v>
      </c>
      <c r="B1170" s="1">
        <v>143.16</v>
      </c>
      <c r="C1170">
        <v>98390560</v>
      </c>
      <c r="D1170" s="1">
        <v>143.6</v>
      </c>
      <c r="E1170" s="1">
        <v>144.30000000000001</v>
      </c>
      <c r="F1170" s="1">
        <v>141.37</v>
      </c>
    </row>
    <row r="1171" spans="1:6" x14ac:dyDescent="0.2">
      <c r="A1171" t="s">
        <v>710</v>
      </c>
      <c r="B1171" s="1">
        <v>142.91999999999999</v>
      </c>
      <c r="C1171">
        <v>157611700</v>
      </c>
      <c r="D1171" s="1">
        <v>143.07</v>
      </c>
      <c r="E1171" s="1">
        <v>145.09</v>
      </c>
      <c r="F1171" s="1">
        <v>136.54</v>
      </c>
    </row>
    <row r="1172" spans="1:6" x14ac:dyDescent="0.2">
      <c r="A1172" t="s">
        <v>711</v>
      </c>
      <c r="B1172" s="1">
        <v>139.07</v>
      </c>
      <c r="C1172">
        <v>114459400</v>
      </c>
      <c r="D1172" s="1">
        <v>136.28</v>
      </c>
      <c r="E1172" s="1">
        <v>139.85</v>
      </c>
      <c r="F1172" s="1">
        <v>135.02000000000001</v>
      </c>
    </row>
    <row r="1173" spans="1:6" x14ac:dyDescent="0.2">
      <c r="A1173" t="s">
        <v>712</v>
      </c>
      <c r="B1173" s="1">
        <v>136.87</v>
      </c>
      <c r="C1173">
        <v>120529500</v>
      </c>
      <c r="D1173" s="1">
        <v>133.80000000000001</v>
      </c>
      <c r="E1173" s="1">
        <v>139.66999999999999</v>
      </c>
      <c r="F1173" s="1">
        <v>133.59</v>
      </c>
    </row>
    <row r="1174" spans="1:6" x14ac:dyDescent="0.2">
      <c r="A1174" t="s">
        <v>713</v>
      </c>
      <c r="B1174" s="1">
        <v>132.03</v>
      </c>
      <c r="C1174">
        <v>104319500</v>
      </c>
      <c r="D1174" s="1">
        <v>128.66</v>
      </c>
      <c r="E1174" s="1">
        <v>132.49</v>
      </c>
      <c r="F1174" s="1">
        <v>128.55000000000001</v>
      </c>
    </row>
    <row r="1175" spans="1:6" x14ac:dyDescent="0.2">
      <c r="A1175" t="s">
        <v>714</v>
      </c>
      <c r="B1175" s="1">
        <v>127.83</v>
      </c>
      <c r="C1175">
        <v>90757330</v>
      </c>
      <c r="D1175" s="1">
        <v>127.78</v>
      </c>
      <c r="E1175" s="1">
        <v>128.71</v>
      </c>
      <c r="F1175" s="1">
        <v>126.938</v>
      </c>
    </row>
    <row r="1176" spans="1:6" x14ac:dyDescent="0.2">
      <c r="A1176" t="s">
        <v>715</v>
      </c>
      <c r="B1176" s="1">
        <v>127.14</v>
      </c>
      <c r="C1176">
        <v>111598500</v>
      </c>
      <c r="D1176" s="1">
        <v>128.78</v>
      </c>
      <c r="E1176" s="1">
        <v>130.2242</v>
      </c>
      <c r="F1176" s="1">
        <v>127</v>
      </c>
    </row>
    <row r="1177" spans="1:6" x14ac:dyDescent="0.2">
      <c r="A1177" t="s">
        <v>716</v>
      </c>
      <c r="B1177" s="1">
        <v>128.91</v>
      </c>
      <c r="C1177">
        <v>90221760</v>
      </c>
      <c r="D1177" s="1">
        <v>130.80000000000001</v>
      </c>
      <c r="E1177" s="1">
        <v>131</v>
      </c>
      <c r="F1177" s="1">
        <v>128.76</v>
      </c>
    </row>
    <row r="1178" spans="1:6" x14ac:dyDescent="0.2">
      <c r="A1178" t="s">
        <v>717</v>
      </c>
      <c r="B1178" s="1">
        <v>130.88999999999999</v>
      </c>
      <c r="C1178">
        <v>88636830</v>
      </c>
      <c r="D1178" s="1">
        <v>128.76</v>
      </c>
      <c r="E1178" s="1">
        <v>131.44999999999999</v>
      </c>
      <c r="F1178" s="1">
        <v>128.49</v>
      </c>
    </row>
    <row r="1179" spans="1:6" x14ac:dyDescent="0.2">
      <c r="A1179" s="2">
        <v>44531</v>
      </c>
      <c r="B1179" s="1">
        <v>128.80000000000001</v>
      </c>
      <c r="C1179">
        <v>91951150</v>
      </c>
      <c r="D1179" s="1">
        <v>128.5</v>
      </c>
      <c r="E1179" s="1">
        <v>129.69</v>
      </c>
      <c r="F1179" s="1">
        <v>126.86</v>
      </c>
    </row>
    <row r="1180" spans="1:6" x14ac:dyDescent="0.2">
      <c r="A1180" s="2">
        <v>44501</v>
      </c>
      <c r="B1180" s="1">
        <v>128.97999999999999</v>
      </c>
      <c r="C1180">
        <v>100620900</v>
      </c>
      <c r="D1180" s="1">
        <v>129.19</v>
      </c>
      <c r="E1180" s="1">
        <v>130.16999999999999</v>
      </c>
      <c r="F1180" s="1">
        <v>128.5</v>
      </c>
    </row>
    <row r="1181" spans="1:6" x14ac:dyDescent="0.2">
      <c r="A1181" s="2">
        <v>44409</v>
      </c>
      <c r="B1181" s="1">
        <v>132.05000000000001</v>
      </c>
      <c r="C1181">
        <v>105158200</v>
      </c>
      <c r="D1181" s="1">
        <v>132.43</v>
      </c>
      <c r="E1181" s="1">
        <v>132.63</v>
      </c>
      <c r="F1181" s="1">
        <v>130.22999999999999</v>
      </c>
    </row>
    <row r="1182" spans="1:6" x14ac:dyDescent="0.2">
      <c r="A1182" s="2">
        <v>44378</v>
      </c>
      <c r="B1182" s="1">
        <v>130.91999999999999</v>
      </c>
      <c r="C1182">
        <v>109578200</v>
      </c>
      <c r="D1182" s="1">
        <v>128.36000000000001</v>
      </c>
      <c r="E1182" s="1">
        <v>131.63</v>
      </c>
      <c r="F1182" s="1">
        <v>127.86</v>
      </c>
    </row>
    <row r="1183" spans="1:6" x14ac:dyDescent="0.2">
      <c r="A1183" s="2">
        <v>44348</v>
      </c>
      <c r="B1183" s="1">
        <v>126.6</v>
      </c>
      <c r="C1183">
        <v>155088000</v>
      </c>
      <c r="D1183" s="1">
        <v>127.72</v>
      </c>
      <c r="E1183" s="1">
        <v>131.04990000000001</v>
      </c>
      <c r="F1183" s="1">
        <v>126.38200000000001</v>
      </c>
    </row>
    <row r="1184" spans="1:6" x14ac:dyDescent="0.2">
      <c r="A1184" s="2">
        <v>44317</v>
      </c>
      <c r="B1184" s="1">
        <v>131.01</v>
      </c>
      <c r="C1184">
        <v>97664900</v>
      </c>
      <c r="D1184" s="1">
        <v>128.88999999999999</v>
      </c>
      <c r="E1184" s="1">
        <v>131.74</v>
      </c>
      <c r="F1184" s="1">
        <v>128.43</v>
      </c>
    </row>
    <row r="1185" spans="1:6" x14ac:dyDescent="0.2">
      <c r="A1185" s="2">
        <v>44287</v>
      </c>
      <c r="B1185" s="1">
        <v>129.41</v>
      </c>
      <c r="C1185">
        <v>143301900</v>
      </c>
      <c r="D1185" s="1">
        <v>133.52000000000001</v>
      </c>
      <c r="E1185" s="1">
        <v>133.61160000000001</v>
      </c>
      <c r="F1185" s="1">
        <v>126.76</v>
      </c>
    </row>
    <row r="1186" spans="1:6" x14ac:dyDescent="0.2">
      <c r="A1186" t="s">
        <v>718</v>
      </c>
      <c r="B1186" s="1">
        <v>132.69</v>
      </c>
      <c r="C1186">
        <v>99116590</v>
      </c>
      <c r="D1186" s="1">
        <v>134.08000000000001</v>
      </c>
      <c r="E1186" s="1">
        <v>134.74</v>
      </c>
      <c r="F1186" s="1">
        <v>131.72</v>
      </c>
    </row>
    <row r="1187" spans="1:6" x14ac:dyDescent="0.2">
      <c r="A1187" t="s">
        <v>719</v>
      </c>
      <c r="B1187" s="1">
        <v>133.72</v>
      </c>
      <c r="C1187">
        <v>96452120</v>
      </c>
      <c r="D1187" s="1">
        <v>135.58000000000001</v>
      </c>
      <c r="E1187" s="1">
        <v>135.99</v>
      </c>
      <c r="F1187" s="1">
        <v>133.4</v>
      </c>
    </row>
    <row r="1188" spans="1:6" x14ac:dyDescent="0.2">
      <c r="A1188" t="s">
        <v>720</v>
      </c>
      <c r="B1188" s="1">
        <v>134.87</v>
      </c>
      <c r="C1188">
        <v>121047300</v>
      </c>
      <c r="D1188" s="1">
        <v>138.05000000000001</v>
      </c>
      <c r="E1188" s="1">
        <v>138.78899999999999</v>
      </c>
      <c r="F1188" s="1">
        <v>134.3409</v>
      </c>
    </row>
    <row r="1189" spans="1:6" x14ac:dyDescent="0.2">
      <c r="A1189" t="s">
        <v>721</v>
      </c>
      <c r="B1189" s="1">
        <v>136.69</v>
      </c>
      <c r="C1189">
        <v>124486200</v>
      </c>
      <c r="D1189" s="1">
        <v>133.99</v>
      </c>
      <c r="E1189" s="1">
        <v>137.34</v>
      </c>
      <c r="F1189" s="1">
        <v>133.51</v>
      </c>
    </row>
    <row r="1190" spans="1:6" x14ac:dyDescent="0.2">
      <c r="A1190" t="s">
        <v>722</v>
      </c>
      <c r="B1190" s="1">
        <v>131.97</v>
      </c>
      <c r="C1190">
        <v>54930060</v>
      </c>
      <c r="D1190" s="1">
        <v>131.32</v>
      </c>
      <c r="E1190" s="1">
        <v>133.46</v>
      </c>
      <c r="F1190" s="1">
        <v>131.1</v>
      </c>
    </row>
    <row r="1191" spans="1:6" x14ac:dyDescent="0.2">
      <c r="A1191" t="s">
        <v>723</v>
      </c>
      <c r="B1191" s="1">
        <v>130.96</v>
      </c>
      <c r="C1191">
        <v>88223690</v>
      </c>
      <c r="D1191" s="1">
        <v>132.16</v>
      </c>
      <c r="E1191" s="1">
        <v>132.43</v>
      </c>
      <c r="F1191" s="1">
        <v>130.78</v>
      </c>
    </row>
    <row r="1192" spans="1:6" x14ac:dyDescent="0.2">
      <c r="A1192" t="s">
        <v>724</v>
      </c>
      <c r="B1192" s="1">
        <v>131.88</v>
      </c>
      <c r="C1192">
        <v>169351800</v>
      </c>
      <c r="D1192" s="1">
        <v>131.61000000000001</v>
      </c>
      <c r="E1192" s="1">
        <v>134.405</v>
      </c>
      <c r="F1192" s="1">
        <v>129.65</v>
      </c>
    </row>
    <row r="1193" spans="1:6" x14ac:dyDescent="0.2">
      <c r="A1193" t="s">
        <v>725</v>
      </c>
      <c r="B1193" s="1">
        <v>128.22999999999999</v>
      </c>
      <c r="C1193">
        <v>121251600</v>
      </c>
      <c r="D1193" s="1">
        <v>125.02</v>
      </c>
      <c r="E1193" s="1">
        <v>128.31</v>
      </c>
      <c r="F1193" s="1">
        <v>123.449</v>
      </c>
    </row>
    <row r="1194" spans="1:6" x14ac:dyDescent="0.2">
      <c r="A1194" t="s">
        <v>726</v>
      </c>
      <c r="B1194" s="1">
        <v>126.655</v>
      </c>
      <c r="C1194">
        <v>192541500</v>
      </c>
      <c r="D1194" s="1">
        <v>128.96</v>
      </c>
      <c r="E1194" s="1">
        <v>129.1</v>
      </c>
      <c r="F1194" s="1">
        <v>126.12</v>
      </c>
    </row>
    <row r="1195" spans="1:6" x14ac:dyDescent="0.2">
      <c r="A1195" t="s">
        <v>727</v>
      </c>
      <c r="B1195" s="1">
        <v>128.69999999999999</v>
      </c>
      <c r="C1195">
        <v>94359810</v>
      </c>
      <c r="D1195" s="1">
        <v>128.9</v>
      </c>
      <c r="E1195" s="1">
        <v>129.58000000000001</v>
      </c>
      <c r="F1195" s="1">
        <v>128.04499999999999</v>
      </c>
    </row>
    <row r="1196" spans="1:6" x14ac:dyDescent="0.2">
      <c r="A1196" t="s">
        <v>728</v>
      </c>
      <c r="B1196" s="1">
        <v>127.81</v>
      </c>
      <c r="C1196">
        <v>98208590</v>
      </c>
      <c r="D1196" s="1">
        <v>127.41</v>
      </c>
      <c r="E1196" s="1">
        <v>128.37</v>
      </c>
      <c r="F1196" s="1">
        <v>126.56</v>
      </c>
    </row>
    <row r="1197" spans="1:6" x14ac:dyDescent="0.2">
      <c r="A1197" t="s">
        <v>729</v>
      </c>
      <c r="B1197" s="1">
        <v>127.88</v>
      </c>
      <c r="C1197">
        <v>157572300</v>
      </c>
      <c r="D1197" s="1">
        <v>124.34</v>
      </c>
      <c r="E1197" s="1">
        <v>127.9</v>
      </c>
      <c r="F1197" s="1">
        <v>124.13</v>
      </c>
    </row>
    <row r="1198" spans="1:6" x14ac:dyDescent="0.2">
      <c r="A1198" t="s">
        <v>730</v>
      </c>
      <c r="B1198" s="1">
        <v>121.78</v>
      </c>
      <c r="C1198">
        <v>79075990</v>
      </c>
      <c r="D1198" s="1">
        <v>122.6</v>
      </c>
      <c r="E1198" s="1">
        <v>123.35</v>
      </c>
      <c r="F1198" s="1">
        <v>121.54</v>
      </c>
    </row>
    <row r="1199" spans="1:6" x14ac:dyDescent="0.2">
      <c r="A1199" s="2">
        <v>44147</v>
      </c>
      <c r="B1199" s="1">
        <v>122.41</v>
      </c>
      <c r="C1199">
        <v>86939790</v>
      </c>
      <c r="D1199" s="1">
        <v>122.43</v>
      </c>
      <c r="E1199" s="1">
        <v>122.76</v>
      </c>
      <c r="F1199" s="1">
        <v>120.55</v>
      </c>
    </row>
    <row r="1200" spans="1:6" x14ac:dyDescent="0.2">
      <c r="A1200" s="2">
        <v>44116</v>
      </c>
      <c r="B1200" s="1">
        <v>123.24</v>
      </c>
      <c r="C1200">
        <v>81312170</v>
      </c>
      <c r="D1200" s="1">
        <v>120.5</v>
      </c>
      <c r="E1200" s="1">
        <v>123.87</v>
      </c>
      <c r="F1200" s="1">
        <v>120.15</v>
      </c>
    </row>
    <row r="1201" spans="1:6" x14ac:dyDescent="0.2">
      <c r="A1201" s="2">
        <v>44086</v>
      </c>
      <c r="B1201" s="1">
        <v>121.78</v>
      </c>
      <c r="C1201">
        <v>115089200</v>
      </c>
      <c r="D1201" s="1">
        <v>124.53</v>
      </c>
      <c r="E1201" s="1">
        <v>125.95</v>
      </c>
      <c r="F1201" s="1">
        <v>121</v>
      </c>
    </row>
    <row r="1202" spans="1:6" x14ac:dyDescent="0.2">
      <c r="A1202" s="2">
        <v>44055</v>
      </c>
      <c r="B1202" s="1">
        <v>124.38</v>
      </c>
      <c r="C1202">
        <v>82225510</v>
      </c>
      <c r="D1202" s="1">
        <v>124.37</v>
      </c>
      <c r="E1202" s="1">
        <v>124.98</v>
      </c>
      <c r="F1202" s="1">
        <v>123.09</v>
      </c>
    </row>
    <row r="1203" spans="1:6" x14ac:dyDescent="0.2">
      <c r="A1203" s="2">
        <v>44024</v>
      </c>
      <c r="B1203" s="1">
        <v>123.75</v>
      </c>
      <c r="C1203">
        <v>86711990</v>
      </c>
      <c r="D1203" s="1">
        <v>122.31</v>
      </c>
      <c r="E1203" s="1">
        <v>124.57</v>
      </c>
      <c r="F1203" s="1">
        <v>122.25</v>
      </c>
    </row>
    <row r="1204" spans="1:6" x14ac:dyDescent="0.2">
      <c r="A1204" s="2">
        <v>43933</v>
      </c>
      <c r="B1204" s="1">
        <v>122.25</v>
      </c>
      <c r="C1204">
        <v>78260420</v>
      </c>
      <c r="D1204" s="1">
        <v>122.6</v>
      </c>
      <c r="E1204" s="1">
        <v>122.8608</v>
      </c>
      <c r="F1204" s="1">
        <v>121.52</v>
      </c>
    </row>
    <row r="1205" spans="1:6" x14ac:dyDescent="0.2">
      <c r="A1205" s="2">
        <v>43902</v>
      </c>
      <c r="B1205" s="1">
        <v>122.94</v>
      </c>
      <c r="C1205">
        <v>78967630</v>
      </c>
      <c r="D1205" s="1">
        <v>123.52</v>
      </c>
      <c r="E1205" s="1">
        <v>123.78</v>
      </c>
      <c r="F1205" s="1">
        <v>122.21</v>
      </c>
    </row>
    <row r="1206" spans="1:6" x14ac:dyDescent="0.2">
      <c r="A1206" s="2">
        <v>43873</v>
      </c>
      <c r="B1206" s="1">
        <v>123.08</v>
      </c>
      <c r="C1206">
        <v>89004200</v>
      </c>
      <c r="D1206" s="1">
        <v>122.02</v>
      </c>
      <c r="E1206" s="1">
        <v>123.37</v>
      </c>
      <c r="F1206" s="1">
        <v>120.89</v>
      </c>
    </row>
    <row r="1207" spans="1:6" x14ac:dyDescent="0.2">
      <c r="A1207" s="2">
        <v>43842</v>
      </c>
      <c r="B1207" s="1">
        <v>122.72</v>
      </c>
      <c r="C1207">
        <v>128166800</v>
      </c>
      <c r="D1207" s="1">
        <v>121.01</v>
      </c>
      <c r="E1207" s="1">
        <v>123.4693</v>
      </c>
      <c r="F1207" s="1">
        <v>120.01</v>
      </c>
    </row>
    <row r="1208" spans="1:6" x14ac:dyDescent="0.2">
      <c r="A1208" t="s">
        <v>731</v>
      </c>
      <c r="B1208" s="1">
        <v>119.05</v>
      </c>
      <c r="C1208">
        <v>169410200</v>
      </c>
      <c r="D1208" s="1">
        <v>116.97</v>
      </c>
      <c r="E1208" s="1">
        <v>120.97</v>
      </c>
      <c r="F1208" s="1">
        <v>116.81</v>
      </c>
    </row>
    <row r="1209" spans="1:6" x14ac:dyDescent="0.2">
      <c r="A1209" t="s">
        <v>732</v>
      </c>
      <c r="B1209" s="1">
        <v>116.59</v>
      </c>
      <c r="C1209">
        <v>46691330</v>
      </c>
      <c r="D1209" s="1">
        <v>116.57</v>
      </c>
      <c r="E1209" s="1">
        <v>117.49</v>
      </c>
      <c r="F1209" s="1">
        <v>116.22</v>
      </c>
    </row>
    <row r="1210" spans="1:6" x14ac:dyDescent="0.2">
      <c r="A1210" t="s">
        <v>733</v>
      </c>
      <c r="B1210" s="1">
        <v>116.03</v>
      </c>
      <c r="C1210">
        <v>76499230</v>
      </c>
      <c r="D1210" s="1">
        <v>115.55</v>
      </c>
      <c r="E1210" s="1">
        <v>116.75</v>
      </c>
      <c r="F1210" s="1">
        <v>115.17</v>
      </c>
    </row>
    <row r="1211" spans="1:6" x14ac:dyDescent="0.2">
      <c r="A1211" t="s">
        <v>734</v>
      </c>
      <c r="B1211" s="1">
        <v>115.17</v>
      </c>
      <c r="C1211">
        <v>113874200</v>
      </c>
      <c r="D1211" s="1">
        <v>113.91</v>
      </c>
      <c r="E1211" s="1">
        <v>115.85</v>
      </c>
      <c r="F1211" s="1">
        <v>112.59</v>
      </c>
    </row>
    <row r="1212" spans="1:6" x14ac:dyDescent="0.2">
      <c r="A1212" t="s">
        <v>735</v>
      </c>
      <c r="B1212" s="1">
        <v>113.85</v>
      </c>
      <c r="C1212">
        <v>127959300</v>
      </c>
      <c r="D1212" s="1">
        <v>117.18</v>
      </c>
      <c r="E1212" s="1">
        <v>117.6202</v>
      </c>
      <c r="F1212" s="1">
        <v>113.75</v>
      </c>
    </row>
    <row r="1213" spans="1:6" x14ac:dyDescent="0.2">
      <c r="A1213" t="s">
        <v>736</v>
      </c>
      <c r="B1213" s="1">
        <v>117.34</v>
      </c>
      <c r="C1213">
        <v>73604290</v>
      </c>
      <c r="D1213" s="1">
        <v>118.64</v>
      </c>
      <c r="E1213" s="1">
        <v>118.77</v>
      </c>
      <c r="F1213" s="1">
        <v>117.29</v>
      </c>
    </row>
    <row r="1214" spans="1:6" x14ac:dyDescent="0.2">
      <c r="A1214" t="s">
        <v>737</v>
      </c>
      <c r="B1214" s="1">
        <v>118.64</v>
      </c>
      <c r="C1214">
        <v>74112970</v>
      </c>
      <c r="D1214" s="1">
        <v>117.59</v>
      </c>
      <c r="E1214" s="1">
        <v>119.06</v>
      </c>
      <c r="F1214" s="1">
        <v>116.81</v>
      </c>
    </row>
    <row r="1215" spans="1:6" x14ac:dyDescent="0.2">
      <c r="A1215" t="s">
        <v>738</v>
      </c>
      <c r="B1215" s="1">
        <v>118.03</v>
      </c>
      <c r="C1215">
        <v>76322110</v>
      </c>
      <c r="D1215" s="1">
        <v>118.61</v>
      </c>
      <c r="E1215" s="1">
        <v>119.82</v>
      </c>
      <c r="F1215" s="1">
        <v>118</v>
      </c>
    </row>
    <row r="1216" spans="1:6" x14ac:dyDescent="0.2">
      <c r="A1216" t="s">
        <v>739</v>
      </c>
      <c r="B1216" s="1">
        <v>119.39</v>
      </c>
      <c r="C1216">
        <v>74270970</v>
      </c>
      <c r="D1216" s="1">
        <v>119.55</v>
      </c>
      <c r="E1216" s="1">
        <v>120.6741</v>
      </c>
      <c r="F1216" s="1">
        <v>118.96</v>
      </c>
    </row>
    <row r="1217" spans="1:6" x14ac:dyDescent="0.2">
      <c r="A1217" t="s">
        <v>740</v>
      </c>
      <c r="B1217" s="1">
        <v>120.3</v>
      </c>
      <c r="C1217">
        <v>91183020</v>
      </c>
      <c r="D1217" s="1">
        <v>118.92</v>
      </c>
      <c r="E1217" s="1">
        <v>120.99</v>
      </c>
      <c r="F1217" s="1">
        <v>118.146</v>
      </c>
    </row>
    <row r="1218" spans="1:6" x14ac:dyDescent="0.2">
      <c r="A1218" t="s">
        <v>741</v>
      </c>
      <c r="B1218" s="1">
        <v>119.26</v>
      </c>
      <c r="C1218">
        <v>81688590</v>
      </c>
      <c r="D1218" s="1">
        <v>119.44</v>
      </c>
      <c r="E1218" s="1">
        <v>119.6717</v>
      </c>
      <c r="F1218" s="1">
        <v>117.87</v>
      </c>
    </row>
    <row r="1219" spans="1:6" x14ac:dyDescent="0.2">
      <c r="A1219" s="2">
        <v>44176</v>
      </c>
      <c r="B1219" s="1">
        <v>119.21</v>
      </c>
      <c r="C1219">
        <v>103350700</v>
      </c>
      <c r="D1219" s="1">
        <v>119.62</v>
      </c>
      <c r="E1219" s="1">
        <v>120.53</v>
      </c>
      <c r="F1219" s="1">
        <v>118.57</v>
      </c>
    </row>
    <row r="1220" spans="1:6" x14ac:dyDescent="0.2">
      <c r="A1220" s="2">
        <v>44146</v>
      </c>
      <c r="B1220" s="1">
        <v>119.49</v>
      </c>
      <c r="C1220">
        <v>112295000</v>
      </c>
      <c r="D1220" s="1">
        <v>117.19</v>
      </c>
      <c r="E1220" s="1">
        <v>119.63</v>
      </c>
      <c r="F1220" s="1">
        <v>116.44</v>
      </c>
    </row>
    <row r="1221" spans="1:6" x14ac:dyDescent="0.2">
      <c r="A1221" s="2">
        <v>44115</v>
      </c>
      <c r="B1221" s="1">
        <v>115.97</v>
      </c>
      <c r="C1221">
        <v>138023400</v>
      </c>
      <c r="D1221" s="1">
        <v>115.55</v>
      </c>
      <c r="E1221" s="1">
        <v>117.59</v>
      </c>
      <c r="F1221" s="1">
        <v>114.13</v>
      </c>
    </row>
    <row r="1222" spans="1:6" x14ac:dyDescent="0.2">
      <c r="A1222" s="2">
        <v>44085</v>
      </c>
      <c r="B1222" s="1">
        <v>116.32</v>
      </c>
      <c r="C1222">
        <v>154515300</v>
      </c>
      <c r="D1222" s="1">
        <v>120.5</v>
      </c>
      <c r="E1222" s="1">
        <v>121.99</v>
      </c>
      <c r="F1222" s="1">
        <v>116.05</v>
      </c>
    </row>
    <row r="1223" spans="1:6" x14ac:dyDescent="0.2">
      <c r="A1223" s="2">
        <v>43993</v>
      </c>
      <c r="B1223" s="1">
        <v>118.69</v>
      </c>
      <c r="C1223">
        <v>114457900</v>
      </c>
      <c r="D1223" s="1">
        <v>118.32</v>
      </c>
      <c r="E1223" s="1">
        <v>119.2</v>
      </c>
      <c r="F1223" s="1">
        <v>116.13</v>
      </c>
    </row>
    <row r="1224" spans="1:6" x14ac:dyDescent="0.2">
      <c r="A1224" s="2">
        <v>43962</v>
      </c>
      <c r="B1224" s="1">
        <v>119.03</v>
      </c>
      <c r="C1224">
        <v>126387100</v>
      </c>
      <c r="D1224" s="1">
        <v>117.95</v>
      </c>
      <c r="E1224" s="1">
        <v>119.62</v>
      </c>
      <c r="F1224" s="1">
        <v>116.8686</v>
      </c>
    </row>
    <row r="1225" spans="1:6" x14ac:dyDescent="0.2">
      <c r="A1225" s="2">
        <v>43932</v>
      </c>
      <c r="B1225" s="1">
        <v>114.95</v>
      </c>
      <c r="C1225">
        <v>138235500</v>
      </c>
      <c r="D1225" s="1">
        <v>114.14</v>
      </c>
      <c r="E1225" s="1">
        <v>115.59</v>
      </c>
      <c r="F1225" s="1">
        <v>112.35</v>
      </c>
    </row>
    <row r="1226" spans="1:6" x14ac:dyDescent="0.2">
      <c r="A1226" s="2">
        <v>43901</v>
      </c>
      <c r="B1226" s="1">
        <v>110.44</v>
      </c>
      <c r="C1226">
        <v>107624400</v>
      </c>
      <c r="D1226" s="1">
        <v>109.66</v>
      </c>
      <c r="E1226" s="1">
        <v>111.49</v>
      </c>
      <c r="F1226" s="1">
        <v>108.73</v>
      </c>
    </row>
    <row r="1227" spans="1:6" x14ac:dyDescent="0.2">
      <c r="A1227" s="2">
        <v>43872</v>
      </c>
      <c r="B1227" s="1">
        <v>108.77</v>
      </c>
      <c r="C1227">
        <v>122866900</v>
      </c>
      <c r="D1227" s="1">
        <v>109.11</v>
      </c>
      <c r="E1227" s="1">
        <v>110.68</v>
      </c>
      <c r="F1227" s="1">
        <v>107.32</v>
      </c>
    </row>
    <row r="1228" spans="1:6" x14ac:dyDescent="0.2">
      <c r="A1228" t="s">
        <v>742</v>
      </c>
      <c r="B1228" s="1">
        <v>108.86</v>
      </c>
      <c r="C1228">
        <v>190573500</v>
      </c>
      <c r="D1228" s="1">
        <v>111.06</v>
      </c>
      <c r="E1228" s="1">
        <v>111.99</v>
      </c>
      <c r="F1228" s="1">
        <v>107.72</v>
      </c>
    </row>
    <row r="1229" spans="1:6" x14ac:dyDescent="0.2">
      <c r="A1229" t="s">
        <v>743</v>
      </c>
      <c r="B1229" s="1">
        <v>115.32</v>
      </c>
      <c r="C1229">
        <v>146129200</v>
      </c>
      <c r="D1229" s="1">
        <v>112.37</v>
      </c>
      <c r="E1229" s="1">
        <v>116.93</v>
      </c>
      <c r="F1229" s="1">
        <v>112.2</v>
      </c>
    </row>
    <row r="1230" spans="1:6" x14ac:dyDescent="0.2">
      <c r="A1230" t="s">
        <v>744</v>
      </c>
      <c r="B1230" s="1">
        <v>111.2</v>
      </c>
      <c r="C1230">
        <v>143937800</v>
      </c>
      <c r="D1230" s="1">
        <v>115.05</v>
      </c>
      <c r="E1230" s="1">
        <v>115.43</v>
      </c>
      <c r="F1230" s="1">
        <v>111.1</v>
      </c>
    </row>
    <row r="1231" spans="1:6" x14ac:dyDescent="0.2">
      <c r="A1231" t="s">
        <v>745</v>
      </c>
      <c r="B1231" s="1">
        <v>116.6</v>
      </c>
      <c r="C1231">
        <v>92276770</v>
      </c>
      <c r="D1231" s="1">
        <v>115.49</v>
      </c>
      <c r="E1231" s="1">
        <v>117.28</v>
      </c>
      <c r="F1231" s="1">
        <v>114.5399</v>
      </c>
    </row>
    <row r="1232" spans="1:6" x14ac:dyDescent="0.2">
      <c r="A1232" t="s">
        <v>746</v>
      </c>
      <c r="B1232" s="1">
        <v>115.05</v>
      </c>
      <c r="C1232">
        <v>111850700</v>
      </c>
      <c r="D1232" s="1">
        <v>114.01</v>
      </c>
      <c r="E1232" s="1">
        <v>116.55</v>
      </c>
      <c r="F1232" s="1">
        <v>112.88</v>
      </c>
    </row>
    <row r="1233" spans="1:6" x14ac:dyDescent="0.2">
      <c r="A1233" t="s">
        <v>747</v>
      </c>
      <c r="B1233" s="1">
        <v>115.04</v>
      </c>
      <c r="C1233">
        <v>82572650</v>
      </c>
      <c r="D1233" s="1">
        <v>116.39</v>
      </c>
      <c r="E1233" s="1">
        <v>116.55</v>
      </c>
      <c r="F1233" s="1">
        <v>114.28</v>
      </c>
    </row>
    <row r="1234" spans="1:6" x14ac:dyDescent="0.2">
      <c r="A1234" t="s">
        <v>748</v>
      </c>
      <c r="B1234" s="1">
        <v>115.75</v>
      </c>
      <c r="C1234">
        <v>101988000</v>
      </c>
      <c r="D1234" s="1">
        <v>117.45</v>
      </c>
      <c r="E1234" s="1">
        <v>118.04</v>
      </c>
      <c r="F1234" s="1">
        <v>114.59</v>
      </c>
    </row>
    <row r="1235" spans="1:6" x14ac:dyDescent="0.2">
      <c r="A1235" t="s">
        <v>749</v>
      </c>
      <c r="B1235" s="1">
        <v>116.87</v>
      </c>
      <c r="C1235">
        <v>89945980</v>
      </c>
      <c r="D1235" s="1">
        <v>116.67</v>
      </c>
      <c r="E1235" s="1">
        <v>118.705</v>
      </c>
      <c r="F1235" s="1">
        <v>116.45</v>
      </c>
    </row>
    <row r="1236" spans="1:6" x14ac:dyDescent="0.2">
      <c r="A1236" t="s">
        <v>750</v>
      </c>
      <c r="B1236" s="1">
        <v>117.51</v>
      </c>
      <c r="C1236">
        <v>124423700</v>
      </c>
      <c r="D1236" s="1">
        <v>116.2</v>
      </c>
      <c r="E1236" s="1">
        <v>118.98</v>
      </c>
      <c r="F1236" s="1">
        <v>115.63</v>
      </c>
    </row>
    <row r="1237" spans="1:6" x14ac:dyDescent="0.2">
      <c r="A1237" t="s">
        <v>751</v>
      </c>
      <c r="B1237" s="1">
        <v>115.98</v>
      </c>
      <c r="C1237">
        <v>120639300</v>
      </c>
      <c r="D1237" s="1">
        <v>119.96</v>
      </c>
      <c r="E1237" s="1">
        <v>120.419</v>
      </c>
      <c r="F1237" s="1">
        <v>115.66</v>
      </c>
    </row>
    <row r="1238" spans="1:6" x14ac:dyDescent="0.2">
      <c r="A1238" t="s">
        <v>752</v>
      </c>
      <c r="B1238" s="1">
        <v>119.02</v>
      </c>
      <c r="C1238">
        <v>115393800</v>
      </c>
      <c r="D1238" s="1">
        <v>121.28</v>
      </c>
      <c r="E1238" s="1">
        <v>121.548</v>
      </c>
      <c r="F1238" s="1">
        <v>118.81</v>
      </c>
    </row>
    <row r="1239" spans="1:6" x14ac:dyDescent="0.2">
      <c r="A1239" t="s">
        <v>753</v>
      </c>
      <c r="B1239" s="1">
        <v>120.71</v>
      </c>
      <c r="C1239">
        <v>112559200</v>
      </c>
      <c r="D1239" s="1">
        <v>118.72</v>
      </c>
      <c r="E1239" s="1">
        <v>121.2</v>
      </c>
      <c r="F1239" s="1">
        <v>118.15</v>
      </c>
    </row>
    <row r="1240" spans="1:6" x14ac:dyDescent="0.2">
      <c r="A1240" t="s">
        <v>754</v>
      </c>
      <c r="B1240" s="1">
        <v>121.19</v>
      </c>
      <c r="C1240">
        <v>151062300</v>
      </c>
      <c r="D1240" s="1">
        <v>121</v>
      </c>
      <c r="E1240" s="1">
        <v>123.03</v>
      </c>
      <c r="F1240" s="1">
        <v>119.62</v>
      </c>
    </row>
    <row r="1241" spans="1:6" x14ac:dyDescent="0.2">
      <c r="A1241" t="s">
        <v>755</v>
      </c>
      <c r="B1241" s="1">
        <v>121.1</v>
      </c>
      <c r="C1241">
        <v>262330500</v>
      </c>
      <c r="D1241" s="1">
        <v>125.27</v>
      </c>
      <c r="E1241" s="1">
        <v>125.39</v>
      </c>
      <c r="F1241" s="1">
        <v>119.65</v>
      </c>
    </row>
    <row r="1242" spans="1:6" x14ac:dyDescent="0.2">
      <c r="A1242" s="2">
        <v>44175</v>
      </c>
      <c r="B1242" s="1">
        <v>124.4</v>
      </c>
      <c r="C1242">
        <v>240226800</v>
      </c>
      <c r="D1242" s="1">
        <v>120.06</v>
      </c>
      <c r="E1242" s="1">
        <v>125.18</v>
      </c>
      <c r="F1242" s="1">
        <v>119.28449999999999</v>
      </c>
    </row>
    <row r="1243" spans="1:6" x14ac:dyDescent="0.2">
      <c r="A1243" s="2">
        <v>44084</v>
      </c>
      <c r="B1243" s="1">
        <v>116.97</v>
      </c>
      <c r="C1243">
        <v>100506900</v>
      </c>
      <c r="D1243" s="1">
        <v>115.28</v>
      </c>
      <c r="E1243" s="1">
        <v>117</v>
      </c>
      <c r="F1243" s="1">
        <v>114.92</v>
      </c>
    </row>
    <row r="1244" spans="1:6" x14ac:dyDescent="0.2">
      <c r="A1244" s="2">
        <v>44053</v>
      </c>
      <c r="B1244" s="1">
        <v>114.97</v>
      </c>
      <c r="C1244">
        <v>83477150</v>
      </c>
      <c r="D1244" s="1">
        <v>116.25</v>
      </c>
      <c r="E1244" s="1">
        <v>116.4</v>
      </c>
      <c r="F1244" s="1">
        <v>114.59010000000001</v>
      </c>
    </row>
    <row r="1245" spans="1:6" x14ac:dyDescent="0.2">
      <c r="A1245" s="2">
        <v>44022</v>
      </c>
      <c r="B1245" s="1">
        <v>115.08</v>
      </c>
      <c r="C1245">
        <v>96848990</v>
      </c>
      <c r="D1245" s="1">
        <v>114.62</v>
      </c>
      <c r="E1245" s="1">
        <v>115.55</v>
      </c>
      <c r="F1245" s="1">
        <v>114.13</v>
      </c>
    </row>
    <row r="1246" spans="1:6" x14ac:dyDescent="0.2">
      <c r="A1246" s="2">
        <v>43992</v>
      </c>
      <c r="B1246" s="1">
        <v>113.16</v>
      </c>
      <c r="C1246">
        <v>161498200</v>
      </c>
      <c r="D1246" s="1">
        <v>115.7</v>
      </c>
      <c r="E1246" s="1">
        <v>116.12</v>
      </c>
      <c r="F1246" s="1">
        <v>112.25</v>
      </c>
    </row>
    <row r="1247" spans="1:6" x14ac:dyDescent="0.2">
      <c r="A1247" s="2">
        <v>43961</v>
      </c>
      <c r="B1247" s="1">
        <v>116.5</v>
      </c>
      <c r="C1247">
        <v>106243800</v>
      </c>
      <c r="D1247" s="1">
        <v>113.91</v>
      </c>
      <c r="E1247" s="1">
        <v>116.65</v>
      </c>
      <c r="F1247" s="1">
        <v>113.55</v>
      </c>
    </row>
    <row r="1248" spans="1:6" x14ac:dyDescent="0.2">
      <c r="A1248" s="2">
        <v>43871</v>
      </c>
      <c r="B1248" s="1">
        <v>113.02</v>
      </c>
      <c r="C1248">
        <v>144712000</v>
      </c>
      <c r="D1248" s="1">
        <v>112.89</v>
      </c>
      <c r="E1248" s="1">
        <v>115.37</v>
      </c>
      <c r="F1248" s="1">
        <v>112.22</v>
      </c>
    </row>
    <row r="1249" spans="1:6" x14ac:dyDescent="0.2">
      <c r="A1249" s="2">
        <v>43840</v>
      </c>
      <c r="B1249" s="1">
        <v>116.79</v>
      </c>
      <c r="C1249">
        <v>116120400</v>
      </c>
      <c r="D1249" s="1">
        <v>117.64</v>
      </c>
      <c r="E1249" s="1">
        <v>117.72</v>
      </c>
      <c r="F1249" s="1">
        <v>115.83</v>
      </c>
    </row>
    <row r="1250" spans="1:6" x14ac:dyDescent="0.2">
      <c r="A1250" t="s">
        <v>756</v>
      </c>
      <c r="B1250" s="1">
        <v>115.81</v>
      </c>
      <c r="C1250">
        <v>142675200</v>
      </c>
      <c r="D1250" s="1">
        <v>113.79</v>
      </c>
      <c r="E1250" s="1">
        <v>117.26</v>
      </c>
      <c r="F1250" s="1">
        <v>113.62</v>
      </c>
    </row>
    <row r="1251" spans="1:6" x14ac:dyDescent="0.2">
      <c r="A1251" t="s">
        <v>757</v>
      </c>
      <c r="B1251" s="1">
        <v>114.09</v>
      </c>
      <c r="C1251">
        <v>100060500</v>
      </c>
      <c r="D1251" s="1">
        <v>114.55</v>
      </c>
      <c r="E1251" s="1">
        <v>115.31</v>
      </c>
      <c r="F1251" s="1">
        <v>113.57</v>
      </c>
    </row>
    <row r="1252" spans="1:6" x14ac:dyDescent="0.2">
      <c r="A1252" t="s">
        <v>758</v>
      </c>
      <c r="B1252" s="1">
        <v>114.96</v>
      </c>
      <c r="C1252">
        <v>137672400</v>
      </c>
      <c r="D1252" s="1">
        <v>115.01</v>
      </c>
      <c r="E1252" s="1">
        <v>115.32</v>
      </c>
      <c r="F1252" s="1">
        <v>112.78</v>
      </c>
    </row>
    <row r="1253" spans="1:6" x14ac:dyDescent="0.2">
      <c r="A1253" t="s">
        <v>759</v>
      </c>
      <c r="B1253" s="1">
        <v>112.28</v>
      </c>
      <c r="C1253">
        <v>149981400</v>
      </c>
      <c r="D1253" s="1">
        <v>108.43</v>
      </c>
      <c r="E1253" s="1">
        <v>112.44</v>
      </c>
      <c r="F1253" s="1">
        <v>107.67</v>
      </c>
    </row>
    <row r="1254" spans="1:6" x14ac:dyDescent="0.2">
      <c r="A1254" t="s">
        <v>760</v>
      </c>
      <c r="B1254" s="1">
        <v>108.22</v>
      </c>
      <c r="C1254">
        <v>167743300</v>
      </c>
      <c r="D1254" s="1">
        <v>105.17</v>
      </c>
      <c r="E1254" s="1">
        <v>110.25</v>
      </c>
      <c r="F1254" s="1">
        <v>105</v>
      </c>
    </row>
    <row r="1255" spans="1:6" x14ac:dyDescent="0.2">
      <c r="A1255" t="s">
        <v>761</v>
      </c>
      <c r="B1255" s="1">
        <v>107.12</v>
      </c>
      <c r="C1255">
        <v>150718700</v>
      </c>
      <c r="D1255" s="1">
        <v>111.62</v>
      </c>
      <c r="E1255" s="1">
        <v>112.11</v>
      </c>
      <c r="F1255" s="1">
        <v>106.77</v>
      </c>
    </row>
    <row r="1256" spans="1:6" x14ac:dyDescent="0.2">
      <c r="A1256" t="s">
        <v>762</v>
      </c>
      <c r="B1256" s="1">
        <v>111.81</v>
      </c>
      <c r="C1256">
        <v>183055400</v>
      </c>
      <c r="D1256" s="1">
        <v>112.68</v>
      </c>
      <c r="E1256" s="1">
        <v>112.86</v>
      </c>
      <c r="F1256" s="1">
        <v>109.16</v>
      </c>
    </row>
    <row r="1257" spans="1:6" x14ac:dyDescent="0.2">
      <c r="A1257" t="s">
        <v>763</v>
      </c>
      <c r="B1257" s="1">
        <v>110.08</v>
      </c>
      <c r="C1257">
        <v>195713800</v>
      </c>
      <c r="D1257" s="1">
        <v>104.54</v>
      </c>
      <c r="E1257" s="1">
        <v>110.19</v>
      </c>
      <c r="F1257" s="1">
        <v>103.1</v>
      </c>
    </row>
    <row r="1258" spans="1:6" x14ac:dyDescent="0.2">
      <c r="A1258" t="s">
        <v>764</v>
      </c>
      <c r="B1258" s="1">
        <v>106.84</v>
      </c>
      <c r="C1258">
        <v>287104900</v>
      </c>
      <c r="D1258" s="1">
        <v>110.4</v>
      </c>
      <c r="E1258" s="1">
        <v>110.88</v>
      </c>
      <c r="F1258" s="1">
        <v>106.09</v>
      </c>
    </row>
    <row r="1259" spans="1:6" x14ac:dyDescent="0.2">
      <c r="A1259" t="s">
        <v>765</v>
      </c>
      <c r="B1259" s="1">
        <v>110.34</v>
      </c>
      <c r="C1259">
        <v>178011000</v>
      </c>
      <c r="D1259" s="1">
        <v>109.72</v>
      </c>
      <c r="E1259" s="1">
        <v>112.2</v>
      </c>
      <c r="F1259" s="1">
        <v>108.71</v>
      </c>
    </row>
    <row r="1260" spans="1:6" x14ac:dyDescent="0.2">
      <c r="A1260" t="s">
        <v>766</v>
      </c>
      <c r="B1260" s="1">
        <v>112.13</v>
      </c>
      <c r="C1260">
        <v>155026700</v>
      </c>
      <c r="D1260" s="1">
        <v>115.23</v>
      </c>
      <c r="E1260" s="1">
        <v>116</v>
      </c>
      <c r="F1260" s="1">
        <v>112.04</v>
      </c>
    </row>
    <row r="1261" spans="1:6" x14ac:dyDescent="0.2">
      <c r="A1261" t="s">
        <v>767</v>
      </c>
      <c r="B1261" s="1">
        <v>115.54</v>
      </c>
      <c r="C1261">
        <v>184642000</v>
      </c>
      <c r="D1261" s="1">
        <v>118.33</v>
      </c>
      <c r="E1261" s="1">
        <v>118.82899999999999</v>
      </c>
      <c r="F1261" s="1">
        <v>113.61</v>
      </c>
    </row>
    <row r="1262" spans="1:6" x14ac:dyDescent="0.2">
      <c r="A1262" t="s">
        <v>768</v>
      </c>
      <c r="B1262" s="1">
        <v>115.355</v>
      </c>
      <c r="C1262">
        <v>140150100</v>
      </c>
      <c r="D1262" s="1">
        <v>114.72</v>
      </c>
      <c r="E1262" s="1">
        <v>115.93</v>
      </c>
      <c r="F1262" s="1">
        <v>112.8</v>
      </c>
    </row>
    <row r="1263" spans="1:6" x14ac:dyDescent="0.2">
      <c r="A1263" s="2">
        <v>44144</v>
      </c>
      <c r="B1263" s="1">
        <v>112</v>
      </c>
      <c r="C1263">
        <v>180860300</v>
      </c>
      <c r="D1263" s="1">
        <v>114.57</v>
      </c>
      <c r="E1263" s="1">
        <v>115.23</v>
      </c>
      <c r="F1263" s="1">
        <v>110</v>
      </c>
    </row>
    <row r="1264" spans="1:6" x14ac:dyDescent="0.2">
      <c r="A1264" s="2">
        <v>44113</v>
      </c>
      <c r="B1264" s="1">
        <v>113.49</v>
      </c>
      <c r="C1264">
        <v>182274400</v>
      </c>
      <c r="D1264" s="1">
        <v>120.36</v>
      </c>
      <c r="E1264" s="1">
        <v>120.5</v>
      </c>
      <c r="F1264" s="1">
        <v>112.5</v>
      </c>
    </row>
    <row r="1265" spans="1:6" x14ac:dyDescent="0.2">
      <c r="A1265" s="2">
        <v>44083</v>
      </c>
      <c r="B1265" s="1">
        <v>117.32</v>
      </c>
      <c r="C1265">
        <v>176940500</v>
      </c>
      <c r="D1265" s="1">
        <v>117.26</v>
      </c>
      <c r="E1265" s="1">
        <v>119.14</v>
      </c>
      <c r="F1265" s="1">
        <v>115.26</v>
      </c>
    </row>
    <row r="1266" spans="1:6" x14ac:dyDescent="0.2">
      <c r="A1266" s="2">
        <v>44052</v>
      </c>
      <c r="B1266" s="1">
        <v>112.82</v>
      </c>
      <c r="C1266">
        <v>231366600</v>
      </c>
      <c r="D1266" s="1">
        <v>113.95</v>
      </c>
      <c r="E1266" s="1">
        <v>118.99</v>
      </c>
      <c r="F1266" s="1">
        <v>112.68</v>
      </c>
    </row>
    <row r="1267" spans="1:6" x14ac:dyDescent="0.2">
      <c r="A1267" s="2">
        <v>43930</v>
      </c>
      <c r="B1267" s="1">
        <v>120.96</v>
      </c>
      <c r="C1267">
        <v>332607200</v>
      </c>
      <c r="D1267" s="1">
        <v>120.07</v>
      </c>
      <c r="E1267" s="1">
        <v>123.7</v>
      </c>
      <c r="F1267" s="1">
        <v>110.89</v>
      </c>
    </row>
    <row r="1268" spans="1:6" x14ac:dyDescent="0.2">
      <c r="A1268" s="2">
        <v>43899</v>
      </c>
      <c r="B1268" s="1">
        <v>120.88</v>
      </c>
      <c r="C1268">
        <v>257599600</v>
      </c>
      <c r="D1268" s="1">
        <v>126.91</v>
      </c>
      <c r="E1268" s="1">
        <v>128.84</v>
      </c>
      <c r="F1268" s="1">
        <v>120.5</v>
      </c>
    </row>
    <row r="1269" spans="1:6" x14ac:dyDescent="0.2">
      <c r="A1269" s="2">
        <v>43870</v>
      </c>
      <c r="B1269" s="1">
        <v>131.4</v>
      </c>
      <c r="C1269">
        <v>200119000</v>
      </c>
      <c r="D1269" s="1">
        <v>137.59</v>
      </c>
      <c r="E1269" s="1">
        <v>137.97999999999999</v>
      </c>
      <c r="F1269" s="1">
        <v>127</v>
      </c>
    </row>
    <row r="1270" spans="1:6" x14ac:dyDescent="0.2">
      <c r="A1270" s="2">
        <v>43839</v>
      </c>
      <c r="B1270" s="1">
        <v>134.18</v>
      </c>
      <c r="C1270">
        <v>152470100</v>
      </c>
      <c r="D1270" s="1">
        <v>132.76</v>
      </c>
      <c r="E1270" s="1">
        <v>134.80000000000001</v>
      </c>
      <c r="F1270" s="1">
        <v>130.53</v>
      </c>
    </row>
    <row r="1271" spans="1:6" x14ac:dyDescent="0.2">
      <c r="A1271" t="s">
        <v>769</v>
      </c>
      <c r="B1271" s="1">
        <v>129.04</v>
      </c>
      <c r="C1271">
        <v>225702700</v>
      </c>
      <c r="D1271" s="1">
        <v>127.58</v>
      </c>
      <c r="E1271" s="1">
        <v>131</v>
      </c>
      <c r="F1271" s="1">
        <v>126</v>
      </c>
    </row>
    <row r="1272" spans="1:6" x14ac:dyDescent="0.2">
      <c r="A1272" t="s">
        <v>770</v>
      </c>
      <c r="B1272" s="1">
        <v>124.8075</v>
      </c>
      <c r="C1272">
        <v>187629920</v>
      </c>
      <c r="D1272" s="1">
        <v>126.0125</v>
      </c>
      <c r="E1272" s="1">
        <v>126.4425</v>
      </c>
      <c r="F1272" s="1">
        <v>124.5775</v>
      </c>
    </row>
    <row r="1273" spans="1:6" x14ac:dyDescent="0.2">
      <c r="A1273" t="s">
        <v>771</v>
      </c>
      <c r="B1273" s="1">
        <v>125.01</v>
      </c>
      <c r="C1273">
        <v>155552400</v>
      </c>
      <c r="D1273" s="1">
        <v>127.1425</v>
      </c>
      <c r="E1273" s="1">
        <v>127.485</v>
      </c>
      <c r="F1273" s="1">
        <v>123.8325</v>
      </c>
    </row>
    <row r="1274" spans="1:6" x14ac:dyDescent="0.2">
      <c r="A1274" t="s">
        <v>772</v>
      </c>
      <c r="B1274" s="1">
        <v>126.52249999999999</v>
      </c>
      <c r="C1274">
        <v>163022280</v>
      </c>
      <c r="D1274" s="1">
        <v>126.1793</v>
      </c>
      <c r="E1274" s="1">
        <v>126.99250000000001</v>
      </c>
      <c r="F1274" s="1">
        <v>125.0825</v>
      </c>
    </row>
    <row r="1275" spans="1:6" x14ac:dyDescent="0.2">
      <c r="A1275" t="s">
        <v>773</v>
      </c>
      <c r="B1275" s="1">
        <v>124.825</v>
      </c>
      <c r="C1275">
        <v>211495800</v>
      </c>
      <c r="D1275" s="1">
        <v>124.69750000000001</v>
      </c>
      <c r="E1275" s="1">
        <v>125.1793</v>
      </c>
      <c r="F1275" s="1">
        <v>123.05249999999999</v>
      </c>
    </row>
    <row r="1276" spans="1:6" x14ac:dyDescent="0.2">
      <c r="A1276" t="s">
        <v>774</v>
      </c>
      <c r="B1276" s="1">
        <v>125.8575</v>
      </c>
      <c r="C1276">
        <v>345937760</v>
      </c>
      <c r="D1276" s="1">
        <v>128.69749999999999</v>
      </c>
      <c r="E1276" s="1">
        <v>128.785</v>
      </c>
      <c r="F1276" s="1">
        <v>123.9363</v>
      </c>
    </row>
    <row r="1277" spans="1:6" x14ac:dyDescent="0.2">
      <c r="A1277" t="s">
        <v>775</v>
      </c>
      <c r="B1277" s="1">
        <v>124.37</v>
      </c>
      <c r="C1277">
        <v>338054640</v>
      </c>
      <c r="D1277" s="1">
        <v>119.2625</v>
      </c>
      <c r="E1277" s="1">
        <v>124.86799999999999</v>
      </c>
      <c r="F1277" s="1">
        <v>119.25</v>
      </c>
    </row>
    <row r="1278" spans="1:6" x14ac:dyDescent="0.2">
      <c r="A1278" t="s">
        <v>776</v>
      </c>
      <c r="B1278" s="1">
        <v>118.27500000000001</v>
      </c>
      <c r="C1278">
        <v>126907200</v>
      </c>
      <c r="D1278" s="1">
        <v>115.75</v>
      </c>
      <c r="E1278" s="1">
        <v>118.392</v>
      </c>
      <c r="F1278" s="1">
        <v>115.7334</v>
      </c>
    </row>
    <row r="1279" spans="1:6" x14ac:dyDescent="0.2">
      <c r="A1279" t="s">
        <v>777</v>
      </c>
      <c r="B1279" s="1">
        <v>115.7075</v>
      </c>
      <c r="C1279">
        <v>145538000</v>
      </c>
      <c r="D1279" s="1">
        <v>115.9833</v>
      </c>
      <c r="E1279" s="1">
        <v>117.16249999999999</v>
      </c>
      <c r="F1279" s="1">
        <v>115.61</v>
      </c>
    </row>
    <row r="1280" spans="1:6" x14ac:dyDescent="0.2">
      <c r="A1280" t="s">
        <v>778</v>
      </c>
      <c r="B1280" s="1">
        <v>115.5625</v>
      </c>
      <c r="C1280">
        <v>105633560</v>
      </c>
      <c r="D1280" s="1">
        <v>114.35250000000001</v>
      </c>
      <c r="E1280" s="1">
        <v>116</v>
      </c>
      <c r="F1280" s="1">
        <v>114.00749999999999</v>
      </c>
    </row>
    <row r="1281" spans="1:6" x14ac:dyDescent="0.2">
      <c r="A1281" t="s">
        <v>779</v>
      </c>
      <c r="B1281" s="1">
        <v>114.6075</v>
      </c>
      <c r="C1281">
        <v>119561440</v>
      </c>
      <c r="D1281" s="1">
        <v>116.0625</v>
      </c>
      <c r="E1281" s="1">
        <v>116.08750000000001</v>
      </c>
      <c r="F1281" s="1">
        <v>113.96250000000001</v>
      </c>
    </row>
    <row r="1282" spans="1:6" x14ac:dyDescent="0.2">
      <c r="A1282" t="s">
        <v>780</v>
      </c>
      <c r="B1282" s="1">
        <v>114.9075</v>
      </c>
      <c r="C1282">
        <v>165565200</v>
      </c>
      <c r="D1282" s="1">
        <v>114.8288</v>
      </c>
      <c r="E1282" s="1">
        <v>115</v>
      </c>
      <c r="F1282" s="1">
        <v>113.045</v>
      </c>
    </row>
    <row r="1283" spans="1:6" x14ac:dyDescent="0.2">
      <c r="A1283" t="s">
        <v>781</v>
      </c>
      <c r="B1283" s="1">
        <v>115.01</v>
      </c>
      <c r="C1283">
        <v>210082080</v>
      </c>
      <c r="D1283" s="1">
        <v>114.43</v>
      </c>
      <c r="E1283" s="1">
        <v>116.0425</v>
      </c>
      <c r="F1283" s="1">
        <v>113.92749999999999</v>
      </c>
    </row>
    <row r="1284" spans="1:6" x14ac:dyDescent="0.2">
      <c r="A1284" s="2">
        <v>44173</v>
      </c>
      <c r="B1284" s="1">
        <v>113.01</v>
      </c>
      <c r="C1284">
        <v>165944840</v>
      </c>
      <c r="D1284" s="1">
        <v>110.4975</v>
      </c>
      <c r="E1284" s="1">
        <v>113.27500000000001</v>
      </c>
      <c r="F1284" s="1">
        <v>110.2975</v>
      </c>
    </row>
    <row r="1285" spans="1:6" x14ac:dyDescent="0.2">
      <c r="A1285" s="2">
        <v>44143</v>
      </c>
      <c r="B1285" s="1">
        <v>109.375</v>
      </c>
      <c r="C1285">
        <v>187902360</v>
      </c>
      <c r="D1285" s="1">
        <v>111.9688</v>
      </c>
      <c r="E1285" s="1">
        <v>112.4825</v>
      </c>
      <c r="F1285" s="1">
        <v>109.1067</v>
      </c>
    </row>
    <row r="1286" spans="1:6" x14ac:dyDescent="0.2">
      <c r="A1286" s="2">
        <v>44112</v>
      </c>
      <c r="B1286" s="1">
        <v>112.72750000000001</v>
      </c>
      <c r="C1286">
        <v>212403440</v>
      </c>
      <c r="D1286" s="1">
        <v>112.6</v>
      </c>
      <c r="E1286" s="1">
        <v>113.77500000000001</v>
      </c>
      <c r="F1286" s="1">
        <v>110</v>
      </c>
    </row>
    <row r="1287" spans="1:6" x14ac:dyDescent="0.2">
      <c r="A1287" s="2">
        <v>44020</v>
      </c>
      <c r="B1287" s="1">
        <v>111.1125</v>
      </c>
      <c r="C1287">
        <v>198045600</v>
      </c>
      <c r="D1287" s="1">
        <v>113.205</v>
      </c>
      <c r="E1287" s="1">
        <v>113.675</v>
      </c>
      <c r="F1287" s="1">
        <v>110.2925</v>
      </c>
    </row>
    <row r="1288" spans="1:6" x14ac:dyDescent="0.2">
      <c r="A1288" s="2">
        <v>43990</v>
      </c>
      <c r="B1288" s="1">
        <v>113.9025</v>
      </c>
      <c r="C1288">
        <v>202428920</v>
      </c>
      <c r="D1288" s="1">
        <v>110.405</v>
      </c>
      <c r="E1288" s="1">
        <v>114.41249999999999</v>
      </c>
      <c r="F1288" s="1">
        <v>109.7975</v>
      </c>
    </row>
    <row r="1289" spans="1:6" x14ac:dyDescent="0.2">
      <c r="A1289" s="2">
        <v>43959</v>
      </c>
      <c r="B1289" s="1">
        <v>110.0625</v>
      </c>
      <c r="C1289">
        <v>121991960</v>
      </c>
      <c r="D1289" s="1">
        <v>109.3775</v>
      </c>
      <c r="E1289" s="1">
        <v>110.3925</v>
      </c>
      <c r="F1289" s="1">
        <v>108.89749999999999</v>
      </c>
    </row>
    <row r="1290" spans="1:6" x14ac:dyDescent="0.2">
      <c r="A1290" s="2">
        <v>43929</v>
      </c>
      <c r="B1290" s="1">
        <v>109.66500000000001</v>
      </c>
      <c r="C1290">
        <v>172792360</v>
      </c>
      <c r="D1290" s="1">
        <v>109.13249999999999</v>
      </c>
      <c r="E1290" s="1">
        <v>110.79</v>
      </c>
      <c r="F1290" s="1">
        <v>108.3875</v>
      </c>
    </row>
    <row r="1291" spans="1:6" x14ac:dyDescent="0.2">
      <c r="A1291" s="2">
        <v>43898</v>
      </c>
      <c r="B1291" s="1">
        <v>108.9375</v>
      </c>
      <c r="C1291">
        <v>308151400</v>
      </c>
      <c r="D1291" s="1">
        <v>108.2</v>
      </c>
      <c r="E1291" s="1">
        <v>111.63639999999999</v>
      </c>
      <c r="F1291" s="1">
        <v>107.8925</v>
      </c>
    </row>
    <row r="1292" spans="1:6" x14ac:dyDescent="0.2">
      <c r="A1292" t="s">
        <v>782</v>
      </c>
      <c r="B1292" s="1">
        <v>106.26</v>
      </c>
      <c r="C1292">
        <v>374295480</v>
      </c>
      <c r="D1292" s="1">
        <v>102.88379999999999</v>
      </c>
      <c r="E1292" s="1">
        <v>106.41500000000001</v>
      </c>
      <c r="F1292" s="1">
        <v>100.825</v>
      </c>
    </row>
    <row r="1293" spans="1:6" x14ac:dyDescent="0.2">
      <c r="A1293" t="s">
        <v>783</v>
      </c>
      <c r="B1293" s="1">
        <v>96.19</v>
      </c>
      <c r="C1293">
        <v>158130040</v>
      </c>
      <c r="D1293" s="1">
        <v>94.1875</v>
      </c>
      <c r="E1293" s="1">
        <v>96.297499999999999</v>
      </c>
      <c r="F1293" s="1">
        <v>93.767499999999998</v>
      </c>
    </row>
    <row r="1294" spans="1:6" x14ac:dyDescent="0.2">
      <c r="A1294" t="s">
        <v>784</v>
      </c>
      <c r="B1294" s="1">
        <v>95.04</v>
      </c>
      <c r="C1294">
        <v>90329240</v>
      </c>
      <c r="D1294" s="1">
        <v>93.75</v>
      </c>
      <c r="E1294" s="1">
        <v>95.23</v>
      </c>
      <c r="F1294" s="1">
        <v>93.712500000000006</v>
      </c>
    </row>
    <row r="1295" spans="1:6" x14ac:dyDescent="0.2">
      <c r="A1295" t="s">
        <v>785</v>
      </c>
      <c r="B1295" s="1">
        <v>93.252499999999998</v>
      </c>
      <c r="C1295">
        <v>103625520</v>
      </c>
      <c r="D1295" s="1">
        <v>94.367500000000007</v>
      </c>
      <c r="E1295" s="1">
        <v>94.549700000000001</v>
      </c>
      <c r="F1295" s="1">
        <v>93.247500000000002</v>
      </c>
    </row>
    <row r="1296" spans="1:6" x14ac:dyDescent="0.2">
      <c r="A1296" t="s">
        <v>786</v>
      </c>
      <c r="B1296" s="1">
        <v>94.81</v>
      </c>
      <c r="C1296">
        <v>121214200</v>
      </c>
      <c r="D1296" s="1">
        <v>93.71</v>
      </c>
      <c r="E1296" s="1">
        <v>94.905000000000001</v>
      </c>
      <c r="F1296" s="1">
        <v>93.48</v>
      </c>
    </row>
    <row r="1297" spans="1:6" x14ac:dyDescent="0.2">
      <c r="A1297" t="s">
        <v>787</v>
      </c>
      <c r="B1297" s="1">
        <v>92.614999999999995</v>
      </c>
      <c r="C1297">
        <v>185438880</v>
      </c>
      <c r="D1297" s="1">
        <v>90.987499999999997</v>
      </c>
      <c r="E1297" s="1">
        <v>92.97</v>
      </c>
      <c r="F1297" s="1">
        <v>89.144999999999996</v>
      </c>
    </row>
    <row r="1298" spans="1:6" x14ac:dyDescent="0.2">
      <c r="A1298" t="s">
        <v>788</v>
      </c>
      <c r="B1298" s="1">
        <v>92.844999999999999</v>
      </c>
      <c r="C1298">
        <v>197004440</v>
      </c>
      <c r="D1298" s="1">
        <v>96.998500000000007</v>
      </c>
      <c r="E1298" s="1">
        <v>97.077500000000001</v>
      </c>
      <c r="F1298" s="1">
        <v>92.009699999999995</v>
      </c>
    </row>
    <row r="1299" spans="1:6" x14ac:dyDescent="0.2">
      <c r="A1299" t="s">
        <v>789</v>
      </c>
      <c r="B1299" s="1">
        <v>97.272499999999994</v>
      </c>
      <c r="C1299">
        <v>89001640</v>
      </c>
      <c r="D1299" s="1">
        <v>96.692499999999995</v>
      </c>
      <c r="E1299" s="1">
        <v>97.974999999999994</v>
      </c>
      <c r="F1299" s="1">
        <v>96.602500000000006</v>
      </c>
    </row>
    <row r="1300" spans="1:6" x14ac:dyDescent="0.2">
      <c r="A1300" t="s">
        <v>790</v>
      </c>
      <c r="B1300" s="1">
        <v>97</v>
      </c>
      <c r="C1300">
        <v>103645840</v>
      </c>
      <c r="D1300" s="1">
        <v>99.172499999999999</v>
      </c>
      <c r="E1300" s="1">
        <v>99.25</v>
      </c>
      <c r="F1300" s="1">
        <v>96.742500000000007</v>
      </c>
    </row>
    <row r="1301" spans="1:6" x14ac:dyDescent="0.2">
      <c r="A1301" t="s">
        <v>791</v>
      </c>
      <c r="B1301" s="1">
        <v>98.357500000000002</v>
      </c>
      <c r="C1301">
        <v>90317920</v>
      </c>
      <c r="D1301" s="1">
        <v>96.416300000000007</v>
      </c>
      <c r="E1301" s="1">
        <v>98.5</v>
      </c>
      <c r="F1301" s="1">
        <v>96.0625</v>
      </c>
    </row>
    <row r="1302" spans="1:6" x14ac:dyDescent="0.2">
      <c r="A1302" t="s">
        <v>792</v>
      </c>
      <c r="B1302" s="1">
        <v>96.327500000000001</v>
      </c>
      <c r="C1302">
        <v>92186920</v>
      </c>
      <c r="D1302" s="1">
        <v>96.987499999999997</v>
      </c>
      <c r="E1302" s="1">
        <v>97.147499999999994</v>
      </c>
      <c r="F1302" s="1">
        <v>95.84</v>
      </c>
    </row>
    <row r="1303" spans="1:6" x14ac:dyDescent="0.2">
      <c r="A1303" t="s">
        <v>793</v>
      </c>
      <c r="B1303" s="1">
        <v>96.522499999999994</v>
      </c>
      <c r="C1303">
        <v>110577680</v>
      </c>
      <c r="D1303" s="1">
        <v>96.5625</v>
      </c>
      <c r="E1303" s="1">
        <v>97.405000000000001</v>
      </c>
      <c r="F1303" s="1">
        <v>95.905000000000001</v>
      </c>
    </row>
    <row r="1304" spans="1:6" x14ac:dyDescent="0.2">
      <c r="A1304" t="s">
        <v>794</v>
      </c>
      <c r="B1304" s="1">
        <v>97.724999999999994</v>
      </c>
      <c r="C1304">
        <v>153197920</v>
      </c>
      <c r="D1304" s="1">
        <v>98.99</v>
      </c>
      <c r="E1304" s="1">
        <v>99.247500000000002</v>
      </c>
      <c r="F1304" s="1">
        <v>96.49</v>
      </c>
    </row>
    <row r="1305" spans="1:6" x14ac:dyDescent="0.2">
      <c r="A1305" t="s">
        <v>795</v>
      </c>
      <c r="B1305" s="1">
        <v>97.057500000000005</v>
      </c>
      <c r="C1305">
        <v>170989360</v>
      </c>
      <c r="D1305" s="1">
        <v>94.84</v>
      </c>
      <c r="E1305" s="1">
        <v>97.254999999999995</v>
      </c>
      <c r="F1305" s="1">
        <v>93.877499999999998</v>
      </c>
    </row>
    <row r="1306" spans="1:6" x14ac:dyDescent="0.2">
      <c r="A1306" t="s">
        <v>796</v>
      </c>
      <c r="B1306" s="1">
        <v>95.477500000000006</v>
      </c>
      <c r="C1306">
        <v>191649160</v>
      </c>
      <c r="D1306" s="1">
        <v>97.265000000000001</v>
      </c>
      <c r="E1306" s="1">
        <v>99.954999999999998</v>
      </c>
      <c r="F1306" s="1">
        <v>95.257499999999993</v>
      </c>
    </row>
    <row r="1307" spans="1:6" x14ac:dyDescent="0.2">
      <c r="A1307" s="2">
        <v>44111</v>
      </c>
      <c r="B1307" s="1">
        <v>95.92</v>
      </c>
      <c r="C1307">
        <v>90257320</v>
      </c>
      <c r="D1307" s="1">
        <v>95.334999999999994</v>
      </c>
      <c r="E1307" s="1">
        <v>95.98</v>
      </c>
      <c r="F1307" s="1">
        <v>94.705200000000005</v>
      </c>
    </row>
    <row r="1308" spans="1:6" x14ac:dyDescent="0.2">
      <c r="A1308" s="2">
        <v>44081</v>
      </c>
      <c r="B1308" s="1">
        <v>95.682500000000005</v>
      </c>
      <c r="C1308">
        <v>125642600</v>
      </c>
      <c r="D1308" s="1">
        <v>96.262500000000003</v>
      </c>
      <c r="E1308" s="1">
        <v>96.317499999999995</v>
      </c>
      <c r="F1308" s="1">
        <v>94.672499999999999</v>
      </c>
    </row>
    <row r="1309" spans="1:6" x14ac:dyDescent="0.2">
      <c r="A1309" s="2">
        <v>44050</v>
      </c>
      <c r="B1309" s="1">
        <v>95.342500000000001</v>
      </c>
      <c r="C1309">
        <v>117091880</v>
      </c>
      <c r="D1309" s="1">
        <v>94.18</v>
      </c>
      <c r="E1309" s="1">
        <v>95.375</v>
      </c>
      <c r="F1309" s="1">
        <v>94.09</v>
      </c>
    </row>
    <row r="1310" spans="1:6" x14ac:dyDescent="0.2">
      <c r="A1310" s="2">
        <v>44019</v>
      </c>
      <c r="B1310" s="1">
        <v>93.172499999999999</v>
      </c>
      <c r="C1310">
        <v>112424440</v>
      </c>
      <c r="D1310" s="1">
        <v>93.852500000000006</v>
      </c>
      <c r="E1310" s="1">
        <v>94.655000000000001</v>
      </c>
      <c r="F1310" s="1">
        <v>93.057500000000005</v>
      </c>
    </row>
    <row r="1311" spans="1:6" x14ac:dyDescent="0.2">
      <c r="A1311" s="2">
        <v>43989</v>
      </c>
      <c r="B1311" s="1">
        <v>93.462500000000006</v>
      </c>
      <c r="C1311">
        <v>118655640</v>
      </c>
      <c r="D1311" s="1">
        <v>92.5</v>
      </c>
      <c r="E1311" s="1">
        <v>93.944999999999993</v>
      </c>
      <c r="F1311" s="1">
        <v>92.467500000000001</v>
      </c>
    </row>
    <row r="1312" spans="1:6" x14ac:dyDescent="0.2">
      <c r="A1312" s="2">
        <v>43868</v>
      </c>
      <c r="B1312" s="1">
        <v>91.027500000000003</v>
      </c>
      <c r="C1312">
        <v>114041480</v>
      </c>
      <c r="D1312" s="1">
        <v>91.962500000000006</v>
      </c>
      <c r="E1312" s="1">
        <v>92.617500000000007</v>
      </c>
      <c r="F1312" s="1">
        <v>90.91</v>
      </c>
    </row>
    <row r="1313" spans="1:6" x14ac:dyDescent="0.2">
      <c r="A1313" s="2">
        <v>43837</v>
      </c>
      <c r="B1313" s="1">
        <v>91.027500000000003</v>
      </c>
      <c r="C1313">
        <v>110737240</v>
      </c>
      <c r="D1313" s="1">
        <v>91.28</v>
      </c>
      <c r="E1313" s="1">
        <v>91.84</v>
      </c>
      <c r="F1313" s="1">
        <v>90.977500000000006</v>
      </c>
    </row>
    <row r="1314" spans="1:6" x14ac:dyDescent="0.2">
      <c r="A1314" t="s">
        <v>797</v>
      </c>
      <c r="B1314" s="1">
        <v>91.2</v>
      </c>
      <c r="C1314">
        <v>140223280</v>
      </c>
      <c r="D1314" s="1">
        <v>90.02</v>
      </c>
      <c r="E1314" s="1">
        <v>91.495000000000005</v>
      </c>
      <c r="F1314" s="1">
        <v>90</v>
      </c>
    </row>
    <row r="1315" spans="1:6" x14ac:dyDescent="0.2">
      <c r="A1315" t="s">
        <v>798</v>
      </c>
      <c r="B1315" s="1">
        <v>90.444999999999993</v>
      </c>
      <c r="C1315">
        <v>130646080</v>
      </c>
      <c r="D1315" s="1">
        <v>88.3125</v>
      </c>
      <c r="E1315" s="1">
        <v>90.543400000000005</v>
      </c>
      <c r="F1315" s="1">
        <v>87.82</v>
      </c>
    </row>
    <row r="1316" spans="1:6" x14ac:dyDescent="0.2">
      <c r="A1316" t="s">
        <v>799</v>
      </c>
      <c r="B1316" s="1">
        <v>88.407499999999999</v>
      </c>
      <c r="C1316">
        <v>205256840</v>
      </c>
      <c r="D1316" s="1">
        <v>91.102500000000006</v>
      </c>
      <c r="E1316" s="1">
        <v>91.33</v>
      </c>
      <c r="F1316" s="1">
        <v>88.254999999999995</v>
      </c>
    </row>
    <row r="1317" spans="1:6" x14ac:dyDescent="0.2">
      <c r="A1317" t="s">
        <v>800</v>
      </c>
      <c r="B1317" s="1">
        <v>91.21</v>
      </c>
      <c r="C1317">
        <v>137522520</v>
      </c>
      <c r="D1317" s="1">
        <v>90.174999999999997</v>
      </c>
      <c r="E1317" s="1">
        <v>91.25</v>
      </c>
      <c r="F1317" s="1">
        <v>89.392499999999998</v>
      </c>
    </row>
    <row r="1318" spans="1:6" x14ac:dyDescent="0.2">
      <c r="A1318" t="s">
        <v>801</v>
      </c>
      <c r="B1318" s="1">
        <v>90.015000000000001</v>
      </c>
      <c r="C1318">
        <v>192623400</v>
      </c>
      <c r="D1318" s="1">
        <v>91.25</v>
      </c>
      <c r="E1318" s="1">
        <v>92.197500000000005</v>
      </c>
      <c r="F1318" s="1">
        <v>89.63</v>
      </c>
    </row>
    <row r="1319" spans="1:6" x14ac:dyDescent="0.2">
      <c r="A1319" t="s">
        <v>802</v>
      </c>
      <c r="B1319" s="1">
        <v>91.632499999999993</v>
      </c>
      <c r="C1319">
        <v>212155480</v>
      </c>
      <c r="D1319" s="1">
        <v>91</v>
      </c>
      <c r="E1319" s="1">
        <v>93.094999999999999</v>
      </c>
      <c r="F1319" s="1">
        <v>90.567499999999995</v>
      </c>
    </row>
    <row r="1320" spans="1:6" x14ac:dyDescent="0.2">
      <c r="A1320" t="s">
        <v>803</v>
      </c>
      <c r="B1320" s="1">
        <v>89.717500000000001</v>
      </c>
      <c r="C1320">
        <v>135445280</v>
      </c>
      <c r="D1320" s="1">
        <v>87.834999999999994</v>
      </c>
      <c r="E1320" s="1">
        <v>89.864999999999995</v>
      </c>
      <c r="F1320" s="1">
        <v>87.787499999999994</v>
      </c>
    </row>
    <row r="1321" spans="1:6" x14ac:dyDescent="0.2">
      <c r="A1321" t="s">
        <v>804</v>
      </c>
      <c r="B1321" s="1">
        <v>87.43</v>
      </c>
      <c r="C1321">
        <v>264475800</v>
      </c>
      <c r="D1321" s="1">
        <v>88.658699999999996</v>
      </c>
      <c r="E1321" s="1">
        <v>89.14</v>
      </c>
      <c r="F1321" s="1">
        <v>86.287499999999994</v>
      </c>
    </row>
    <row r="1322" spans="1:6" x14ac:dyDescent="0.2">
      <c r="A1322" t="s">
        <v>805</v>
      </c>
      <c r="B1322" s="1">
        <v>87.932500000000005</v>
      </c>
      <c r="C1322">
        <v>96820400</v>
      </c>
      <c r="D1322" s="1">
        <v>87.852500000000006</v>
      </c>
      <c r="E1322" s="1">
        <v>88.362499999999997</v>
      </c>
      <c r="F1322" s="1">
        <v>87.305000000000007</v>
      </c>
    </row>
    <row r="1323" spans="1:6" x14ac:dyDescent="0.2">
      <c r="A1323" t="s">
        <v>806</v>
      </c>
      <c r="B1323" s="1">
        <v>87.897499999999994</v>
      </c>
      <c r="C1323">
        <v>114406520</v>
      </c>
      <c r="D1323" s="1">
        <v>88.787499999999994</v>
      </c>
      <c r="E1323" s="1">
        <v>88.85</v>
      </c>
      <c r="F1323" s="1">
        <v>87.772499999999994</v>
      </c>
    </row>
    <row r="1324" spans="1:6" x14ac:dyDescent="0.2">
      <c r="A1324" t="s">
        <v>807</v>
      </c>
      <c r="B1324" s="1">
        <v>88.02</v>
      </c>
      <c r="C1324">
        <v>165428720</v>
      </c>
      <c r="D1324" s="1">
        <v>87.864999999999995</v>
      </c>
      <c r="E1324" s="1">
        <v>88.3</v>
      </c>
      <c r="F1324" s="1">
        <v>86.18</v>
      </c>
    </row>
    <row r="1325" spans="1:6" x14ac:dyDescent="0.2">
      <c r="A1325" t="s">
        <v>808</v>
      </c>
      <c r="B1325" s="1">
        <v>85.747500000000002</v>
      </c>
      <c r="C1325">
        <v>138808920</v>
      </c>
      <c r="D1325" s="1">
        <v>83.3125</v>
      </c>
      <c r="E1325" s="1">
        <v>86.42</v>
      </c>
      <c r="F1325" s="1">
        <v>83.144999999999996</v>
      </c>
    </row>
    <row r="1326" spans="1:6" x14ac:dyDescent="0.2">
      <c r="A1326" s="2">
        <v>44171</v>
      </c>
      <c r="B1326" s="1">
        <v>84.7</v>
      </c>
      <c r="C1326">
        <v>200146040</v>
      </c>
      <c r="D1326" s="1">
        <v>86.18</v>
      </c>
      <c r="E1326" s="1">
        <v>86.95</v>
      </c>
      <c r="F1326" s="1">
        <v>83.555800000000005</v>
      </c>
    </row>
    <row r="1327" spans="1:6" x14ac:dyDescent="0.2">
      <c r="A1327" s="2">
        <v>44141</v>
      </c>
      <c r="B1327" s="1">
        <v>83.974999999999994</v>
      </c>
      <c r="C1327">
        <v>201662440</v>
      </c>
      <c r="D1327" s="1">
        <v>87.327500000000001</v>
      </c>
      <c r="E1327" s="1">
        <v>87.765000000000001</v>
      </c>
      <c r="F1327" s="1">
        <v>83.87</v>
      </c>
    </row>
    <row r="1328" spans="1:6" x14ac:dyDescent="0.2">
      <c r="A1328" s="2">
        <v>44110</v>
      </c>
      <c r="B1328" s="1">
        <v>88.21</v>
      </c>
      <c r="C1328">
        <v>166651760</v>
      </c>
      <c r="D1328" s="1">
        <v>86.974999999999994</v>
      </c>
      <c r="E1328" s="1">
        <v>88.692499999999995</v>
      </c>
      <c r="F1328" s="1">
        <v>86.522499999999994</v>
      </c>
    </row>
    <row r="1329" spans="1:6" x14ac:dyDescent="0.2">
      <c r="A1329" s="2">
        <v>44080</v>
      </c>
      <c r="B1329" s="1">
        <v>85.997500000000002</v>
      </c>
      <c r="C1329">
        <v>147712360</v>
      </c>
      <c r="D1329" s="1">
        <v>83.034999999999997</v>
      </c>
      <c r="E1329" s="1">
        <v>86.402500000000003</v>
      </c>
      <c r="F1329" s="1">
        <v>83.002499999999998</v>
      </c>
    </row>
    <row r="1330" spans="1:6" x14ac:dyDescent="0.2">
      <c r="A1330" s="2">
        <v>44049</v>
      </c>
      <c r="B1330" s="1">
        <v>83.364999999999995</v>
      </c>
      <c r="C1330">
        <v>95654520</v>
      </c>
      <c r="D1330" s="1">
        <v>82.5625</v>
      </c>
      <c r="E1330" s="1">
        <v>83.4</v>
      </c>
      <c r="F1330" s="1">
        <v>81.83</v>
      </c>
    </row>
    <row r="1331" spans="1:6" x14ac:dyDescent="0.2">
      <c r="A1331" s="2">
        <v>43957</v>
      </c>
      <c r="B1331" s="1">
        <v>82.875</v>
      </c>
      <c r="C1331">
        <v>137250200</v>
      </c>
      <c r="D1331" s="1">
        <v>80.837500000000006</v>
      </c>
      <c r="E1331" s="1">
        <v>82.9375</v>
      </c>
      <c r="F1331" s="1">
        <v>80.807500000000005</v>
      </c>
    </row>
    <row r="1332" spans="1:6" x14ac:dyDescent="0.2">
      <c r="A1332" s="2">
        <v>43927</v>
      </c>
      <c r="B1332" s="1">
        <v>80.58</v>
      </c>
      <c r="C1332">
        <v>87560360</v>
      </c>
      <c r="D1332" s="1">
        <v>81.097499999999997</v>
      </c>
      <c r="E1332" s="1">
        <v>81.405000000000001</v>
      </c>
      <c r="F1332" s="1">
        <v>80.194999999999993</v>
      </c>
    </row>
    <row r="1333" spans="1:6" x14ac:dyDescent="0.2">
      <c r="A1333" s="2">
        <v>43896</v>
      </c>
      <c r="B1333" s="1">
        <v>81.28</v>
      </c>
      <c r="C1333">
        <v>104491200</v>
      </c>
      <c r="D1333" s="1">
        <v>81.165000000000006</v>
      </c>
      <c r="E1333" s="1">
        <v>81.55</v>
      </c>
      <c r="F1333" s="1">
        <v>80.575000000000003</v>
      </c>
    </row>
    <row r="1334" spans="1:6" x14ac:dyDescent="0.2">
      <c r="A1334" s="2">
        <v>43867</v>
      </c>
      <c r="B1334" s="1">
        <v>80.834999999999994</v>
      </c>
      <c r="C1334">
        <v>87642800</v>
      </c>
      <c r="D1334" s="1">
        <v>80.186300000000003</v>
      </c>
      <c r="E1334" s="1">
        <v>80.86</v>
      </c>
      <c r="F1334" s="1">
        <v>79.732500000000002</v>
      </c>
    </row>
    <row r="1335" spans="1:6" x14ac:dyDescent="0.2">
      <c r="A1335" s="2">
        <v>43836</v>
      </c>
      <c r="B1335" s="1">
        <v>80.462500000000006</v>
      </c>
      <c r="C1335">
        <v>81018600</v>
      </c>
      <c r="D1335" s="1">
        <v>79.4375</v>
      </c>
      <c r="E1335" s="1">
        <v>80.587500000000006</v>
      </c>
      <c r="F1335" s="1">
        <v>79.302499999999995</v>
      </c>
    </row>
    <row r="1336" spans="1:6" x14ac:dyDescent="0.2">
      <c r="A1336" t="s">
        <v>809</v>
      </c>
      <c r="B1336" s="1">
        <v>79.484999999999999</v>
      </c>
      <c r="C1336">
        <v>153598120</v>
      </c>
      <c r="D1336" s="1">
        <v>79.8125</v>
      </c>
      <c r="E1336" s="1">
        <v>80.287499999999994</v>
      </c>
      <c r="F1336" s="1">
        <v>79.117500000000007</v>
      </c>
    </row>
    <row r="1337" spans="1:6" x14ac:dyDescent="0.2">
      <c r="A1337" t="s">
        <v>810</v>
      </c>
      <c r="B1337" s="1">
        <v>79.5625</v>
      </c>
      <c r="C1337">
        <v>133796400</v>
      </c>
      <c r="D1337" s="1">
        <v>79.192499999999995</v>
      </c>
      <c r="E1337" s="1">
        <v>80.86</v>
      </c>
      <c r="F1337" s="1">
        <v>78.907499999999999</v>
      </c>
    </row>
    <row r="1338" spans="1:6" x14ac:dyDescent="0.2">
      <c r="A1338" t="s">
        <v>811</v>
      </c>
      <c r="B1338" s="1">
        <v>79.527500000000003</v>
      </c>
      <c r="C1338">
        <v>112945080</v>
      </c>
      <c r="D1338" s="1">
        <v>79.034999999999997</v>
      </c>
      <c r="E1338" s="1">
        <v>79.677499999999995</v>
      </c>
      <c r="F1338" s="1">
        <v>78.272499999999994</v>
      </c>
    </row>
    <row r="1339" spans="1:6" x14ac:dyDescent="0.2">
      <c r="A1339" t="s">
        <v>812</v>
      </c>
      <c r="B1339" s="1">
        <v>79.182500000000005</v>
      </c>
      <c r="C1339">
        <v>125521800</v>
      </c>
      <c r="D1339" s="1">
        <v>80.875</v>
      </c>
      <c r="E1339" s="1">
        <v>81.06</v>
      </c>
      <c r="F1339" s="1">
        <v>79.125</v>
      </c>
    </row>
    <row r="1340" spans="1:6" x14ac:dyDescent="0.2">
      <c r="A1340" t="s">
        <v>813</v>
      </c>
      <c r="B1340" s="1">
        <v>79.722499999999997</v>
      </c>
      <c r="C1340">
        <v>81803000</v>
      </c>
      <c r="D1340" s="1">
        <v>78.942499999999995</v>
      </c>
      <c r="E1340" s="1">
        <v>79.807500000000005</v>
      </c>
      <c r="F1340" s="1">
        <v>78.837500000000006</v>
      </c>
    </row>
    <row r="1341" spans="1:6" x14ac:dyDescent="0.2">
      <c r="A1341" t="s">
        <v>814</v>
      </c>
      <c r="B1341" s="1">
        <v>79.212500000000006</v>
      </c>
      <c r="C1341">
        <v>102688840</v>
      </c>
      <c r="D1341" s="1">
        <v>79.665000000000006</v>
      </c>
      <c r="E1341" s="1">
        <v>80.222499999999997</v>
      </c>
      <c r="F1341" s="1">
        <v>78.967500000000001</v>
      </c>
    </row>
    <row r="1342" spans="1:6" x14ac:dyDescent="0.2">
      <c r="A1342" t="s">
        <v>815</v>
      </c>
      <c r="B1342" s="1">
        <v>79.807500000000005</v>
      </c>
      <c r="C1342">
        <v>111504880</v>
      </c>
      <c r="D1342" s="1">
        <v>79.17</v>
      </c>
      <c r="E1342" s="1">
        <v>79.88</v>
      </c>
      <c r="F1342" s="1">
        <v>79.05</v>
      </c>
    </row>
    <row r="1343" spans="1:6" x14ac:dyDescent="0.2">
      <c r="A1343" t="s">
        <v>816</v>
      </c>
      <c r="B1343" s="1">
        <v>78.284999999999997</v>
      </c>
      <c r="C1343">
        <v>101729560</v>
      </c>
      <c r="D1343" s="1">
        <v>78.757499999999993</v>
      </c>
      <c r="E1343" s="1">
        <v>79.63</v>
      </c>
      <c r="F1343" s="1">
        <v>78.252499999999998</v>
      </c>
    </row>
    <row r="1344" spans="1:6" x14ac:dyDescent="0.2">
      <c r="A1344" t="s">
        <v>817</v>
      </c>
      <c r="B1344" s="1">
        <v>78.739999999999995</v>
      </c>
      <c r="C1344">
        <v>135372520</v>
      </c>
      <c r="D1344" s="1">
        <v>78.292500000000004</v>
      </c>
      <c r="E1344" s="1">
        <v>79.125</v>
      </c>
      <c r="F1344" s="1">
        <v>77.581000000000003</v>
      </c>
    </row>
    <row r="1345" spans="1:6" x14ac:dyDescent="0.2">
      <c r="A1345" t="s">
        <v>818</v>
      </c>
      <c r="B1345" s="1">
        <v>76.927499999999995</v>
      </c>
      <c r="C1345">
        <v>166348360</v>
      </c>
      <c r="D1345" s="1">
        <v>75.087500000000006</v>
      </c>
      <c r="E1345" s="1">
        <v>76.974999999999994</v>
      </c>
      <c r="F1345" s="1">
        <v>75.052499999999995</v>
      </c>
    </row>
    <row r="1346" spans="1:6" x14ac:dyDescent="0.2">
      <c r="A1346" t="s">
        <v>819</v>
      </c>
      <c r="B1346" s="1">
        <v>77.385000000000005</v>
      </c>
      <c r="C1346">
        <v>158929080</v>
      </c>
      <c r="D1346" s="1">
        <v>76.127499999999998</v>
      </c>
      <c r="E1346" s="1">
        <v>77.447500000000005</v>
      </c>
      <c r="F1346" s="1">
        <v>75.382499999999993</v>
      </c>
    </row>
    <row r="1347" spans="1:6" x14ac:dyDescent="0.2">
      <c r="A1347" t="s">
        <v>820</v>
      </c>
      <c r="B1347" s="1">
        <v>76.912499999999994</v>
      </c>
      <c r="C1347">
        <v>200622560</v>
      </c>
      <c r="D1347" s="1">
        <v>78.037499999999994</v>
      </c>
      <c r="E1347" s="1">
        <v>78.987499999999997</v>
      </c>
      <c r="F1347" s="1">
        <v>75.802499999999995</v>
      </c>
    </row>
    <row r="1348" spans="1:6" x14ac:dyDescent="0.2">
      <c r="A1348" s="2">
        <v>44170</v>
      </c>
      <c r="B1348" s="1">
        <v>77.852500000000006</v>
      </c>
      <c r="C1348">
        <v>162301040</v>
      </c>
      <c r="D1348" s="1">
        <v>79.457499999999996</v>
      </c>
      <c r="E1348" s="1">
        <v>79.921999999999997</v>
      </c>
      <c r="F1348" s="1">
        <v>77.727500000000006</v>
      </c>
    </row>
    <row r="1349" spans="1:6" x14ac:dyDescent="0.2">
      <c r="A1349" s="2">
        <v>44140</v>
      </c>
      <c r="B1349" s="1">
        <v>78.752499999999998</v>
      </c>
      <c r="C1349">
        <v>145946240</v>
      </c>
      <c r="D1349" s="1">
        <v>77.025000000000006</v>
      </c>
      <c r="E1349" s="1">
        <v>79.262500000000003</v>
      </c>
      <c r="F1349" s="1">
        <v>76.81</v>
      </c>
    </row>
    <row r="1350" spans="1:6" x14ac:dyDescent="0.2">
      <c r="A1350" s="2">
        <v>44048</v>
      </c>
      <c r="B1350" s="1">
        <v>77.532499999999999</v>
      </c>
      <c r="C1350">
        <v>134047960</v>
      </c>
      <c r="D1350" s="1">
        <v>76.41</v>
      </c>
      <c r="E1350" s="1">
        <v>77.587500000000006</v>
      </c>
      <c r="F1350" s="1">
        <v>76.072500000000005</v>
      </c>
    </row>
    <row r="1351" spans="1:6" x14ac:dyDescent="0.2">
      <c r="A1351" s="2">
        <v>44017</v>
      </c>
      <c r="B1351" s="1">
        <v>75.935000000000002</v>
      </c>
      <c r="C1351">
        <v>115215040</v>
      </c>
      <c r="D1351" s="1">
        <v>75.805000000000007</v>
      </c>
      <c r="E1351" s="1">
        <v>76.292500000000004</v>
      </c>
      <c r="F1351" s="1">
        <v>75.492500000000007</v>
      </c>
    </row>
    <row r="1352" spans="1:6" x14ac:dyDescent="0.2">
      <c r="A1352" s="2">
        <v>43987</v>
      </c>
      <c r="B1352" s="1">
        <v>75.157499999999999</v>
      </c>
      <c r="C1352">
        <v>142333760</v>
      </c>
      <c r="D1352" s="1">
        <v>75.114999999999995</v>
      </c>
      <c r="E1352" s="1">
        <v>75.81</v>
      </c>
      <c r="F1352" s="1">
        <v>74.717500000000001</v>
      </c>
    </row>
    <row r="1353" spans="1:6" x14ac:dyDescent="0.2">
      <c r="A1353" s="2">
        <v>43956</v>
      </c>
      <c r="B1353" s="1">
        <v>74.39</v>
      </c>
      <c r="C1353">
        <v>147751200</v>
      </c>
      <c r="D1353" s="1">
        <v>73.765000000000001</v>
      </c>
      <c r="E1353" s="1">
        <v>75.25</v>
      </c>
      <c r="F1353" s="1">
        <v>73.614999999999995</v>
      </c>
    </row>
    <row r="1354" spans="1:6" x14ac:dyDescent="0.2">
      <c r="A1354" s="2">
        <v>43926</v>
      </c>
      <c r="B1354" s="1">
        <v>73.290000000000006</v>
      </c>
      <c r="C1354">
        <v>133567960</v>
      </c>
      <c r="D1354" s="1">
        <v>72.292500000000004</v>
      </c>
      <c r="E1354" s="1">
        <v>73.422499999999999</v>
      </c>
      <c r="F1354" s="1">
        <v>71.579300000000003</v>
      </c>
    </row>
    <row r="1355" spans="1:6" x14ac:dyDescent="0.2">
      <c r="A1355" s="2">
        <v>43835</v>
      </c>
      <c r="B1355" s="1">
        <v>72.267499999999998</v>
      </c>
      <c r="C1355">
        <v>240616720</v>
      </c>
      <c r="D1355" s="1">
        <v>71.5625</v>
      </c>
      <c r="E1355" s="1">
        <v>74.75</v>
      </c>
      <c r="F1355" s="1">
        <v>71.462500000000006</v>
      </c>
    </row>
    <row r="1356" spans="1:6" x14ac:dyDescent="0.2">
      <c r="A1356" t="s">
        <v>821</v>
      </c>
      <c r="B1356" s="1">
        <v>73.45</v>
      </c>
      <c r="C1356">
        <v>183063880</v>
      </c>
      <c r="D1356" s="1">
        <v>72.489999999999995</v>
      </c>
      <c r="E1356" s="1">
        <v>73.632499999999993</v>
      </c>
      <c r="F1356" s="1">
        <v>72.087500000000006</v>
      </c>
    </row>
    <row r="1357" spans="1:6" x14ac:dyDescent="0.2">
      <c r="A1357" t="s">
        <v>822</v>
      </c>
      <c r="B1357" s="1">
        <v>71.932500000000005</v>
      </c>
      <c r="C1357">
        <v>137280800</v>
      </c>
      <c r="D1357" s="1">
        <v>71.182500000000005</v>
      </c>
      <c r="E1357" s="1">
        <v>72.417500000000004</v>
      </c>
      <c r="F1357" s="1">
        <v>70.972499999999997</v>
      </c>
    </row>
    <row r="1358" spans="1:6" x14ac:dyDescent="0.2">
      <c r="A1358" t="s">
        <v>823</v>
      </c>
      <c r="B1358" s="1">
        <v>69.644999999999996</v>
      </c>
      <c r="C1358">
        <v>112004760</v>
      </c>
      <c r="D1358" s="1">
        <v>71.27</v>
      </c>
      <c r="E1358" s="1">
        <v>71.457499999999996</v>
      </c>
      <c r="F1358" s="1">
        <v>69.55</v>
      </c>
    </row>
    <row r="1359" spans="1:6" x14ac:dyDescent="0.2">
      <c r="A1359" t="s">
        <v>824</v>
      </c>
      <c r="B1359" s="1">
        <v>70.792500000000004</v>
      </c>
      <c r="C1359">
        <v>117087560</v>
      </c>
      <c r="D1359" s="1">
        <v>70.45</v>
      </c>
      <c r="E1359" s="1">
        <v>71.135000000000005</v>
      </c>
      <c r="F1359" s="1">
        <v>69.987499999999997</v>
      </c>
    </row>
    <row r="1360" spans="1:6" x14ac:dyDescent="0.2">
      <c r="A1360" t="s">
        <v>825</v>
      </c>
      <c r="B1360" s="1">
        <v>70.742500000000007</v>
      </c>
      <c r="C1360">
        <v>126508720</v>
      </c>
      <c r="D1360" s="1">
        <v>69.3</v>
      </c>
      <c r="E1360" s="1">
        <v>70.752499999999998</v>
      </c>
      <c r="F1360" s="1">
        <v>69.25</v>
      </c>
    </row>
    <row r="1361" spans="1:6" x14ac:dyDescent="0.2">
      <c r="A1361" t="s">
        <v>826</v>
      </c>
      <c r="B1361" s="1">
        <v>68.757499999999993</v>
      </c>
      <c r="C1361">
        <v>124814320</v>
      </c>
      <c r="D1361" s="1">
        <v>68.967500000000001</v>
      </c>
      <c r="E1361" s="1">
        <v>70.4375</v>
      </c>
      <c r="F1361" s="1">
        <v>68.717500000000001</v>
      </c>
    </row>
    <row r="1362" spans="1:6" x14ac:dyDescent="0.2">
      <c r="A1362" t="s">
        <v>827</v>
      </c>
      <c r="B1362" s="1">
        <v>69.025000000000006</v>
      </c>
      <c r="C1362">
        <v>117057360</v>
      </c>
      <c r="D1362" s="1">
        <v>68.402500000000003</v>
      </c>
      <c r="E1362" s="1">
        <v>69.474999999999994</v>
      </c>
      <c r="F1362" s="1">
        <v>68.05</v>
      </c>
    </row>
    <row r="1363" spans="1:6" x14ac:dyDescent="0.2">
      <c r="A1363" t="s">
        <v>828</v>
      </c>
      <c r="B1363" s="1">
        <v>67.092500000000001</v>
      </c>
      <c r="C1363">
        <v>180991560</v>
      </c>
      <c r="D1363" s="1">
        <v>69.069999999999993</v>
      </c>
      <c r="E1363" s="1">
        <v>69.3125</v>
      </c>
      <c r="F1363" s="1">
        <v>66.357500000000002</v>
      </c>
    </row>
    <row r="1364" spans="1:6" x14ac:dyDescent="0.2">
      <c r="A1364" t="s">
        <v>829</v>
      </c>
      <c r="B1364" s="1">
        <v>69.232500000000002</v>
      </c>
      <c r="C1364">
        <v>130015000</v>
      </c>
      <c r="D1364" s="1">
        <v>69.487499999999997</v>
      </c>
      <c r="E1364" s="1">
        <v>70.42</v>
      </c>
      <c r="F1364" s="1">
        <v>69.212500000000006</v>
      </c>
    </row>
    <row r="1365" spans="1:6" x14ac:dyDescent="0.2">
      <c r="A1365" t="s">
        <v>830</v>
      </c>
      <c r="B1365" s="1">
        <v>70.7</v>
      </c>
      <c r="C1365">
        <v>215249920</v>
      </c>
      <c r="D1365" s="1">
        <v>71.172499999999999</v>
      </c>
      <c r="E1365" s="1">
        <v>71.736199999999997</v>
      </c>
      <c r="F1365" s="1">
        <v>69.215000000000003</v>
      </c>
    </row>
    <row r="1366" spans="1:6" x14ac:dyDescent="0.2">
      <c r="A1366" t="s">
        <v>831</v>
      </c>
      <c r="B1366" s="1">
        <v>71.672499999999999</v>
      </c>
      <c r="C1366">
        <v>157125160</v>
      </c>
      <c r="D1366" s="1">
        <v>71.844999999999999</v>
      </c>
      <c r="E1366" s="1">
        <v>72.049400000000006</v>
      </c>
      <c r="F1366" s="1">
        <v>70.587500000000006</v>
      </c>
    </row>
    <row r="1367" spans="1:6" x14ac:dyDescent="0.2">
      <c r="A1367" t="s">
        <v>832</v>
      </c>
      <c r="B1367" s="1">
        <v>71.107500000000002</v>
      </c>
      <c r="C1367">
        <v>131154560</v>
      </c>
      <c r="D1367" s="1">
        <v>70.599999999999994</v>
      </c>
      <c r="E1367" s="1">
        <v>71.582499999999996</v>
      </c>
      <c r="F1367" s="1">
        <v>70.157499999999999</v>
      </c>
    </row>
    <row r="1368" spans="1:6" x14ac:dyDescent="0.2">
      <c r="A1368" t="s">
        <v>833</v>
      </c>
      <c r="B1368" s="1">
        <v>71.762500000000003</v>
      </c>
      <c r="C1368">
        <v>194994680</v>
      </c>
      <c r="D1368" s="1">
        <v>70</v>
      </c>
      <c r="E1368" s="1">
        <v>72.0625</v>
      </c>
      <c r="F1368" s="1">
        <v>69.512500000000003</v>
      </c>
    </row>
    <row r="1369" spans="1:6" x14ac:dyDescent="0.2">
      <c r="A1369" t="s">
        <v>834</v>
      </c>
      <c r="B1369" s="1">
        <v>68.3125</v>
      </c>
      <c r="C1369">
        <v>131022920</v>
      </c>
      <c r="D1369" s="1">
        <v>67.077500000000001</v>
      </c>
      <c r="E1369" s="1">
        <v>68.424999999999997</v>
      </c>
      <c r="F1369" s="1">
        <v>66.457499999999996</v>
      </c>
    </row>
    <row r="1370" spans="1:6" x14ac:dyDescent="0.2">
      <c r="A1370" s="2">
        <v>44078</v>
      </c>
      <c r="B1370" s="1">
        <v>66.997500000000002</v>
      </c>
      <c r="C1370">
        <v>162116480</v>
      </c>
      <c r="D1370" s="1">
        <v>67.174999999999997</v>
      </c>
      <c r="E1370" s="1">
        <v>67.517499999999998</v>
      </c>
      <c r="F1370" s="1">
        <v>66.174999999999997</v>
      </c>
    </row>
    <row r="1371" spans="1:6" x14ac:dyDescent="0.2">
      <c r="A1371" s="2">
        <v>44047</v>
      </c>
      <c r="B1371" s="1">
        <v>66.517499999999998</v>
      </c>
      <c r="C1371">
        <v>168895280</v>
      </c>
      <c r="D1371" s="1">
        <v>65.685000000000002</v>
      </c>
      <c r="E1371" s="1">
        <v>66.842500000000001</v>
      </c>
      <c r="F1371" s="1">
        <v>65.307500000000005</v>
      </c>
    </row>
    <row r="1372" spans="1:6" x14ac:dyDescent="0.2">
      <c r="A1372" s="2">
        <v>44016</v>
      </c>
      <c r="B1372" s="1">
        <v>64.857500000000002</v>
      </c>
      <c r="C1372">
        <v>202887320</v>
      </c>
      <c r="D1372" s="1">
        <v>67.7</v>
      </c>
      <c r="E1372" s="1">
        <v>67.924999999999997</v>
      </c>
      <c r="F1372" s="1">
        <v>64.75</v>
      </c>
    </row>
    <row r="1373" spans="1:6" x14ac:dyDescent="0.2">
      <c r="A1373" s="2">
        <v>43986</v>
      </c>
      <c r="B1373" s="1">
        <v>65.617500000000007</v>
      </c>
      <c r="C1373">
        <v>201820280</v>
      </c>
      <c r="D1373" s="1">
        <v>62.725000000000001</v>
      </c>
      <c r="E1373" s="1">
        <v>65.777500000000003</v>
      </c>
      <c r="F1373" s="1">
        <v>62.344999999999999</v>
      </c>
    </row>
    <row r="1374" spans="1:6" x14ac:dyDescent="0.2">
      <c r="A1374" s="2">
        <v>43894</v>
      </c>
      <c r="B1374" s="1">
        <v>60.352499999999999</v>
      </c>
      <c r="C1374">
        <v>129880080</v>
      </c>
      <c r="D1374" s="1">
        <v>60.7</v>
      </c>
      <c r="E1374" s="1">
        <v>61.424999999999997</v>
      </c>
      <c r="F1374" s="1">
        <v>59.743499999999997</v>
      </c>
    </row>
    <row r="1375" spans="1:6" x14ac:dyDescent="0.2">
      <c r="A1375" s="2">
        <v>43865</v>
      </c>
      <c r="B1375" s="1">
        <v>61.232500000000002</v>
      </c>
      <c r="C1375">
        <v>165933960</v>
      </c>
      <c r="D1375" s="1">
        <v>60.085000000000001</v>
      </c>
      <c r="E1375" s="1">
        <v>61.287500000000001</v>
      </c>
      <c r="F1375" s="1">
        <v>59.225000000000001</v>
      </c>
    </row>
    <row r="1376" spans="1:6" x14ac:dyDescent="0.2">
      <c r="A1376" s="2">
        <v>43834</v>
      </c>
      <c r="B1376" s="1">
        <v>60.227499999999999</v>
      </c>
      <c r="C1376">
        <v>176218560</v>
      </c>
      <c r="D1376" s="1">
        <v>61.625</v>
      </c>
      <c r="E1376" s="1">
        <v>62.18</v>
      </c>
      <c r="F1376" s="1">
        <v>59.782499999999999</v>
      </c>
    </row>
    <row r="1377" spans="1:6" x14ac:dyDescent="0.2">
      <c r="A1377" t="s">
        <v>835</v>
      </c>
      <c r="B1377" s="1">
        <v>63.572499999999998</v>
      </c>
      <c r="C1377">
        <v>197002000</v>
      </c>
      <c r="D1377" s="1">
        <v>63.9</v>
      </c>
      <c r="E1377" s="1">
        <v>65.622500000000002</v>
      </c>
      <c r="F1377" s="1">
        <v>63</v>
      </c>
    </row>
    <row r="1378" spans="1:6" x14ac:dyDescent="0.2">
      <c r="A1378" t="s">
        <v>836</v>
      </c>
      <c r="B1378" s="1">
        <v>63.702500000000001</v>
      </c>
      <c r="C1378">
        <v>167976440</v>
      </c>
      <c r="D1378" s="1">
        <v>62.685000000000002</v>
      </c>
      <c r="E1378" s="1">
        <v>63.88</v>
      </c>
      <c r="F1378" s="1">
        <v>62.35</v>
      </c>
    </row>
    <row r="1379" spans="1:6" x14ac:dyDescent="0.2">
      <c r="A1379" t="s">
        <v>837</v>
      </c>
      <c r="B1379" s="1">
        <v>61.935000000000002</v>
      </c>
      <c r="C1379">
        <v>204216600</v>
      </c>
      <c r="D1379" s="1">
        <v>63.1875</v>
      </c>
      <c r="E1379" s="1">
        <v>63.967500000000001</v>
      </c>
      <c r="F1379" s="1">
        <v>61.762500000000003</v>
      </c>
    </row>
    <row r="1380" spans="1:6" x14ac:dyDescent="0.2">
      <c r="A1380" t="s">
        <v>838</v>
      </c>
      <c r="B1380" s="1">
        <v>64.61</v>
      </c>
      <c r="C1380">
        <v>252560680</v>
      </c>
      <c r="D1380" s="1">
        <v>61.63</v>
      </c>
      <c r="E1380" s="1">
        <v>64.67</v>
      </c>
      <c r="F1380" s="1">
        <v>61.59</v>
      </c>
    </row>
    <row r="1381" spans="1:6" x14ac:dyDescent="0.2">
      <c r="A1381" t="s">
        <v>839</v>
      </c>
      <c r="B1381" s="1">
        <v>61.38</v>
      </c>
      <c r="C1381">
        <v>303602040</v>
      </c>
      <c r="D1381" s="1">
        <v>62.6875</v>
      </c>
      <c r="E1381" s="1">
        <v>64.5625</v>
      </c>
      <c r="F1381" s="1">
        <v>61.075000000000003</v>
      </c>
    </row>
    <row r="1382" spans="1:6" x14ac:dyDescent="0.2">
      <c r="A1382" t="s">
        <v>840</v>
      </c>
      <c r="B1382" s="1">
        <v>61.72</v>
      </c>
      <c r="C1382">
        <v>287531080</v>
      </c>
      <c r="D1382" s="1">
        <v>59.09</v>
      </c>
      <c r="E1382" s="1">
        <v>61.922499999999999</v>
      </c>
      <c r="F1382" s="1">
        <v>58.575000000000003</v>
      </c>
    </row>
    <row r="1383" spans="1:6" x14ac:dyDescent="0.2">
      <c r="A1383" t="s">
        <v>841</v>
      </c>
      <c r="B1383" s="1">
        <v>56.092500000000001</v>
      </c>
      <c r="C1383">
        <v>336752840</v>
      </c>
      <c r="D1383" s="1">
        <v>57.02</v>
      </c>
      <c r="E1383" s="1">
        <v>57.124899999999997</v>
      </c>
      <c r="F1383" s="1">
        <v>53.152500000000003</v>
      </c>
    </row>
    <row r="1384" spans="1:6" x14ac:dyDescent="0.2">
      <c r="A1384" t="s">
        <v>842</v>
      </c>
      <c r="B1384" s="1">
        <v>57.31</v>
      </c>
      <c r="C1384">
        <v>401693200</v>
      </c>
      <c r="D1384" s="1">
        <v>61.795000000000002</v>
      </c>
      <c r="E1384" s="1">
        <v>62.957500000000003</v>
      </c>
      <c r="F1384" s="1">
        <v>57</v>
      </c>
    </row>
    <row r="1385" spans="1:6" x14ac:dyDescent="0.2">
      <c r="A1385" t="s">
        <v>843</v>
      </c>
      <c r="B1385" s="1">
        <v>61.195</v>
      </c>
      <c r="C1385">
        <v>271857040</v>
      </c>
      <c r="D1385" s="1">
        <v>61.846200000000003</v>
      </c>
      <c r="E1385" s="1">
        <v>63.21</v>
      </c>
      <c r="F1385" s="1">
        <v>60.652500000000003</v>
      </c>
    </row>
    <row r="1386" spans="1:6" x14ac:dyDescent="0.2">
      <c r="A1386" t="s">
        <v>844</v>
      </c>
      <c r="B1386" s="1">
        <v>61.667499999999997</v>
      </c>
      <c r="C1386">
        <v>300233640</v>
      </c>
      <c r="D1386" s="1">
        <v>59.942500000000003</v>
      </c>
      <c r="E1386" s="1">
        <v>62.5</v>
      </c>
      <c r="F1386" s="1">
        <v>59.28</v>
      </c>
    </row>
    <row r="1387" spans="1:6" x14ac:dyDescent="0.2">
      <c r="A1387" t="s">
        <v>845</v>
      </c>
      <c r="B1387" s="1">
        <v>63.215000000000003</v>
      </c>
      <c r="C1387">
        <v>324055880</v>
      </c>
      <c r="D1387" s="1">
        <v>61.877499999999998</v>
      </c>
      <c r="E1387" s="1">
        <v>64.402500000000003</v>
      </c>
      <c r="F1387" s="1">
        <v>59.6</v>
      </c>
    </row>
    <row r="1388" spans="1:6" x14ac:dyDescent="0.2">
      <c r="A1388" t="s">
        <v>846</v>
      </c>
      <c r="B1388" s="1">
        <v>60.552500000000002</v>
      </c>
      <c r="C1388">
        <v>322423480</v>
      </c>
      <c r="D1388" s="1">
        <v>60.487499999999997</v>
      </c>
      <c r="E1388" s="1">
        <v>64.77</v>
      </c>
      <c r="F1388" s="1">
        <v>60</v>
      </c>
    </row>
    <row r="1389" spans="1:6" x14ac:dyDescent="0.2">
      <c r="A1389" t="s">
        <v>847</v>
      </c>
      <c r="B1389" s="1">
        <v>69.492500000000007</v>
      </c>
      <c r="C1389">
        <v>370732120</v>
      </c>
      <c r="D1389" s="1">
        <v>66.222499999999997</v>
      </c>
      <c r="E1389" s="1">
        <v>69.98</v>
      </c>
      <c r="F1389" s="1">
        <v>63.237499999999997</v>
      </c>
    </row>
    <row r="1390" spans="1:6" x14ac:dyDescent="0.2">
      <c r="A1390" s="2">
        <v>44168</v>
      </c>
      <c r="B1390" s="1">
        <v>62.057499999999997</v>
      </c>
      <c r="C1390">
        <v>418474000</v>
      </c>
      <c r="D1390" s="1">
        <v>63.984999999999999</v>
      </c>
      <c r="E1390" s="1">
        <v>67.5</v>
      </c>
      <c r="F1390" s="1">
        <v>62</v>
      </c>
    </row>
    <row r="1391" spans="1:6" x14ac:dyDescent="0.2">
      <c r="A1391" s="2">
        <v>44138</v>
      </c>
      <c r="B1391" s="1">
        <v>68.857500000000002</v>
      </c>
      <c r="C1391">
        <v>256379880</v>
      </c>
      <c r="D1391" s="1">
        <v>69.347499999999997</v>
      </c>
      <c r="E1391" s="1">
        <v>70.305000000000007</v>
      </c>
      <c r="F1391" s="1">
        <v>67.965000000000003</v>
      </c>
    </row>
    <row r="1392" spans="1:6" x14ac:dyDescent="0.2">
      <c r="A1392" s="2">
        <v>44107</v>
      </c>
      <c r="B1392" s="1">
        <v>71.334999999999994</v>
      </c>
      <c r="C1392">
        <v>285290080</v>
      </c>
      <c r="D1392" s="1">
        <v>69.284999999999997</v>
      </c>
      <c r="E1392" s="1">
        <v>71.61</v>
      </c>
      <c r="F1392" s="1">
        <v>67.342500000000001</v>
      </c>
    </row>
    <row r="1393" spans="1:6" x14ac:dyDescent="0.2">
      <c r="A1393" s="2">
        <v>44077</v>
      </c>
      <c r="B1393" s="1">
        <v>66.542500000000004</v>
      </c>
      <c r="C1393">
        <v>286744840</v>
      </c>
      <c r="D1393" s="1">
        <v>65.9375</v>
      </c>
      <c r="E1393" s="1">
        <v>69.522499999999994</v>
      </c>
      <c r="F1393" s="1">
        <v>65.75</v>
      </c>
    </row>
    <row r="1394" spans="1:6" x14ac:dyDescent="0.2">
      <c r="A1394" s="2">
        <v>43985</v>
      </c>
      <c r="B1394" s="1">
        <v>72.257499999999993</v>
      </c>
      <c r="C1394">
        <v>226177000</v>
      </c>
      <c r="D1394" s="1">
        <v>70.5</v>
      </c>
      <c r="E1394" s="1">
        <v>72.704999999999998</v>
      </c>
      <c r="F1394" s="1">
        <v>70.307500000000005</v>
      </c>
    </row>
    <row r="1395" spans="1:6" x14ac:dyDescent="0.2">
      <c r="A1395" s="2">
        <v>43954</v>
      </c>
      <c r="B1395" s="1">
        <v>73.23</v>
      </c>
      <c r="C1395">
        <v>187572880</v>
      </c>
      <c r="D1395" s="1">
        <v>73.88</v>
      </c>
      <c r="E1395" s="1">
        <v>74.887500000000003</v>
      </c>
      <c r="F1395" s="1">
        <v>72.852500000000006</v>
      </c>
    </row>
    <row r="1396" spans="1:6" x14ac:dyDescent="0.2">
      <c r="A1396" s="2">
        <v>43924</v>
      </c>
      <c r="B1396" s="1">
        <v>75.685000000000002</v>
      </c>
      <c r="C1396">
        <v>219178280</v>
      </c>
      <c r="D1396" s="1">
        <v>74.11</v>
      </c>
      <c r="E1396" s="1">
        <v>75.849999999999994</v>
      </c>
      <c r="F1396" s="1">
        <v>73.282499999999999</v>
      </c>
    </row>
    <row r="1397" spans="1:6" x14ac:dyDescent="0.2">
      <c r="A1397" s="2">
        <v>43893</v>
      </c>
      <c r="B1397" s="1">
        <v>72.33</v>
      </c>
      <c r="C1397">
        <v>319475400</v>
      </c>
      <c r="D1397" s="1">
        <v>75.917500000000004</v>
      </c>
      <c r="E1397" s="1">
        <v>76</v>
      </c>
      <c r="F1397" s="1">
        <v>71.45</v>
      </c>
    </row>
    <row r="1398" spans="1:6" x14ac:dyDescent="0.2">
      <c r="A1398" s="2">
        <v>43864</v>
      </c>
      <c r="B1398" s="1">
        <v>74.702500000000001</v>
      </c>
      <c r="C1398">
        <v>341397360</v>
      </c>
      <c r="D1398" s="1">
        <v>70.569999999999993</v>
      </c>
      <c r="E1398" s="1">
        <v>75.36</v>
      </c>
      <c r="F1398" s="1">
        <v>69.430000000000007</v>
      </c>
    </row>
    <row r="1399" spans="1:6" x14ac:dyDescent="0.2">
      <c r="A1399" t="s">
        <v>848</v>
      </c>
      <c r="B1399" s="1">
        <v>68.34</v>
      </c>
      <c r="C1399">
        <v>426884800</v>
      </c>
      <c r="D1399" s="1">
        <v>64.314999999999998</v>
      </c>
      <c r="E1399" s="1">
        <v>69.602500000000006</v>
      </c>
      <c r="F1399" s="1">
        <v>64.092500000000001</v>
      </c>
    </row>
    <row r="1400" spans="1:6" x14ac:dyDescent="0.2">
      <c r="A1400" t="s">
        <v>849</v>
      </c>
      <c r="B1400" s="1">
        <v>68.38</v>
      </c>
      <c r="C1400">
        <v>320605520</v>
      </c>
      <c r="D1400" s="1">
        <v>70.275000000000006</v>
      </c>
      <c r="E1400" s="1">
        <v>71.5</v>
      </c>
      <c r="F1400" s="1">
        <v>68.239999999999995</v>
      </c>
    </row>
    <row r="1401" spans="1:6" x14ac:dyDescent="0.2">
      <c r="A1401" t="s">
        <v>850</v>
      </c>
      <c r="B1401" s="1">
        <v>73.162499999999994</v>
      </c>
      <c r="C1401">
        <v>198713720</v>
      </c>
      <c r="D1401" s="1">
        <v>71.632499999999993</v>
      </c>
      <c r="E1401" s="1">
        <v>74.47</v>
      </c>
      <c r="F1401" s="1">
        <v>71.625</v>
      </c>
    </row>
    <row r="1402" spans="1:6" x14ac:dyDescent="0.2">
      <c r="A1402" t="s">
        <v>851</v>
      </c>
      <c r="B1402" s="1">
        <v>72.02</v>
      </c>
      <c r="C1402">
        <v>230673440</v>
      </c>
      <c r="D1402" s="1">
        <v>75.237499999999997</v>
      </c>
      <c r="E1402" s="1">
        <v>75.632499999999993</v>
      </c>
      <c r="F1402" s="1">
        <v>71.532499999999999</v>
      </c>
    </row>
    <row r="1403" spans="1:6" x14ac:dyDescent="0.2">
      <c r="A1403" t="s">
        <v>852</v>
      </c>
      <c r="B1403" s="1">
        <v>74.545000000000002</v>
      </c>
      <c r="C1403">
        <v>222195320</v>
      </c>
      <c r="D1403" s="1">
        <v>74.314999999999998</v>
      </c>
      <c r="E1403" s="1">
        <v>76.045000000000002</v>
      </c>
      <c r="F1403" s="1">
        <v>72.307500000000005</v>
      </c>
    </row>
    <row r="1404" spans="1:6" x14ac:dyDescent="0.2">
      <c r="A1404" t="s">
        <v>853</v>
      </c>
      <c r="B1404" s="1">
        <v>78.262500000000003</v>
      </c>
      <c r="C1404">
        <v>129705680</v>
      </c>
      <c r="D1404" s="1">
        <v>79.655000000000001</v>
      </c>
      <c r="E1404" s="1">
        <v>80.112499999999997</v>
      </c>
      <c r="F1404" s="1">
        <v>77.625</v>
      </c>
    </row>
    <row r="1405" spans="1:6" x14ac:dyDescent="0.2">
      <c r="A1405" t="s">
        <v>854</v>
      </c>
      <c r="B1405" s="1">
        <v>80.075000000000003</v>
      </c>
      <c r="C1405">
        <v>100565960</v>
      </c>
      <c r="D1405" s="1">
        <v>80.657499999999999</v>
      </c>
      <c r="E1405" s="1">
        <v>81.162499999999994</v>
      </c>
      <c r="F1405" s="1">
        <v>79.552499999999995</v>
      </c>
    </row>
    <row r="1406" spans="1:6" x14ac:dyDescent="0.2">
      <c r="A1406" t="s">
        <v>855</v>
      </c>
      <c r="B1406" s="1">
        <v>80.905000000000001</v>
      </c>
      <c r="C1406">
        <v>93983960</v>
      </c>
      <c r="D1406" s="1">
        <v>80</v>
      </c>
      <c r="E1406" s="1">
        <v>81.142499999999998</v>
      </c>
      <c r="F1406" s="1">
        <v>80</v>
      </c>
    </row>
    <row r="1407" spans="1:6" x14ac:dyDescent="0.2">
      <c r="A1407" t="s">
        <v>856</v>
      </c>
      <c r="B1407" s="1">
        <v>79.75</v>
      </c>
      <c r="C1407">
        <v>152762200</v>
      </c>
      <c r="D1407" s="1">
        <v>78.84</v>
      </c>
      <c r="E1407" s="1">
        <v>79.9375</v>
      </c>
      <c r="F1407" s="1">
        <v>78.652500000000003</v>
      </c>
    </row>
    <row r="1408" spans="1:6" x14ac:dyDescent="0.2">
      <c r="A1408" t="s">
        <v>857</v>
      </c>
      <c r="B1408" s="1">
        <v>81.237499999999997</v>
      </c>
      <c r="C1408">
        <v>80113800</v>
      </c>
      <c r="D1408" s="1">
        <v>81.185000000000002</v>
      </c>
      <c r="E1408" s="1">
        <v>81.495000000000005</v>
      </c>
      <c r="F1408" s="1">
        <v>80.712500000000006</v>
      </c>
    </row>
    <row r="1409" spans="1:6" x14ac:dyDescent="0.2">
      <c r="A1409" t="s">
        <v>858</v>
      </c>
      <c r="B1409" s="1">
        <v>81.217500000000001</v>
      </c>
      <c r="C1409">
        <v>94747560</v>
      </c>
      <c r="D1409" s="1">
        <v>81.047499999999999</v>
      </c>
      <c r="E1409" s="1">
        <v>81.555000000000007</v>
      </c>
      <c r="F1409" s="1">
        <v>80.837500000000006</v>
      </c>
    </row>
    <row r="1410" spans="1:6" x14ac:dyDescent="0.2">
      <c r="A1410" s="2">
        <v>44167</v>
      </c>
      <c r="B1410" s="1">
        <v>81.8</v>
      </c>
      <c r="C1410">
        <v>113730280</v>
      </c>
      <c r="D1410" s="1">
        <v>80.367500000000007</v>
      </c>
      <c r="E1410" s="1">
        <v>81.805000000000007</v>
      </c>
      <c r="F1410" s="1">
        <v>80.367500000000007</v>
      </c>
    </row>
    <row r="1411" spans="1:6" x14ac:dyDescent="0.2">
      <c r="A1411" s="2">
        <v>44137</v>
      </c>
      <c r="B1411" s="1">
        <v>79.902500000000003</v>
      </c>
      <c r="C1411">
        <v>94323120</v>
      </c>
      <c r="D1411" s="1">
        <v>80.900000000000006</v>
      </c>
      <c r="E1411" s="1">
        <v>80.974999999999994</v>
      </c>
      <c r="F1411" s="1">
        <v>79.677499999999995</v>
      </c>
    </row>
    <row r="1412" spans="1:6" x14ac:dyDescent="0.2">
      <c r="A1412" s="2">
        <v>44106</v>
      </c>
      <c r="B1412" s="1">
        <v>80.387500000000003</v>
      </c>
      <c r="C1412">
        <v>109348880</v>
      </c>
      <c r="D1412" s="1">
        <v>78.545000000000002</v>
      </c>
      <c r="E1412" s="1">
        <v>80.387500000000003</v>
      </c>
      <c r="F1412" s="1">
        <v>78.462500000000006</v>
      </c>
    </row>
    <row r="1413" spans="1:6" x14ac:dyDescent="0.2">
      <c r="A1413" s="2">
        <v>44014</v>
      </c>
      <c r="B1413" s="1">
        <v>80.007499999999993</v>
      </c>
      <c r="C1413">
        <v>117684040</v>
      </c>
      <c r="D1413" s="1">
        <v>80.592500000000001</v>
      </c>
      <c r="E1413" s="1">
        <v>80.849999999999994</v>
      </c>
      <c r="F1413" s="1">
        <v>79.5</v>
      </c>
    </row>
    <row r="1414" spans="1:6" x14ac:dyDescent="0.2">
      <c r="A1414" s="2">
        <v>43984</v>
      </c>
      <c r="B1414" s="1">
        <v>81.302499999999995</v>
      </c>
      <c r="C1414">
        <v>105425560</v>
      </c>
      <c r="D1414" s="1">
        <v>80.642499999999998</v>
      </c>
      <c r="E1414" s="1">
        <v>81.305000000000007</v>
      </c>
      <c r="F1414" s="1">
        <v>80.066199999999995</v>
      </c>
    </row>
    <row r="1415" spans="1:6" x14ac:dyDescent="0.2">
      <c r="A1415" s="2">
        <v>43953</v>
      </c>
      <c r="B1415" s="1">
        <v>80.362499999999997</v>
      </c>
      <c r="C1415">
        <v>118826880</v>
      </c>
      <c r="D1415" s="1">
        <v>80.88</v>
      </c>
      <c r="E1415" s="1">
        <v>81.19</v>
      </c>
      <c r="F1415" s="1">
        <v>79.737499999999997</v>
      </c>
    </row>
    <row r="1416" spans="1:6" x14ac:dyDescent="0.2">
      <c r="A1416" s="2">
        <v>43923</v>
      </c>
      <c r="B1416" s="1">
        <v>79.712500000000006</v>
      </c>
      <c r="C1416">
        <v>136616520</v>
      </c>
      <c r="D1416" s="1">
        <v>78.827500000000001</v>
      </c>
      <c r="E1416" s="1">
        <v>79.91</v>
      </c>
      <c r="F1416" s="1">
        <v>78.408600000000007</v>
      </c>
    </row>
    <row r="1417" spans="1:6" x14ac:dyDescent="0.2">
      <c r="A1417" s="2">
        <v>43892</v>
      </c>
      <c r="B1417" s="1">
        <v>77.165000000000006</v>
      </c>
      <c r="C1417">
        <v>173985600</v>
      </c>
      <c r="D1417" s="1">
        <v>76.075000000000003</v>
      </c>
      <c r="E1417" s="1">
        <v>78.372500000000002</v>
      </c>
      <c r="F1417" s="1">
        <v>75.555000000000007</v>
      </c>
    </row>
    <row r="1418" spans="1:6" x14ac:dyDescent="0.2">
      <c r="A1418" t="s">
        <v>859</v>
      </c>
      <c r="B1418" s="1">
        <v>77.377499999999998</v>
      </c>
      <c r="C1418">
        <v>199588400</v>
      </c>
      <c r="D1418" s="1">
        <v>80.232500000000002</v>
      </c>
      <c r="E1418" s="1">
        <v>80.67</v>
      </c>
      <c r="F1418" s="1">
        <v>77.072500000000005</v>
      </c>
    </row>
    <row r="1419" spans="1:6" x14ac:dyDescent="0.2">
      <c r="A1419" t="s">
        <v>860</v>
      </c>
      <c r="B1419" s="1">
        <v>80.967500000000001</v>
      </c>
      <c r="C1419">
        <v>126743240</v>
      </c>
      <c r="D1419" s="1">
        <v>80.135999999999996</v>
      </c>
      <c r="E1419" s="1">
        <v>81.022499999999994</v>
      </c>
      <c r="F1419" s="1">
        <v>79.6875</v>
      </c>
    </row>
    <row r="1420" spans="1:6" x14ac:dyDescent="0.2">
      <c r="A1420" t="s">
        <v>861</v>
      </c>
      <c r="B1420" s="1">
        <v>81.084999999999994</v>
      </c>
      <c r="C1420">
        <v>216599720</v>
      </c>
      <c r="D1420" s="1">
        <v>81.112499999999997</v>
      </c>
      <c r="E1420" s="1">
        <v>81.962500000000006</v>
      </c>
      <c r="F1420" s="1">
        <v>80.344999999999999</v>
      </c>
    </row>
    <row r="1421" spans="1:6" x14ac:dyDescent="0.2">
      <c r="A1421" t="s">
        <v>862</v>
      </c>
      <c r="B1421" s="1">
        <v>79.422499999999999</v>
      </c>
      <c r="C1421">
        <v>162233960</v>
      </c>
      <c r="D1421" s="1">
        <v>78.150000000000006</v>
      </c>
      <c r="E1421" s="1">
        <v>79.599999999999994</v>
      </c>
      <c r="F1421" s="1">
        <v>78.047499999999999</v>
      </c>
    </row>
    <row r="1422" spans="1:6" x14ac:dyDescent="0.2">
      <c r="A1422" t="s">
        <v>863</v>
      </c>
      <c r="B1422" s="1">
        <v>77.237499999999997</v>
      </c>
      <c r="C1422">
        <v>161940040</v>
      </c>
      <c r="D1422" s="1">
        <v>77.515000000000001</v>
      </c>
      <c r="E1422" s="1">
        <v>77.942499999999995</v>
      </c>
      <c r="F1422" s="1">
        <v>76.22</v>
      </c>
    </row>
    <row r="1423" spans="1:6" x14ac:dyDescent="0.2">
      <c r="A1423" t="s">
        <v>864</v>
      </c>
      <c r="B1423" s="1">
        <v>79.577500000000001</v>
      </c>
      <c r="C1423">
        <v>146537520</v>
      </c>
      <c r="D1423" s="1">
        <v>80.0625</v>
      </c>
      <c r="E1423" s="1">
        <v>80.832499999999996</v>
      </c>
      <c r="F1423" s="1">
        <v>79.3797</v>
      </c>
    </row>
    <row r="1424" spans="1:6" x14ac:dyDescent="0.2">
      <c r="A1424" t="s">
        <v>865</v>
      </c>
      <c r="B1424" s="1">
        <v>79.807500000000005</v>
      </c>
      <c r="C1424">
        <v>104471960</v>
      </c>
      <c r="D1424" s="1">
        <v>79.48</v>
      </c>
      <c r="E1424" s="1">
        <v>79.89</v>
      </c>
      <c r="F1424" s="1">
        <v>78.912499999999994</v>
      </c>
    </row>
    <row r="1425" spans="1:6" x14ac:dyDescent="0.2">
      <c r="A1425" t="s">
        <v>866</v>
      </c>
      <c r="B1425" s="1">
        <v>79.424999999999997</v>
      </c>
      <c r="C1425">
        <v>101832480</v>
      </c>
      <c r="D1425" s="1">
        <v>79.644999999999996</v>
      </c>
      <c r="E1425" s="1">
        <v>79.997500000000002</v>
      </c>
      <c r="F1425" s="1">
        <v>79.327500000000001</v>
      </c>
    </row>
    <row r="1426" spans="1:6" x14ac:dyDescent="0.2">
      <c r="A1426" t="s">
        <v>867</v>
      </c>
      <c r="B1426" s="1">
        <v>79.142499999999998</v>
      </c>
      <c r="C1426">
        <v>110843240</v>
      </c>
      <c r="D1426" s="1">
        <v>79.297499999999999</v>
      </c>
      <c r="E1426" s="1">
        <v>79.754999999999995</v>
      </c>
      <c r="F1426" s="1">
        <v>79</v>
      </c>
    </row>
    <row r="1427" spans="1:6" x14ac:dyDescent="0.2">
      <c r="A1427" t="s">
        <v>868</v>
      </c>
      <c r="B1427" s="1">
        <v>79.682500000000005</v>
      </c>
      <c r="C1427">
        <v>137816480</v>
      </c>
      <c r="D1427" s="1">
        <v>79.067499999999995</v>
      </c>
      <c r="E1427" s="1">
        <v>79.685000000000002</v>
      </c>
      <c r="F1427" s="1">
        <v>78.75</v>
      </c>
    </row>
    <row r="1428" spans="1:6" x14ac:dyDescent="0.2">
      <c r="A1428" t="s">
        <v>869</v>
      </c>
      <c r="B1428" s="1">
        <v>78.81</v>
      </c>
      <c r="C1428">
        <v>108829000</v>
      </c>
      <c r="D1428" s="1">
        <v>78.397499999999994</v>
      </c>
      <c r="E1428" s="1">
        <v>78.924999999999997</v>
      </c>
      <c r="F1428" s="1">
        <v>78.022499999999994</v>
      </c>
    </row>
    <row r="1429" spans="1:6" x14ac:dyDescent="0.2">
      <c r="A1429" t="s">
        <v>870</v>
      </c>
      <c r="B1429" s="1">
        <v>77.834999999999994</v>
      </c>
      <c r="C1429">
        <v>121923520</v>
      </c>
      <c r="D1429" s="1">
        <v>77.962500000000006</v>
      </c>
      <c r="E1429" s="1">
        <v>78.875</v>
      </c>
      <c r="F1429" s="1">
        <v>77.387500000000003</v>
      </c>
    </row>
    <row r="1430" spans="1:6" x14ac:dyDescent="0.2">
      <c r="A1430" t="s">
        <v>871</v>
      </c>
      <c r="B1430" s="1">
        <v>78.17</v>
      </c>
      <c r="C1430">
        <v>162613840</v>
      </c>
      <c r="D1430" s="1">
        <v>79.174999999999997</v>
      </c>
      <c r="E1430" s="1">
        <v>79.392499999999998</v>
      </c>
      <c r="F1430" s="1">
        <v>78.042500000000004</v>
      </c>
    </row>
    <row r="1431" spans="1:6" x14ac:dyDescent="0.2">
      <c r="A1431" t="s">
        <v>872</v>
      </c>
      <c r="B1431" s="1">
        <v>79.239999999999995</v>
      </c>
      <c r="C1431">
        <v>122086880</v>
      </c>
      <c r="D1431" s="1">
        <v>77.91</v>
      </c>
      <c r="E1431" s="1">
        <v>79.267499999999998</v>
      </c>
      <c r="F1431" s="1">
        <v>77.787499999999994</v>
      </c>
    </row>
    <row r="1432" spans="1:6" x14ac:dyDescent="0.2">
      <c r="A1432" s="2">
        <v>44105</v>
      </c>
      <c r="B1432" s="1">
        <v>77.582499999999996</v>
      </c>
      <c r="C1432">
        <v>140869080</v>
      </c>
      <c r="D1432" s="1">
        <v>77.650000000000006</v>
      </c>
      <c r="E1432" s="1">
        <v>78.167500000000004</v>
      </c>
      <c r="F1432" s="1">
        <v>77.0625</v>
      </c>
    </row>
    <row r="1433" spans="1:6" x14ac:dyDescent="0.2">
      <c r="A1433" s="2">
        <v>44075</v>
      </c>
      <c r="B1433" s="1">
        <v>77.407499999999999</v>
      </c>
      <c r="C1433">
        <v>170486160</v>
      </c>
      <c r="D1433" s="1">
        <v>76.808800000000005</v>
      </c>
      <c r="E1433" s="1">
        <v>77.607500000000002</v>
      </c>
      <c r="F1433" s="1">
        <v>76.55</v>
      </c>
    </row>
    <row r="1434" spans="1:6" x14ac:dyDescent="0.2">
      <c r="A1434" s="2">
        <v>44044</v>
      </c>
      <c r="B1434" s="1">
        <v>75.797499999999999</v>
      </c>
      <c r="C1434">
        <v>132363800</v>
      </c>
      <c r="D1434" s="1">
        <v>74.290000000000006</v>
      </c>
      <c r="E1434" s="1">
        <v>76.11</v>
      </c>
      <c r="F1434" s="1">
        <v>74.289000000000001</v>
      </c>
    </row>
    <row r="1435" spans="1:6" x14ac:dyDescent="0.2">
      <c r="A1435" s="2">
        <v>44013</v>
      </c>
      <c r="B1435" s="1">
        <v>74.597499999999997</v>
      </c>
      <c r="C1435">
        <v>111510640</v>
      </c>
      <c r="D1435" s="1">
        <v>74.959999999999994</v>
      </c>
      <c r="E1435" s="1">
        <v>75.224999999999994</v>
      </c>
      <c r="F1435" s="1">
        <v>74.37</v>
      </c>
    </row>
    <row r="1436" spans="1:6" x14ac:dyDescent="0.2">
      <c r="A1436" s="2">
        <v>43983</v>
      </c>
      <c r="B1436" s="1">
        <v>74.95</v>
      </c>
      <c r="C1436">
        <v>118578560</v>
      </c>
      <c r="D1436" s="1">
        <v>73.447500000000005</v>
      </c>
      <c r="E1436" s="1">
        <v>74.989999999999995</v>
      </c>
      <c r="F1436" s="1">
        <v>73.1875</v>
      </c>
    </row>
    <row r="1437" spans="1:6" x14ac:dyDescent="0.2">
      <c r="A1437" s="2">
        <v>43891</v>
      </c>
      <c r="B1437" s="1">
        <v>74.357500000000002</v>
      </c>
      <c r="C1437">
        <v>146535520</v>
      </c>
      <c r="D1437" s="1">
        <v>74.287499999999994</v>
      </c>
      <c r="E1437" s="1">
        <v>75.144999999999996</v>
      </c>
      <c r="F1437" s="1">
        <v>74.125</v>
      </c>
    </row>
    <row r="1438" spans="1:6" x14ac:dyDescent="0.2">
      <c r="A1438" s="2">
        <v>43862</v>
      </c>
      <c r="B1438" s="1">
        <v>75.087500000000006</v>
      </c>
      <c r="C1438">
        <v>135647440</v>
      </c>
      <c r="D1438" s="1">
        <v>74.06</v>
      </c>
      <c r="E1438" s="1">
        <v>75.150000000000006</v>
      </c>
      <c r="F1438" s="1">
        <v>73.797499999999999</v>
      </c>
    </row>
    <row r="1439" spans="1:6" x14ac:dyDescent="0.2">
      <c r="A1439" t="s">
        <v>873</v>
      </c>
      <c r="B1439" s="1">
        <v>73.412499999999994</v>
      </c>
      <c r="C1439">
        <v>100990520</v>
      </c>
      <c r="D1439" s="1">
        <v>72.482500000000002</v>
      </c>
      <c r="E1439" s="1">
        <v>73.42</v>
      </c>
      <c r="F1439" s="1">
        <v>72.38</v>
      </c>
    </row>
    <row r="1440" spans="1:6" x14ac:dyDescent="0.2">
      <c r="A1440" t="s">
        <v>874</v>
      </c>
      <c r="B1440" s="1">
        <v>72.88</v>
      </c>
      <c r="C1440">
        <v>144238440</v>
      </c>
      <c r="D1440" s="1">
        <v>72.364999999999995</v>
      </c>
      <c r="E1440" s="1">
        <v>73.172499999999999</v>
      </c>
      <c r="F1440" s="1">
        <v>71.305000000000007</v>
      </c>
    </row>
    <row r="1441" spans="1:6" x14ac:dyDescent="0.2">
      <c r="A1441" t="s">
        <v>875</v>
      </c>
      <c r="B1441" s="1">
        <v>72.45</v>
      </c>
      <c r="C1441">
        <v>146371760</v>
      </c>
      <c r="D1441" s="1">
        <v>72.78</v>
      </c>
      <c r="E1441" s="1">
        <v>73.492500000000007</v>
      </c>
      <c r="F1441" s="1">
        <v>72.03</v>
      </c>
    </row>
    <row r="1442" spans="1:6" x14ac:dyDescent="0.2">
      <c r="A1442" t="s">
        <v>876</v>
      </c>
      <c r="B1442" s="1">
        <v>72.477500000000006</v>
      </c>
      <c r="C1442">
        <v>93336000</v>
      </c>
      <c r="D1442" s="1">
        <v>71.204999999999998</v>
      </c>
      <c r="E1442" s="1">
        <v>72.495000000000005</v>
      </c>
      <c r="F1442" s="1">
        <v>71.174999999999997</v>
      </c>
    </row>
    <row r="1443" spans="1:6" x14ac:dyDescent="0.2">
      <c r="A1443" t="s">
        <v>877</v>
      </c>
      <c r="B1443" s="1">
        <v>71.067499999999995</v>
      </c>
      <c r="C1443">
        <v>48478840</v>
      </c>
      <c r="D1443" s="1">
        <v>71.172499999999999</v>
      </c>
      <c r="E1443" s="1">
        <v>71.222499999999997</v>
      </c>
      <c r="F1443" s="1">
        <v>70.729900000000001</v>
      </c>
    </row>
    <row r="1444" spans="1:6" x14ac:dyDescent="0.2">
      <c r="A1444" t="s">
        <v>878</v>
      </c>
      <c r="B1444" s="1">
        <v>71</v>
      </c>
      <c r="C1444">
        <v>98711520</v>
      </c>
      <c r="D1444" s="1">
        <v>70.132499999999993</v>
      </c>
      <c r="E1444" s="1">
        <v>71.0625</v>
      </c>
      <c r="F1444" s="1">
        <v>70.093400000000003</v>
      </c>
    </row>
    <row r="1445" spans="1:6" x14ac:dyDescent="0.2">
      <c r="A1445" t="s">
        <v>879</v>
      </c>
      <c r="B1445" s="1">
        <v>69.86</v>
      </c>
      <c r="C1445">
        <v>276130960</v>
      </c>
      <c r="D1445" s="1">
        <v>70.557500000000005</v>
      </c>
      <c r="E1445" s="1">
        <v>70.662499999999994</v>
      </c>
      <c r="F1445" s="1">
        <v>69.64</v>
      </c>
    </row>
    <row r="1446" spans="1:6" x14ac:dyDescent="0.2">
      <c r="A1446" t="s">
        <v>880</v>
      </c>
      <c r="B1446" s="1">
        <v>70.004999999999995</v>
      </c>
      <c r="C1446">
        <v>98507800</v>
      </c>
      <c r="D1446" s="1">
        <v>69.875</v>
      </c>
      <c r="E1446" s="1">
        <v>70.295000000000002</v>
      </c>
      <c r="F1446" s="1">
        <v>69.737499999999997</v>
      </c>
    </row>
    <row r="1447" spans="1:6" x14ac:dyDescent="0.2">
      <c r="A1447" t="s">
        <v>881</v>
      </c>
      <c r="B1447" s="1">
        <v>69.935000000000002</v>
      </c>
      <c r="C1447">
        <v>116098760</v>
      </c>
      <c r="D1447" s="1">
        <v>69.95</v>
      </c>
      <c r="E1447" s="1">
        <v>70.474999999999994</v>
      </c>
      <c r="F1447" s="1">
        <v>69.78</v>
      </c>
    </row>
    <row r="1448" spans="1:6" x14ac:dyDescent="0.2">
      <c r="A1448" t="s">
        <v>882</v>
      </c>
      <c r="B1448" s="1">
        <v>70.102500000000006</v>
      </c>
      <c r="C1448">
        <v>114303200</v>
      </c>
      <c r="D1448" s="1">
        <v>69.892499999999998</v>
      </c>
      <c r="E1448" s="1">
        <v>70.442499999999995</v>
      </c>
      <c r="F1448" s="1">
        <v>69.7</v>
      </c>
    </row>
    <row r="1449" spans="1:6" x14ac:dyDescent="0.2">
      <c r="A1449" t="s">
        <v>883</v>
      </c>
      <c r="B1449" s="1">
        <v>69.965000000000003</v>
      </c>
      <c r="C1449">
        <v>128324440</v>
      </c>
      <c r="D1449" s="1">
        <v>69.25</v>
      </c>
      <c r="E1449" s="1">
        <v>70.197500000000005</v>
      </c>
      <c r="F1449" s="1">
        <v>69.245000000000005</v>
      </c>
    </row>
    <row r="1450" spans="1:6" x14ac:dyDescent="0.2">
      <c r="A1450" t="s">
        <v>884</v>
      </c>
      <c r="B1450" s="1">
        <v>68.787499999999994</v>
      </c>
      <c r="C1450">
        <v>133731240</v>
      </c>
      <c r="D1450" s="1">
        <v>67.864999999999995</v>
      </c>
      <c r="E1450" s="1">
        <v>68.825000000000003</v>
      </c>
      <c r="F1450" s="1">
        <v>67.732500000000002</v>
      </c>
    </row>
    <row r="1451" spans="1:6" x14ac:dyDescent="0.2">
      <c r="A1451" s="2">
        <v>43811</v>
      </c>
      <c r="B1451" s="1">
        <v>67.864999999999995</v>
      </c>
      <c r="C1451">
        <v>137748160</v>
      </c>
      <c r="D1451" s="1">
        <v>66.944999999999993</v>
      </c>
      <c r="E1451" s="1">
        <v>68.14</v>
      </c>
      <c r="F1451" s="1">
        <v>66.830299999999994</v>
      </c>
    </row>
    <row r="1452" spans="1:6" x14ac:dyDescent="0.2">
      <c r="A1452" s="2">
        <v>43781</v>
      </c>
      <c r="B1452" s="1">
        <v>67.692499999999995</v>
      </c>
      <c r="C1452">
        <v>78893560</v>
      </c>
      <c r="D1452" s="1">
        <v>67.202500000000001</v>
      </c>
      <c r="E1452" s="1">
        <v>67.775000000000006</v>
      </c>
      <c r="F1452" s="1">
        <v>67.125</v>
      </c>
    </row>
    <row r="1453" spans="1:6" x14ac:dyDescent="0.2">
      <c r="A1453" s="2">
        <v>43750</v>
      </c>
      <c r="B1453" s="1">
        <v>67.12</v>
      </c>
      <c r="C1453">
        <v>90529520</v>
      </c>
      <c r="D1453" s="1">
        <v>67.150000000000006</v>
      </c>
      <c r="E1453" s="1">
        <v>67.517499999999998</v>
      </c>
      <c r="F1453" s="1">
        <v>66.465000000000003</v>
      </c>
    </row>
    <row r="1454" spans="1:6" x14ac:dyDescent="0.2">
      <c r="A1454" s="2">
        <v>43720</v>
      </c>
      <c r="B1454" s="1">
        <v>66.73</v>
      </c>
      <c r="C1454">
        <v>128730600</v>
      </c>
      <c r="D1454" s="1">
        <v>67.5</v>
      </c>
      <c r="E1454" s="1">
        <v>67.7</v>
      </c>
      <c r="F1454" s="1">
        <v>66.227500000000006</v>
      </c>
    </row>
    <row r="1455" spans="1:6" x14ac:dyDescent="0.2">
      <c r="A1455" s="2">
        <v>43628</v>
      </c>
      <c r="B1455" s="1">
        <v>67.677499999999995</v>
      </c>
      <c r="C1455">
        <v>106189960</v>
      </c>
      <c r="D1455" s="1">
        <v>66.87</v>
      </c>
      <c r="E1455" s="1">
        <v>67.75</v>
      </c>
      <c r="F1455" s="1">
        <v>66.825000000000003</v>
      </c>
    </row>
    <row r="1456" spans="1:6" x14ac:dyDescent="0.2">
      <c r="A1456" s="2">
        <v>43597</v>
      </c>
      <c r="B1456" s="1">
        <v>66.394999999999996</v>
      </c>
      <c r="C1456">
        <v>74645360</v>
      </c>
      <c r="D1456" s="1">
        <v>65.947500000000005</v>
      </c>
      <c r="E1456" s="1">
        <v>66.472499999999997</v>
      </c>
      <c r="F1456" s="1">
        <v>65.682500000000005</v>
      </c>
    </row>
    <row r="1457" spans="1:6" x14ac:dyDescent="0.2">
      <c r="A1457" s="2">
        <v>43567</v>
      </c>
      <c r="B1457" s="1">
        <v>65.435000000000002</v>
      </c>
      <c r="C1457">
        <v>67241560</v>
      </c>
      <c r="D1457" s="1">
        <v>65.267499999999998</v>
      </c>
      <c r="E1457" s="1">
        <v>65.827500000000001</v>
      </c>
      <c r="F1457" s="1">
        <v>65.17</v>
      </c>
    </row>
    <row r="1458" spans="1:6" x14ac:dyDescent="0.2">
      <c r="A1458" s="2">
        <v>43536</v>
      </c>
      <c r="B1458" s="1">
        <v>64.862499999999997</v>
      </c>
      <c r="C1458">
        <v>117509080</v>
      </c>
      <c r="D1458" s="1">
        <v>64.577500000000001</v>
      </c>
      <c r="E1458" s="1">
        <v>64.882499999999993</v>
      </c>
      <c r="F1458" s="1">
        <v>64.072500000000005</v>
      </c>
    </row>
    <row r="1459" spans="1:6" x14ac:dyDescent="0.2">
      <c r="A1459" s="2">
        <v>43508</v>
      </c>
      <c r="B1459" s="1">
        <v>66.040000000000006</v>
      </c>
      <c r="C1459">
        <v>94774200</v>
      </c>
      <c r="D1459" s="1">
        <v>66.817499999999995</v>
      </c>
      <c r="E1459" s="1">
        <v>67.0625</v>
      </c>
      <c r="F1459" s="1">
        <v>65.862499999999997</v>
      </c>
    </row>
    <row r="1460" spans="1:6" x14ac:dyDescent="0.2">
      <c r="A1460" t="s">
        <v>885</v>
      </c>
      <c r="B1460" s="1">
        <v>66.8125</v>
      </c>
      <c r="C1460">
        <v>46617440</v>
      </c>
      <c r="D1460" s="1">
        <v>66.650000000000006</v>
      </c>
      <c r="E1460" s="1">
        <v>67</v>
      </c>
      <c r="F1460" s="1">
        <v>66.474999999999994</v>
      </c>
    </row>
    <row r="1461" spans="1:6" x14ac:dyDescent="0.2">
      <c r="A1461" t="s">
        <v>886</v>
      </c>
      <c r="B1461" s="1">
        <v>66.959999999999994</v>
      </c>
      <c r="C1461">
        <v>65544480</v>
      </c>
      <c r="D1461" s="1">
        <v>66.394999999999996</v>
      </c>
      <c r="E1461" s="1">
        <v>66.995000000000005</v>
      </c>
      <c r="F1461" s="1">
        <v>66.327500000000001</v>
      </c>
    </row>
    <row r="1462" spans="1:6" x14ac:dyDescent="0.2">
      <c r="A1462" t="s">
        <v>887</v>
      </c>
      <c r="B1462" s="1">
        <v>66.072500000000005</v>
      </c>
      <c r="C1462">
        <v>105339520</v>
      </c>
      <c r="D1462" s="1">
        <v>66.734999999999999</v>
      </c>
      <c r="E1462" s="1">
        <v>66.790000000000006</v>
      </c>
      <c r="F1462" s="1">
        <v>65.625</v>
      </c>
    </row>
    <row r="1463" spans="1:6" x14ac:dyDescent="0.2">
      <c r="A1463" t="s">
        <v>888</v>
      </c>
      <c r="B1463" s="1">
        <v>66.592500000000001</v>
      </c>
      <c r="C1463">
        <v>84118080</v>
      </c>
      <c r="D1463" s="1">
        <v>65.677499999999995</v>
      </c>
      <c r="E1463" s="1">
        <v>66.61</v>
      </c>
      <c r="F1463" s="1">
        <v>65.63</v>
      </c>
    </row>
    <row r="1464" spans="1:6" x14ac:dyDescent="0.2">
      <c r="A1464" t="s">
        <v>889</v>
      </c>
      <c r="B1464" s="1">
        <v>65.444999999999993</v>
      </c>
      <c r="C1464">
        <v>65325040</v>
      </c>
      <c r="D1464" s="1">
        <v>65.647499999999994</v>
      </c>
      <c r="E1464" s="1">
        <v>65.795000000000002</v>
      </c>
      <c r="F1464" s="1">
        <v>65.209999999999994</v>
      </c>
    </row>
    <row r="1465" spans="1:6" x14ac:dyDescent="0.2">
      <c r="A1465" t="s">
        <v>890</v>
      </c>
      <c r="B1465" s="1">
        <v>65.502499999999998</v>
      </c>
      <c r="C1465">
        <v>121395120</v>
      </c>
      <c r="D1465" s="1">
        <v>65.922499999999999</v>
      </c>
      <c r="E1465" s="1">
        <v>66.001199999999997</v>
      </c>
      <c r="F1465" s="1">
        <v>65.295000000000002</v>
      </c>
    </row>
    <row r="1466" spans="1:6" x14ac:dyDescent="0.2">
      <c r="A1466" t="s">
        <v>891</v>
      </c>
      <c r="B1466" s="1">
        <v>65.797499999999999</v>
      </c>
      <c r="C1466">
        <v>106439680</v>
      </c>
      <c r="D1466" s="1">
        <v>66.385000000000005</v>
      </c>
      <c r="E1466" s="1">
        <v>66.520799999999994</v>
      </c>
      <c r="F1466" s="1">
        <v>65.099999999999994</v>
      </c>
    </row>
    <row r="1467" spans="1:6" x14ac:dyDescent="0.2">
      <c r="A1467" t="s">
        <v>892</v>
      </c>
      <c r="B1467" s="1">
        <v>66.572500000000005</v>
      </c>
      <c r="C1467">
        <v>76278400</v>
      </c>
      <c r="D1467" s="1">
        <v>66.974999999999994</v>
      </c>
      <c r="E1467" s="1">
        <v>67</v>
      </c>
      <c r="F1467" s="1">
        <v>66.348200000000006</v>
      </c>
    </row>
    <row r="1468" spans="1:6" x14ac:dyDescent="0.2">
      <c r="A1468" t="s">
        <v>893</v>
      </c>
      <c r="B1468" s="1">
        <v>66.775000000000006</v>
      </c>
      <c r="C1468">
        <v>86803600</v>
      </c>
      <c r="D1468" s="1">
        <v>66.45</v>
      </c>
      <c r="E1468" s="1">
        <v>66.857500000000002</v>
      </c>
      <c r="F1468" s="1">
        <v>66.057500000000005</v>
      </c>
    </row>
    <row r="1469" spans="1:6" x14ac:dyDescent="0.2">
      <c r="A1469" t="s">
        <v>894</v>
      </c>
      <c r="B1469" s="1">
        <v>66.44</v>
      </c>
      <c r="C1469">
        <v>100374680</v>
      </c>
      <c r="D1469" s="1">
        <v>65.92</v>
      </c>
      <c r="E1469" s="1">
        <v>66.444999999999993</v>
      </c>
      <c r="F1469" s="1">
        <v>65.752499999999998</v>
      </c>
    </row>
    <row r="1470" spans="1:6" x14ac:dyDescent="0.2">
      <c r="A1470" t="s">
        <v>895</v>
      </c>
      <c r="B1470" s="1">
        <v>65.66</v>
      </c>
      <c r="C1470">
        <v>89582240</v>
      </c>
      <c r="D1470" s="1">
        <v>65.9375</v>
      </c>
      <c r="E1470" s="1">
        <v>66.22</v>
      </c>
      <c r="F1470" s="1">
        <v>65.525000000000006</v>
      </c>
    </row>
    <row r="1471" spans="1:6" x14ac:dyDescent="0.2">
      <c r="A1471" t="s">
        <v>896</v>
      </c>
      <c r="B1471" s="1">
        <v>66.117500000000007</v>
      </c>
      <c r="C1471">
        <v>103270360</v>
      </c>
      <c r="D1471" s="1">
        <v>65.282499999999999</v>
      </c>
      <c r="E1471" s="1">
        <v>66.194999999999993</v>
      </c>
      <c r="F1471" s="1">
        <v>65.267499999999998</v>
      </c>
    </row>
    <row r="1472" spans="1:6" x14ac:dyDescent="0.2">
      <c r="A1472" s="2">
        <v>43810</v>
      </c>
      <c r="B1472" s="1">
        <v>65.489999999999995</v>
      </c>
      <c r="C1472">
        <v>87388920</v>
      </c>
      <c r="D1472" s="1">
        <v>65.387500000000003</v>
      </c>
      <c r="E1472" s="1">
        <v>65.697500000000005</v>
      </c>
      <c r="F1472" s="1">
        <v>65.23</v>
      </c>
    </row>
    <row r="1473" spans="1:6" x14ac:dyDescent="0.2">
      <c r="A1473" s="2">
        <v>43780</v>
      </c>
      <c r="B1473" s="1">
        <v>65.55</v>
      </c>
      <c r="C1473">
        <v>82029840</v>
      </c>
      <c r="D1473" s="1">
        <v>64.575000000000003</v>
      </c>
      <c r="E1473" s="1">
        <v>65.617500000000007</v>
      </c>
      <c r="F1473" s="1">
        <v>64.569999999999993</v>
      </c>
    </row>
    <row r="1474" spans="1:6" x14ac:dyDescent="0.2">
      <c r="A1474" s="2">
        <v>43688</v>
      </c>
      <c r="B1474" s="1">
        <v>65.034999999999997</v>
      </c>
      <c r="C1474">
        <v>70082000</v>
      </c>
      <c r="D1474" s="1">
        <v>64.672499999999999</v>
      </c>
      <c r="E1474" s="1">
        <v>65.11</v>
      </c>
      <c r="F1474" s="1">
        <v>64.212500000000006</v>
      </c>
    </row>
    <row r="1475" spans="1:6" x14ac:dyDescent="0.2">
      <c r="A1475" s="2">
        <v>43657</v>
      </c>
      <c r="B1475" s="1">
        <v>64.857500000000002</v>
      </c>
      <c r="C1475">
        <v>94940320</v>
      </c>
      <c r="D1475" s="1">
        <v>64.685000000000002</v>
      </c>
      <c r="E1475" s="1">
        <v>65.087500000000006</v>
      </c>
      <c r="F1475" s="1">
        <v>64.527500000000003</v>
      </c>
    </row>
    <row r="1476" spans="1:6" x14ac:dyDescent="0.2">
      <c r="A1476" s="2">
        <v>43627</v>
      </c>
      <c r="B1476" s="1">
        <v>64.31</v>
      </c>
      <c r="C1476">
        <v>75864480</v>
      </c>
      <c r="D1476" s="1">
        <v>64.192499999999995</v>
      </c>
      <c r="E1476" s="1">
        <v>64.372500000000002</v>
      </c>
      <c r="F1476" s="1">
        <v>63.841299999999997</v>
      </c>
    </row>
    <row r="1477" spans="1:6" x14ac:dyDescent="0.2">
      <c r="A1477" s="2">
        <v>43596</v>
      </c>
      <c r="B1477" s="1">
        <v>64.282499999999999</v>
      </c>
      <c r="C1477">
        <v>79897720</v>
      </c>
      <c r="D1477" s="1">
        <v>64.262500000000003</v>
      </c>
      <c r="E1477" s="1">
        <v>64.547499999999999</v>
      </c>
      <c r="F1477" s="1">
        <v>64.08</v>
      </c>
    </row>
    <row r="1478" spans="1:6" x14ac:dyDescent="0.2">
      <c r="A1478" s="2">
        <v>43566</v>
      </c>
      <c r="B1478" s="1">
        <v>64.375</v>
      </c>
      <c r="C1478">
        <v>103271800</v>
      </c>
      <c r="D1478" s="1">
        <v>64.332499999999996</v>
      </c>
      <c r="E1478" s="1">
        <v>64.461299999999994</v>
      </c>
      <c r="F1478" s="1">
        <v>63.844999999999999</v>
      </c>
    </row>
    <row r="1479" spans="1:6" x14ac:dyDescent="0.2">
      <c r="A1479" s="2">
        <v>43476</v>
      </c>
      <c r="B1479" s="1">
        <v>63.954999999999998</v>
      </c>
      <c r="C1479">
        <v>151125320</v>
      </c>
      <c r="D1479" s="1">
        <v>62.384999999999998</v>
      </c>
      <c r="E1479" s="1">
        <v>63.982500000000002</v>
      </c>
      <c r="F1479" s="1">
        <v>62.29</v>
      </c>
    </row>
    <row r="1480" spans="1:6" x14ac:dyDescent="0.2">
      <c r="A1480" t="s">
        <v>897</v>
      </c>
      <c r="B1480" s="1">
        <v>62.19</v>
      </c>
      <c r="C1480">
        <v>139162080</v>
      </c>
      <c r="D1480" s="1">
        <v>61.81</v>
      </c>
      <c r="E1480" s="1">
        <v>62.292499999999997</v>
      </c>
      <c r="F1480" s="1">
        <v>59.314999999999998</v>
      </c>
    </row>
    <row r="1481" spans="1:6" x14ac:dyDescent="0.2">
      <c r="A1481" t="s">
        <v>898</v>
      </c>
      <c r="B1481" s="1">
        <v>60.814999999999998</v>
      </c>
      <c r="C1481">
        <v>124522080</v>
      </c>
      <c r="D1481" s="1">
        <v>61.19</v>
      </c>
      <c r="E1481" s="1">
        <v>61.325000000000003</v>
      </c>
      <c r="F1481" s="1">
        <v>60.302500000000002</v>
      </c>
    </row>
    <row r="1482" spans="1:6" x14ac:dyDescent="0.2">
      <c r="A1482" t="s">
        <v>899</v>
      </c>
      <c r="B1482" s="1">
        <v>60.822499999999998</v>
      </c>
      <c r="C1482">
        <v>142839480</v>
      </c>
      <c r="D1482" s="1">
        <v>62.2425</v>
      </c>
      <c r="E1482" s="1">
        <v>62.4375</v>
      </c>
      <c r="F1482" s="1">
        <v>60.642499999999998</v>
      </c>
    </row>
    <row r="1483" spans="1:6" x14ac:dyDescent="0.2">
      <c r="A1483" t="s">
        <v>900</v>
      </c>
      <c r="B1483" s="1">
        <v>62.262500000000003</v>
      </c>
      <c r="C1483">
        <v>96572960</v>
      </c>
      <c r="D1483" s="1">
        <v>61.854999999999997</v>
      </c>
      <c r="E1483" s="1">
        <v>62.3125</v>
      </c>
      <c r="F1483" s="1">
        <v>61.68</v>
      </c>
    </row>
    <row r="1484" spans="1:6" x14ac:dyDescent="0.2">
      <c r="A1484" t="s">
        <v>901</v>
      </c>
      <c r="B1484" s="1">
        <v>61.645000000000003</v>
      </c>
      <c r="C1484">
        <v>73477200</v>
      </c>
      <c r="D1484" s="1">
        <v>60.79</v>
      </c>
      <c r="E1484" s="1">
        <v>61.682499999999997</v>
      </c>
      <c r="F1484" s="1">
        <v>60.72</v>
      </c>
    </row>
    <row r="1485" spans="1:6" x14ac:dyDescent="0.2">
      <c r="A1485" t="s">
        <v>902</v>
      </c>
      <c r="B1485" s="1">
        <v>60.895000000000003</v>
      </c>
      <c r="C1485">
        <v>71665040</v>
      </c>
      <c r="D1485" s="1">
        <v>61.127499999999998</v>
      </c>
      <c r="E1485" s="1">
        <v>61.2</v>
      </c>
      <c r="F1485" s="1">
        <v>60.451300000000003</v>
      </c>
    </row>
    <row r="1486" spans="1:6" x14ac:dyDescent="0.2">
      <c r="A1486" t="s">
        <v>903</v>
      </c>
      <c r="B1486" s="1">
        <v>60.795000000000002</v>
      </c>
      <c r="C1486">
        <v>79730200</v>
      </c>
      <c r="D1486" s="1">
        <v>60.524999999999999</v>
      </c>
      <c r="E1486" s="1">
        <v>60.81</v>
      </c>
      <c r="F1486" s="1">
        <v>60.305</v>
      </c>
    </row>
    <row r="1487" spans="1:6" x14ac:dyDescent="0.2">
      <c r="A1487" t="s">
        <v>904</v>
      </c>
      <c r="B1487" s="1">
        <v>59.99</v>
      </c>
      <c r="C1487">
        <v>90736000</v>
      </c>
      <c r="D1487" s="1">
        <v>60.29</v>
      </c>
      <c r="E1487" s="1">
        <v>60.55</v>
      </c>
      <c r="F1487" s="1">
        <v>59.905500000000004</v>
      </c>
    </row>
    <row r="1488" spans="1:6" x14ac:dyDescent="0.2">
      <c r="A1488" t="s">
        <v>905</v>
      </c>
      <c r="B1488" s="1">
        <v>60.127499999999998</v>
      </c>
      <c r="C1488">
        <v>89469920</v>
      </c>
      <c r="D1488" s="1">
        <v>59.38</v>
      </c>
      <c r="E1488" s="1">
        <v>60.247500000000002</v>
      </c>
      <c r="F1488" s="1">
        <v>59.33</v>
      </c>
    </row>
    <row r="1489" spans="1:6" x14ac:dyDescent="0.2">
      <c r="A1489" t="s">
        <v>906</v>
      </c>
      <c r="B1489" s="1">
        <v>59.102499999999999</v>
      </c>
      <c r="C1489">
        <v>97508680</v>
      </c>
      <c r="D1489" s="1">
        <v>58.647500000000001</v>
      </c>
      <c r="E1489" s="1">
        <v>59.395000000000003</v>
      </c>
      <c r="F1489" s="1">
        <v>58.572499999999998</v>
      </c>
    </row>
    <row r="1490" spans="1:6" x14ac:dyDescent="0.2">
      <c r="A1490" t="s">
        <v>907</v>
      </c>
      <c r="B1490" s="1">
        <v>58.82</v>
      </c>
      <c r="C1490">
        <v>69091600</v>
      </c>
      <c r="D1490" s="1">
        <v>58.772500000000001</v>
      </c>
      <c r="E1490" s="1">
        <v>59.037500000000001</v>
      </c>
      <c r="F1490" s="1">
        <v>58.38</v>
      </c>
    </row>
    <row r="1491" spans="1:6" x14ac:dyDescent="0.2">
      <c r="A1491" t="s">
        <v>908</v>
      </c>
      <c r="B1491" s="1">
        <v>58.592500000000001</v>
      </c>
      <c r="C1491">
        <v>77146760</v>
      </c>
      <c r="D1491" s="1">
        <v>58.342500000000001</v>
      </c>
      <c r="E1491" s="1">
        <v>58.81</v>
      </c>
      <c r="F1491" s="1">
        <v>58.3</v>
      </c>
    </row>
    <row r="1492" spans="1:6" x14ac:dyDescent="0.2">
      <c r="A1492" t="s">
        <v>909</v>
      </c>
      <c r="B1492" s="1">
        <v>58.83</v>
      </c>
      <c r="C1492">
        <v>92161920</v>
      </c>
      <c r="D1492" s="1">
        <v>59.097499999999997</v>
      </c>
      <c r="E1492" s="1">
        <v>59.412500000000001</v>
      </c>
      <c r="F1492" s="1">
        <v>58.72</v>
      </c>
    </row>
    <row r="1493" spans="1:6" x14ac:dyDescent="0.2">
      <c r="A1493" t="s">
        <v>910</v>
      </c>
      <c r="B1493" s="1">
        <v>58.967500000000001</v>
      </c>
      <c r="C1493">
        <v>97653920</v>
      </c>
      <c r="D1493" s="1">
        <v>58.725000000000001</v>
      </c>
      <c r="E1493" s="1">
        <v>59.533499999999997</v>
      </c>
      <c r="F1493" s="1">
        <v>58.667499999999997</v>
      </c>
    </row>
    <row r="1494" spans="1:6" x14ac:dyDescent="0.2">
      <c r="A1494" s="2">
        <v>43779</v>
      </c>
      <c r="B1494" s="1">
        <v>59.052500000000002</v>
      </c>
      <c r="C1494">
        <v>167960840</v>
      </c>
      <c r="D1494" s="1">
        <v>58.237499999999997</v>
      </c>
      <c r="E1494" s="1">
        <v>59.41</v>
      </c>
      <c r="F1494" s="1">
        <v>58.076900000000002</v>
      </c>
    </row>
    <row r="1495" spans="1:6" x14ac:dyDescent="0.2">
      <c r="A1495" s="2">
        <v>43748</v>
      </c>
      <c r="B1495" s="1">
        <v>57.522500000000001</v>
      </c>
      <c r="C1495">
        <v>115851920</v>
      </c>
      <c r="D1495" s="1">
        <v>56.982500000000002</v>
      </c>
      <c r="E1495" s="1">
        <v>57.61</v>
      </c>
      <c r="F1495" s="1">
        <v>56.825000000000003</v>
      </c>
    </row>
    <row r="1496" spans="1:6" x14ac:dyDescent="0.2">
      <c r="A1496" s="2">
        <v>43718</v>
      </c>
      <c r="B1496" s="1">
        <v>56.7575</v>
      </c>
      <c r="C1496">
        <v>76117680</v>
      </c>
      <c r="D1496" s="1">
        <v>56.7575</v>
      </c>
      <c r="E1496" s="1">
        <v>56.947499999999998</v>
      </c>
      <c r="F1496" s="1">
        <v>56.41</v>
      </c>
    </row>
    <row r="1497" spans="1:6" x14ac:dyDescent="0.2">
      <c r="A1497" s="2">
        <v>43687</v>
      </c>
      <c r="B1497" s="1">
        <v>56.1</v>
      </c>
      <c r="C1497">
        <v>117130800</v>
      </c>
      <c r="D1497" s="1">
        <v>56.454999999999998</v>
      </c>
      <c r="E1497" s="1">
        <v>57.015000000000001</v>
      </c>
      <c r="F1497" s="1">
        <v>56.082500000000003</v>
      </c>
    </row>
    <row r="1498" spans="1:6" x14ac:dyDescent="0.2">
      <c r="A1498" s="2">
        <v>43656</v>
      </c>
      <c r="B1498" s="1">
        <v>56.765000000000001</v>
      </c>
      <c r="C1498">
        <v>123557080</v>
      </c>
      <c r="D1498" s="1">
        <v>56.567500000000003</v>
      </c>
      <c r="E1498" s="1">
        <v>57.482500000000002</v>
      </c>
      <c r="F1498" s="1">
        <v>56.46</v>
      </c>
    </row>
    <row r="1499" spans="1:6" x14ac:dyDescent="0.2">
      <c r="A1499" s="2">
        <v>43565</v>
      </c>
      <c r="B1499" s="1">
        <v>56.752499999999998</v>
      </c>
      <c r="C1499">
        <v>139022200</v>
      </c>
      <c r="D1499" s="1">
        <v>56.41</v>
      </c>
      <c r="E1499" s="1">
        <v>56.872500000000002</v>
      </c>
      <c r="F1499" s="1">
        <v>55.972499999999997</v>
      </c>
    </row>
    <row r="1500" spans="1:6" x14ac:dyDescent="0.2">
      <c r="A1500" s="2">
        <v>43534</v>
      </c>
      <c r="B1500" s="1">
        <v>55.204999999999998</v>
      </c>
      <c r="C1500">
        <v>121410760</v>
      </c>
      <c r="D1500" s="1">
        <v>54.607500000000002</v>
      </c>
      <c r="E1500" s="1">
        <v>55.24</v>
      </c>
      <c r="F1500" s="1">
        <v>53.783000000000001</v>
      </c>
    </row>
    <row r="1501" spans="1:6" x14ac:dyDescent="0.2">
      <c r="A1501" s="2">
        <v>43506</v>
      </c>
      <c r="B1501" s="1">
        <v>54.74</v>
      </c>
      <c r="C1501">
        <v>143069040</v>
      </c>
      <c r="D1501" s="1">
        <v>55.765000000000001</v>
      </c>
      <c r="E1501" s="1">
        <v>55.895000000000003</v>
      </c>
      <c r="F1501" s="1">
        <v>54.482500000000002</v>
      </c>
    </row>
    <row r="1502" spans="1:6" x14ac:dyDescent="0.2">
      <c r="A1502" s="2">
        <v>43475</v>
      </c>
      <c r="B1502" s="1">
        <v>56.147500000000001</v>
      </c>
      <c r="C1502">
        <v>144748640</v>
      </c>
      <c r="D1502" s="1">
        <v>56.267499999999998</v>
      </c>
      <c r="E1502" s="1">
        <v>57.055</v>
      </c>
      <c r="F1502" s="1">
        <v>56.05</v>
      </c>
    </row>
    <row r="1503" spans="1:6" x14ac:dyDescent="0.2">
      <c r="A1503" t="s">
        <v>911</v>
      </c>
      <c r="B1503" s="1">
        <v>55.9925</v>
      </c>
      <c r="C1503">
        <v>105274320</v>
      </c>
      <c r="D1503" s="1">
        <v>55.225000000000001</v>
      </c>
      <c r="E1503" s="1">
        <v>56.145000000000003</v>
      </c>
      <c r="F1503" s="1">
        <v>55.197499999999998</v>
      </c>
    </row>
    <row r="1504" spans="1:6" x14ac:dyDescent="0.2">
      <c r="A1504" t="s">
        <v>912</v>
      </c>
      <c r="B1504" s="1">
        <v>54.704999999999998</v>
      </c>
      <c r="C1504">
        <v>101445160</v>
      </c>
      <c r="D1504" s="1">
        <v>55.134999999999998</v>
      </c>
      <c r="E1504" s="1">
        <v>55.24</v>
      </c>
      <c r="F1504" s="1">
        <v>54.320300000000003</v>
      </c>
    </row>
    <row r="1505" spans="1:6" x14ac:dyDescent="0.2">
      <c r="A1505" t="s">
        <v>913</v>
      </c>
      <c r="B1505" s="1">
        <v>54.972499999999997</v>
      </c>
      <c r="C1505">
        <v>76353240</v>
      </c>
      <c r="D1505" s="1">
        <v>55</v>
      </c>
      <c r="E1505" s="1">
        <v>55.234999999999999</v>
      </c>
      <c r="F1505" s="1">
        <v>54.707500000000003</v>
      </c>
    </row>
    <row r="1506" spans="1:6" x14ac:dyDescent="0.2">
      <c r="A1506" t="s">
        <v>914</v>
      </c>
      <c r="B1506" s="1">
        <v>55.2575</v>
      </c>
      <c r="C1506">
        <v>89924040</v>
      </c>
      <c r="D1506" s="1">
        <v>54.637500000000003</v>
      </c>
      <c r="E1506" s="1">
        <v>55.375</v>
      </c>
      <c r="F1506" s="1">
        <v>54.284999999999997</v>
      </c>
    </row>
    <row r="1507" spans="1:6" x14ac:dyDescent="0.2">
      <c r="A1507" t="s">
        <v>915</v>
      </c>
      <c r="B1507" s="1">
        <v>54.42</v>
      </c>
      <c r="C1507">
        <v>125737480</v>
      </c>
      <c r="D1507" s="1">
        <v>55.2575</v>
      </c>
      <c r="E1507" s="1">
        <v>55.622500000000002</v>
      </c>
      <c r="F1507" s="1">
        <v>54.297499999999999</v>
      </c>
    </row>
    <row r="1508" spans="1:6" x14ac:dyDescent="0.2">
      <c r="A1508" t="s">
        <v>916</v>
      </c>
      <c r="B1508" s="1">
        <v>54.68</v>
      </c>
      <c r="C1508">
        <v>77678600</v>
      </c>
      <c r="D1508" s="1">
        <v>54.737499999999997</v>
      </c>
      <c r="E1508" s="1">
        <v>54.96</v>
      </c>
      <c r="F1508" s="1">
        <v>54.412500000000001</v>
      </c>
    </row>
    <row r="1509" spans="1:6" x14ac:dyDescent="0.2">
      <c r="A1509" t="s">
        <v>917</v>
      </c>
      <c r="B1509" s="1">
        <v>54.432499999999997</v>
      </c>
      <c r="C1509">
        <v>231908360</v>
      </c>
      <c r="D1509" s="1">
        <v>55.344999999999999</v>
      </c>
      <c r="E1509" s="1">
        <v>55.64</v>
      </c>
      <c r="F1509" s="1">
        <v>54.368299999999998</v>
      </c>
    </row>
    <row r="1510" spans="1:6" x14ac:dyDescent="0.2">
      <c r="A1510" t="s">
        <v>918</v>
      </c>
      <c r="B1510" s="1">
        <v>55.24</v>
      </c>
      <c r="C1510">
        <v>88751520</v>
      </c>
      <c r="D1510" s="1">
        <v>55.502499999999998</v>
      </c>
      <c r="E1510" s="1">
        <v>55.94</v>
      </c>
      <c r="F1510" s="1">
        <v>55.092500000000001</v>
      </c>
    </row>
    <row r="1511" spans="1:6" x14ac:dyDescent="0.2">
      <c r="A1511" t="s">
        <v>919</v>
      </c>
      <c r="B1511" s="1">
        <v>55.692500000000003</v>
      </c>
      <c r="C1511">
        <v>102572360</v>
      </c>
      <c r="D1511" s="1">
        <v>55.265000000000001</v>
      </c>
      <c r="E1511" s="1">
        <v>55.712499999999999</v>
      </c>
      <c r="F1511" s="1">
        <v>54.86</v>
      </c>
    </row>
    <row r="1512" spans="1:6" x14ac:dyDescent="0.2">
      <c r="A1512" t="s">
        <v>920</v>
      </c>
      <c r="B1512" s="1">
        <v>55.174999999999997</v>
      </c>
      <c r="C1512">
        <v>73545880</v>
      </c>
      <c r="D1512" s="1">
        <v>54.99</v>
      </c>
      <c r="E1512" s="1">
        <v>55.204999999999998</v>
      </c>
      <c r="F1512" s="1">
        <v>54.78</v>
      </c>
    </row>
    <row r="1513" spans="1:6" x14ac:dyDescent="0.2">
      <c r="A1513" t="s">
        <v>921</v>
      </c>
      <c r="B1513" s="1">
        <v>54.975000000000001</v>
      </c>
      <c r="C1513">
        <v>84632560</v>
      </c>
      <c r="D1513" s="1">
        <v>54.432499999999997</v>
      </c>
      <c r="E1513" s="1">
        <v>55.032499999999999</v>
      </c>
      <c r="F1513" s="1">
        <v>54.39</v>
      </c>
    </row>
    <row r="1514" spans="1:6" x14ac:dyDescent="0.2">
      <c r="A1514" t="s">
        <v>922</v>
      </c>
      <c r="B1514" s="1">
        <v>54.6875</v>
      </c>
      <c r="C1514">
        <v>159053200</v>
      </c>
      <c r="D1514" s="1">
        <v>55</v>
      </c>
      <c r="E1514" s="1">
        <v>55.197499999999998</v>
      </c>
      <c r="F1514" s="1">
        <v>54.255000000000003</v>
      </c>
    </row>
    <row r="1515" spans="1:6" x14ac:dyDescent="0.2">
      <c r="A1515" s="2">
        <v>43808</v>
      </c>
      <c r="B1515" s="1">
        <v>55.771299999999997</v>
      </c>
      <c r="C1515">
        <v>128906680</v>
      </c>
      <c r="D1515" s="1">
        <v>56.2</v>
      </c>
      <c r="E1515" s="1">
        <v>56.604999999999997</v>
      </c>
      <c r="F1515" s="1">
        <v>55.715000000000003</v>
      </c>
    </row>
    <row r="1516" spans="1:6" x14ac:dyDescent="0.2">
      <c r="A1516" s="2">
        <v>43778</v>
      </c>
      <c r="B1516" s="1">
        <v>55.897500000000001</v>
      </c>
      <c r="C1516">
        <v>177158600</v>
      </c>
      <c r="D1516" s="1">
        <v>54.517499999999998</v>
      </c>
      <c r="E1516" s="1">
        <v>55.927500000000002</v>
      </c>
      <c r="F1516" s="1">
        <v>54.432499999999997</v>
      </c>
    </row>
    <row r="1517" spans="1:6" x14ac:dyDescent="0.2">
      <c r="A1517" s="2">
        <v>43747</v>
      </c>
      <c r="B1517" s="1">
        <v>54.174999999999997</v>
      </c>
      <c r="C1517">
        <v>127111720</v>
      </c>
      <c r="D1517" s="1">
        <v>53.465000000000003</v>
      </c>
      <c r="E1517" s="1">
        <v>54.195</v>
      </c>
      <c r="F1517" s="1">
        <v>52.927500000000002</v>
      </c>
    </row>
    <row r="1518" spans="1:6" x14ac:dyDescent="0.2">
      <c r="A1518" s="2">
        <v>43717</v>
      </c>
      <c r="B1518" s="1">
        <v>53.542499999999997</v>
      </c>
      <c r="C1518">
        <v>109237600</v>
      </c>
      <c r="D1518" s="1">
        <v>53.71</v>
      </c>
      <c r="E1518" s="1">
        <v>54.11</v>
      </c>
      <c r="F1518" s="1">
        <v>52.767499999999998</v>
      </c>
    </row>
    <row r="1519" spans="1:6" x14ac:dyDescent="0.2">
      <c r="A1519" s="2">
        <v>43625</v>
      </c>
      <c r="B1519" s="1">
        <v>53.314999999999998</v>
      </c>
      <c r="C1519">
        <v>77449160</v>
      </c>
      <c r="D1519" s="1">
        <v>53.512500000000003</v>
      </c>
      <c r="E1519" s="1">
        <v>53.604999999999997</v>
      </c>
      <c r="F1519" s="1">
        <v>53.127499999999998</v>
      </c>
    </row>
    <row r="1520" spans="1:6" x14ac:dyDescent="0.2">
      <c r="A1520" s="2">
        <v>43594</v>
      </c>
      <c r="B1520" s="1">
        <v>53.32</v>
      </c>
      <c r="C1520">
        <v>95787520</v>
      </c>
      <c r="D1520" s="1">
        <v>53</v>
      </c>
      <c r="E1520" s="1">
        <v>53.4925</v>
      </c>
      <c r="F1520" s="1">
        <v>52.877499999999998</v>
      </c>
    </row>
    <row r="1521" spans="1:6" x14ac:dyDescent="0.2">
      <c r="A1521" s="2">
        <v>43564</v>
      </c>
      <c r="B1521" s="1">
        <v>52.297499999999999</v>
      </c>
      <c r="C1521">
        <v>76867280</v>
      </c>
      <c r="D1521" s="1">
        <v>52.097499999999997</v>
      </c>
      <c r="E1521" s="1">
        <v>52.37</v>
      </c>
      <c r="F1521" s="1">
        <v>51.83</v>
      </c>
    </row>
    <row r="1522" spans="1:6" x14ac:dyDescent="0.2">
      <c r="A1522" s="2">
        <v>43533</v>
      </c>
      <c r="B1522" s="1">
        <v>51.424999999999997</v>
      </c>
      <c r="C1522">
        <v>80238280</v>
      </c>
      <c r="D1522" s="1">
        <v>51.607500000000002</v>
      </c>
      <c r="E1522" s="1">
        <v>51.744999999999997</v>
      </c>
      <c r="F1522" s="1">
        <v>51.055</v>
      </c>
    </row>
    <row r="1523" spans="1:6" x14ac:dyDescent="0.2">
      <c r="A1523" t="s">
        <v>923</v>
      </c>
      <c r="B1523" s="1">
        <v>52.185000000000002</v>
      </c>
      <c r="C1523">
        <v>84650240</v>
      </c>
      <c r="D1523" s="1">
        <v>52.54</v>
      </c>
      <c r="E1523" s="1">
        <v>52.612499999999997</v>
      </c>
      <c r="F1523" s="1">
        <v>51.8</v>
      </c>
    </row>
    <row r="1524" spans="1:6" x14ac:dyDescent="0.2">
      <c r="A1524" t="s">
        <v>924</v>
      </c>
      <c r="B1524" s="1">
        <v>52.252499999999998</v>
      </c>
      <c r="C1524">
        <v>84030600</v>
      </c>
      <c r="D1524" s="1">
        <v>52.125</v>
      </c>
      <c r="E1524" s="1">
        <v>52.33</v>
      </c>
      <c r="F1524" s="1">
        <v>51.663800000000002</v>
      </c>
    </row>
    <row r="1525" spans="1:6" x14ac:dyDescent="0.2">
      <c r="A1525" t="s">
        <v>925</v>
      </c>
      <c r="B1525" s="1">
        <v>51.3825</v>
      </c>
      <c r="C1525">
        <v>63830520</v>
      </c>
      <c r="D1525" s="1">
        <v>51.024999999999999</v>
      </c>
      <c r="E1525" s="1">
        <v>51.43</v>
      </c>
      <c r="F1525" s="1">
        <v>50.83</v>
      </c>
    </row>
    <row r="1526" spans="1:6" x14ac:dyDescent="0.2">
      <c r="A1526" t="s">
        <v>926</v>
      </c>
      <c r="B1526" s="1">
        <v>51.04</v>
      </c>
      <c r="C1526">
        <v>103589360</v>
      </c>
      <c r="D1526" s="1">
        <v>51.965000000000003</v>
      </c>
      <c r="E1526" s="1">
        <v>52.137500000000003</v>
      </c>
      <c r="F1526" s="1">
        <v>50.8825</v>
      </c>
    </row>
    <row r="1527" spans="1:6" x14ac:dyDescent="0.2">
      <c r="A1527" t="s">
        <v>927</v>
      </c>
      <c r="B1527" s="1">
        <v>51.622500000000002</v>
      </c>
      <c r="C1527">
        <v>104264520</v>
      </c>
      <c r="D1527" s="1">
        <v>51.465000000000003</v>
      </c>
      <c r="E1527" s="1">
        <v>51.797499999999999</v>
      </c>
      <c r="F1527" s="1">
        <v>51.264299999999999</v>
      </c>
    </row>
    <row r="1528" spans="1:6" x14ac:dyDescent="0.2">
      <c r="A1528" t="s">
        <v>928</v>
      </c>
      <c r="B1528" s="1">
        <v>50.66</v>
      </c>
      <c r="C1528">
        <v>187531360</v>
      </c>
      <c r="D1528" s="1">
        <v>52.357500000000002</v>
      </c>
      <c r="E1528" s="1">
        <v>53.012700000000002</v>
      </c>
      <c r="F1528" s="1">
        <v>50.25</v>
      </c>
    </row>
    <row r="1529" spans="1:6" x14ac:dyDescent="0.2">
      <c r="A1529" t="s">
        <v>929</v>
      </c>
      <c r="B1529" s="1">
        <v>53.115000000000002</v>
      </c>
      <c r="C1529">
        <v>89071280</v>
      </c>
      <c r="D1529" s="1">
        <v>53.297499999999999</v>
      </c>
      <c r="E1529" s="1">
        <v>53.608800000000002</v>
      </c>
      <c r="F1529" s="1">
        <v>52.6875</v>
      </c>
    </row>
    <row r="1530" spans="1:6" x14ac:dyDescent="0.2">
      <c r="A1530" t="s">
        <v>930</v>
      </c>
      <c r="B1530" s="1">
        <v>53.16</v>
      </c>
      <c r="C1530">
        <v>86259000</v>
      </c>
      <c r="D1530" s="1">
        <v>53.247500000000002</v>
      </c>
      <c r="E1530" s="1">
        <v>53.412500000000001</v>
      </c>
      <c r="F1530" s="1">
        <v>52.900799999999997</v>
      </c>
    </row>
    <row r="1531" spans="1:6" x14ac:dyDescent="0.2">
      <c r="A1531" t="s">
        <v>931</v>
      </c>
      <c r="B1531" s="1">
        <v>52.59</v>
      </c>
      <c r="C1531">
        <v>107678120</v>
      </c>
      <c r="D1531" s="1">
        <v>52.72</v>
      </c>
      <c r="E1531" s="1">
        <v>53.337499999999999</v>
      </c>
      <c r="F1531" s="1">
        <v>52.58</v>
      </c>
    </row>
    <row r="1532" spans="1:6" x14ac:dyDescent="0.2">
      <c r="A1532" t="s">
        <v>932</v>
      </c>
      <c r="B1532" s="1">
        <v>52.587499999999999</v>
      </c>
      <c r="C1532">
        <v>97727680</v>
      </c>
      <c r="D1532" s="1">
        <v>52.655000000000001</v>
      </c>
      <c r="E1532" s="1">
        <v>53.182699999999997</v>
      </c>
      <c r="F1532" s="1">
        <v>52.506300000000003</v>
      </c>
    </row>
    <row r="1533" spans="1:6" x14ac:dyDescent="0.2">
      <c r="A1533" t="s">
        <v>933</v>
      </c>
      <c r="B1533" s="1">
        <v>51.625</v>
      </c>
      <c r="C1533">
        <v>115254480</v>
      </c>
      <c r="D1533" s="1">
        <v>51.07</v>
      </c>
      <c r="E1533" s="1">
        <v>51.79</v>
      </c>
      <c r="F1533" s="1">
        <v>50.96</v>
      </c>
    </row>
    <row r="1534" spans="1:6" x14ac:dyDescent="0.2">
      <c r="A1534" t="s">
        <v>934</v>
      </c>
      <c r="B1534" s="1">
        <v>50.435000000000002</v>
      </c>
      <c r="C1534">
        <v>111533440</v>
      </c>
      <c r="D1534" s="1">
        <v>50.865000000000002</v>
      </c>
      <c r="E1534" s="1">
        <v>51.284999999999997</v>
      </c>
      <c r="F1534" s="1">
        <v>49.917499999999997</v>
      </c>
    </row>
    <row r="1535" spans="1:6" x14ac:dyDescent="0.2">
      <c r="A1535" t="s">
        <v>935</v>
      </c>
      <c r="B1535" s="1">
        <v>50.6875</v>
      </c>
      <c r="C1535">
        <v>146189760</v>
      </c>
      <c r="D1535" s="1">
        <v>50.79</v>
      </c>
      <c r="E1535" s="1">
        <v>51.61</v>
      </c>
      <c r="F1535" s="1">
        <v>50.646700000000003</v>
      </c>
    </row>
    <row r="1536" spans="1:6" x14ac:dyDescent="0.2">
      <c r="A1536" t="s">
        <v>936</v>
      </c>
      <c r="B1536" s="1">
        <v>52.2425</v>
      </c>
      <c r="C1536">
        <v>190159160</v>
      </c>
      <c r="D1536" s="1">
        <v>50.255000000000003</v>
      </c>
      <c r="E1536" s="1">
        <v>53.034999999999997</v>
      </c>
      <c r="F1536" s="1">
        <v>50.207500000000003</v>
      </c>
    </row>
    <row r="1537" spans="1:6" x14ac:dyDescent="0.2">
      <c r="A1537" s="2">
        <v>43807</v>
      </c>
      <c r="B1537" s="1">
        <v>50.12</v>
      </c>
      <c r="C1537">
        <v>89927560</v>
      </c>
      <c r="D1537" s="1">
        <v>49.905000000000001</v>
      </c>
      <c r="E1537" s="1">
        <v>50.512900000000002</v>
      </c>
      <c r="F1537" s="1">
        <v>49.787500000000001</v>
      </c>
    </row>
    <row r="1538" spans="1:6" x14ac:dyDescent="0.2">
      <c r="A1538" s="2">
        <v>43716</v>
      </c>
      <c r="B1538" s="1">
        <v>50.247500000000002</v>
      </c>
      <c r="C1538">
        <v>98479000</v>
      </c>
      <c r="D1538" s="1">
        <v>50.325000000000003</v>
      </c>
      <c r="E1538" s="1">
        <v>50.69</v>
      </c>
      <c r="F1538" s="1">
        <v>49.822499999999998</v>
      </c>
    </row>
    <row r="1539" spans="1:6" x14ac:dyDescent="0.2">
      <c r="A1539" s="2">
        <v>43685</v>
      </c>
      <c r="B1539" s="1">
        <v>50.857500000000002</v>
      </c>
      <c r="C1539">
        <v>108038080</v>
      </c>
      <c r="D1539" s="1">
        <v>50.05</v>
      </c>
      <c r="E1539" s="1">
        <v>50.8825</v>
      </c>
      <c r="F1539" s="1">
        <v>49.847499999999997</v>
      </c>
    </row>
    <row r="1540" spans="1:6" x14ac:dyDescent="0.2">
      <c r="A1540" s="2">
        <v>43654</v>
      </c>
      <c r="B1540" s="1">
        <v>49.76</v>
      </c>
      <c r="C1540">
        <v>133457600</v>
      </c>
      <c r="D1540" s="1">
        <v>48.852499999999999</v>
      </c>
      <c r="E1540" s="1">
        <v>49.89</v>
      </c>
      <c r="F1540" s="1">
        <v>48.454999999999998</v>
      </c>
    </row>
    <row r="1541" spans="1:6" x14ac:dyDescent="0.2">
      <c r="A1541" s="2">
        <v>43624</v>
      </c>
      <c r="B1541" s="1">
        <v>49.25</v>
      </c>
      <c r="C1541">
        <v>143299160</v>
      </c>
      <c r="D1541" s="1">
        <v>49.077500000000001</v>
      </c>
      <c r="E1541" s="1">
        <v>49.516800000000003</v>
      </c>
      <c r="F1541" s="1">
        <v>48.51</v>
      </c>
    </row>
    <row r="1542" spans="1:6" x14ac:dyDescent="0.2">
      <c r="A1542" s="2">
        <v>43593</v>
      </c>
      <c r="B1542" s="1">
        <v>48.335000000000001</v>
      </c>
      <c r="C1542">
        <v>209571880</v>
      </c>
      <c r="D1542" s="1">
        <v>49.497500000000002</v>
      </c>
      <c r="E1542" s="1">
        <v>49.662300000000002</v>
      </c>
      <c r="F1542" s="1">
        <v>48.145000000000003</v>
      </c>
    </row>
    <row r="1543" spans="1:6" x14ac:dyDescent="0.2">
      <c r="A1543" s="2">
        <v>43504</v>
      </c>
      <c r="B1543" s="1">
        <v>51.005000000000003</v>
      </c>
      <c r="C1543">
        <v>163448480</v>
      </c>
      <c r="D1543" s="1">
        <v>51.3825</v>
      </c>
      <c r="E1543" s="1">
        <v>51.607500000000002</v>
      </c>
      <c r="F1543" s="1">
        <v>50.407499999999999</v>
      </c>
    </row>
    <row r="1544" spans="1:6" x14ac:dyDescent="0.2">
      <c r="A1544" s="2">
        <v>43473</v>
      </c>
      <c r="B1544" s="1">
        <v>52.107500000000002</v>
      </c>
      <c r="C1544">
        <v>216071680</v>
      </c>
      <c r="D1544" s="1">
        <v>53.475000000000001</v>
      </c>
      <c r="E1544" s="1">
        <v>54.5075</v>
      </c>
      <c r="F1544" s="1">
        <v>51.685899999999997</v>
      </c>
    </row>
    <row r="1545" spans="1:6" x14ac:dyDescent="0.2">
      <c r="A1545" t="s">
        <v>937</v>
      </c>
      <c r="B1545" s="1">
        <v>53.26</v>
      </c>
      <c r="C1545">
        <v>277125440</v>
      </c>
      <c r="D1545" s="1">
        <v>54.104999999999997</v>
      </c>
      <c r="E1545" s="1">
        <v>55.342500000000001</v>
      </c>
      <c r="F1545" s="1">
        <v>52.825000000000003</v>
      </c>
    </row>
    <row r="1546" spans="1:6" x14ac:dyDescent="0.2">
      <c r="A1546" t="s">
        <v>938</v>
      </c>
      <c r="B1546" s="1">
        <v>52.195</v>
      </c>
      <c r="C1546">
        <v>135742880</v>
      </c>
      <c r="D1546" s="1">
        <v>52.19</v>
      </c>
      <c r="E1546" s="1">
        <v>52.54</v>
      </c>
      <c r="F1546" s="1">
        <v>51.827500000000001</v>
      </c>
    </row>
    <row r="1547" spans="1:6" x14ac:dyDescent="0.2">
      <c r="A1547" t="s">
        <v>939</v>
      </c>
      <c r="B1547" s="1">
        <v>52.42</v>
      </c>
      <c r="C1547">
        <v>86693560</v>
      </c>
      <c r="D1547" s="1">
        <v>52.115000000000002</v>
      </c>
      <c r="E1547" s="1">
        <v>52.66</v>
      </c>
      <c r="F1547" s="1">
        <v>52.11</v>
      </c>
    </row>
    <row r="1548" spans="1:6" x14ac:dyDescent="0.2">
      <c r="A1548" t="s">
        <v>940</v>
      </c>
      <c r="B1548" s="1">
        <v>51.935000000000002</v>
      </c>
      <c r="C1548">
        <v>70475480</v>
      </c>
      <c r="D1548" s="1">
        <v>51.87</v>
      </c>
      <c r="E1548" s="1">
        <v>52.432499999999997</v>
      </c>
      <c r="F1548" s="1">
        <v>51.784999999999997</v>
      </c>
    </row>
    <row r="1549" spans="1:6" x14ac:dyDescent="0.2">
      <c r="A1549" t="s">
        <v>941</v>
      </c>
      <c r="B1549" s="1">
        <v>51.755000000000003</v>
      </c>
      <c r="C1549">
        <v>55638240</v>
      </c>
      <c r="D1549" s="1">
        <v>52.222499999999997</v>
      </c>
      <c r="E1549" s="1">
        <v>52.31</v>
      </c>
      <c r="F1549" s="1">
        <v>51.682499999999997</v>
      </c>
    </row>
    <row r="1550" spans="1:6" x14ac:dyDescent="0.2">
      <c r="A1550" t="s">
        <v>942</v>
      </c>
      <c r="B1550" s="1">
        <v>52.167499999999997</v>
      </c>
      <c r="C1550">
        <v>59966280</v>
      </c>
      <c r="D1550" s="1">
        <v>51.917499999999997</v>
      </c>
      <c r="E1550" s="1">
        <v>52.287500000000001</v>
      </c>
      <c r="F1550" s="1">
        <v>51.792499999999997</v>
      </c>
    </row>
    <row r="1551" spans="1:6" x14ac:dyDescent="0.2">
      <c r="A1551" t="s">
        <v>943</v>
      </c>
      <c r="B1551" s="1">
        <v>52.21</v>
      </c>
      <c r="C1551">
        <v>73420840</v>
      </c>
      <c r="D1551" s="1">
        <v>52.115000000000002</v>
      </c>
      <c r="E1551" s="1">
        <v>52.227499999999999</v>
      </c>
      <c r="F1551" s="1">
        <v>51.822499999999998</v>
      </c>
    </row>
    <row r="1552" spans="1:6" x14ac:dyDescent="0.2">
      <c r="A1552" t="s">
        <v>944</v>
      </c>
      <c r="B1552" s="1">
        <v>51.805</v>
      </c>
      <c r="C1552">
        <v>89111720</v>
      </c>
      <c r="D1552" s="1">
        <v>50.912500000000001</v>
      </c>
      <c r="E1552" s="1">
        <v>51.807499999999997</v>
      </c>
      <c r="F1552" s="1">
        <v>50.902500000000003</v>
      </c>
    </row>
    <row r="1553" spans="1:6" x14ac:dyDescent="0.2">
      <c r="A1553" t="s">
        <v>945</v>
      </c>
      <c r="B1553" s="1">
        <v>50.647500000000001</v>
      </c>
      <c r="C1553">
        <v>83717240</v>
      </c>
      <c r="D1553" s="1">
        <v>51.447499999999998</v>
      </c>
      <c r="E1553" s="1">
        <v>51.625</v>
      </c>
      <c r="F1553" s="1">
        <v>50.59</v>
      </c>
    </row>
    <row r="1554" spans="1:6" x14ac:dyDescent="0.2">
      <c r="A1554" t="s">
        <v>946</v>
      </c>
      <c r="B1554" s="1">
        <v>51.414999999999999</v>
      </c>
      <c r="C1554">
        <v>74328640</v>
      </c>
      <c r="D1554" s="1">
        <v>51</v>
      </c>
      <c r="E1554" s="1">
        <v>51.47</v>
      </c>
      <c r="F1554" s="1">
        <v>50.924999999999997</v>
      </c>
    </row>
    <row r="1555" spans="1:6" x14ac:dyDescent="0.2">
      <c r="A1555" t="s">
        <v>947</v>
      </c>
      <c r="B1555" s="1">
        <v>50.837499999999999</v>
      </c>
      <c r="C1555">
        <v>56429800</v>
      </c>
      <c r="D1555" s="1">
        <v>51.012500000000003</v>
      </c>
      <c r="E1555" s="1">
        <v>51.2729</v>
      </c>
      <c r="F1555" s="1">
        <v>50.817500000000003</v>
      </c>
    </row>
    <row r="1556" spans="1:6" x14ac:dyDescent="0.2">
      <c r="A1556" t="s">
        <v>948</v>
      </c>
      <c r="B1556" s="1">
        <v>51.125</v>
      </c>
      <c r="C1556">
        <v>67467280</v>
      </c>
      <c r="D1556" s="1">
        <v>51.147500000000001</v>
      </c>
      <c r="E1556" s="1">
        <v>51.527500000000003</v>
      </c>
      <c r="F1556" s="1">
        <v>50.875</v>
      </c>
    </row>
    <row r="1557" spans="1:6" x14ac:dyDescent="0.2">
      <c r="A1557" t="s">
        <v>949</v>
      </c>
      <c r="B1557" s="1">
        <v>51.302500000000002</v>
      </c>
      <c r="C1557">
        <v>67789680</v>
      </c>
      <c r="D1557" s="1">
        <v>51.022500000000001</v>
      </c>
      <c r="E1557" s="1">
        <v>51.467500000000001</v>
      </c>
      <c r="F1557" s="1">
        <v>51</v>
      </c>
    </row>
    <row r="1558" spans="1:6" x14ac:dyDescent="0.2">
      <c r="A1558" s="2">
        <v>43806</v>
      </c>
      <c r="B1558" s="1">
        <v>50.825000000000003</v>
      </c>
      <c r="C1558">
        <v>70380840</v>
      </c>
      <c r="D1558" s="1">
        <v>50.612499999999997</v>
      </c>
      <c r="E1558" s="1">
        <v>51</v>
      </c>
      <c r="F1558" s="1">
        <v>50.55</v>
      </c>
    </row>
    <row r="1559" spans="1:6" x14ac:dyDescent="0.2">
      <c r="A1559" s="2">
        <v>43776</v>
      </c>
      <c r="B1559" s="1">
        <v>50.4375</v>
      </c>
      <c r="C1559">
        <v>80767360</v>
      </c>
      <c r="D1559" s="1">
        <v>50.827500000000001</v>
      </c>
      <c r="E1559" s="1">
        <v>51.097499999999997</v>
      </c>
      <c r="F1559" s="1">
        <v>50.427500000000002</v>
      </c>
    </row>
    <row r="1560" spans="1:6" x14ac:dyDescent="0.2">
      <c r="A1560" s="2">
        <v>43745</v>
      </c>
      <c r="B1560" s="1">
        <v>50.807499999999997</v>
      </c>
      <c r="C1560">
        <v>71588560</v>
      </c>
      <c r="D1560" s="1">
        <v>50.462499999999999</v>
      </c>
      <c r="E1560" s="1">
        <v>50.932499999999997</v>
      </c>
      <c r="F1560" s="1">
        <v>50.39</v>
      </c>
    </row>
    <row r="1561" spans="1:6" x14ac:dyDescent="0.2">
      <c r="A1561" s="2">
        <v>43715</v>
      </c>
      <c r="B1561" s="1">
        <v>50.31</v>
      </c>
      <c r="C1561">
        <v>82312080</v>
      </c>
      <c r="D1561" s="1">
        <v>49.8</v>
      </c>
      <c r="E1561" s="1">
        <v>50.377499999999998</v>
      </c>
      <c r="F1561" s="1">
        <v>49.702500000000001</v>
      </c>
    </row>
    <row r="1562" spans="1:6" x14ac:dyDescent="0.2">
      <c r="A1562" s="2">
        <v>43684</v>
      </c>
      <c r="B1562" s="1">
        <v>50.005000000000003</v>
      </c>
      <c r="C1562">
        <v>101354520</v>
      </c>
      <c r="D1562" s="1">
        <v>50.202500000000001</v>
      </c>
      <c r="E1562" s="1">
        <v>50.35</v>
      </c>
      <c r="F1562" s="1">
        <v>49.602499999999999</v>
      </c>
    </row>
    <row r="1563" spans="1:6" x14ac:dyDescent="0.2">
      <c r="A1563" s="2">
        <v>43592</v>
      </c>
      <c r="B1563" s="1">
        <v>51.057499999999997</v>
      </c>
      <c r="C1563">
        <v>69062080</v>
      </c>
      <c r="D1563" s="1">
        <v>50.837499999999999</v>
      </c>
      <c r="E1563" s="1">
        <v>51.27</v>
      </c>
      <c r="F1563" s="1">
        <v>50.725000000000001</v>
      </c>
    </row>
    <row r="1564" spans="1:6" x14ac:dyDescent="0.2">
      <c r="A1564" s="2">
        <v>43531</v>
      </c>
      <c r="B1564" s="1">
        <v>51.102499999999999</v>
      </c>
      <c r="C1564">
        <v>45448200</v>
      </c>
      <c r="D1564" s="1">
        <v>50.82</v>
      </c>
      <c r="E1564" s="1">
        <v>51.11</v>
      </c>
      <c r="F1564" s="1">
        <v>50.672499999999999</v>
      </c>
    </row>
    <row r="1565" spans="1:6" x14ac:dyDescent="0.2">
      <c r="A1565" s="2">
        <v>43503</v>
      </c>
      <c r="B1565" s="1">
        <v>50.682499999999997</v>
      </c>
      <c r="C1565">
        <v>67740880</v>
      </c>
      <c r="D1565" s="1">
        <v>50.352499999999999</v>
      </c>
      <c r="E1565" s="1">
        <v>50.783099999999997</v>
      </c>
      <c r="F1565" s="1">
        <v>50.34</v>
      </c>
    </row>
    <row r="1566" spans="1:6" x14ac:dyDescent="0.2">
      <c r="A1566" s="2">
        <v>43472</v>
      </c>
      <c r="B1566" s="1">
        <v>50.387500000000003</v>
      </c>
      <c r="C1566">
        <v>109266960</v>
      </c>
      <c r="D1566" s="1">
        <v>50.792499999999997</v>
      </c>
      <c r="E1566" s="1">
        <v>51.122500000000002</v>
      </c>
      <c r="F1566" s="1">
        <v>50.162500000000001</v>
      </c>
    </row>
    <row r="1567" spans="1:6" x14ac:dyDescent="0.2">
      <c r="A1567" t="s">
        <v>950</v>
      </c>
      <c r="B1567" s="1">
        <v>49.48</v>
      </c>
      <c r="C1567">
        <v>124442560</v>
      </c>
      <c r="D1567" s="1">
        <v>49.67</v>
      </c>
      <c r="E1567" s="1">
        <v>49.873800000000003</v>
      </c>
      <c r="F1567" s="1">
        <v>49.262500000000003</v>
      </c>
    </row>
    <row r="1568" spans="1:6" x14ac:dyDescent="0.2">
      <c r="A1568" t="s">
        <v>951</v>
      </c>
      <c r="B1568" s="1">
        <v>49.935000000000002</v>
      </c>
      <c r="C1568">
        <v>83598880</v>
      </c>
      <c r="D1568" s="1">
        <v>50.072499999999998</v>
      </c>
      <c r="E1568" s="1">
        <v>50.392499999999998</v>
      </c>
      <c r="F1568" s="1">
        <v>49.892499999999998</v>
      </c>
    </row>
    <row r="1569" spans="1:6" x14ac:dyDescent="0.2">
      <c r="A1569" t="s">
        <v>952</v>
      </c>
      <c r="B1569" s="1">
        <v>49.95</v>
      </c>
      <c r="C1569">
        <v>104270040</v>
      </c>
      <c r="D1569" s="1">
        <v>49.442500000000003</v>
      </c>
      <c r="E1569" s="1">
        <v>50.247500000000002</v>
      </c>
      <c r="F1569" s="1">
        <v>49.337499999999999</v>
      </c>
    </row>
    <row r="1570" spans="1:6" x14ac:dyDescent="0.2">
      <c r="A1570" t="s">
        <v>953</v>
      </c>
      <c r="B1570" s="1">
        <v>48.892499999999998</v>
      </c>
      <c r="C1570">
        <v>84281320</v>
      </c>
      <c r="D1570" s="1">
        <v>49.607500000000002</v>
      </c>
      <c r="E1570" s="1">
        <v>49.814999999999998</v>
      </c>
      <c r="F1570" s="1">
        <v>48.822499999999998</v>
      </c>
    </row>
    <row r="1571" spans="1:6" x14ac:dyDescent="0.2">
      <c r="A1571" t="s">
        <v>954</v>
      </c>
      <c r="B1571" s="1">
        <v>49.645000000000003</v>
      </c>
      <c r="C1571">
        <v>72881680</v>
      </c>
      <c r="D1571" s="1">
        <v>49.634999999999998</v>
      </c>
      <c r="E1571" s="1">
        <v>50.04</v>
      </c>
      <c r="F1571" s="1">
        <v>49.542499999999997</v>
      </c>
    </row>
    <row r="1572" spans="1:6" x14ac:dyDescent="0.2">
      <c r="A1572" t="s">
        <v>955</v>
      </c>
      <c r="B1572" s="1">
        <v>49.695</v>
      </c>
      <c r="C1572">
        <v>191202360</v>
      </c>
      <c r="D1572" s="1">
        <v>49.7</v>
      </c>
      <c r="E1572" s="1">
        <v>50.212499999999999</v>
      </c>
      <c r="F1572" s="1">
        <v>49.537500000000001</v>
      </c>
    </row>
    <row r="1573" spans="1:6" x14ac:dyDescent="0.2">
      <c r="A1573" t="s">
        <v>956</v>
      </c>
      <c r="B1573" s="1">
        <v>49.865000000000002</v>
      </c>
      <c r="C1573">
        <v>86055960</v>
      </c>
      <c r="D1573" s="1">
        <v>50.092500000000001</v>
      </c>
      <c r="E1573" s="1">
        <v>50.152500000000003</v>
      </c>
      <c r="F1573" s="1">
        <v>49.5075</v>
      </c>
    </row>
    <row r="1574" spans="1:6" x14ac:dyDescent="0.2">
      <c r="A1574" t="s">
        <v>957</v>
      </c>
      <c r="B1574" s="1">
        <v>49.467500000000001</v>
      </c>
      <c r="C1574">
        <v>84496960</v>
      </c>
      <c r="D1574" s="1">
        <v>49.92</v>
      </c>
      <c r="E1574" s="1">
        <v>49.97</v>
      </c>
      <c r="F1574" s="1">
        <v>49.327500000000001</v>
      </c>
    </row>
    <row r="1575" spans="1:6" x14ac:dyDescent="0.2">
      <c r="A1575" t="s">
        <v>958</v>
      </c>
      <c r="B1575" s="1">
        <v>49.612499999999997</v>
      </c>
      <c r="C1575">
        <v>106204000</v>
      </c>
      <c r="D1575" s="1">
        <v>49.012500000000003</v>
      </c>
      <c r="E1575" s="1">
        <v>50.072499999999998</v>
      </c>
      <c r="F1575" s="1">
        <v>48.802500000000002</v>
      </c>
    </row>
    <row r="1576" spans="1:6" x14ac:dyDescent="0.2">
      <c r="A1576" t="s">
        <v>959</v>
      </c>
      <c r="B1576" s="1">
        <v>48.472499999999997</v>
      </c>
      <c r="C1576">
        <v>58676560</v>
      </c>
      <c r="D1576" s="1">
        <v>48.225000000000001</v>
      </c>
      <c r="E1576" s="1">
        <v>48.74</v>
      </c>
      <c r="F1576" s="1">
        <v>48.042499999999997</v>
      </c>
    </row>
    <row r="1577" spans="1:6" x14ac:dyDescent="0.2">
      <c r="A1577" t="s">
        <v>960</v>
      </c>
      <c r="B1577" s="1">
        <v>48.185000000000002</v>
      </c>
      <c r="C1577">
        <v>75045880</v>
      </c>
      <c r="D1577" s="1">
        <v>47.886200000000002</v>
      </c>
      <c r="E1577" s="1">
        <v>48.396599999999999</v>
      </c>
      <c r="F1577" s="1">
        <v>47.575000000000003</v>
      </c>
    </row>
    <row r="1578" spans="1:6" x14ac:dyDescent="0.2">
      <c r="A1578" t="s">
        <v>961</v>
      </c>
      <c r="B1578" s="1">
        <v>48.537500000000001</v>
      </c>
      <c r="C1578">
        <v>86698520</v>
      </c>
      <c r="D1578" s="1">
        <v>48.674999999999997</v>
      </c>
      <c r="E1578" s="1">
        <v>49.197499999999998</v>
      </c>
      <c r="F1578" s="1">
        <v>48.4</v>
      </c>
    </row>
    <row r="1579" spans="1:6" x14ac:dyDescent="0.2">
      <c r="A1579" s="2">
        <v>43805</v>
      </c>
      <c r="B1579" s="1">
        <v>48.547499999999999</v>
      </c>
      <c r="C1579">
        <v>73012760</v>
      </c>
      <c r="D1579" s="1">
        <v>48.487499999999997</v>
      </c>
      <c r="E1579" s="1">
        <v>48.9925</v>
      </c>
      <c r="F1579" s="1">
        <v>48.346200000000003</v>
      </c>
    </row>
    <row r="1580" spans="1:6" x14ac:dyDescent="0.2">
      <c r="A1580" s="2">
        <v>43775</v>
      </c>
      <c r="B1580" s="1">
        <v>48.702500000000001</v>
      </c>
      <c r="C1580">
        <v>107731520</v>
      </c>
      <c r="D1580" s="1">
        <v>48.715000000000003</v>
      </c>
      <c r="E1580" s="1">
        <v>49</v>
      </c>
      <c r="F1580" s="1">
        <v>48.4</v>
      </c>
    </row>
    <row r="1581" spans="1:6" x14ac:dyDescent="0.2">
      <c r="A1581" s="2">
        <v>43744</v>
      </c>
      <c r="B1581" s="1">
        <v>48.145000000000003</v>
      </c>
      <c r="C1581">
        <v>104883400</v>
      </c>
      <c r="D1581" s="1">
        <v>47.952500000000001</v>
      </c>
      <c r="E1581" s="1">
        <v>48.842500000000001</v>
      </c>
      <c r="F1581" s="1">
        <v>47.905000000000001</v>
      </c>
    </row>
    <row r="1582" spans="1:6" x14ac:dyDescent="0.2">
      <c r="A1582" s="2">
        <v>43652</v>
      </c>
      <c r="B1582" s="1">
        <v>47.537500000000001</v>
      </c>
      <c r="C1582">
        <v>122737560</v>
      </c>
      <c r="D1582" s="1">
        <v>46.627499999999998</v>
      </c>
      <c r="E1582" s="1">
        <v>47.98</v>
      </c>
      <c r="F1582" s="1">
        <v>46.442500000000003</v>
      </c>
    </row>
    <row r="1583" spans="1:6" x14ac:dyDescent="0.2">
      <c r="A1583" s="2">
        <v>43622</v>
      </c>
      <c r="B1583" s="1">
        <v>46.305</v>
      </c>
      <c r="C1583">
        <v>90105240</v>
      </c>
      <c r="D1583" s="1">
        <v>45.77</v>
      </c>
      <c r="E1583" s="1">
        <v>46.3675</v>
      </c>
      <c r="F1583" s="1">
        <v>45.537199999999999</v>
      </c>
    </row>
    <row r="1584" spans="1:6" x14ac:dyDescent="0.2">
      <c r="A1584" s="2">
        <v>43591</v>
      </c>
      <c r="B1584" s="1">
        <v>45.634999999999998</v>
      </c>
      <c r="C1584">
        <v>119093720</v>
      </c>
      <c r="D1584" s="1">
        <v>46.07</v>
      </c>
      <c r="E1584" s="1">
        <v>46.247500000000002</v>
      </c>
      <c r="F1584" s="1">
        <v>45.284999999999997</v>
      </c>
    </row>
    <row r="1585" spans="1:6" x14ac:dyDescent="0.2">
      <c r="A1585" s="2">
        <v>43561</v>
      </c>
      <c r="B1585" s="1">
        <v>44.91</v>
      </c>
      <c r="C1585">
        <v>123871840</v>
      </c>
      <c r="D1585" s="1">
        <v>43.86</v>
      </c>
      <c r="E1585" s="1">
        <v>44.957500000000003</v>
      </c>
      <c r="F1585" s="1">
        <v>43.63</v>
      </c>
    </row>
    <row r="1586" spans="1:6" x14ac:dyDescent="0.2">
      <c r="A1586" s="2">
        <v>43530</v>
      </c>
      <c r="B1586" s="1">
        <v>43.325000000000003</v>
      </c>
      <c r="C1586">
        <v>161584280</v>
      </c>
      <c r="D1586" s="1">
        <v>43.9</v>
      </c>
      <c r="E1586" s="1">
        <v>44.48</v>
      </c>
      <c r="F1586" s="1">
        <v>42.567500000000003</v>
      </c>
    </row>
    <row r="1587" spans="1:6" x14ac:dyDescent="0.2">
      <c r="A1587" t="s">
        <v>962</v>
      </c>
      <c r="B1587" s="1">
        <v>43.767499999999998</v>
      </c>
      <c r="C1587">
        <v>108174320</v>
      </c>
      <c r="D1587" s="1">
        <v>44.057499999999997</v>
      </c>
      <c r="E1587" s="1">
        <v>44.497500000000002</v>
      </c>
      <c r="F1587" s="1">
        <v>43.747500000000002</v>
      </c>
    </row>
    <row r="1588" spans="1:6" x14ac:dyDescent="0.2">
      <c r="A1588" t="s">
        <v>963</v>
      </c>
      <c r="B1588" s="1">
        <v>44.575000000000003</v>
      </c>
      <c r="C1588">
        <v>84873640</v>
      </c>
      <c r="D1588" s="1">
        <v>44.487499999999997</v>
      </c>
      <c r="E1588" s="1">
        <v>44.807499999999997</v>
      </c>
      <c r="F1588" s="1">
        <v>44.167499999999997</v>
      </c>
    </row>
    <row r="1589" spans="1:6" x14ac:dyDescent="0.2">
      <c r="A1589" t="s">
        <v>964</v>
      </c>
      <c r="B1589" s="1">
        <v>44.344999999999999</v>
      </c>
      <c r="C1589">
        <v>113924680</v>
      </c>
      <c r="D1589" s="1">
        <v>44.104999999999997</v>
      </c>
      <c r="E1589" s="1">
        <v>44.837499999999999</v>
      </c>
      <c r="F1589" s="1">
        <v>44</v>
      </c>
    </row>
    <row r="1590" spans="1:6" x14ac:dyDescent="0.2">
      <c r="A1590" t="s">
        <v>965</v>
      </c>
      <c r="B1590" s="1">
        <v>44.557499999999997</v>
      </c>
      <c r="C1590">
        <v>111792640</v>
      </c>
      <c r="D1590" s="1">
        <v>44.73</v>
      </c>
      <c r="E1590" s="1">
        <v>45.147500000000001</v>
      </c>
      <c r="F1590" s="1">
        <v>44.477499999999999</v>
      </c>
    </row>
    <row r="1591" spans="1:6" x14ac:dyDescent="0.2">
      <c r="A1591" t="s">
        <v>966</v>
      </c>
      <c r="B1591" s="1">
        <v>44.7425</v>
      </c>
      <c r="C1591">
        <v>94858760</v>
      </c>
      <c r="D1591" s="1">
        <v>45.05</v>
      </c>
      <c r="E1591" s="1">
        <v>45.534999999999997</v>
      </c>
      <c r="F1591" s="1">
        <v>44.655000000000001</v>
      </c>
    </row>
    <row r="1592" spans="1:6" x14ac:dyDescent="0.2">
      <c r="A1592" t="s">
        <v>967</v>
      </c>
      <c r="B1592" s="1">
        <v>44.914999999999999</v>
      </c>
      <c r="C1592">
        <v>146118960</v>
      </c>
      <c r="D1592" s="1">
        <v>44.95</v>
      </c>
      <c r="E1592" s="1">
        <v>45.134999999999998</v>
      </c>
      <c r="F1592" s="1">
        <v>44.452500000000001</v>
      </c>
    </row>
    <row r="1593" spans="1:6" x14ac:dyDescent="0.2">
      <c r="A1593" t="s">
        <v>968</v>
      </c>
      <c r="B1593" s="1">
        <v>45.695</v>
      </c>
      <c r="C1593">
        <v>118994240</v>
      </c>
      <c r="D1593" s="1">
        <v>46.164999999999999</v>
      </c>
      <c r="E1593" s="1">
        <v>46.427500000000002</v>
      </c>
      <c r="F1593" s="1">
        <v>45.637500000000003</v>
      </c>
    </row>
    <row r="1594" spans="1:6" x14ac:dyDescent="0.2">
      <c r="A1594" t="s">
        <v>969</v>
      </c>
      <c r="B1594" s="1">
        <v>46.65</v>
      </c>
      <c r="C1594">
        <v>113459400</v>
      </c>
      <c r="D1594" s="1">
        <v>46.305</v>
      </c>
      <c r="E1594" s="1">
        <v>47</v>
      </c>
      <c r="F1594" s="1">
        <v>46.174999999999997</v>
      </c>
    </row>
    <row r="1595" spans="1:6" x14ac:dyDescent="0.2">
      <c r="A1595" t="s">
        <v>970</v>
      </c>
      <c r="B1595" s="1">
        <v>45.772500000000001</v>
      </c>
      <c r="C1595">
        <v>154449160</v>
      </c>
      <c r="D1595" s="1">
        <v>45.88</v>
      </c>
      <c r="E1595" s="1">
        <v>46.087200000000003</v>
      </c>
      <c r="F1595" s="1">
        <v>45.070999999999998</v>
      </c>
    </row>
    <row r="1596" spans="1:6" x14ac:dyDescent="0.2">
      <c r="A1596" t="s">
        <v>971</v>
      </c>
      <c r="B1596" s="1">
        <v>47.25</v>
      </c>
      <c r="C1596">
        <v>131516360</v>
      </c>
      <c r="D1596" s="1">
        <v>46.732500000000002</v>
      </c>
      <c r="E1596" s="1">
        <v>47.725000000000001</v>
      </c>
      <c r="F1596" s="1">
        <v>46.69</v>
      </c>
    </row>
    <row r="1597" spans="1:6" x14ac:dyDescent="0.2">
      <c r="A1597" t="s">
        <v>972</v>
      </c>
      <c r="B1597" s="1">
        <v>47.52</v>
      </c>
      <c r="C1597">
        <v>132125440</v>
      </c>
      <c r="D1597" s="1">
        <v>47.477499999999999</v>
      </c>
      <c r="E1597" s="1">
        <v>48.117199999999997</v>
      </c>
      <c r="F1597" s="1">
        <v>47.21</v>
      </c>
    </row>
    <row r="1598" spans="1:6" x14ac:dyDescent="0.2">
      <c r="A1598" t="s">
        <v>973</v>
      </c>
      <c r="B1598" s="1">
        <v>47.73</v>
      </c>
      <c r="C1598">
        <v>106178880</v>
      </c>
      <c r="D1598" s="1">
        <v>46.567500000000003</v>
      </c>
      <c r="E1598" s="1">
        <v>47.9375</v>
      </c>
      <c r="F1598" s="1">
        <v>46.505000000000003</v>
      </c>
    </row>
    <row r="1599" spans="1:6" x14ac:dyDescent="0.2">
      <c r="A1599" t="s">
        <v>974</v>
      </c>
      <c r="B1599" s="1">
        <v>47.164999999999999</v>
      </c>
      <c r="C1599">
        <v>146118720</v>
      </c>
      <c r="D1599" s="1">
        <v>46.602499999999999</v>
      </c>
      <c r="E1599" s="1">
        <v>47.424999999999997</v>
      </c>
      <c r="F1599" s="1">
        <v>46.352499999999999</v>
      </c>
    </row>
    <row r="1600" spans="1:6" x14ac:dyDescent="0.2">
      <c r="A1600" t="s">
        <v>975</v>
      </c>
      <c r="B1600" s="1">
        <v>46.43</v>
      </c>
      <c r="C1600">
        <v>229722480</v>
      </c>
      <c r="D1600" s="1">
        <v>46.927500000000002</v>
      </c>
      <c r="E1600" s="1">
        <v>47.37</v>
      </c>
      <c r="F1600" s="1">
        <v>45.712499999999999</v>
      </c>
    </row>
    <row r="1601" spans="1:6" x14ac:dyDescent="0.2">
      <c r="A1601" s="2">
        <v>43743</v>
      </c>
      <c r="B1601" s="1">
        <v>49.295000000000002</v>
      </c>
      <c r="C1601">
        <v>164834840</v>
      </c>
      <c r="D1601" s="1">
        <v>49.354799999999997</v>
      </c>
      <c r="E1601" s="1">
        <v>49.712499999999999</v>
      </c>
      <c r="F1601" s="1">
        <v>48.192500000000003</v>
      </c>
    </row>
    <row r="1602" spans="1:6" x14ac:dyDescent="0.2">
      <c r="A1602" s="2">
        <v>43713</v>
      </c>
      <c r="B1602" s="1">
        <v>50.18</v>
      </c>
      <c r="C1602">
        <v>139634440</v>
      </c>
      <c r="D1602" s="1">
        <v>50.1</v>
      </c>
      <c r="E1602" s="1">
        <v>50.42</v>
      </c>
      <c r="F1602" s="1">
        <v>49.164999999999999</v>
      </c>
    </row>
    <row r="1603" spans="1:6" x14ac:dyDescent="0.2">
      <c r="A1603" s="2">
        <v>43682</v>
      </c>
      <c r="B1603" s="1">
        <v>50.725000000000001</v>
      </c>
      <c r="C1603">
        <v>105358000</v>
      </c>
      <c r="D1603" s="1">
        <v>50.475000000000001</v>
      </c>
      <c r="E1603" s="1">
        <v>51.335000000000001</v>
      </c>
      <c r="F1603" s="1">
        <v>50.4375</v>
      </c>
    </row>
    <row r="1604" spans="1:6" x14ac:dyDescent="0.2">
      <c r="A1604" s="2">
        <v>43651</v>
      </c>
      <c r="B1604" s="1">
        <v>50.715000000000003</v>
      </c>
      <c r="C1604">
        <v>155054800</v>
      </c>
      <c r="D1604" s="1">
        <v>51.47</v>
      </c>
      <c r="E1604" s="1">
        <v>51.854399999999998</v>
      </c>
      <c r="F1604" s="1">
        <v>50.206200000000003</v>
      </c>
    </row>
    <row r="1605" spans="1:6" x14ac:dyDescent="0.2">
      <c r="A1605" s="2">
        <v>43621</v>
      </c>
      <c r="B1605" s="1">
        <v>52.12</v>
      </c>
      <c r="C1605">
        <v>129772440</v>
      </c>
      <c r="D1605" s="1">
        <v>51.072499999999998</v>
      </c>
      <c r="E1605" s="1">
        <v>52.21</v>
      </c>
      <c r="F1605" s="1">
        <v>50.875</v>
      </c>
    </row>
    <row r="1606" spans="1:6" x14ac:dyDescent="0.2">
      <c r="A1606" s="2">
        <v>43529</v>
      </c>
      <c r="B1606" s="1">
        <v>52.9375</v>
      </c>
      <c r="C1606">
        <v>83569520</v>
      </c>
      <c r="D1606" s="1">
        <v>52.722499999999997</v>
      </c>
      <c r="E1606" s="1">
        <v>52.96</v>
      </c>
      <c r="F1606" s="1">
        <v>52.557499999999997</v>
      </c>
    </row>
    <row r="1607" spans="1:6" x14ac:dyDescent="0.2">
      <c r="A1607" s="2">
        <v>43501</v>
      </c>
      <c r="B1607" s="1">
        <v>52.287500000000001</v>
      </c>
      <c r="C1607">
        <v>127985280</v>
      </c>
      <c r="D1607" s="1">
        <v>52.46</v>
      </c>
      <c r="E1607" s="1">
        <v>53.162500000000001</v>
      </c>
      <c r="F1607" s="1">
        <v>52.032499999999999</v>
      </c>
    </row>
    <row r="1608" spans="1:6" x14ac:dyDescent="0.2">
      <c r="A1608" s="2">
        <v>43470</v>
      </c>
      <c r="B1608" s="1">
        <v>52.63</v>
      </c>
      <c r="C1608">
        <v>259309320</v>
      </c>
      <c r="D1608" s="1">
        <v>52.47</v>
      </c>
      <c r="E1608" s="1">
        <v>53.827500000000001</v>
      </c>
      <c r="F1608" s="1">
        <v>52.307499999999997</v>
      </c>
    </row>
    <row r="1609" spans="1:6" x14ac:dyDescent="0.2">
      <c r="A1609" t="s">
        <v>976</v>
      </c>
      <c r="B1609" s="1">
        <v>50.167499999999997</v>
      </c>
      <c r="C1609">
        <v>183004640</v>
      </c>
      <c r="D1609" s="1">
        <v>50.765000000000001</v>
      </c>
      <c r="E1609" s="1">
        <v>50.85</v>
      </c>
      <c r="F1609" s="1">
        <v>49.777500000000003</v>
      </c>
    </row>
    <row r="1610" spans="1:6" x14ac:dyDescent="0.2">
      <c r="A1610" t="s">
        <v>977</v>
      </c>
      <c r="B1610" s="1">
        <v>51.152500000000003</v>
      </c>
      <c r="C1610">
        <v>88041440</v>
      </c>
      <c r="D1610" s="1">
        <v>51.1</v>
      </c>
      <c r="E1610" s="1">
        <v>51.4925</v>
      </c>
      <c r="F1610" s="1">
        <v>50.965000000000003</v>
      </c>
    </row>
    <row r="1611" spans="1:6" x14ac:dyDescent="0.2">
      <c r="A1611" t="s">
        <v>978</v>
      </c>
      <c r="B1611" s="1">
        <v>51.075000000000003</v>
      </c>
      <c r="C1611">
        <v>74451080</v>
      </c>
      <c r="D1611" s="1">
        <v>51.225000000000001</v>
      </c>
      <c r="E1611" s="1">
        <v>51.25</v>
      </c>
      <c r="F1611" s="1">
        <v>50.53</v>
      </c>
    </row>
    <row r="1612" spans="1:6" x14ac:dyDescent="0.2">
      <c r="A1612" t="s">
        <v>979</v>
      </c>
      <c r="B1612" s="1">
        <v>51.32</v>
      </c>
      <c r="C1612">
        <v>73855400</v>
      </c>
      <c r="D1612" s="1">
        <v>51.707500000000003</v>
      </c>
      <c r="E1612" s="1">
        <v>51.94</v>
      </c>
      <c r="F1612" s="1">
        <v>51.28</v>
      </c>
    </row>
    <row r="1613" spans="1:6" x14ac:dyDescent="0.2">
      <c r="A1613" t="s">
        <v>980</v>
      </c>
      <c r="B1613" s="1">
        <v>51.79</v>
      </c>
      <c r="C1613">
        <v>69710280</v>
      </c>
      <c r="D1613" s="1">
        <v>51.84</v>
      </c>
      <c r="E1613" s="1">
        <v>52.12</v>
      </c>
      <c r="F1613" s="1">
        <v>51.762500000000003</v>
      </c>
    </row>
    <row r="1614" spans="1:6" x14ac:dyDescent="0.2">
      <c r="A1614" t="s">
        <v>981</v>
      </c>
      <c r="B1614" s="1">
        <v>51.87</v>
      </c>
      <c r="C1614">
        <v>93145520</v>
      </c>
      <c r="D1614" s="1">
        <v>51.107500000000002</v>
      </c>
      <c r="E1614" s="1">
        <v>51.9375</v>
      </c>
      <c r="F1614" s="1">
        <v>50.975000000000001</v>
      </c>
    </row>
    <row r="1615" spans="1:6" x14ac:dyDescent="0.2">
      <c r="A1615" t="s">
        <v>982</v>
      </c>
      <c r="B1615" s="1">
        <v>51.1325</v>
      </c>
      <c r="C1615">
        <v>71367680</v>
      </c>
      <c r="D1615" s="1">
        <v>50.707500000000003</v>
      </c>
      <c r="E1615" s="1">
        <v>51.234999999999999</v>
      </c>
      <c r="F1615" s="1">
        <v>50.585000000000001</v>
      </c>
    </row>
    <row r="1616" spans="1:6" x14ac:dyDescent="0.2">
      <c r="A1616" t="s">
        <v>983</v>
      </c>
      <c r="B1616" s="1">
        <v>50.965000000000003</v>
      </c>
      <c r="C1616">
        <v>96742120</v>
      </c>
      <c r="D1616" s="1">
        <v>50.78</v>
      </c>
      <c r="E1616" s="1">
        <v>51.037500000000001</v>
      </c>
      <c r="F1616" s="1">
        <v>50.63</v>
      </c>
    </row>
    <row r="1617" spans="1:6" x14ac:dyDescent="0.2">
      <c r="A1617" t="s">
        <v>984</v>
      </c>
      <c r="B1617" s="1">
        <v>50.782499999999999</v>
      </c>
      <c r="C1617">
        <v>115461240</v>
      </c>
      <c r="D1617" s="1">
        <v>49.884999999999998</v>
      </c>
      <c r="E1617" s="1">
        <v>50.844999999999999</v>
      </c>
      <c r="F1617" s="1">
        <v>49.652500000000003</v>
      </c>
    </row>
    <row r="1618" spans="1:6" x14ac:dyDescent="0.2">
      <c r="A1618" t="s">
        <v>985</v>
      </c>
      <c r="B1618" s="1">
        <v>49.8125</v>
      </c>
      <c r="C1618">
        <v>102673320</v>
      </c>
      <c r="D1618" s="1">
        <v>49.865000000000002</v>
      </c>
      <c r="E1618" s="1">
        <v>50.342500000000001</v>
      </c>
      <c r="F1618" s="1">
        <v>49.64</v>
      </c>
    </row>
    <row r="1619" spans="1:6" x14ac:dyDescent="0.2">
      <c r="A1619" t="s">
        <v>986</v>
      </c>
      <c r="B1619" s="1">
        <v>49.807499999999997</v>
      </c>
      <c r="C1619">
        <v>70096600</v>
      </c>
      <c r="D1619" s="1">
        <v>49.645000000000003</v>
      </c>
      <c r="E1619" s="1">
        <v>49.962499999999999</v>
      </c>
      <c r="F1619" s="1">
        <v>49.502499999999998</v>
      </c>
    </row>
    <row r="1620" spans="1:6" x14ac:dyDescent="0.2">
      <c r="A1620" s="2">
        <v>43803</v>
      </c>
      <c r="B1620" s="1">
        <v>49.717500000000001</v>
      </c>
      <c r="C1620">
        <v>110954320</v>
      </c>
      <c r="D1620" s="1">
        <v>49.8</v>
      </c>
      <c r="E1620" s="1">
        <v>50.034999999999997</v>
      </c>
      <c r="F1620" s="1">
        <v>49.052500000000002</v>
      </c>
    </row>
    <row r="1621" spans="1:6" x14ac:dyDescent="0.2">
      <c r="A1621" s="2">
        <v>43773</v>
      </c>
      <c r="B1621" s="1">
        <v>49.737499999999997</v>
      </c>
      <c r="C1621">
        <v>82172760</v>
      </c>
      <c r="D1621" s="1">
        <v>50.212499999999999</v>
      </c>
      <c r="E1621" s="1">
        <v>50.25</v>
      </c>
      <c r="F1621" s="1">
        <v>49.610799999999998</v>
      </c>
    </row>
    <row r="1622" spans="1:6" x14ac:dyDescent="0.2">
      <c r="A1622" s="2">
        <v>43742</v>
      </c>
      <c r="B1622" s="1">
        <v>50.155000000000001</v>
      </c>
      <c r="C1622">
        <v>86619000</v>
      </c>
      <c r="D1622" s="1">
        <v>49.67</v>
      </c>
      <c r="E1622" s="1">
        <v>50.185000000000002</v>
      </c>
      <c r="F1622" s="1">
        <v>49.545000000000002</v>
      </c>
    </row>
    <row r="1623" spans="1:6" x14ac:dyDescent="0.2">
      <c r="A1623" s="2">
        <v>43712</v>
      </c>
      <c r="B1623" s="1">
        <v>49.875</v>
      </c>
      <c r="C1623">
        <v>142953120</v>
      </c>
      <c r="D1623" s="1">
        <v>50.08</v>
      </c>
      <c r="E1623" s="1">
        <v>50.712499999999999</v>
      </c>
      <c r="F1623" s="1">
        <v>49.807499999999997</v>
      </c>
    </row>
    <row r="1624" spans="1:6" x14ac:dyDescent="0.2">
      <c r="A1624" s="2">
        <v>43681</v>
      </c>
      <c r="B1624" s="1">
        <v>50.024999999999999</v>
      </c>
      <c r="C1624">
        <v>103319520</v>
      </c>
      <c r="D1624" s="1">
        <v>49.104999999999997</v>
      </c>
      <c r="E1624" s="1">
        <v>50.057499999999997</v>
      </c>
      <c r="F1624" s="1">
        <v>49.085000000000001</v>
      </c>
    </row>
    <row r="1625" spans="1:6" x14ac:dyDescent="0.2">
      <c r="A1625" s="2">
        <v>43589</v>
      </c>
      <c r="B1625" s="1">
        <v>49.25</v>
      </c>
      <c r="C1625">
        <v>73892280</v>
      </c>
      <c r="D1625" s="1">
        <v>49.112499999999997</v>
      </c>
      <c r="E1625" s="1">
        <v>49.274999999999999</v>
      </c>
      <c r="F1625" s="1">
        <v>48.982500000000002</v>
      </c>
    </row>
    <row r="1626" spans="1:6" x14ac:dyDescent="0.2">
      <c r="A1626" s="2">
        <v>43559</v>
      </c>
      <c r="B1626" s="1">
        <v>48.922499999999999</v>
      </c>
      <c r="C1626">
        <v>76360200</v>
      </c>
      <c r="D1626" s="1">
        <v>48.697499999999998</v>
      </c>
      <c r="E1626" s="1">
        <v>49.092500000000001</v>
      </c>
      <c r="F1626" s="1">
        <v>48.284999999999997</v>
      </c>
    </row>
    <row r="1627" spans="1:6" x14ac:dyDescent="0.2">
      <c r="A1627" s="2">
        <v>43528</v>
      </c>
      <c r="B1627" s="1">
        <v>48.837499999999999</v>
      </c>
      <c r="C1627">
        <v>92972640</v>
      </c>
      <c r="D1627" s="1">
        <v>48.3125</v>
      </c>
      <c r="E1627" s="1">
        <v>49.125</v>
      </c>
      <c r="F1627" s="1">
        <v>48.287500000000001</v>
      </c>
    </row>
    <row r="1628" spans="1:6" x14ac:dyDescent="0.2">
      <c r="A1628" s="2">
        <v>43500</v>
      </c>
      <c r="B1628" s="1">
        <v>48.505000000000003</v>
      </c>
      <c r="C1628">
        <v>90909480</v>
      </c>
      <c r="D1628" s="1">
        <v>47.772500000000001</v>
      </c>
      <c r="E1628" s="1">
        <v>48.615000000000002</v>
      </c>
      <c r="F1628" s="1">
        <v>47.762500000000003</v>
      </c>
    </row>
    <row r="1629" spans="1:6" x14ac:dyDescent="0.2">
      <c r="A1629" s="2">
        <v>43469</v>
      </c>
      <c r="B1629" s="1">
        <v>47.81</v>
      </c>
      <c r="C1629">
        <v>109232800</v>
      </c>
      <c r="D1629" s="1">
        <v>47.91</v>
      </c>
      <c r="E1629" s="1">
        <v>47.92</v>
      </c>
      <c r="F1629" s="1">
        <v>47.094999999999999</v>
      </c>
    </row>
    <row r="1630" spans="1:6" x14ac:dyDescent="0.2">
      <c r="A1630" t="s">
        <v>987</v>
      </c>
      <c r="B1630" s="1">
        <v>47.487499999999997</v>
      </c>
      <c r="C1630">
        <v>94099320</v>
      </c>
      <c r="D1630" s="1">
        <v>47.457500000000003</v>
      </c>
      <c r="E1630" s="1">
        <v>47.52</v>
      </c>
      <c r="F1630" s="1">
        <v>47.134999999999998</v>
      </c>
    </row>
    <row r="1631" spans="1:6" x14ac:dyDescent="0.2">
      <c r="A1631" t="s">
        <v>988</v>
      </c>
      <c r="B1631" s="1">
        <v>47.18</v>
      </c>
      <c r="C1631">
        <v>82841560</v>
      </c>
      <c r="D1631" s="1">
        <v>47.237499999999997</v>
      </c>
      <c r="E1631" s="1">
        <v>47.389699999999998</v>
      </c>
      <c r="F1631" s="1">
        <v>46.8825</v>
      </c>
    </row>
    <row r="1632" spans="1:6" x14ac:dyDescent="0.2">
      <c r="A1632" t="s">
        <v>989</v>
      </c>
      <c r="B1632" s="1">
        <v>47.1175</v>
      </c>
      <c r="C1632">
        <v>119084840</v>
      </c>
      <c r="D1632" s="1">
        <v>47.1875</v>
      </c>
      <c r="E1632" s="1">
        <v>47.44</v>
      </c>
      <c r="F1632" s="1">
        <v>46.637500000000003</v>
      </c>
    </row>
    <row r="1633" spans="1:6" x14ac:dyDescent="0.2">
      <c r="A1633" t="s">
        <v>990</v>
      </c>
      <c r="B1633" s="1">
        <v>46.697499999999998</v>
      </c>
      <c r="C1633">
        <v>198784400</v>
      </c>
      <c r="D1633" s="1">
        <v>47.915999999999997</v>
      </c>
      <c r="E1633" s="1">
        <v>48.22</v>
      </c>
      <c r="F1633" s="1">
        <v>46.145000000000003</v>
      </c>
    </row>
    <row r="1634" spans="1:6" x14ac:dyDescent="0.2">
      <c r="A1634" t="s">
        <v>991</v>
      </c>
      <c r="B1634" s="1">
        <v>47.185000000000002</v>
      </c>
      <c r="C1634">
        <v>175007240</v>
      </c>
      <c r="D1634" s="1">
        <v>47.877499999999998</v>
      </c>
      <c r="E1634" s="1">
        <v>47.994999999999997</v>
      </c>
      <c r="F1634" s="1">
        <v>46.65</v>
      </c>
    </row>
    <row r="1635" spans="1:6" x14ac:dyDescent="0.2">
      <c r="A1635" t="s">
        <v>992</v>
      </c>
      <c r="B1635" s="1">
        <v>47.762500000000003</v>
      </c>
      <c r="C1635">
        <v>169150560</v>
      </c>
      <c r="D1635" s="1">
        <v>48.835000000000001</v>
      </c>
      <c r="E1635" s="1">
        <v>49.422499999999999</v>
      </c>
      <c r="F1635" s="1">
        <v>47.695</v>
      </c>
    </row>
    <row r="1636" spans="1:6" x14ac:dyDescent="0.2">
      <c r="A1636" t="s">
        <v>993</v>
      </c>
      <c r="B1636" s="1">
        <v>48.772500000000001</v>
      </c>
      <c r="C1636">
        <v>203772480</v>
      </c>
      <c r="D1636" s="1">
        <v>47.505000000000003</v>
      </c>
      <c r="E1636" s="1">
        <v>49.082500000000003</v>
      </c>
      <c r="F1636" s="1">
        <v>47.452500000000001</v>
      </c>
    </row>
    <row r="1637" spans="1:6" x14ac:dyDescent="0.2">
      <c r="A1637" t="s">
        <v>994</v>
      </c>
      <c r="B1637" s="1">
        <v>47.04</v>
      </c>
      <c r="C1637">
        <v>124013520</v>
      </c>
      <c r="D1637" s="1">
        <v>46.557499999999997</v>
      </c>
      <c r="E1637" s="1">
        <v>47.372500000000002</v>
      </c>
      <c r="F1637" s="1">
        <v>46.182499999999997</v>
      </c>
    </row>
    <row r="1638" spans="1:6" x14ac:dyDescent="0.2">
      <c r="A1638" t="s">
        <v>995</v>
      </c>
      <c r="B1638" s="1">
        <v>46.6325</v>
      </c>
      <c r="C1638">
        <v>125761200</v>
      </c>
      <c r="D1638" s="1">
        <v>47.087499999999999</v>
      </c>
      <c r="E1638" s="1">
        <v>47.247500000000002</v>
      </c>
      <c r="F1638" s="1">
        <v>46.48</v>
      </c>
    </row>
    <row r="1639" spans="1:6" x14ac:dyDescent="0.2">
      <c r="A1639" t="s">
        <v>996</v>
      </c>
      <c r="B1639" s="1">
        <v>47.005000000000003</v>
      </c>
      <c r="C1639">
        <v>104594360</v>
      </c>
      <c r="D1639" s="1">
        <v>46.45</v>
      </c>
      <c r="E1639" s="1">
        <v>47.097499999999997</v>
      </c>
      <c r="F1639" s="1">
        <v>46.447499999999998</v>
      </c>
    </row>
    <row r="1640" spans="1:6" x14ac:dyDescent="0.2">
      <c r="A1640" t="s">
        <v>997</v>
      </c>
      <c r="B1640" s="1">
        <v>46.53</v>
      </c>
      <c r="C1640">
        <v>156069960</v>
      </c>
      <c r="D1640" s="1">
        <v>46.212499999999999</v>
      </c>
      <c r="E1640" s="1">
        <v>46.832500000000003</v>
      </c>
      <c r="F1640" s="1">
        <v>45.935000000000002</v>
      </c>
    </row>
    <row r="1641" spans="1:6" x14ac:dyDescent="0.2">
      <c r="A1641" t="s">
        <v>998</v>
      </c>
      <c r="B1641" s="1">
        <v>45.932499999999997</v>
      </c>
      <c r="C1641">
        <v>94110640</v>
      </c>
      <c r="D1641" s="1">
        <v>45.975000000000001</v>
      </c>
      <c r="E1641" s="1">
        <v>46.024999999999999</v>
      </c>
      <c r="F1641" s="1">
        <v>45.64</v>
      </c>
    </row>
    <row r="1642" spans="1:6" x14ac:dyDescent="0.2">
      <c r="A1642" t="s">
        <v>999</v>
      </c>
      <c r="B1642" s="1">
        <v>45.427500000000002</v>
      </c>
      <c r="C1642">
        <v>123718960</v>
      </c>
      <c r="D1642" s="1">
        <v>45.5625</v>
      </c>
      <c r="E1642" s="1">
        <v>45.825000000000003</v>
      </c>
      <c r="F1642" s="1">
        <v>45.23</v>
      </c>
    </row>
    <row r="1643" spans="1:6" x14ac:dyDescent="0.2">
      <c r="A1643" s="2">
        <v>43802</v>
      </c>
      <c r="B1643" s="1">
        <v>45.227499999999999</v>
      </c>
      <c r="C1643">
        <v>129667200</v>
      </c>
      <c r="D1643" s="1">
        <v>45</v>
      </c>
      <c r="E1643" s="1">
        <v>45.667499999999997</v>
      </c>
      <c r="F1643" s="1">
        <v>44.842500000000001</v>
      </c>
    </row>
    <row r="1644" spans="1:6" x14ac:dyDescent="0.2">
      <c r="A1644" s="2">
        <v>43772</v>
      </c>
      <c r="B1644" s="1">
        <v>44.725000000000001</v>
      </c>
      <c r="C1644">
        <v>124492000</v>
      </c>
      <c r="D1644" s="1">
        <v>43.872500000000002</v>
      </c>
      <c r="E1644" s="1">
        <v>44.78</v>
      </c>
      <c r="F1644" s="1">
        <v>43.837499999999999</v>
      </c>
    </row>
    <row r="1645" spans="1:6" x14ac:dyDescent="0.2">
      <c r="A1645" s="2">
        <v>43680</v>
      </c>
      <c r="B1645" s="1">
        <v>43.227499999999999</v>
      </c>
      <c r="C1645">
        <v>95943840</v>
      </c>
      <c r="D1645" s="1">
        <v>42.58</v>
      </c>
      <c r="E1645" s="1">
        <v>43.267499999999998</v>
      </c>
      <c r="F1645" s="1">
        <v>42.375</v>
      </c>
    </row>
    <row r="1646" spans="1:6" x14ac:dyDescent="0.2">
      <c r="A1646" s="2">
        <v>43649</v>
      </c>
      <c r="B1646" s="1">
        <v>43.125</v>
      </c>
      <c r="C1646">
        <v>99021880</v>
      </c>
      <c r="D1646" s="1">
        <v>43.467500000000001</v>
      </c>
      <c r="E1646" s="1">
        <v>43.61</v>
      </c>
      <c r="F1646" s="1">
        <v>43.005000000000003</v>
      </c>
    </row>
    <row r="1647" spans="1:6" x14ac:dyDescent="0.2">
      <c r="A1647" s="2">
        <v>43619</v>
      </c>
      <c r="B1647" s="1">
        <v>43.63</v>
      </c>
      <c r="C1647">
        <v>83020560</v>
      </c>
      <c r="D1647" s="1">
        <v>43.667499999999997</v>
      </c>
      <c r="E1647" s="1">
        <v>43.872500000000002</v>
      </c>
      <c r="F1647" s="1">
        <v>43.484999999999999</v>
      </c>
    </row>
    <row r="1648" spans="1:6" x14ac:dyDescent="0.2">
      <c r="A1648" s="2">
        <v>43588</v>
      </c>
      <c r="B1648" s="1">
        <v>43.8825</v>
      </c>
      <c r="C1648">
        <v>76953920</v>
      </c>
      <c r="D1648" s="1">
        <v>43.984999999999999</v>
      </c>
      <c r="E1648" s="1">
        <v>44</v>
      </c>
      <c r="F1648" s="1">
        <v>43.634999999999998</v>
      </c>
    </row>
    <row r="1649" spans="1:6" x14ac:dyDescent="0.2">
      <c r="A1649" s="2">
        <v>43558</v>
      </c>
      <c r="B1649" s="1">
        <v>43.962499999999999</v>
      </c>
      <c r="C1649">
        <v>109652240</v>
      </c>
      <c r="D1649" s="1">
        <v>43.922499999999999</v>
      </c>
      <c r="E1649" s="1">
        <v>44.4375</v>
      </c>
      <c r="F1649" s="1">
        <v>43.4925</v>
      </c>
    </row>
    <row r="1650" spans="1:6" x14ac:dyDescent="0.2">
      <c r="A1650" s="2">
        <v>43468</v>
      </c>
      <c r="B1650" s="1">
        <v>43.7425</v>
      </c>
      <c r="C1650">
        <v>102950240</v>
      </c>
      <c r="D1650" s="1">
        <v>43.57</v>
      </c>
      <c r="E1650" s="1">
        <v>43.787500000000001</v>
      </c>
      <c r="F1650" s="1">
        <v>43.222499999999997</v>
      </c>
    </row>
    <row r="1651" spans="1:6" x14ac:dyDescent="0.2">
      <c r="A1651" t="s">
        <v>1000</v>
      </c>
      <c r="B1651" s="1">
        <v>43.287500000000001</v>
      </c>
      <c r="C1651">
        <v>111815240</v>
      </c>
      <c r="D1651" s="1">
        <v>43.58</v>
      </c>
      <c r="E1651" s="1">
        <v>43.727499999999999</v>
      </c>
      <c r="F1651" s="1">
        <v>43.23</v>
      </c>
    </row>
    <row r="1652" spans="1:6" x14ac:dyDescent="0.2">
      <c r="A1652" t="s">
        <v>1001</v>
      </c>
      <c r="B1652" s="1">
        <v>43.717500000000001</v>
      </c>
      <c r="C1652">
        <v>111270560</v>
      </c>
      <c r="D1652" s="1">
        <v>43.302500000000002</v>
      </c>
      <c r="E1652" s="1">
        <v>43.75</v>
      </c>
      <c r="F1652" s="1">
        <v>43.182499999999997</v>
      </c>
    </row>
    <row r="1653" spans="1:6" x14ac:dyDescent="0.2">
      <c r="A1653" t="s">
        <v>1002</v>
      </c>
      <c r="B1653" s="1">
        <v>43.582500000000003</v>
      </c>
      <c r="C1653">
        <v>67966440</v>
      </c>
      <c r="D1653" s="1">
        <v>43.427500000000002</v>
      </c>
      <c r="E1653" s="1">
        <v>43.825000000000003</v>
      </c>
      <c r="F1653" s="1">
        <v>43.293300000000002</v>
      </c>
    </row>
    <row r="1654" spans="1:6" x14ac:dyDescent="0.2">
      <c r="A1654" t="s">
        <v>1003</v>
      </c>
      <c r="B1654" s="1">
        <v>43.557499999999997</v>
      </c>
      <c r="C1654">
        <v>87385600</v>
      </c>
      <c r="D1654" s="1">
        <v>43.54</v>
      </c>
      <c r="E1654" s="1">
        <v>43.967500000000001</v>
      </c>
      <c r="F1654" s="1">
        <v>43.487499999999997</v>
      </c>
    </row>
    <row r="1655" spans="1:6" x14ac:dyDescent="0.2">
      <c r="A1655" t="s">
        <v>1004</v>
      </c>
      <c r="B1655" s="1">
        <v>43.2425</v>
      </c>
      <c r="C1655">
        <v>75561000</v>
      </c>
      <c r="D1655" s="1">
        <v>42.895000000000003</v>
      </c>
      <c r="E1655" s="1">
        <v>43.25</v>
      </c>
      <c r="F1655" s="1">
        <v>42.844999999999999</v>
      </c>
    </row>
    <row r="1656" spans="1:6" x14ac:dyDescent="0.2">
      <c r="A1656" t="s">
        <v>1005</v>
      </c>
      <c r="B1656" s="1">
        <v>42.765000000000001</v>
      </c>
      <c r="C1656">
        <v>68618160</v>
      </c>
      <c r="D1656" s="1">
        <v>42.95</v>
      </c>
      <c r="E1656" s="1">
        <v>43.092500000000001</v>
      </c>
      <c r="F1656" s="1">
        <v>42.575000000000003</v>
      </c>
    </row>
    <row r="1657" spans="1:6" x14ac:dyDescent="0.2">
      <c r="A1657" t="s">
        <v>1006</v>
      </c>
      <c r="B1657" s="1">
        <v>43.0075</v>
      </c>
      <c r="C1657">
        <v>101295560</v>
      </c>
      <c r="D1657" s="1">
        <v>42.797499999999999</v>
      </c>
      <c r="E1657" s="1">
        <v>43.33</v>
      </c>
      <c r="F1657" s="1">
        <v>42.747500000000002</v>
      </c>
    </row>
    <row r="1658" spans="1:6" x14ac:dyDescent="0.2">
      <c r="A1658" t="s">
        <v>1007</v>
      </c>
      <c r="B1658" s="1">
        <v>42.732500000000002</v>
      </c>
      <c r="C1658">
        <v>75834280</v>
      </c>
      <c r="D1658" s="1">
        <v>42.427500000000002</v>
      </c>
      <c r="E1658" s="1">
        <v>42.86</v>
      </c>
      <c r="F1658" s="1">
        <v>42.372500000000002</v>
      </c>
    </row>
    <row r="1659" spans="1:6" x14ac:dyDescent="0.2">
      <c r="A1659" t="s">
        <v>1008</v>
      </c>
      <c r="B1659" s="1">
        <v>42.604999999999997</v>
      </c>
      <c r="C1659">
        <v>98413280</v>
      </c>
      <c r="D1659" s="1">
        <v>42.8125</v>
      </c>
      <c r="E1659" s="1">
        <v>42.924999999999997</v>
      </c>
      <c r="F1659" s="1">
        <v>42.4375</v>
      </c>
    </row>
    <row r="1660" spans="1:6" x14ac:dyDescent="0.2">
      <c r="A1660" t="s">
        <v>1009</v>
      </c>
      <c r="B1660" s="1">
        <v>42.7</v>
      </c>
      <c r="C1660">
        <v>87140720</v>
      </c>
      <c r="D1660" s="1">
        <v>42.427500000000002</v>
      </c>
      <c r="E1660" s="1">
        <v>42.815399999999997</v>
      </c>
      <c r="F1660" s="1">
        <v>42.344999999999999</v>
      </c>
    </row>
    <row r="1661" spans="1:6" x14ac:dyDescent="0.2">
      <c r="A1661" t="s">
        <v>1010</v>
      </c>
      <c r="B1661" s="1">
        <v>42.545000000000002</v>
      </c>
      <c r="C1661">
        <v>89558640</v>
      </c>
      <c r="D1661" s="1">
        <v>42.847499999999997</v>
      </c>
      <c r="E1661" s="1">
        <v>43.12</v>
      </c>
      <c r="F1661" s="1">
        <v>42.48</v>
      </c>
    </row>
    <row r="1662" spans="1:6" x14ac:dyDescent="0.2">
      <c r="A1662" s="2">
        <v>43801</v>
      </c>
      <c r="B1662" s="1">
        <v>42.722499999999997</v>
      </c>
      <c r="C1662">
        <v>88897600</v>
      </c>
      <c r="D1662" s="1">
        <v>42.524999999999999</v>
      </c>
      <c r="E1662" s="1">
        <v>42.75</v>
      </c>
      <c r="F1662" s="1">
        <v>42.424999999999997</v>
      </c>
    </row>
    <row r="1663" spans="1:6" x14ac:dyDescent="0.2">
      <c r="A1663" s="2">
        <v>43771</v>
      </c>
      <c r="B1663" s="1">
        <v>42.357500000000002</v>
      </c>
      <c r="C1663">
        <v>83760080</v>
      </c>
      <c r="D1663" s="1">
        <v>42.762500000000003</v>
      </c>
      <c r="E1663" s="1">
        <v>42.802500000000002</v>
      </c>
      <c r="F1663" s="1">
        <v>42.3125</v>
      </c>
    </row>
    <row r="1664" spans="1:6" x14ac:dyDescent="0.2">
      <c r="A1664" s="2">
        <v>43679</v>
      </c>
      <c r="B1664" s="1">
        <v>42.602499999999999</v>
      </c>
      <c r="C1664">
        <v>95175320</v>
      </c>
      <c r="D1664" s="1">
        <v>42.247500000000002</v>
      </c>
      <c r="E1664" s="1">
        <v>42.664999999999999</v>
      </c>
      <c r="F1664" s="1">
        <v>42.104999999999997</v>
      </c>
    </row>
    <row r="1665" spans="1:6" x14ac:dyDescent="0.2">
      <c r="A1665" s="2">
        <v>43648</v>
      </c>
      <c r="B1665" s="1">
        <v>42.734999999999999</v>
      </c>
      <c r="C1665">
        <v>126576960</v>
      </c>
      <c r="D1665" s="1">
        <v>43.1</v>
      </c>
      <c r="E1665" s="1">
        <v>43.484999999999999</v>
      </c>
      <c r="F1665" s="1">
        <v>42.585000000000001</v>
      </c>
    </row>
    <row r="1666" spans="1:6" x14ac:dyDescent="0.2">
      <c r="A1666" s="2">
        <v>43618</v>
      </c>
      <c r="B1666" s="1">
        <v>43.56</v>
      </c>
      <c r="C1666">
        <v>112818560</v>
      </c>
      <c r="D1666" s="1">
        <v>43.662500000000001</v>
      </c>
      <c r="E1666" s="1">
        <v>43.892499999999998</v>
      </c>
      <c r="F1666" s="1">
        <v>43.213299999999997</v>
      </c>
    </row>
    <row r="1667" spans="1:6" x14ac:dyDescent="0.2">
      <c r="A1667" s="2">
        <v>43587</v>
      </c>
      <c r="B1667" s="1">
        <v>43.545000000000002</v>
      </c>
      <c r="C1667">
        <v>144218280</v>
      </c>
      <c r="D1667" s="1">
        <v>43.215000000000003</v>
      </c>
      <c r="E1667" s="1">
        <v>43.77</v>
      </c>
      <c r="F1667" s="1">
        <v>43.087499999999999</v>
      </c>
    </row>
    <row r="1668" spans="1:6" x14ac:dyDescent="0.2">
      <c r="A1668" s="2">
        <v>43557</v>
      </c>
      <c r="B1668" s="1">
        <v>42.8125</v>
      </c>
      <c r="C1668">
        <v>125538880</v>
      </c>
      <c r="D1668" s="1">
        <v>41.852499999999999</v>
      </c>
      <c r="E1668" s="1">
        <v>42.913800000000002</v>
      </c>
      <c r="F1668" s="1">
        <v>41.82</v>
      </c>
    </row>
    <row r="1669" spans="1:6" x14ac:dyDescent="0.2">
      <c r="A1669" s="2">
        <v>43467</v>
      </c>
      <c r="B1669" s="1">
        <v>41.63</v>
      </c>
      <c r="C1669">
        <v>130578360</v>
      </c>
      <c r="D1669" s="1">
        <v>41.74</v>
      </c>
      <c r="E1669" s="1">
        <v>42.244999999999997</v>
      </c>
      <c r="F1669" s="1">
        <v>41.482500000000002</v>
      </c>
    </row>
    <row r="1670" spans="1:6" x14ac:dyDescent="0.2">
      <c r="A1670" t="s">
        <v>1011</v>
      </c>
      <c r="B1670" s="1">
        <v>41.61</v>
      </c>
      <c r="C1670">
        <v>162453040</v>
      </c>
      <c r="D1670" s="1">
        <v>41.527500000000003</v>
      </c>
      <c r="E1670" s="1">
        <v>42.25</v>
      </c>
      <c r="F1670" s="1">
        <v>41.14</v>
      </c>
    </row>
    <row r="1671" spans="1:6" x14ac:dyDescent="0.2">
      <c r="A1671" t="s">
        <v>1012</v>
      </c>
      <c r="B1671" s="1">
        <v>41.3125</v>
      </c>
      <c r="C1671">
        <v>243201920</v>
      </c>
      <c r="D1671" s="1">
        <v>40.8125</v>
      </c>
      <c r="E1671" s="1">
        <v>41.537500000000001</v>
      </c>
      <c r="F1671" s="1">
        <v>40.057499999999997</v>
      </c>
    </row>
    <row r="1672" spans="1:6" x14ac:dyDescent="0.2">
      <c r="A1672" t="s">
        <v>1013</v>
      </c>
      <c r="B1672" s="1">
        <v>38.67</v>
      </c>
      <c r="C1672">
        <v>159659400</v>
      </c>
      <c r="D1672" s="1">
        <v>39.0625</v>
      </c>
      <c r="E1672" s="1">
        <v>39.532499999999999</v>
      </c>
      <c r="F1672" s="1">
        <v>38.527500000000003</v>
      </c>
    </row>
    <row r="1673" spans="1:6" x14ac:dyDescent="0.2">
      <c r="A1673" t="s">
        <v>1014</v>
      </c>
      <c r="B1673" s="1">
        <v>39.075000000000003</v>
      </c>
      <c r="C1673">
        <v>104589120</v>
      </c>
      <c r="D1673" s="1">
        <v>38.947499999999998</v>
      </c>
      <c r="E1673" s="1">
        <v>39.082500000000003</v>
      </c>
      <c r="F1673" s="1">
        <v>38.414999999999999</v>
      </c>
    </row>
    <row r="1674" spans="1:6" x14ac:dyDescent="0.2">
      <c r="A1674" t="s">
        <v>1015</v>
      </c>
      <c r="B1674" s="1">
        <v>39.44</v>
      </c>
      <c r="C1674">
        <v>134035840</v>
      </c>
      <c r="D1674" s="1">
        <v>38.869999999999997</v>
      </c>
      <c r="E1674" s="1">
        <v>39.532499999999999</v>
      </c>
      <c r="F1674" s="1">
        <v>38.58</v>
      </c>
    </row>
    <row r="1675" spans="1:6" x14ac:dyDescent="0.2">
      <c r="A1675" t="s">
        <v>1016</v>
      </c>
      <c r="B1675" s="1">
        <v>38.174999999999997</v>
      </c>
      <c r="C1675">
        <v>101672440</v>
      </c>
      <c r="D1675" s="1">
        <v>38.527500000000003</v>
      </c>
      <c r="E1675" s="1">
        <v>38.619999999999997</v>
      </c>
      <c r="F1675" s="1">
        <v>37.935000000000002</v>
      </c>
    </row>
    <row r="1676" spans="1:6" x14ac:dyDescent="0.2">
      <c r="A1676" t="s">
        <v>1017</v>
      </c>
      <c r="B1676" s="1">
        <v>38.479999999999997</v>
      </c>
      <c r="C1676">
        <v>92186240</v>
      </c>
      <c r="D1676" s="1">
        <v>38.537500000000001</v>
      </c>
      <c r="E1676" s="1">
        <v>38.784999999999997</v>
      </c>
      <c r="F1676" s="1">
        <v>37.924999999999997</v>
      </c>
    </row>
    <row r="1677" spans="1:6" x14ac:dyDescent="0.2">
      <c r="A1677" t="s">
        <v>1018</v>
      </c>
      <c r="B1677" s="1">
        <v>38.325000000000003</v>
      </c>
      <c r="C1677">
        <v>121095960</v>
      </c>
      <c r="D1677" s="1">
        <v>39.102499999999999</v>
      </c>
      <c r="E1677" s="1">
        <v>39.182499999999997</v>
      </c>
      <c r="F1677" s="1">
        <v>38.155000000000001</v>
      </c>
    </row>
    <row r="1678" spans="1:6" x14ac:dyDescent="0.2">
      <c r="A1678" t="s">
        <v>1019</v>
      </c>
      <c r="B1678" s="1">
        <v>39.204999999999998</v>
      </c>
      <c r="C1678">
        <v>133037840</v>
      </c>
      <c r="D1678" s="1">
        <v>39.375</v>
      </c>
      <c r="E1678" s="1">
        <v>39.47</v>
      </c>
      <c r="F1678" s="1">
        <v>38.995199999999997</v>
      </c>
    </row>
    <row r="1679" spans="1:6" x14ac:dyDescent="0.2">
      <c r="A1679" t="s">
        <v>1020</v>
      </c>
      <c r="B1679" s="1">
        <v>38.965000000000003</v>
      </c>
      <c r="C1679">
        <v>118464760</v>
      </c>
      <c r="D1679" s="1">
        <v>38.549999999999997</v>
      </c>
      <c r="E1679" s="1">
        <v>39.414999999999999</v>
      </c>
      <c r="F1679" s="1">
        <v>38.314999999999998</v>
      </c>
    </row>
    <row r="1680" spans="1:6" x14ac:dyDescent="0.2">
      <c r="A1680" t="s">
        <v>1021</v>
      </c>
      <c r="B1680" s="1">
        <v>38.734999999999999</v>
      </c>
      <c r="C1680">
        <v>121932480</v>
      </c>
      <c r="D1680" s="1">
        <v>38.270000000000003</v>
      </c>
      <c r="E1680" s="1">
        <v>38.97</v>
      </c>
      <c r="F1680" s="1">
        <v>38.25</v>
      </c>
    </row>
    <row r="1681" spans="1:6" x14ac:dyDescent="0.2">
      <c r="A1681" t="s">
        <v>1022</v>
      </c>
      <c r="B1681" s="1">
        <v>38.267499999999998</v>
      </c>
      <c r="C1681">
        <v>113799760</v>
      </c>
      <c r="D1681" s="1">
        <v>37.567500000000003</v>
      </c>
      <c r="E1681" s="1">
        <v>38.347499999999997</v>
      </c>
      <c r="F1681" s="1">
        <v>37.512500000000003</v>
      </c>
    </row>
    <row r="1682" spans="1:6" x14ac:dyDescent="0.2">
      <c r="A1682" t="s">
        <v>1023</v>
      </c>
      <c r="B1682" s="1">
        <v>37.5</v>
      </c>
      <c r="C1682">
        <v>128074160</v>
      </c>
      <c r="D1682" s="1">
        <v>37.712499999999999</v>
      </c>
      <c r="E1682" s="1">
        <v>37.817500000000003</v>
      </c>
      <c r="F1682" s="1">
        <v>37.305</v>
      </c>
    </row>
    <row r="1683" spans="1:6" x14ac:dyDescent="0.2">
      <c r="A1683" s="2">
        <v>43770</v>
      </c>
      <c r="B1683" s="1">
        <v>38.072499999999998</v>
      </c>
      <c r="C1683">
        <v>107698520</v>
      </c>
      <c r="D1683" s="1">
        <v>38.22</v>
      </c>
      <c r="E1683" s="1">
        <v>38.424999999999997</v>
      </c>
      <c r="F1683" s="1">
        <v>37.877499999999998</v>
      </c>
    </row>
    <row r="1684" spans="1:6" x14ac:dyDescent="0.2">
      <c r="A1684" s="2">
        <v>43739</v>
      </c>
      <c r="B1684" s="1">
        <v>38.450000000000003</v>
      </c>
      <c r="C1684">
        <v>142644800</v>
      </c>
      <c r="D1684" s="1">
        <v>38.125</v>
      </c>
      <c r="E1684" s="1">
        <v>38.4925</v>
      </c>
      <c r="F1684" s="1">
        <v>37.715000000000003</v>
      </c>
    </row>
    <row r="1685" spans="1:6" x14ac:dyDescent="0.2">
      <c r="A1685" s="2">
        <v>43709</v>
      </c>
      <c r="B1685" s="1">
        <v>38.327500000000001</v>
      </c>
      <c r="C1685">
        <v>180137480</v>
      </c>
      <c r="D1685" s="1">
        <v>37.822499999999998</v>
      </c>
      <c r="E1685" s="1">
        <v>38.6325</v>
      </c>
      <c r="F1685" s="1">
        <v>37.407499999999999</v>
      </c>
    </row>
    <row r="1686" spans="1:6" x14ac:dyDescent="0.2">
      <c r="A1686" s="2">
        <v>43678</v>
      </c>
      <c r="B1686" s="1">
        <v>37.6875</v>
      </c>
      <c r="C1686">
        <v>162491640</v>
      </c>
      <c r="D1686" s="1">
        <v>37.39</v>
      </c>
      <c r="E1686" s="1">
        <v>37.954999999999998</v>
      </c>
      <c r="F1686" s="1">
        <v>37.130000000000003</v>
      </c>
    </row>
    <row r="1687" spans="1:6" x14ac:dyDescent="0.2">
      <c r="A1687" s="2">
        <v>43647</v>
      </c>
      <c r="B1687" s="1">
        <v>36.982500000000002</v>
      </c>
      <c r="C1687">
        <v>218285760</v>
      </c>
      <c r="D1687" s="1">
        <v>37.174999999999997</v>
      </c>
      <c r="E1687" s="1">
        <v>37.207500000000003</v>
      </c>
      <c r="F1687" s="1">
        <v>36.475000000000001</v>
      </c>
    </row>
    <row r="1688" spans="1:6" x14ac:dyDescent="0.2">
      <c r="A1688" s="2">
        <v>43556</v>
      </c>
      <c r="B1688" s="1">
        <v>37.064999999999998</v>
      </c>
      <c r="C1688">
        <v>229694600</v>
      </c>
      <c r="D1688" s="1">
        <v>36.1325</v>
      </c>
      <c r="E1688" s="1">
        <v>37.137500000000003</v>
      </c>
      <c r="F1688" s="1">
        <v>35.950000000000003</v>
      </c>
    </row>
    <row r="1689" spans="1:6" x14ac:dyDescent="0.2">
      <c r="A1689" s="2">
        <v>43525</v>
      </c>
      <c r="B1689" s="1">
        <v>35.547499999999999</v>
      </c>
      <c r="C1689">
        <v>364427360</v>
      </c>
      <c r="D1689" s="1">
        <v>35.994999999999997</v>
      </c>
      <c r="E1689" s="1">
        <v>36.43</v>
      </c>
      <c r="F1689" s="1">
        <v>35.5</v>
      </c>
    </row>
    <row r="1690" spans="1:6" x14ac:dyDescent="0.2">
      <c r="A1690" s="2">
        <v>43497</v>
      </c>
      <c r="B1690" s="1">
        <v>39.479999999999997</v>
      </c>
      <c r="C1690">
        <v>142548280</v>
      </c>
      <c r="D1690" s="1">
        <v>38.722499999999997</v>
      </c>
      <c r="E1690" s="1">
        <v>39.712499999999999</v>
      </c>
      <c r="F1690" s="1">
        <v>38.557499999999997</v>
      </c>
    </row>
    <row r="1691" spans="1:6" x14ac:dyDescent="0.2">
      <c r="A1691" t="s">
        <v>1024</v>
      </c>
      <c r="B1691" s="1">
        <v>39.435000000000002</v>
      </c>
      <c r="C1691">
        <v>137997560</v>
      </c>
      <c r="D1691" s="1">
        <v>39.6325</v>
      </c>
      <c r="E1691" s="1">
        <v>39.840000000000003</v>
      </c>
      <c r="F1691" s="1">
        <v>39.119999999999997</v>
      </c>
    </row>
    <row r="1692" spans="1:6" x14ac:dyDescent="0.2">
      <c r="A1692" t="s">
        <v>1025</v>
      </c>
      <c r="B1692" s="1">
        <v>39.057499999999997</v>
      </c>
      <c r="C1692">
        <v>166962400</v>
      </c>
      <c r="D1692" s="1">
        <v>39.375</v>
      </c>
      <c r="E1692" s="1">
        <v>39.630000000000003</v>
      </c>
      <c r="F1692" s="1">
        <v>38.637500000000003</v>
      </c>
    </row>
    <row r="1693" spans="1:6" x14ac:dyDescent="0.2">
      <c r="A1693" t="s">
        <v>1026</v>
      </c>
      <c r="B1693" s="1">
        <v>39.037500000000001</v>
      </c>
      <c r="C1693">
        <v>206435400</v>
      </c>
      <c r="D1693" s="1">
        <v>38.96</v>
      </c>
      <c r="E1693" s="1">
        <v>39.192500000000003</v>
      </c>
      <c r="F1693" s="1">
        <v>37.517499999999998</v>
      </c>
    </row>
    <row r="1694" spans="1:6" x14ac:dyDescent="0.2">
      <c r="A1694" t="s">
        <v>1027</v>
      </c>
      <c r="B1694" s="1">
        <v>39.292499999999997</v>
      </c>
      <c r="C1694">
        <v>232535400</v>
      </c>
      <c r="D1694" s="1">
        <v>37.075000000000003</v>
      </c>
      <c r="E1694" s="1">
        <v>39.307499999999997</v>
      </c>
      <c r="F1694" s="1">
        <v>36.68</v>
      </c>
    </row>
    <row r="1695" spans="1:6" x14ac:dyDescent="0.2">
      <c r="A1695" t="s">
        <v>1028</v>
      </c>
      <c r="B1695" s="1">
        <v>36.707500000000003</v>
      </c>
      <c r="C1695">
        <v>148676920</v>
      </c>
      <c r="D1695" s="1">
        <v>37.037500000000001</v>
      </c>
      <c r="E1695" s="1">
        <v>37.887500000000003</v>
      </c>
      <c r="F1695" s="1">
        <v>36.647500000000001</v>
      </c>
    </row>
    <row r="1696" spans="1:6" x14ac:dyDescent="0.2">
      <c r="A1696" t="s">
        <v>1029</v>
      </c>
      <c r="B1696" s="1">
        <v>37.682499999999997</v>
      </c>
      <c r="C1696">
        <v>381991600</v>
      </c>
      <c r="D1696" s="1">
        <v>39.215000000000003</v>
      </c>
      <c r="E1696" s="1">
        <v>39.54</v>
      </c>
      <c r="F1696" s="1">
        <v>37.407499999999999</v>
      </c>
    </row>
    <row r="1697" spans="1:6" x14ac:dyDescent="0.2">
      <c r="A1697" t="s">
        <v>1030</v>
      </c>
      <c r="B1697" s="1">
        <v>39.207500000000003</v>
      </c>
      <c r="C1697">
        <v>257592920</v>
      </c>
      <c r="D1697" s="1">
        <v>40.1</v>
      </c>
      <c r="E1697" s="1">
        <v>40.527500000000003</v>
      </c>
      <c r="F1697" s="1">
        <v>38.825000000000003</v>
      </c>
    </row>
    <row r="1698" spans="1:6" x14ac:dyDescent="0.2">
      <c r="A1698" t="s">
        <v>1031</v>
      </c>
      <c r="B1698" s="1">
        <v>40.222499999999997</v>
      </c>
      <c r="C1698">
        <v>190390680</v>
      </c>
      <c r="D1698" s="1">
        <v>41.5</v>
      </c>
      <c r="E1698" s="1">
        <v>41.862499999999997</v>
      </c>
      <c r="F1698" s="1">
        <v>39.772500000000001</v>
      </c>
    </row>
    <row r="1699" spans="1:6" x14ac:dyDescent="0.2">
      <c r="A1699" t="s">
        <v>1032</v>
      </c>
      <c r="B1699" s="1">
        <v>41.517499999999998</v>
      </c>
      <c r="C1699">
        <v>135013960</v>
      </c>
      <c r="D1699" s="1">
        <v>41.344999999999999</v>
      </c>
      <c r="E1699" s="1">
        <v>41.8825</v>
      </c>
      <c r="F1699" s="1">
        <v>41.097499999999997</v>
      </c>
    </row>
    <row r="1700" spans="1:6" x14ac:dyDescent="0.2">
      <c r="A1700" t="s">
        <v>1033</v>
      </c>
      <c r="B1700" s="1">
        <v>40.984999999999999</v>
      </c>
      <c r="C1700">
        <v>173001680</v>
      </c>
      <c r="D1700" s="1">
        <v>41.362499999999997</v>
      </c>
      <c r="E1700" s="1">
        <v>42.087499999999999</v>
      </c>
      <c r="F1700" s="1">
        <v>40.682499999999997</v>
      </c>
    </row>
    <row r="1701" spans="1:6" x14ac:dyDescent="0.2">
      <c r="A1701" t="s">
        <v>1034</v>
      </c>
      <c r="B1701" s="1">
        <v>41.37</v>
      </c>
      <c r="C1701">
        <v>162481440</v>
      </c>
      <c r="D1701" s="1">
        <v>42.25</v>
      </c>
      <c r="E1701" s="1">
        <v>42.27</v>
      </c>
      <c r="F1701" s="1">
        <v>41.32</v>
      </c>
    </row>
    <row r="1702" spans="1:6" x14ac:dyDescent="0.2">
      <c r="A1702" t="s">
        <v>1035</v>
      </c>
      <c r="B1702" s="1">
        <v>42.737499999999997</v>
      </c>
      <c r="C1702">
        <v>127016840</v>
      </c>
      <c r="D1702" s="1">
        <v>42.622500000000002</v>
      </c>
      <c r="E1702" s="1">
        <v>43.142499999999998</v>
      </c>
      <c r="F1702" s="1">
        <v>42.387500000000003</v>
      </c>
    </row>
    <row r="1703" spans="1:6" x14ac:dyDescent="0.2">
      <c r="A1703" s="2">
        <v>43446</v>
      </c>
      <c r="B1703" s="1">
        <v>42.274999999999999</v>
      </c>
      <c r="C1703">
        <v>141898720</v>
      </c>
      <c r="D1703" s="1">
        <v>42.6</v>
      </c>
      <c r="E1703" s="1">
        <v>42.98</v>
      </c>
      <c r="F1703" s="1">
        <v>42.255000000000003</v>
      </c>
    </row>
    <row r="1704" spans="1:6" x14ac:dyDescent="0.2">
      <c r="A1704" s="2">
        <v>43416</v>
      </c>
      <c r="B1704" s="1">
        <v>42.157499999999999</v>
      </c>
      <c r="C1704">
        <v>183872160</v>
      </c>
      <c r="D1704" s="1">
        <v>42.914999999999999</v>
      </c>
      <c r="E1704" s="1">
        <v>42.947499999999998</v>
      </c>
      <c r="F1704" s="1">
        <v>41.75</v>
      </c>
    </row>
    <row r="1705" spans="1:6" x14ac:dyDescent="0.2">
      <c r="A1705" s="2">
        <v>43385</v>
      </c>
      <c r="B1705" s="1">
        <v>42.4</v>
      </c>
      <c r="C1705">
        <v>247036000</v>
      </c>
      <c r="D1705" s="1">
        <v>41.25</v>
      </c>
      <c r="E1705" s="1">
        <v>42.522500000000001</v>
      </c>
      <c r="F1705" s="1">
        <v>40.832500000000003</v>
      </c>
    </row>
    <row r="1706" spans="1:6" x14ac:dyDescent="0.2">
      <c r="A1706" s="2">
        <v>43293</v>
      </c>
      <c r="B1706" s="1">
        <v>42.122500000000002</v>
      </c>
      <c r="C1706">
        <v>166714720</v>
      </c>
      <c r="D1706" s="1">
        <v>43.372500000000002</v>
      </c>
      <c r="E1706" s="1">
        <v>43.622500000000002</v>
      </c>
      <c r="F1706" s="1">
        <v>42.075000000000003</v>
      </c>
    </row>
    <row r="1707" spans="1:6" x14ac:dyDescent="0.2">
      <c r="A1707" s="2">
        <v>43263</v>
      </c>
      <c r="B1707" s="1">
        <v>43.68</v>
      </c>
      <c r="C1707">
        <v>170819640</v>
      </c>
      <c r="D1707" s="1">
        <v>42.94</v>
      </c>
      <c r="E1707" s="1">
        <v>43.695</v>
      </c>
      <c r="F1707" s="1">
        <v>42.604999999999997</v>
      </c>
    </row>
    <row r="1708" spans="1:6" x14ac:dyDescent="0.2">
      <c r="A1708" s="2">
        <v>43202</v>
      </c>
      <c r="B1708" s="1">
        <v>44.172499999999999</v>
      </c>
      <c r="C1708">
        <v>164565000</v>
      </c>
      <c r="D1708" s="1">
        <v>45.237499999999997</v>
      </c>
      <c r="E1708" s="1">
        <v>45.597499999999997</v>
      </c>
      <c r="F1708" s="1">
        <v>44.067500000000003</v>
      </c>
    </row>
    <row r="1709" spans="1:6" x14ac:dyDescent="0.2">
      <c r="A1709" s="2">
        <v>43171</v>
      </c>
      <c r="B1709" s="1">
        <v>46.204999999999998</v>
      </c>
      <c r="C1709">
        <v>162150800</v>
      </c>
      <c r="D1709" s="1">
        <v>46.115000000000002</v>
      </c>
      <c r="E1709" s="1">
        <v>46.234999999999999</v>
      </c>
      <c r="F1709" s="1">
        <v>45.302500000000002</v>
      </c>
    </row>
    <row r="1710" spans="1:6" x14ac:dyDescent="0.2">
      <c r="A1710" t="s">
        <v>1036</v>
      </c>
      <c r="B1710" s="1">
        <v>44.645000000000003</v>
      </c>
      <c r="C1710">
        <v>157697040</v>
      </c>
      <c r="D1710" s="1">
        <v>45.072499999999998</v>
      </c>
      <c r="E1710" s="1">
        <v>45.082500000000003</v>
      </c>
      <c r="F1710" s="1">
        <v>44.2575</v>
      </c>
    </row>
    <row r="1711" spans="1:6" x14ac:dyDescent="0.2">
      <c r="A1711" t="s">
        <v>1037</v>
      </c>
      <c r="B1711" s="1">
        <v>44.887500000000003</v>
      </c>
      <c r="C1711">
        <v>166094320</v>
      </c>
      <c r="D1711" s="1">
        <v>45.664999999999999</v>
      </c>
      <c r="E1711" s="1">
        <v>45.7</v>
      </c>
      <c r="F1711" s="1">
        <v>44.424999999999997</v>
      </c>
    </row>
    <row r="1712" spans="1:6" x14ac:dyDescent="0.2">
      <c r="A1712" t="s">
        <v>1038</v>
      </c>
      <c r="B1712" s="1">
        <v>45.234999999999999</v>
      </c>
      <c r="C1712">
        <v>183767000</v>
      </c>
      <c r="D1712" s="1">
        <v>44.182499999999997</v>
      </c>
      <c r="E1712" s="1">
        <v>45.322499999999998</v>
      </c>
      <c r="F1712" s="1">
        <v>43.732500000000002</v>
      </c>
    </row>
    <row r="1713" spans="1:6" x14ac:dyDescent="0.2">
      <c r="A1713" t="s">
        <v>1039</v>
      </c>
      <c r="B1713" s="1">
        <v>43.56</v>
      </c>
      <c r="C1713">
        <v>164624560</v>
      </c>
      <c r="D1713" s="1">
        <v>42.877499999999998</v>
      </c>
      <c r="E1713" s="1">
        <v>43.692500000000003</v>
      </c>
      <c r="F1713" s="1">
        <v>42.72</v>
      </c>
    </row>
    <row r="1714" spans="1:6" x14ac:dyDescent="0.2">
      <c r="A1714" t="s">
        <v>1040</v>
      </c>
      <c r="B1714" s="1">
        <v>43.655000000000001</v>
      </c>
      <c r="C1714">
        <v>178649280</v>
      </c>
      <c r="D1714" s="1">
        <v>43.56</v>
      </c>
      <c r="E1714" s="1">
        <v>43.737499999999997</v>
      </c>
      <c r="F1714" s="1">
        <v>42.564999999999998</v>
      </c>
    </row>
    <row r="1715" spans="1:6" x14ac:dyDescent="0.2">
      <c r="A1715" t="s">
        <v>1041</v>
      </c>
      <c r="B1715" s="1">
        <v>43.072499999999998</v>
      </c>
      <c r="C1715">
        <v>94495880</v>
      </c>
      <c r="D1715" s="1">
        <v>43.734999999999999</v>
      </c>
      <c r="E1715" s="1">
        <v>44.148800000000001</v>
      </c>
      <c r="F1715" s="1">
        <v>43.024999999999999</v>
      </c>
    </row>
    <row r="1716" spans="1:6" x14ac:dyDescent="0.2">
      <c r="A1716" t="s">
        <v>1042</v>
      </c>
      <c r="B1716" s="1">
        <v>44.195</v>
      </c>
      <c r="C1716">
        <v>124384960</v>
      </c>
      <c r="D1716" s="1">
        <v>44.932499999999997</v>
      </c>
      <c r="E1716" s="1">
        <v>45.067500000000003</v>
      </c>
      <c r="F1716" s="1">
        <v>44.137500000000003</v>
      </c>
    </row>
    <row r="1717" spans="1:6" x14ac:dyDescent="0.2">
      <c r="A1717" t="s">
        <v>1043</v>
      </c>
      <c r="B1717" s="1">
        <v>44.244999999999997</v>
      </c>
      <c r="C1717">
        <v>270714720</v>
      </c>
      <c r="D1717" s="1">
        <v>44.592500000000001</v>
      </c>
      <c r="E1717" s="1">
        <v>45.3675</v>
      </c>
      <c r="F1717" s="1">
        <v>43.877499999999998</v>
      </c>
    </row>
    <row r="1718" spans="1:6" x14ac:dyDescent="0.2">
      <c r="A1718" t="s">
        <v>1044</v>
      </c>
      <c r="B1718" s="1">
        <v>46.465000000000003</v>
      </c>
      <c r="C1718">
        <v>166507280</v>
      </c>
      <c r="D1718" s="1">
        <v>47.5</v>
      </c>
      <c r="E1718" s="1">
        <v>47.674999999999997</v>
      </c>
      <c r="F1718" s="1">
        <v>46.247500000000002</v>
      </c>
    </row>
    <row r="1719" spans="1:6" x14ac:dyDescent="0.2">
      <c r="A1719" t="s">
        <v>1045</v>
      </c>
      <c r="B1719" s="1">
        <v>48.3825</v>
      </c>
      <c r="C1719">
        <v>144765320</v>
      </c>
      <c r="D1719" s="1">
        <v>47.625</v>
      </c>
      <c r="E1719" s="1">
        <v>48.742400000000004</v>
      </c>
      <c r="F1719" s="1">
        <v>47.365000000000002</v>
      </c>
    </row>
    <row r="1720" spans="1:6" x14ac:dyDescent="0.2">
      <c r="A1720" t="s">
        <v>1046</v>
      </c>
      <c r="B1720" s="1">
        <v>47.852499999999999</v>
      </c>
      <c r="C1720">
        <v>185086640</v>
      </c>
      <c r="D1720" s="1">
        <v>47.097499999999997</v>
      </c>
      <c r="E1720" s="1">
        <v>47.9925</v>
      </c>
      <c r="F1720" s="1">
        <v>46.725000000000001</v>
      </c>
    </row>
    <row r="1721" spans="1:6" x14ac:dyDescent="0.2">
      <c r="A1721" t="s">
        <v>1047</v>
      </c>
      <c r="B1721" s="1">
        <v>46.7</v>
      </c>
      <c r="C1721">
        <v>242189360</v>
      </c>
      <c r="D1721" s="1">
        <v>48.475000000000001</v>
      </c>
      <c r="E1721" s="1">
        <v>48.62</v>
      </c>
      <c r="F1721" s="1">
        <v>46.482500000000002</v>
      </c>
    </row>
    <row r="1722" spans="1:6" x14ac:dyDescent="0.2">
      <c r="A1722" t="s">
        <v>1048</v>
      </c>
      <c r="B1722" s="1">
        <v>48.057499999999997</v>
      </c>
      <c r="C1722">
        <v>186902840</v>
      </c>
      <c r="D1722" s="1">
        <v>47.907499999999999</v>
      </c>
      <c r="E1722" s="1">
        <v>49.295000000000002</v>
      </c>
      <c r="F1722" s="1">
        <v>47.862499999999997</v>
      </c>
    </row>
    <row r="1723" spans="1:6" x14ac:dyDescent="0.2">
      <c r="A1723" s="2">
        <v>43445</v>
      </c>
      <c r="B1723" s="1">
        <v>48.542499999999997</v>
      </c>
      <c r="C1723">
        <v>203964120</v>
      </c>
      <c r="D1723" s="1">
        <v>49.75</v>
      </c>
      <c r="E1723" s="1">
        <v>49.962499999999999</v>
      </c>
      <c r="F1723" s="1">
        <v>48.447499999999998</v>
      </c>
    </row>
    <row r="1724" spans="1:6" x14ac:dyDescent="0.2">
      <c r="A1724" s="2">
        <v>43354</v>
      </c>
      <c r="B1724" s="1">
        <v>51.1175</v>
      </c>
      <c r="C1724">
        <v>137271040</v>
      </c>
      <c r="D1724" s="1">
        <v>51.387500000000003</v>
      </c>
      <c r="E1724" s="1">
        <v>51.502499999999998</v>
      </c>
      <c r="F1724" s="1">
        <v>50.5625</v>
      </c>
    </row>
    <row r="1725" spans="1:6" x14ac:dyDescent="0.2">
      <c r="A1725" s="2">
        <v>43323</v>
      </c>
      <c r="B1725" s="1">
        <v>52.122500000000002</v>
      </c>
      <c r="C1725">
        <v>101157080</v>
      </c>
      <c r="D1725" s="1">
        <v>52.494999999999997</v>
      </c>
      <c r="E1725" s="1">
        <v>52.53</v>
      </c>
      <c r="F1725" s="1">
        <v>51.6875</v>
      </c>
    </row>
    <row r="1726" spans="1:6" x14ac:dyDescent="0.2">
      <c r="A1726" s="2">
        <v>43292</v>
      </c>
      <c r="B1726" s="1">
        <v>52.487499999999997</v>
      </c>
      <c r="C1726">
        <v>133166560</v>
      </c>
      <c r="D1726" s="1">
        <v>51.4925</v>
      </c>
      <c r="E1726" s="1">
        <v>52.515000000000001</v>
      </c>
      <c r="F1726" s="1">
        <v>51.032499999999999</v>
      </c>
    </row>
    <row r="1727" spans="1:6" x14ac:dyDescent="0.2">
      <c r="A1727" s="2">
        <v>43262</v>
      </c>
      <c r="B1727" s="1">
        <v>50.942500000000003</v>
      </c>
      <c r="C1727">
        <v>127098880</v>
      </c>
      <c r="D1727" s="1">
        <v>50.48</v>
      </c>
      <c r="E1727" s="1">
        <v>51.18</v>
      </c>
      <c r="F1727" s="1">
        <v>50.422499999999999</v>
      </c>
    </row>
    <row r="1728" spans="1:6" x14ac:dyDescent="0.2">
      <c r="A1728" s="2">
        <v>43231</v>
      </c>
      <c r="B1728" s="1">
        <v>50.397500000000001</v>
      </c>
      <c r="C1728">
        <v>264288680</v>
      </c>
      <c r="D1728" s="1">
        <v>51.075000000000003</v>
      </c>
      <c r="E1728" s="1">
        <v>51.097499999999997</v>
      </c>
      <c r="F1728" s="1">
        <v>49.542499999999997</v>
      </c>
    </row>
    <row r="1729" spans="1:6" x14ac:dyDescent="0.2">
      <c r="A1729" s="2">
        <v>43142</v>
      </c>
      <c r="B1729" s="1">
        <v>51.87</v>
      </c>
      <c r="C1729">
        <v>364186240</v>
      </c>
      <c r="D1729" s="1">
        <v>52.387500000000003</v>
      </c>
      <c r="E1729" s="1">
        <v>53.412500000000001</v>
      </c>
      <c r="F1729" s="1">
        <v>51.357500000000002</v>
      </c>
    </row>
    <row r="1730" spans="1:6" x14ac:dyDescent="0.2">
      <c r="A1730" s="2">
        <v>43111</v>
      </c>
      <c r="B1730" s="1">
        <v>55.555</v>
      </c>
      <c r="C1730">
        <v>211816280</v>
      </c>
      <c r="D1730" s="1">
        <v>54.762500000000003</v>
      </c>
      <c r="E1730" s="1">
        <v>55.59</v>
      </c>
      <c r="F1730" s="1">
        <v>54.202500000000001</v>
      </c>
    </row>
    <row r="1731" spans="1:6" x14ac:dyDescent="0.2">
      <c r="A1731" t="s">
        <v>1049</v>
      </c>
      <c r="B1731" s="1">
        <v>54.715000000000003</v>
      </c>
      <c r="C1731">
        <v>152067240</v>
      </c>
      <c r="D1731" s="1">
        <v>54.22</v>
      </c>
      <c r="E1731" s="1">
        <v>55.112499999999997</v>
      </c>
      <c r="F1731" s="1">
        <v>54.155000000000001</v>
      </c>
    </row>
    <row r="1732" spans="1:6" x14ac:dyDescent="0.2">
      <c r="A1732" t="s">
        <v>1050</v>
      </c>
      <c r="B1732" s="1">
        <v>53.325000000000003</v>
      </c>
      <c r="C1732">
        <v>145951720</v>
      </c>
      <c r="D1732" s="1">
        <v>52.787500000000001</v>
      </c>
      <c r="E1732" s="1">
        <v>53.795000000000002</v>
      </c>
      <c r="F1732" s="1">
        <v>52.317500000000003</v>
      </c>
    </row>
    <row r="1733" spans="1:6" x14ac:dyDescent="0.2">
      <c r="A1733" t="s">
        <v>1051</v>
      </c>
      <c r="B1733" s="1">
        <v>53.06</v>
      </c>
      <c r="C1733">
        <v>182854760</v>
      </c>
      <c r="D1733" s="1">
        <v>54.797499999999999</v>
      </c>
      <c r="E1733" s="1">
        <v>54.922499999999999</v>
      </c>
      <c r="F1733" s="1">
        <v>51.522500000000001</v>
      </c>
    </row>
    <row r="1734" spans="1:6" x14ac:dyDescent="0.2">
      <c r="A1734" t="s">
        <v>1052</v>
      </c>
      <c r="B1734" s="1">
        <v>54.075000000000003</v>
      </c>
      <c r="C1734">
        <v>188766800</v>
      </c>
      <c r="D1734" s="1">
        <v>53.975000000000001</v>
      </c>
      <c r="E1734" s="1">
        <v>55.047499999999999</v>
      </c>
      <c r="F1734" s="1">
        <v>53.167499999999997</v>
      </c>
    </row>
    <row r="1735" spans="1:6" x14ac:dyDescent="0.2">
      <c r="A1735" t="s">
        <v>1053</v>
      </c>
      <c r="B1735" s="1">
        <v>54.95</v>
      </c>
      <c r="C1735">
        <v>116109360</v>
      </c>
      <c r="D1735" s="1">
        <v>54.427500000000002</v>
      </c>
      <c r="E1735" s="1">
        <v>55.344999999999999</v>
      </c>
      <c r="F1735" s="1">
        <v>54.1875</v>
      </c>
    </row>
    <row r="1736" spans="1:6" x14ac:dyDescent="0.2">
      <c r="A1736" t="s">
        <v>1054</v>
      </c>
      <c r="B1736" s="1">
        <v>53.772500000000001</v>
      </c>
      <c r="C1736">
        <v>159968480</v>
      </c>
      <c r="D1736" s="1">
        <v>55.65</v>
      </c>
      <c r="E1736" s="1">
        <v>56.057499999999997</v>
      </c>
      <c r="F1736" s="1">
        <v>53.634999999999998</v>
      </c>
    </row>
    <row r="1737" spans="1:6" x14ac:dyDescent="0.2">
      <c r="A1737" t="s">
        <v>1055</v>
      </c>
      <c r="B1737" s="1">
        <v>55.682499999999997</v>
      </c>
      <c r="C1737">
        <v>154724680</v>
      </c>
      <c r="D1737" s="1">
        <v>53.957500000000003</v>
      </c>
      <c r="E1737" s="1">
        <v>55.8125</v>
      </c>
      <c r="F1737" s="1">
        <v>53.674999999999997</v>
      </c>
    </row>
    <row r="1738" spans="1:6" x14ac:dyDescent="0.2">
      <c r="A1738" t="s">
        <v>1056</v>
      </c>
      <c r="B1738" s="1">
        <v>55.162500000000001</v>
      </c>
      <c r="C1738">
        <v>115006160</v>
      </c>
      <c r="D1738" s="1">
        <v>54.947499999999998</v>
      </c>
      <c r="E1738" s="1">
        <v>55.84</v>
      </c>
      <c r="F1738" s="1">
        <v>54.734999999999999</v>
      </c>
    </row>
    <row r="1739" spans="1:6" x14ac:dyDescent="0.2">
      <c r="A1739" t="s">
        <v>1057</v>
      </c>
      <c r="B1739" s="1">
        <v>54.827500000000001</v>
      </c>
      <c r="C1739">
        <v>131497320</v>
      </c>
      <c r="D1739" s="1">
        <v>54.515000000000001</v>
      </c>
      <c r="E1739" s="1">
        <v>55.314999999999998</v>
      </c>
      <c r="F1739" s="1">
        <v>54.357500000000002</v>
      </c>
    </row>
    <row r="1740" spans="1:6" x14ac:dyDescent="0.2">
      <c r="A1740" t="s">
        <v>1058</v>
      </c>
      <c r="B1740" s="1">
        <v>54.005000000000003</v>
      </c>
      <c r="C1740">
        <v>129557120</v>
      </c>
      <c r="D1740" s="1">
        <v>54.465000000000003</v>
      </c>
      <c r="E1740" s="1">
        <v>54.935000000000002</v>
      </c>
      <c r="F1740" s="1">
        <v>53.25</v>
      </c>
    </row>
    <row r="1741" spans="1:6" x14ac:dyDescent="0.2">
      <c r="A1741" t="s">
        <v>1059</v>
      </c>
      <c r="B1741" s="1">
        <v>55.297499999999999</v>
      </c>
      <c r="C1741">
        <v>90771520</v>
      </c>
      <c r="D1741" s="1">
        <v>55.575000000000003</v>
      </c>
      <c r="E1741" s="1">
        <v>55.66</v>
      </c>
      <c r="F1741" s="1">
        <v>54.835000000000001</v>
      </c>
    </row>
    <row r="1742" spans="1:6" x14ac:dyDescent="0.2">
      <c r="A1742" t="s">
        <v>1060</v>
      </c>
      <c r="B1742" s="1">
        <v>55.537500000000001</v>
      </c>
      <c r="C1742">
        <v>115210200</v>
      </c>
      <c r="D1742" s="1">
        <v>54.732500000000002</v>
      </c>
      <c r="E1742" s="1">
        <v>55.747500000000002</v>
      </c>
      <c r="F1742" s="1">
        <v>54.1907</v>
      </c>
    </row>
    <row r="1743" spans="1:6" x14ac:dyDescent="0.2">
      <c r="A1743" t="s">
        <v>1061</v>
      </c>
      <c r="B1743" s="1">
        <v>54.34</v>
      </c>
      <c r="C1743">
        <v>121121800</v>
      </c>
      <c r="D1743" s="1">
        <v>55.29</v>
      </c>
      <c r="E1743" s="1">
        <v>55.457500000000003</v>
      </c>
      <c r="F1743" s="1">
        <v>54.317500000000003</v>
      </c>
    </row>
    <row r="1744" spans="1:6" x14ac:dyDescent="0.2">
      <c r="A1744" s="2">
        <v>43444</v>
      </c>
      <c r="B1744" s="1">
        <v>55.527500000000003</v>
      </c>
      <c r="C1744">
        <v>157979080</v>
      </c>
      <c r="D1744" s="1">
        <v>55.104999999999997</v>
      </c>
      <c r="E1744" s="1">
        <v>55.72</v>
      </c>
      <c r="F1744" s="1">
        <v>54.21</v>
      </c>
    </row>
    <row r="1745" spans="1:6" x14ac:dyDescent="0.2">
      <c r="A1745" s="2">
        <v>43414</v>
      </c>
      <c r="B1745" s="1">
        <v>53.612499999999997</v>
      </c>
      <c r="C1745">
        <v>211609280</v>
      </c>
      <c r="D1745" s="1">
        <v>53.63</v>
      </c>
      <c r="E1745" s="1">
        <v>54.875</v>
      </c>
      <c r="F1745" s="1">
        <v>53.08</v>
      </c>
    </row>
    <row r="1746" spans="1:6" x14ac:dyDescent="0.2">
      <c r="A1746" s="2">
        <v>43383</v>
      </c>
      <c r="B1746" s="1">
        <v>54.09</v>
      </c>
      <c r="C1746">
        <v>164336280</v>
      </c>
      <c r="D1746" s="1">
        <v>56.365000000000002</v>
      </c>
      <c r="E1746" s="1">
        <v>56.587499999999999</v>
      </c>
      <c r="F1746" s="1">
        <v>54.012500000000003</v>
      </c>
    </row>
    <row r="1747" spans="1:6" x14ac:dyDescent="0.2">
      <c r="A1747" s="2">
        <v>43353</v>
      </c>
      <c r="B1747" s="1">
        <v>56.717500000000001</v>
      </c>
      <c r="C1747">
        <v>106626520</v>
      </c>
      <c r="D1747" s="1">
        <v>55.91</v>
      </c>
      <c r="E1747" s="1">
        <v>56.817500000000003</v>
      </c>
      <c r="F1747" s="1">
        <v>55.561500000000002</v>
      </c>
    </row>
    <row r="1748" spans="1:6" x14ac:dyDescent="0.2">
      <c r="A1748" s="2">
        <v>43322</v>
      </c>
      <c r="B1748" s="1">
        <v>55.942500000000003</v>
      </c>
      <c r="C1748">
        <v>115138200</v>
      </c>
      <c r="D1748" s="1">
        <v>55.552500000000002</v>
      </c>
      <c r="E1748" s="1">
        <v>56.2</v>
      </c>
      <c r="F1748" s="1">
        <v>55.05</v>
      </c>
    </row>
    <row r="1749" spans="1:6" x14ac:dyDescent="0.2">
      <c r="A1749" s="2">
        <v>43230</v>
      </c>
      <c r="B1749" s="1">
        <v>56.072499999999998</v>
      </c>
      <c r="C1749">
        <v>134031080</v>
      </c>
      <c r="D1749" s="1">
        <v>56.99</v>
      </c>
      <c r="E1749" s="1">
        <v>57.102499999999999</v>
      </c>
      <c r="F1749" s="1">
        <v>55.145000000000003</v>
      </c>
    </row>
    <row r="1750" spans="1:6" x14ac:dyDescent="0.2">
      <c r="A1750" s="2">
        <v>43200</v>
      </c>
      <c r="B1750" s="1">
        <v>56.997500000000002</v>
      </c>
      <c r="C1750">
        <v>127844480</v>
      </c>
      <c r="D1750" s="1">
        <v>57.695</v>
      </c>
      <c r="E1750" s="1">
        <v>58.087499999999999</v>
      </c>
      <c r="F1750" s="1">
        <v>56.682499999999997</v>
      </c>
    </row>
    <row r="1751" spans="1:6" x14ac:dyDescent="0.2">
      <c r="A1751" s="2">
        <v>43169</v>
      </c>
      <c r="B1751" s="1">
        <v>58.017499999999998</v>
      </c>
      <c r="C1751">
        <v>114161960</v>
      </c>
      <c r="D1751" s="1">
        <v>57.512500000000003</v>
      </c>
      <c r="E1751" s="1">
        <v>58.3675</v>
      </c>
      <c r="F1751" s="1">
        <v>57.445</v>
      </c>
    </row>
    <row r="1752" spans="1:6" x14ac:dyDescent="0.2">
      <c r="A1752" s="2">
        <v>43141</v>
      </c>
      <c r="B1752" s="1">
        <v>57.32</v>
      </c>
      <c r="C1752">
        <v>97740040</v>
      </c>
      <c r="D1752" s="1">
        <v>56.8125</v>
      </c>
      <c r="E1752" s="1">
        <v>57.5</v>
      </c>
      <c r="F1752" s="1">
        <v>56.657499999999999</v>
      </c>
    </row>
    <row r="1753" spans="1:6" x14ac:dyDescent="0.2">
      <c r="A1753" s="2">
        <v>43110</v>
      </c>
      <c r="B1753" s="1">
        <v>56.814999999999998</v>
      </c>
      <c r="C1753">
        <v>92684080</v>
      </c>
      <c r="D1753" s="1">
        <v>56.987499999999997</v>
      </c>
      <c r="E1753" s="1">
        <v>57.354999999999997</v>
      </c>
      <c r="F1753" s="1">
        <v>56.587499999999999</v>
      </c>
    </row>
    <row r="1754" spans="1:6" x14ac:dyDescent="0.2">
      <c r="A1754" t="s">
        <v>1062</v>
      </c>
      <c r="B1754" s="1">
        <v>56.435000000000002</v>
      </c>
      <c r="C1754">
        <v>90241760</v>
      </c>
      <c r="D1754" s="1">
        <v>56.197499999999998</v>
      </c>
      <c r="E1754" s="1">
        <v>56.46</v>
      </c>
      <c r="F1754" s="1">
        <v>56.005000000000003</v>
      </c>
    </row>
    <row r="1755" spans="1:6" x14ac:dyDescent="0.2">
      <c r="A1755" t="s">
        <v>1063</v>
      </c>
      <c r="B1755" s="1">
        <v>56.237499999999997</v>
      </c>
      <c r="C1755">
        <v>118917080</v>
      </c>
      <c r="D1755" s="1">
        <v>55.954999999999998</v>
      </c>
      <c r="E1755" s="1">
        <v>56.61</v>
      </c>
      <c r="F1755" s="1">
        <v>55.884999999999998</v>
      </c>
    </row>
    <row r="1756" spans="1:6" x14ac:dyDescent="0.2">
      <c r="A1756" t="s">
        <v>1064</v>
      </c>
      <c r="B1756" s="1">
        <v>55.104999999999997</v>
      </c>
      <c r="C1756">
        <v>93721480</v>
      </c>
      <c r="D1756" s="1">
        <v>55.25</v>
      </c>
      <c r="E1756" s="1">
        <v>55.9375</v>
      </c>
      <c r="F1756" s="1">
        <v>54.94</v>
      </c>
    </row>
    <row r="1757" spans="1:6" x14ac:dyDescent="0.2">
      <c r="A1757" t="s">
        <v>1065</v>
      </c>
      <c r="B1757" s="1">
        <v>55.547499999999999</v>
      </c>
      <c r="C1757">
        <v>91244560</v>
      </c>
      <c r="D1757" s="1">
        <v>54.9375</v>
      </c>
      <c r="E1757" s="1">
        <v>55.704999999999998</v>
      </c>
      <c r="F1757" s="1">
        <v>54.924999999999997</v>
      </c>
    </row>
    <row r="1758" spans="1:6" x14ac:dyDescent="0.2">
      <c r="A1758" t="s">
        <v>1066</v>
      </c>
      <c r="B1758" s="1">
        <v>55.197499999999998</v>
      </c>
      <c r="C1758">
        <v>110325080</v>
      </c>
      <c r="D1758" s="1">
        <v>54.204999999999998</v>
      </c>
      <c r="E1758" s="1">
        <v>55.314999999999998</v>
      </c>
      <c r="F1758" s="1">
        <v>54.157499999999999</v>
      </c>
    </row>
    <row r="1759" spans="1:6" x14ac:dyDescent="0.2">
      <c r="A1759" t="s">
        <v>1067</v>
      </c>
      <c r="B1759" s="1">
        <v>54.414999999999999</v>
      </c>
      <c r="C1759">
        <v>382336320</v>
      </c>
      <c r="D1759" s="1">
        <v>55.195</v>
      </c>
      <c r="E1759" s="1">
        <v>55.34</v>
      </c>
      <c r="F1759" s="1">
        <v>54.322499999999998</v>
      </c>
    </row>
    <row r="1760" spans="1:6" x14ac:dyDescent="0.2">
      <c r="A1760" t="s">
        <v>1068</v>
      </c>
      <c r="B1760" s="1">
        <v>55.0075</v>
      </c>
      <c r="C1760">
        <v>105552200</v>
      </c>
      <c r="D1760" s="1">
        <v>55.06</v>
      </c>
      <c r="E1760" s="1">
        <v>55.57</v>
      </c>
      <c r="F1760" s="1">
        <v>54.787500000000001</v>
      </c>
    </row>
    <row r="1761" spans="1:6" x14ac:dyDescent="0.2">
      <c r="A1761" t="s">
        <v>1069</v>
      </c>
      <c r="B1761" s="1">
        <v>54.592500000000001</v>
      </c>
      <c r="C1761">
        <v>107479520</v>
      </c>
      <c r="D1761" s="1">
        <v>54.625</v>
      </c>
      <c r="E1761" s="1">
        <v>54.905000000000001</v>
      </c>
      <c r="F1761" s="1">
        <v>53.825000000000003</v>
      </c>
    </row>
    <row r="1762" spans="1:6" x14ac:dyDescent="0.2">
      <c r="A1762" t="s">
        <v>1070</v>
      </c>
      <c r="B1762" s="1">
        <v>54.56</v>
      </c>
      <c r="C1762">
        <v>125982520</v>
      </c>
      <c r="D1762" s="1">
        <v>54.447499999999998</v>
      </c>
      <c r="E1762" s="1">
        <v>55.462499999999999</v>
      </c>
      <c r="F1762" s="1">
        <v>54.28</v>
      </c>
    </row>
    <row r="1763" spans="1:6" x14ac:dyDescent="0.2">
      <c r="A1763" t="s">
        <v>1071</v>
      </c>
      <c r="B1763" s="1">
        <v>54.47</v>
      </c>
      <c r="C1763">
        <v>147240480</v>
      </c>
      <c r="D1763" s="1">
        <v>55.537500000000001</v>
      </c>
      <c r="E1763" s="1">
        <v>55.737499999999997</v>
      </c>
      <c r="F1763" s="1">
        <v>54.317500000000003</v>
      </c>
    </row>
    <row r="1764" spans="1:6" x14ac:dyDescent="0.2">
      <c r="A1764" t="s">
        <v>1072</v>
      </c>
      <c r="B1764" s="1">
        <v>55.96</v>
      </c>
      <c r="C1764">
        <v>127207880</v>
      </c>
      <c r="D1764" s="1">
        <v>56.4375</v>
      </c>
      <c r="E1764" s="1">
        <v>56.71</v>
      </c>
      <c r="F1764" s="1">
        <v>55.630499999999998</v>
      </c>
    </row>
    <row r="1765" spans="1:6" x14ac:dyDescent="0.2">
      <c r="A1765" t="s">
        <v>1073</v>
      </c>
      <c r="B1765" s="1">
        <v>56.602499999999999</v>
      </c>
      <c r="C1765">
        <v>165645400</v>
      </c>
      <c r="D1765" s="1">
        <v>55.88</v>
      </c>
      <c r="E1765" s="1">
        <v>57.087499999999999</v>
      </c>
      <c r="F1765" s="1">
        <v>55.642499999999998</v>
      </c>
    </row>
    <row r="1766" spans="1:6" x14ac:dyDescent="0.2">
      <c r="A1766" s="2">
        <v>43443</v>
      </c>
      <c r="B1766" s="1">
        <v>55.267499999999998</v>
      </c>
      <c r="C1766">
        <v>196474040</v>
      </c>
      <c r="D1766" s="1">
        <v>56.234999999999999</v>
      </c>
      <c r="E1766" s="1">
        <v>56.25</v>
      </c>
      <c r="F1766" s="1">
        <v>54.96</v>
      </c>
    </row>
    <row r="1767" spans="1:6" x14ac:dyDescent="0.2">
      <c r="A1767" s="2">
        <v>43413</v>
      </c>
      <c r="B1767" s="1">
        <v>55.962499999999999</v>
      </c>
      <c r="C1767">
        <v>142578040</v>
      </c>
      <c r="D1767" s="1">
        <v>54.502499999999998</v>
      </c>
      <c r="E1767" s="1">
        <v>56.074800000000003</v>
      </c>
      <c r="F1767" s="1">
        <v>54.14</v>
      </c>
    </row>
    <row r="1768" spans="1:6" x14ac:dyDescent="0.2">
      <c r="A1768" s="2">
        <v>43382</v>
      </c>
      <c r="B1768" s="1">
        <v>54.582500000000003</v>
      </c>
      <c r="C1768">
        <v>156778880</v>
      </c>
      <c r="D1768" s="1">
        <v>55.237499999999997</v>
      </c>
      <c r="E1768" s="1">
        <v>55.462499999999999</v>
      </c>
      <c r="F1768" s="1">
        <v>54.1175</v>
      </c>
    </row>
    <row r="1769" spans="1:6" x14ac:dyDescent="0.2">
      <c r="A1769" s="2">
        <v>43290</v>
      </c>
      <c r="B1769" s="1">
        <v>55.325000000000003</v>
      </c>
      <c r="C1769">
        <v>149675640</v>
      </c>
      <c r="D1769" s="1">
        <v>55.462499999999999</v>
      </c>
      <c r="E1769" s="1">
        <v>56.342500000000001</v>
      </c>
      <c r="F1769" s="1">
        <v>55.177500000000002</v>
      </c>
    </row>
    <row r="1770" spans="1:6" x14ac:dyDescent="0.2">
      <c r="A1770" s="2">
        <v>43260</v>
      </c>
      <c r="B1770" s="1">
        <v>55.774999999999999</v>
      </c>
      <c r="C1770">
        <v>136484960</v>
      </c>
      <c r="D1770" s="1">
        <v>56.557499999999997</v>
      </c>
      <c r="E1770" s="1">
        <v>56.837499999999999</v>
      </c>
      <c r="F1770" s="1">
        <v>55.325000000000003</v>
      </c>
    </row>
    <row r="1771" spans="1:6" x14ac:dyDescent="0.2">
      <c r="A1771" s="2">
        <v>43229</v>
      </c>
      <c r="B1771" s="1">
        <v>56.717500000000001</v>
      </c>
      <c r="C1771">
        <v>133163320</v>
      </c>
      <c r="D1771" s="1">
        <v>57.247500000000002</v>
      </c>
      <c r="E1771" s="1">
        <v>57.417499999999997</v>
      </c>
      <c r="F1771" s="1">
        <v>56.274999999999999</v>
      </c>
    </row>
    <row r="1772" spans="1:6" x14ac:dyDescent="0.2">
      <c r="A1772" s="2">
        <v>43199</v>
      </c>
      <c r="B1772" s="1">
        <v>57.09</v>
      </c>
      <c r="C1772">
        <v>109455840</v>
      </c>
      <c r="D1772" s="1">
        <v>57.102499999999999</v>
      </c>
      <c r="E1772" s="1">
        <v>57.295000000000002</v>
      </c>
      <c r="F1772" s="1">
        <v>56.657499999999999</v>
      </c>
    </row>
    <row r="1773" spans="1:6" x14ac:dyDescent="0.2">
      <c r="A1773" t="s">
        <v>1074</v>
      </c>
      <c r="B1773" s="1">
        <v>56.907499999999999</v>
      </c>
      <c r="C1773">
        <v>172710160</v>
      </c>
      <c r="D1773" s="1">
        <v>56.627499999999998</v>
      </c>
      <c r="E1773" s="1">
        <v>57.217500000000001</v>
      </c>
      <c r="F1773" s="1">
        <v>56.5</v>
      </c>
    </row>
    <row r="1774" spans="1:6" x14ac:dyDescent="0.2">
      <c r="A1774" t="s">
        <v>1075</v>
      </c>
      <c r="B1774" s="1">
        <v>56.2575</v>
      </c>
      <c r="C1774">
        <v>194787840</v>
      </c>
      <c r="D1774" s="1">
        <v>55.8125</v>
      </c>
      <c r="E1774" s="1">
        <v>57.064999999999998</v>
      </c>
      <c r="F1774" s="1">
        <v>55.6</v>
      </c>
    </row>
    <row r="1775" spans="1:6" x14ac:dyDescent="0.2">
      <c r="A1775" t="s">
        <v>1076</v>
      </c>
      <c r="B1775" s="1">
        <v>55.744999999999997</v>
      </c>
      <c r="C1775">
        <v>108297040</v>
      </c>
      <c r="D1775" s="1">
        <v>55.037500000000001</v>
      </c>
      <c r="E1775" s="1">
        <v>55.872500000000002</v>
      </c>
      <c r="F1775" s="1">
        <v>54.852499999999999</v>
      </c>
    </row>
    <row r="1776" spans="1:6" x14ac:dyDescent="0.2">
      <c r="A1776" t="s">
        <v>1077</v>
      </c>
      <c r="B1776" s="1">
        <v>54.924999999999997</v>
      </c>
      <c r="C1776">
        <v>91005560</v>
      </c>
      <c r="D1776" s="1">
        <v>54.752499999999998</v>
      </c>
      <c r="E1776" s="1">
        <v>55.134999999999998</v>
      </c>
      <c r="F1776" s="1">
        <v>54.73</v>
      </c>
    </row>
    <row r="1777" spans="1:6" x14ac:dyDescent="0.2">
      <c r="A1777" t="s">
        <v>1078</v>
      </c>
      <c r="B1777" s="1">
        <v>54.484999999999999</v>
      </c>
      <c r="C1777">
        <v>81603080</v>
      </c>
      <c r="D1777" s="1">
        <v>54.287500000000001</v>
      </c>
      <c r="E1777" s="1">
        <v>54.685000000000002</v>
      </c>
      <c r="F1777" s="1">
        <v>54.082500000000003</v>
      </c>
    </row>
    <row r="1778" spans="1:6" x14ac:dyDescent="0.2">
      <c r="A1778" t="s">
        <v>1079</v>
      </c>
      <c r="B1778" s="1">
        <v>54.04</v>
      </c>
      <c r="C1778">
        <v>73830880</v>
      </c>
      <c r="D1778" s="1">
        <v>54.15</v>
      </c>
      <c r="E1778" s="1">
        <v>54.225000000000001</v>
      </c>
      <c r="F1778" s="1">
        <v>53.777500000000003</v>
      </c>
    </row>
    <row r="1779" spans="1:6" x14ac:dyDescent="0.2">
      <c r="A1779" t="s">
        <v>1080</v>
      </c>
      <c r="B1779" s="1">
        <v>53.872500000000002</v>
      </c>
      <c r="C1779">
        <v>74023120</v>
      </c>
      <c r="D1779" s="1">
        <v>53.662500000000001</v>
      </c>
      <c r="E1779" s="1">
        <v>54.262500000000003</v>
      </c>
      <c r="F1779" s="1">
        <v>53.65</v>
      </c>
    </row>
    <row r="1780" spans="1:6" x14ac:dyDescent="0.2">
      <c r="A1780" t="s">
        <v>1081</v>
      </c>
      <c r="B1780" s="1">
        <v>53.762500000000003</v>
      </c>
      <c r="C1780">
        <v>75863720</v>
      </c>
      <c r="D1780" s="1">
        <v>53.524999999999999</v>
      </c>
      <c r="E1780" s="1">
        <v>54.09</v>
      </c>
      <c r="F1780" s="1">
        <v>53.46</v>
      </c>
    </row>
    <row r="1781" spans="1:6" x14ac:dyDescent="0.2">
      <c r="A1781" t="s">
        <v>1082</v>
      </c>
      <c r="B1781" s="1">
        <v>53.76</v>
      </c>
      <c r="C1781">
        <v>102730800</v>
      </c>
      <c r="D1781" s="1">
        <v>54.2</v>
      </c>
      <c r="E1781" s="1">
        <v>54.297499999999999</v>
      </c>
      <c r="F1781" s="1">
        <v>53.506300000000003</v>
      </c>
    </row>
    <row r="1782" spans="1:6" x14ac:dyDescent="0.2">
      <c r="A1782" t="s">
        <v>1083</v>
      </c>
      <c r="B1782" s="1">
        <v>53.865000000000002</v>
      </c>
      <c r="C1782">
        <v>120597640</v>
      </c>
      <c r="D1782" s="1">
        <v>54.524999999999999</v>
      </c>
      <c r="E1782" s="1">
        <v>54.795000000000002</v>
      </c>
      <c r="F1782" s="1">
        <v>53.777500000000003</v>
      </c>
    </row>
    <row r="1783" spans="1:6" x14ac:dyDescent="0.2">
      <c r="A1783" t="s">
        <v>1084</v>
      </c>
      <c r="B1783" s="1">
        <v>54.395000000000003</v>
      </c>
      <c r="C1783">
        <v>140137640</v>
      </c>
      <c r="D1783" s="1">
        <v>53.36</v>
      </c>
      <c r="E1783" s="1">
        <v>54.487499999999997</v>
      </c>
      <c r="F1783" s="1">
        <v>53.29</v>
      </c>
    </row>
    <row r="1784" spans="1:6" x14ac:dyDescent="0.2">
      <c r="A1784" t="s">
        <v>1085</v>
      </c>
      <c r="B1784" s="1">
        <v>53.33</v>
      </c>
      <c r="C1784">
        <v>110381240</v>
      </c>
      <c r="D1784" s="1">
        <v>52.9375</v>
      </c>
      <c r="E1784" s="1">
        <v>53.453000000000003</v>
      </c>
      <c r="F1784" s="1">
        <v>52.8675</v>
      </c>
    </row>
    <row r="1785" spans="1:6" x14ac:dyDescent="0.2">
      <c r="A1785" t="s">
        <v>1086</v>
      </c>
      <c r="B1785" s="1">
        <v>52.56</v>
      </c>
      <c r="C1785">
        <v>114380920</v>
      </c>
      <c r="D1785" s="1">
        <v>52.305</v>
      </c>
      <c r="E1785" s="1">
        <v>52.685000000000002</v>
      </c>
      <c r="F1785" s="1">
        <v>52.082500000000003</v>
      </c>
    </row>
    <row r="1786" spans="1:6" x14ac:dyDescent="0.2">
      <c r="A1786" t="s">
        <v>1087</v>
      </c>
      <c r="B1786" s="1">
        <v>52.4375</v>
      </c>
      <c r="C1786">
        <v>82717080</v>
      </c>
      <c r="D1786" s="1">
        <v>52.538800000000002</v>
      </c>
      <c r="E1786" s="1">
        <v>52.64</v>
      </c>
      <c r="F1786" s="1">
        <v>52.064999999999998</v>
      </c>
    </row>
    <row r="1787" spans="1:6" x14ac:dyDescent="0.2">
      <c r="A1787" t="s">
        <v>1088</v>
      </c>
      <c r="B1787" s="1">
        <v>52.217500000000001</v>
      </c>
      <c r="C1787">
        <v>103458040</v>
      </c>
      <c r="D1787" s="1">
        <v>51.924999999999997</v>
      </c>
      <c r="E1787" s="1">
        <v>52.738</v>
      </c>
      <c r="F1787" s="1">
        <v>51.924999999999997</v>
      </c>
    </row>
    <row r="1788" spans="1:6" x14ac:dyDescent="0.2">
      <c r="A1788" s="2">
        <v>43381</v>
      </c>
      <c r="B1788" s="1">
        <v>51.8825</v>
      </c>
      <c r="C1788">
        <v>98369840</v>
      </c>
      <c r="D1788" s="1">
        <v>51.84</v>
      </c>
      <c r="E1788" s="1">
        <v>52.274999999999999</v>
      </c>
      <c r="F1788" s="1">
        <v>51.667499999999997</v>
      </c>
    </row>
    <row r="1789" spans="1:6" x14ac:dyDescent="0.2">
      <c r="A1789" s="2">
        <v>43351</v>
      </c>
      <c r="B1789" s="1">
        <v>52.22</v>
      </c>
      <c r="C1789">
        <v>93558120</v>
      </c>
      <c r="D1789" s="1">
        <v>51.82</v>
      </c>
      <c r="E1789" s="1">
        <v>52.445</v>
      </c>
      <c r="F1789" s="1">
        <v>51.8</v>
      </c>
    </row>
    <row r="1790" spans="1:6" x14ac:dyDescent="0.2">
      <c r="A1790" s="2">
        <v>43320</v>
      </c>
      <c r="B1790" s="1">
        <v>51.8125</v>
      </c>
      <c r="C1790">
        <v>89975000</v>
      </c>
      <c r="D1790" s="1">
        <v>51.512500000000003</v>
      </c>
      <c r="E1790" s="1">
        <v>51.952500000000001</v>
      </c>
      <c r="F1790" s="1">
        <v>51.13</v>
      </c>
    </row>
    <row r="1791" spans="1:6" x14ac:dyDescent="0.2">
      <c r="A1791" s="2">
        <v>43289</v>
      </c>
      <c r="B1791" s="1">
        <v>51.777500000000003</v>
      </c>
      <c r="C1791">
        <v>102102600</v>
      </c>
      <c r="D1791" s="1">
        <v>52.33</v>
      </c>
      <c r="E1791" s="1">
        <v>52.375</v>
      </c>
      <c r="F1791" s="1">
        <v>51.69</v>
      </c>
    </row>
    <row r="1792" spans="1:6" x14ac:dyDescent="0.2">
      <c r="A1792" s="2">
        <v>43259</v>
      </c>
      <c r="B1792" s="1">
        <v>52.267499999999998</v>
      </c>
      <c r="C1792">
        <v>101584400</v>
      </c>
      <c r="D1792" s="1">
        <v>52</v>
      </c>
      <c r="E1792" s="1">
        <v>52.3125</v>
      </c>
      <c r="F1792" s="1">
        <v>51.767499999999998</v>
      </c>
    </row>
    <row r="1793" spans="1:6" x14ac:dyDescent="0.2">
      <c r="A1793" s="2">
        <v>43167</v>
      </c>
      <c r="B1793" s="1">
        <v>51.997500000000002</v>
      </c>
      <c r="C1793">
        <v>133632200</v>
      </c>
      <c r="D1793" s="1">
        <v>51.7575</v>
      </c>
      <c r="E1793" s="1">
        <v>52.185000000000002</v>
      </c>
      <c r="F1793" s="1">
        <v>51.370100000000001</v>
      </c>
    </row>
    <row r="1794" spans="1:6" x14ac:dyDescent="0.2">
      <c r="A1794" s="2">
        <v>43139</v>
      </c>
      <c r="B1794" s="1">
        <v>51.847499999999997</v>
      </c>
      <c r="C1794">
        <v>249269720</v>
      </c>
      <c r="D1794" s="1">
        <v>50.145000000000003</v>
      </c>
      <c r="E1794" s="1">
        <v>52.094999999999999</v>
      </c>
      <c r="F1794" s="1">
        <v>50.087499999999999</v>
      </c>
    </row>
    <row r="1795" spans="1:6" x14ac:dyDescent="0.2">
      <c r="A1795" s="2">
        <v>43108</v>
      </c>
      <c r="B1795" s="1">
        <v>50.375</v>
      </c>
      <c r="C1795">
        <v>271249120</v>
      </c>
      <c r="D1795" s="1">
        <v>49.782499999999999</v>
      </c>
      <c r="E1795" s="1">
        <v>50.44</v>
      </c>
      <c r="F1795" s="1">
        <v>49.327500000000001</v>
      </c>
    </row>
    <row r="1796" spans="1:6" x14ac:dyDescent="0.2">
      <c r="A1796" t="s">
        <v>1089</v>
      </c>
      <c r="B1796" s="1">
        <v>47.572499999999998</v>
      </c>
      <c r="C1796">
        <v>151389040</v>
      </c>
      <c r="D1796" s="1">
        <v>47.575000000000003</v>
      </c>
      <c r="E1796" s="1">
        <v>48.034999999999997</v>
      </c>
      <c r="F1796" s="1">
        <v>47.335000000000001</v>
      </c>
    </row>
    <row r="1797" spans="1:6" x14ac:dyDescent="0.2">
      <c r="A1797" t="s">
        <v>1090</v>
      </c>
      <c r="B1797" s="1">
        <v>47.477499999999999</v>
      </c>
      <c r="C1797">
        <v>83651560</v>
      </c>
      <c r="D1797" s="1">
        <v>47.975000000000001</v>
      </c>
      <c r="E1797" s="1">
        <v>48.05</v>
      </c>
      <c r="F1797" s="1">
        <v>47.267499999999998</v>
      </c>
    </row>
    <row r="1798" spans="1:6" x14ac:dyDescent="0.2">
      <c r="A1798" t="s">
        <v>1091</v>
      </c>
      <c r="B1798" s="1">
        <v>47.744999999999997</v>
      </c>
      <c r="C1798">
        <v>95901400</v>
      </c>
      <c r="D1798" s="1">
        <v>48.747500000000002</v>
      </c>
      <c r="E1798" s="1">
        <v>48.797499999999999</v>
      </c>
      <c r="F1798" s="1">
        <v>47.524999999999999</v>
      </c>
    </row>
    <row r="1799" spans="1:6" x14ac:dyDescent="0.2">
      <c r="A1799" t="s">
        <v>1092</v>
      </c>
      <c r="B1799" s="1">
        <v>48.552500000000002</v>
      </c>
      <c r="C1799">
        <v>76020600</v>
      </c>
      <c r="D1799" s="1">
        <v>48.652500000000003</v>
      </c>
      <c r="E1799" s="1">
        <v>48.99</v>
      </c>
      <c r="F1799" s="1">
        <v>48.402500000000003</v>
      </c>
    </row>
    <row r="1800" spans="1:6" x14ac:dyDescent="0.2">
      <c r="A1800" t="s">
        <v>1093</v>
      </c>
      <c r="B1800" s="1">
        <v>48.704999999999998</v>
      </c>
      <c r="C1800">
        <v>66214000</v>
      </c>
      <c r="D1800" s="1">
        <v>48.265000000000001</v>
      </c>
      <c r="E1800" s="1">
        <v>48.712499999999999</v>
      </c>
      <c r="F1800" s="1">
        <v>48.107500000000002</v>
      </c>
    </row>
    <row r="1801" spans="1:6" x14ac:dyDescent="0.2">
      <c r="A1801" t="s">
        <v>1094</v>
      </c>
      <c r="B1801" s="1">
        <v>48.25</v>
      </c>
      <c r="C1801">
        <v>74723720</v>
      </c>
      <c r="D1801" s="1">
        <v>48.112499999999997</v>
      </c>
      <c r="E1801" s="1">
        <v>48.414999999999999</v>
      </c>
      <c r="F1801" s="1">
        <v>48.012500000000003</v>
      </c>
    </row>
    <row r="1802" spans="1:6" x14ac:dyDescent="0.2">
      <c r="A1802" t="s">
        <v>1095</v>
      </c>
      <c r="B1802" s="1">
        <v>47.902500000000003</v>
      </c>
      <c r="C1802">
        <v>63823280</v>
      </c>
      <c r="D1802" s="1">
        <v>47.67</v>
      </c>
      <c r="E1802" s="1">
        <v>47.99</v>
      </c>
      <c r="F1802" s="1">
        <v>47.39</v>
      </c>
    </row>
    <row r="1803" spans="1:6" x14ac:dyDescent="0.2">
      <c r="A1803" t="s">
        <v>1096</v>
      </c>
      <c r="B1803" s="1">
        <v>47.86</v>
      </c>
      <c r="C1803">
        <v>82683320</v>
      </c>
      <c r="D1803" s="1">
        <v>47.945</v>
      </c>
      <c r="E1803" s="1">
        <v>48.107500000000002</v>
      </c>
      <c r="F1803" s="1">
        <v>47.542499999999997</v>
      </c>
    </row>
    <row r="1804" spans="1:6" x14ac:dyDescent="0.2">
      <c r="A1804" t="s">
        <v>1097</v>
      </c>
      <c r="B1804" s="1">
        <v>47.97</v>
      </c>
      <c r="C1804">
        <v>80728200</v>
      </c>
      <c r="D1804" s="1">
        <v>47.422499999999999</v>
      </c>
      <c r="E1804" s="1">
        <v>48.137500000000003</v>
      </c>
      <c r="F1804" s="1">
        <v>47.422499999999999</v>
      </c>
    </row>
    <row r="1805" spans="1:6" x14ac:dyDescent="0.2">
      <c r="A1805" t="s">
        <v>1098</v>
      </c>
      <c r="B1805" s="1">
        <v>47.6</v>
      </c>
      <c r="C1805">
        <v>65462880</v>
      </c>
      <c r="D1805" s="1">
        <v>47.945</v>
      </c>
      <c r="E1805" s="1">
        <v>47.95</v>
      </c>
      <c r="F1805" s="1">
        <v>47.482500000000002</v>
      </c>
    </row>
    <row r="1806" spans="1:6" x14ac:dyDescent="0.2">
      <c r="A1806" t="s">
        <v>1099</v>
      </c>
      <c r="B1806" s="1">
        <v>47.862499999999997</v>
      </c>
      <c r="C1806">
        <v>62060000</v>
      </c>
      <c r="D1806" s="1">
        <v>47.4375</v>
      </c>
      <c r="E1806" s="1">
        <v>47.967500000000001</v>
      </c>
      <c r="F1806" s="1">
        <v>47.3</v>
      </c>
    </row>
    <row r="1807" spans="1:6" x14ac:dyDescent="0.2">
      <c r="A1807" t="s">
        <v>1100</v>
      </c>
      <c r="B1807" s="1">
        <v>47.727499999999999</v>
      </c>
      <c r="C1807">
        <v>60039200</v>
      </c>
      <c r="D1807" s="1">
        <v>47.88</v>
      </c>
      <c r="E1807" s="1">
        <v>48.162500000000001</v>
      </c>
      <c r="F1807" s="1">
        <v>47.603700000000003</v>
      </c>
    </row>
    <row r="1808" spans="1:6" x14ac:dyDescent="0.2">
      <c r="A1808" t="s">
        <v>1101</v>
      </c>
      <c r="B1808" s="1">
        <v>47.832500000000003</v>
      </c>
      <c r="C1808">
        <v>50027320</v>
      </c>
      <c r="D1808" s="1">
        <v>47.77</v>
      </c>
      <c r="E1808" s="1">
        <v>47.96</v>
      </c>
      <c r="F1808" s="1">
        <v>47.725000000000001</v>
      </c>
    </row>
    <row r="1809" spans="1:6" x14ac:dyDescent="0.2">
      <c r="A1809" s="2">
        <v>43441</v>
      </c>
      <c r="B1809" s="1">
        <v>47.7575</v>
      </c>
      <c r="C1809">
        <v>72000720</v>
      </c>
      <c r="D1809" s="1">
        <v>47.3825</v>
      </c>
      <c r="E1809" s="1">
        <v>47.852499999999999</v>
      </c>
      <c r="F1809" s="1">
        <v>47.327500000000001</v>
      </c>
    </row>
    <row r="1810" spans="1:6" x14ac:dyDescent="0.2">
      <c r="A1810" s="2">
        <v>43411</v>
      </c>
      <c r="B1810" s="1">
        <v>46.97</v>
      </c>
      <c r="C1810">
        <v>75105560</v>
      </c>
      <c r="D1810" s="1">
        <v>47.125</v>
      </c>
      <c r="E1810" s="1">
        <v>47.445</v>
      </c>
      <c r="F1810" s="1">
        <v>46.902500000000003</v>
      </c>
    </row>
    <row r="1811" spans="1:6" x14ac:dyDescent="0.2">
      <c r="A1811" s="2">
        <v>43380</v>
      </c>
      <c r="B1811" s="1">
        <v>47.587499999999999</v>
      </c>
      <c r="C1811">
        <v>63205480</v>
      </c>
      <c r="D1811" s="1">
        <v>47.677500000000002</v>
      </c>
      <c r="E1811" s="1">
        <v>47.82</v>
      </c>
      <c r="F1811" s="1">
        <v>47.545000000000002</v>
      </c>
    </row>
    <row r="1812" spans="1:6" x14ac:dyDescent="0.2">
      <c r="A1812" s="2">
        <v>43350</v>
      </c>
      <c r="B1812" s="1">
        <v>47.645000000000003</v>
      </c>
      <c r="C1812">
        <v>78545560</v>
      </c>
      <c r="D1812" s="1">
        <v>47.375</v>
      </c>
      <c r="E1812" s="1">
        <v>47.67</v>
      </c>
      <c r="F1812" s="1">
        <v>47.325000000000003</v>
      </c>
    </row>
    <row r="1813" spans="1:6" x14ac:dyDescent="0.2">
      <c r="A1813" s="2">
        <v>43258</v>
      </c>
      <c r="B1813" s="1">
        <v>46.9925</v>
      </c>
      <c r="C1813">
        <v>69704640</v>
      </c>
      <c r="D1813" s="1">
        <v>46.354999999999997</v>
      </c>
      <c r="E1813" s="1">
        <v>47.108499999999999</v>
      </c>
      <c r="F1813" s="1">
        <v>46.3</v>
      </c>
    </row>
    <row r="1814" spans="1:6" x14ac:dyDescent="0.2">
      <c r="A1814" s="2">
        <v>43227</v>
      </c>
      <c r="B1814" s="1">
        <v>46.35</v>
      </c>
      <c r="C1814">
        <v>66175520</v>
      </c>
      <c r="D1814" s="1">
        <v>46.314999999999998</v>
      </c>
      <c r="E1814" s="1">
        <v>46.602499999999999</v>
      </c>
      <c r="F1814" s="1">
        <v>46.07</v>
      </c>
    </row>
    <row r="1815" spans="1:6" x14ac:dyDescent="0.2">
      <c r="A1815" s="2">
        <v>43166</v>
      </c>
      <c r="B1815" s="1">
        <v>45.98</v>
      </c>
      <c r="C1815">
        <v>55819240</v>
      </c>
      <c r="D1815" s="1">
        <v>46.947499999999998</v>
      </c>
      <c r="E1815" s="1">
        <v>46.987499999999997</v>
      </c>
      <c r="F1815" s="1">
        <v>45.884999999999998</v>
      </c>
    </row>
    <row r="1816" spans="1:6" x14ac:dyDescent="0.2">
      <c r="A1816" s="2">
        <v>43138</v>
      </c>
      <c r="B1816" s="1">
        <v>46.795000000000002</v>
      </c>
      <c r="C1816">
        <v>70700840</v>
      </c>
      <c r="D1816" s="1">
        <v>45.954999999999998</v>
      </c>
      <c r="E1816" s="1">
        <v>46.825000000000003</v>
      </c>
      <c r="F1816" s="1">
        <v>45.854999999999997</v>
      </c>
    </row>
    <row r="1817" spans="1:6" x14ac:dyDescent="0.2">
      <c r="A1817" t="s">
        <v>1102</v>
      </c>
      <c r="B1817" s="1">
        <v>46.277500000000003</v>
      </c>
      <c r="C1817">
        <v>90206640</v>
      </c>
      <c r="D1817" s="1">
        <v>46.572499999999998</v>
      </c>
      <c r="E1817" s="1">
        <v>46.797499999999999</v>
      </c>
      <c r="F1817" s="1">
        <v>45.727499999999999</v>
      </c>
    </row>
    <row r="1818" spans="1:6" x14ac:dyDescent="0.2">
      <c r="A1818" t="s">
        <v>1103</v>
      </c>
      <c r="B1818" s="1">
        <v>46.375</v>
      </c>
      <c r="C1818">
        <v>69409520</v>
      </c>
      <c r="D1818" s="1">
        <v>46.024999999999999</v>
      </c>
      <c r="E1818" s="1">
        <v>46.552500000000002</v>
      </c>
      <c r="F1818" s="1">
        <v>45.95</v>
      </c>
    </row>
    <row r="1819" spans="1:6" x14ac:dyDescent="0.2">
      <c r="A1819" t="s">
        <v>1104</v>
      </c>
      <c r="B1819" s="1">
        <v>46.04</v>
      </c>
      <c r="C1819">
        <v>99949040</v>
      </c>
      <c r="D1819" s="1">
        <v>46.307000000000002</v>
      </c>
      <c r="E1819" s="1">
        <v>46.82</v>
      </c>
      <c r="F1819" s="1">
        <v>46.0075</v>
      </c>
    </row>
    <row r="1820" spans="1:6" x14ac:dyDescent="0.2">
      <c r="A1820" t="s">
        <v>1105</v>
      </c>
      <c r="B1820" s="1">
        <v>46.107500000000002</v>
      </c>
      <c r="C1820">
        <v>97513920</v>
      </c>
      <c r="D1820" s="1">
        <v>45.747500000000002</v>
      </c>
      <c r="E1820" s="1">
        <v>46.6325</v>
      </c>
      <c r="F1820" s="1">
        <v>45.634999999999998</v>
      </c>
    </row>
    <row r="1821" spans="1:6" x14ac:dyDescent="0.2">
      <c r="A1821" t="s">
        <v>1106</v>
      </c>
      <c r="B1821" s="1">
        <v>45.542499999999997</v>
      </c>
      <c r="C1821">
        <v>126529280</v>
      </c>
      <c r="D1821" s="1">
        <v>45.85</v>
      </c>
      <c r="E1821" s="1">
        <v>46.23</v>
      </c>
      <c r="F1821" s="1">
        <v>45.182499999999997</v>
      </c>
    </row>
    <row r="1822" spans="1:6" x14ac:dyDescent="0.2">
      <c r="A1822" t="s">
        <v>1107</v>
      </c>
      <c r="B1822" s="1">
        <v>46.23</v>
      </c>
      <c r="C1822">
        <v>108740520</v>
      </c>
      <c r="D1822" s="1">
        <v>46.53</v>
      </c>
      <c r="E1822" s="1">
        <v>46.537500000000001</v>
      </c>
      <c r="F1822" s="1">
        <v>46.174999999999997</v>
      </c>
    </row>
    <row r="1823" spans="1:6" x14ac:dyDescent="0.2">
      <c r="A1823" t="s">
        <v>1108</v>
      </c>
      <c r="B1823" s="1">
        <v>46.365000000000002</v>
      </c>
      <c r="C1823">
        <v>102596960</v>
      </c>
      <c r="D1823" s="1">
        <v>46.8125</v>
      </c>
      <c r="E1823" s="1">
        <v>47.087499999999999</v>
      </c>
      <c r="F1823" s="1">
        <v>46.234999999999999</v>
      </c>
    </row>
    <row r="1824" spans="1:6" x14ac:dyDescent="0.2">
      <c r="A1824" t="s">
        <v>1109</v>
      </c>
      <c r="B1824" s="1">
        <v>46.625</v>
      </c>
      <c r="C1824">
        <v>81960360</v>
      </c>
      <c r="D1824" s="1">
        <v>46.587499999999999</v>
      </c>
      <c r="E1824" s="1">
        <v>46.8</v>
      </c>
      <c r="F1824" s="1">
        <v>46.432499999999997</v>
      </c>
    </row>
    <row r="1825" spans="1:6" x14ac:dyDescent="0.2">
      <c r="A1825" t="s">
        <v>1110</v>
      </c>
      <c r="B1825" s="1">
        <v>46.422499999999999</v>
      </c>
      <c r="C1825">
        <v>134154200</v>
      </c>
      <c r="D1825" s="1">
        <v>46.284999999999997</v>
      </c>
      <c r="E1825" s="1">
        <v>46.582500000000003</v>
      </c>
      <c r="F1825" s="1">
        <v>45.862499999999997</v>
      </c>
    </row>
    <row r="1826" spans="1:6" x14ac:dyDescent="0.2">
      <c r="A1826" t="s">
        <v>1111</v>
      </c>
      <c r="B1826" s="1">
        <v>47.185000000000002</v>
      </c>
      <c r="C1826">
        <v>73833640</v>
      </c>
      <c r="D1826" s="1">
        <v>46.97</v>
      </c>
      <c r="E1826" s="1">
        <v>47.305</v>
      </c>
      <c r="F1826" s="1">
        <v>46.8</v>
      </c>
    </row>
    <row r="1827" spans="1:6" x14ac:dyDescent="0.2">
      <c r="A1827" t="s">
        <v>1112</v>
      </c>
      <c r="B1827" s="1">
        <v>47.21</v>
      </c>
      <c r="C1827">
        <v>245753160</v>
      </c>
      <c r="D1827" s="1">
        <v>47.5075</v>
      </c>
      <c r="E1827" s="1">
        <v>47.54</v>
      </c>
      <c r="F1827" s="1">
        <v>47.064999999999998</v>
      </c>
    </row>
    <row r="1828" spans="1:6" x14ac:dyDescent="0.2">
      <c r="A1828" t="s">
        <v>1113</v>
      </c>
      <c r="B1828" s="1">
        <v>47.7</v>
      </c>
      <c r="C1828">
        <v>86338880</v>
      </c>
      <c r="D1828" s="1">
        <v>47.887500000000003</v>
      </c>
      <c r="E1828" s="1">
        <v>47.892499999999998</v>
      </c>
      <c r="F1828" s="1">
        <v>47.555</v>
      </c>
    </row>
    <row r="1829" spans="1:6" x14ac:dyDescent="0.2">
      <c r="A1829" t="s">
        <v>1114</v>
      </c>
      <c r="B1829" s="1">
        <v>47.674999999999997</v>
      </c>
      <c r="C1829">
        <v>85920480</v>
      </c>
      <c r="D1829" s="1">
        <v>48.104999999999997</v>
      </c>
      <c r="E1829" s="1">
        <v>48.22</v>
      </c>
      <c r="F1829" s="1">
        <v>47.61</v>
      </c>
    </row>
    <row r="1830" spans="1:6" x14ac:dyDescent="0.2">
      <c r="A1830" s="2">
        <v>43440</v>
      </c>
      <c r="B1830" s="1">
        <v>48.07</v>
      </c>
      <c r="C1830">
        <v>67436080</v>
      </c>
      <c r="D1830" s="1">
        <v>47.846200000000003</v>
      </c>
      <c r="E1830" s="1">
        <v>48.152700000000003</v>
      </c>
      <c r="F1830" s="1">
        <v>47.787500000000001</v>
      </c>
    </row>
    <row r="1831" spans="1:6" x14ac:dyDescent="0.2">
      <c r="A1831" s="2">
        <v>43410</v>
      </c>
      <c r="B1831" s="1">
        <v>47.807499999999997</v>
      </c>
      <c r="C1831">
        <v>72279720</v>
      </c>
      <c r="D1831" s="1">
        <v>47.837499999999999</v>
      </c>
      <c r="E1831" s="1">
        <v>47.9925</v>
      </c>
      <c r="F1831" s="1">
        <v>47.552500000000002</v>
      </c>
    </row>
    <row r="1832" spans="1:6" x14ac:dyDescent="0.2">
      <c r="A1832" s="2">
        <v>43318</v>
      </c>
      <c r="B1832" s="1">
        <v>47.924999999999997</v>
      </c>
      <c r="C1832">
        <v>106322840</v>
      </c>
      <c r="D1832" s="1">
        <v>47.792499999999997</v>
      </c>
      <c r="E1832" s="1">
        <v>48</v>
      </c>
      <c r="F1832" s="1">
        <v>47.442500000000003</v>
      </c>
    </row>
    <row r="1833" spans="1:6" x14ac:dyDescent="0.2">
      <c r="A1833" s="2">
        <v>43287</v>
      </c>
      <c r="B1833" s="1">
        <v>48.365000000000002</v>
      </c>
      <c r="C1833">
        <v>85316680</v>
      </c>
      <c r="D1833" s="1">
        <v>48.534999999999997</v>
      </c>
      <c r="E1833" s="1">
        <v>48.55</v>
      </c>
      <c r="F1833" s="1">
        <v>48.083799999999997</v>
      </c>
    </row>
    <row r="1834" spans="1:6" x14ac:dyDescent="0.2">
      <c r="A1834" s="2">
        <v>43257</v>
      </c>
      <c r="B1834" s="1">
        <v>48.494999999999997</v>
      </c>
      <c r="C1834">
        <v>83651280</v>
      </c>
      <c r="D1834" s="1">
        <v>48.407499999999999</v>
      </c>
      <c r="E1834" s="1">
        <v>48.52</v>
      </c>
      <c r="F1834" s="1">
        <v>47.98</v>
      </c>
    </row>
    <row r="1835" spans="1:6" x14ac:dyDescent="0.2">
      <c r="A1835" s="2">
        <v>43226</v>
      </c>
      <c r="B1835" s="1">
        <v>48.327500000000001</v>
      </c>
      <c r="C1835">
        <v>86142280</v>
      </c>
      <c r="D1835" s="1">
        <v>48.266199999999998</v>
      </c>
      <c r="E1835" s="1">
        <v>48.484999999999999</v>
      </c>
      <c r="F1835" s="1">
        <v>48.09</v>
      </c>
    </row>
    <row r="1836" spans="1:6" x14ac:dyDescent="0.2">
      <c r="A1836" s="2">
        <v>43196</v>
      </c>
      <c r="B1836" s="1">
        <v>47.957500000000003</v>
      </c>
      <c r="C1836">
        <v>104762480</v>
      </c>
      <c r="D1836" s="1">
        <v>47.908700000000003</v>
      </c>
      <c r="E1836" s="1">
        <v>48.354999999999997</v>
      </c>
      <c r="F1836" s="1">
        <v>47.837499999999999</v>
      </c>
    </row>
    <row r="1837" spans="1:6" x14ac:dyDescent="0.2">
      <c r="A1837" s="2">
        <v>43106</v>
      </c>
      <c r="B1837" s="1">
        <v>47.56</v>
      </c>
      <c r="C1837">
        <v>93510760</v>
      </c>
      <c r="D1837" s="1">
        <v>46.997799999999998</v>
      </c>
      <c r="E1837" s="1">
        <v>47.564999999999998</v>
      </c>
      <c r="F1837" s="1">
        <v>46.9375</v>
      </c>
    </row>
    <row r="1838" spans="1:6" x14ac:dyDescent="0.2">
      <c r="A1838" t="s">
        <v>1115</v>
      </c>
      <c r="B1838" s="1">
        <v>46.717500000000001</v>
      </c>
      <c r="C1838">
        <v>109874800</v>
      </c>
      <c r="D1838" s="1">
        <v>46.805</v>
      </c>
      <c r="E1838" s="1">
        <v>47.057499999999997</v>
      </c>
      <c r="F1838" s="1">
        <v>46.534999999999997</v>
      </c>
    </row>
    <row r="1839" spans="1:6" x14ac:dyDescent="0.2">
      <c r="A1839" t="s">
        <v>1116</v>
      </c>
      <c r="B1839" s="1">
        <v>46.875</v>
      </c>
      <c r="C1839">
        <v>74013640</v>
      </c>
      <c r="D1839" s="1">
        <v>46.93</v>
      </c>
      <c r="E1839" s="1">
        <v>47</v>
      </c>
      <c r="F1839" s="1">
        <v>46.695</v>
      </c>
    </row>
    <row r="1840" spans="1:6" x14ac:dyDescent="0.2">
      <c r="A1840" t="s">
        <v>1117</v>
      </c>
      <c r="B1840" s="1">
        <v>46.975000000000001</v>
      </c>
      <c r="C1840">
        <v>89636440</v>
      </c>
      <c r="D1840" s="1">
        <v>46.9</v>
      </c>
      <c r="E1840" s="1">
        <v>47.1875</v>
      </c>
      <c r="F1840" s="1">
        <v>46.717500000000001</v>
      </c>
    </row>
    <row r="1841" spans="1:6" x14ac:dyDescent="0.2">
      <c r="A1841" t="s">
        <v>1118</v>
      </c>
      <c r="B1841" s="1">
        <v>47.145000000000003</v>
      </c>
      <c r="C1841">
        <v>68747040</v>
      </c>
      <c r="D1841" s="1">
        <v>47.057499999999997</v>
      </c>
      <c r="E1841" s="1">
        <v>47.412500000000001</v>
      </c>
      <c r="F1841" s="1">
        <v>46.912500000000001</v>
      </c>
    </row>
    <row r="1842" spans="1:6" x14ac:dyDescent="0.2">
      <c r="A1842" t="s">
        <v>1119</v>
      </c>
      <c r="B1842" s="1">
        <v>47.037500000000001</v>
      </c>
      <c r="C1842">
        <v>92517600</v>
      </c>
      <c r="D1842" s="1">
        <v>47.192500000000003</v>
      </c>
      <c r="E1842" s="1">
        <v>47.21</v>
      </c>
      <c r="F1842" s="1">
        <v>46.552500000000002</v>
      </c>
    </row>
    <row r="1843" spans="1:6" x14ac:dyDescent="0.2">
      <c r="A1843" t="s">
        <v>1120</v>
      </c>
      <c r="B1843" s="1">
        <v>47.09</v>
      </c>
      <c r="C1843">
        <v>79866360</v>
      </c>
      <c r="D1843" s="1">
        <v>46.587499999999999</v>
      </c>
      <c r="E1843" s="1">
        <v>47.125</v>
      </c>
      <c r="F1843" s="1">
        <v>46.44</v>
      </c>
    </row>
    <row r="1844" spans="1:6" x14ac:dyDescent="0.2">
      <c r="A1844" t="s">
        <v>1121</v>
      </c>
      <c r="B1844" s="1">
        <v>46.79</v>
      </c>
      <c r="C1844">
        <v>60913080</v>
      </c>
      <c r="D1844" s="1">
        <v>47.093800000000002</v>
      </c>
      <c r="E1844" s="1">
        <v>47.22</v>
      </c>
      <c r="F1844" s="1">
        <v>46.695</v>
      </c>
    </row>
    <row r="1845" spans="1:6" x14ac:dyDescent="0.2">
      <c r="A1845" t="s">
        <v>1122</v>
      </c>
      <c r="B1845" s="1">
        <v>46.907499999999999</v>
      </c>
      <c r="C1845">
        <v>73532320</v>
      </c>
      <c r="D1845" s="1">
        <v>47</v>
      </c>
      <c r="E1845" s="1">
        <v>47.317500000000003</v>
      </c>
      <c r="F1845" s="1">
        <v>46.727600000000002</v>
      </c>
    </row>
    <row r="1846" spans="1:6" x14ac:dyDescent="0.2">
      <c r="A1846" t="s">
        <v>1123</v>
      </c>
      <c r="B1846" s="1">
        <v>46.577500000000001</v>
      </c>
      <c r="C1846">
        <v>72332320</v>
      </c>
      <c r="D1846" s="1">
        <v>46.797499999999999</v>
      </c>
      <c r="E1846" s="1">
        <v>46.952599999999997</v>
      </c>
      <c r="F1846" s="1">
        <v>46.532499999999999</v>
      </c>
    </row>
    <row r="1847" spans="1:6" x14ac:dyDescent="0.2">
      <c r="A1847" t="s">
        <v>1124</v>
      </c>
      <c r="B1847" s="1">
        <v>46.747500000000002</v>
      </c>
      <c r="C1847">
        <v>68057960</v>
      </c>
      <c r="D1847" s="1">
        <v>47</v>
      </c>
      <c r="E1847" s="1">
        <v>47.227499999999999</v>
      </c>
      <c r="F1847" s="1">
        <v>46.59</v>
      </c>
    </row>
    <row r="1848" spans="1:6" x14ac:dyDescent="0.2">
      <c r="A1848" t="s">
        <v>1125</v>
      </c>
      <c r="B1848" s="1">
        <v>47.045000000000002</v>
      </c>
      <c r="C1848">
        <v>76186400</v>
      </c>
      <c r="D1848" s="1">
        <v>46.517499999999998</v>
      </c>
      <c r="E1848" s="1">
        <v>47.115000000000002</v>
      </c>
      <c r="F1848" s="1">
        <v>46.5</v>
      </c>
    </row>
    <row r="1849" spans="1:6" x14ac:dyDescent="0.2">
      <c r="A1849" t="s">
        <v>1126</v>
      </c>
      <c r="B1849" s="1">
        <v>46.61</v>
      </c>
      <c r="C1849">
        <v>94556280</v>
      </c>
      <c r="D1849" s="1">
        <v>46.695</v>
      </c>
      <c r="E1849" s="1">
        <v>46.767499999999998</v>
      </c>
      <c r="F1849" s="1">
        <v>46.274999999999999</v>
      </c>
    </row>
    <row r="1850" spans="1:6" x14ac:dyDescent="0.2">
      <c r="A1850" t="s">
        <v>1127</v>
      </c>
      <c r="B1850" s="1">
        <v>47.037500000000001</v>
      </c>
      <c r="C1850">
        <v>81572280</v>
      </c>
      <c r="D1850" s="1">
        <v>47.252499999999998</v>
      </c>
      <c r="E1850" s="1">
        <v>47.3825</v>
      </c>
      <c r="F1850" s="1">
        <v>46.965000000000003</v>
      </c>
    </row>
    <row r="1851" spans="1:6" x14ac:dyDescent="0.2">
      <c r="A1851" s="2">
        <v>43409</v>
      </c>
      <c r="B1851" s="1">
        <v>47.147500000000001</v>
      </c>
      <c r="C1851">
        <v>104671800</v>
      </c>
      <c r="D1851" s="1">
        <v>47.372500000000002</v>
      </c>
      <c r="E1851" s="1">
        <v>47.515000000000001</v>
      </c>
      <c r="F1851" s="1">
        <v>46.862499999999997</v>
      </c>
    </row>
    <row r="1852" spans="1:6" x14ac:dyDescent="0.2">
      <c r="A1852" s="2">
        <v>43378</v>
      </c>
      <c r="B1852" s="1">
        <v>47.51</v>
      </c>
      <c r="C1852">
        <v>111769720</v>
      </c>
      <c r="D1852" s="1">
        <v>46.935000000000002</v>
      </c>
      <c r="E1852" s="1">
        <v>47.592500000000001</v>
      </c>
      <c r="F1852" s="1">
        <v>46.912500000000001</v>
      </c>
    </row>
    <row r="1853" spans="1:6" x14ac:dyDescent="0.2">
      <c r="A1853" s="2">
        <v>43348</v>
      </c>
      <c r="B1853" s="1">
        <v>46.84</v>
      </c>
      <c r="C1853">
        <v>92565040</v>
      </c>
      <c r="D1853" s="1">
        <v>46.637500000000003</v>
      </c>
      <c r="E1853" s="1">
        <v>46.85</v>
      </c>
      <c r="F1853" s="1">
        <v>46.305</v>
      </c>
    </row>
    <row r="1854" spans="1:6" x14ac:dyDescent="0.2">
      <c r="A1854" s="2">
        <v>43317</v>
      </c>
      <c r="B1854" s="1">
        <v>46.512500000000003</v>
      </c>
      <c r="C1854">
        <v>112212920</v>
      </c>
      <c r="D1854" s="1">
        <v>46.247500000000002</v>
      </c>
      <c r="E1854" s="1">
        <v>46.555</v>
      </c>
      <c r="F1854" s="1">
        <v>45.916200000000003</v>
      </c>
    </row>
    <row r="1855" spans="1:6" x14ac:dyDescent="0.2">
      <c r="A1855" s="2">
        <v>43286</v>
      </c>
      <c r="B1855" s="1">
        <v>46.29</v>
      </c>
      <c r="C1855">
        <v>170230120</v>
      </c>
      <c r="D1855" s="1">
        <v>46.295000000000002</v>
      </c>
      <c r="E1855" s="1">
        <v>46.917499999999997</v>
      </c>
      <c r="F1855" s="1">
        <v>46.1875</v>
      </c>
    </row>
    <row r="1856" spans="1:6" x14ac:dyDescent="0.2">
      <c r="A1856" s="2">
        <v>43195</v>
      </c>
      <c r="B1856" s="1">
        <v>45.957500000000003</v>
      </c>
      <c r="C1856">
        <v>224548920</v>
      </c>
      <c r="D1856" s="1">
        <v>44.5625</v>
      </c>
      <c r="E1856" s="1">
        <v>46.0625</v>
      </c>
      <c r="F1856" s="1">
        <v>44.542499999999997</v>
      </c>
    </row>
    <row r="1857" spans="1:6" x14ac:dyDescent="0.2">
      <c r="A1857" s="2">
        <v>43164</v>
      </c>
      <c r="B1857" s="1">
        <v>44.222499999999997</v>
      </c>
      <c r="C1857">
        <v>135776440</v>
      </c>
      <c r="D1857" s="1">
        <v>43.97</v>
      </c>
      <c r="E1857" s="1">
        <v>44.375</v>
      </c>
      <c r="F1857" s="1">
        <v>43.610300000000002</v>
      </c>
    </row>
    <row r="1858" spans="1:6" x14ac:dyDescent="0.2">
      <c r="A1858" s="2">
        <v>43136</v>
      </c>
      <c r="B1858" s="1">
        <v>44.142499999999998</v>
      </c>
      <c r="C1858">
        <v>265818880</v>
      </c>
      <c r="D1858" s="1">
        <v>43.806199999999997</v>
      </c>
      <c r="E1858" s="1">
        <v>44.4375</v>
      </c>
      <c r="F1858" s="1">
        <v>43.45</v>
      </c>
    </row>
    <row r="1859" spans="1:6" x14ac:dyDescent="0.2">
      <c r="A1859" s="2">
        <v>43105</v>
      </c>
      <c r="B1859" s="1">
        <v>42.274999999999999</v>
      </c>
      <c r="C1859">
        <v>208915640</v>
      </c>
      <c r="D1859" s="1">
        <v>41.602499999999999</v>
      </c>
      <c r="E1859" s="1">
        <v>42.3</v>
      </c>
      <c r="F1859" s="1">
        <v>41.317500000000003</v>
      </c>
    </row>
    <row r="1860" spans="1:6" x14ac:dyDescent="0.2">
      <c r="A1860" t="s">
        <v>1128</v>
      </c>
      <c r="B1860" s="1">
        <v>41.314999999999998</v>
      </c>
      <c r="C1860">
        <v>167906000</v>
      </c>
      <c r="D1860" s="1">
        <v>40.532499999999999</v>
      </c>
      <c r="E1860" s="1">
        <v>41.814999999999998</v>
      </c>
      <c r="F1860" s="1">
        <v>40.46</v>
      </c>
    </row>
    <row r="1861" spans="1:6" x14ac:dyDescent="0.2">
      <c r="A1861" t="s">
        <v>1129</v>
      </c>
      <c r="B1861" s="1">
        <v>40.58</v>
      </c>
      <c r="C1861">
        <v>142468920</v>
      </c>
      <c r="D1861" s="1">
        <v>41</v>
      </c>
      <c r="E1861" s="1">
        <v>41.082500000000003</v>
      </c>
      <c r="F1861" s="1">
        <v>40.157499999999999</v>
      </c>
    </row>
    <row r="1862" spans="1:6" x14ac:dyDescent="0.2">
      <c r="A1862" t="s">
        <v>1130</v>
      </c>
      <c r="B1862" s="1">
        <v>41.055</v>
      </c>
      <c r="C1862">
        <v>111401480</v>
      </c>
      <c r="D1862" s="1">
        <v>41.03</v>
      </c>
      <c r="E1862" s="1">
        <v>41.432499999999997</v>
      </c>
      <c r="F1862" s="1">
        <v>40.842500000000001</v>
      </c>
    </row>
    <row r="1863" spans="1:6" x14ac:dyDescent="0.2">
      <c r="A1863" t="s">
        <v>1131</v>
      </c>
      <c r="B1863" s="1">
        <v>40.912500000000001</v>
      </c>
      <c r="C1863">
        <v>113326160</v>
      </c>
      <c r="D1863" s="1">
        <v>40.655000000000001</v>
      </c>
      <c r="E1863" s="1">
        <v>41.354999999999997</v>
      </c>
      <c r="F1863" s="1">
        <v>40.602499999999999</v>
      </c>
    </row>
    <row r="1864" spans="1:6" x14ac:dyDescent="0.2">
      <c r="A1864" t="s">
        <v>1132</v>
      </c>
      <c r="B1864" s="1">
        <v>40.734999999999999</v>
      </c>
      <c r="C1864">
        <v>134699840</v>
      </c>
      <c r="D1864" s="1">
        <v>41.417499999999997</v>
      </c>
      <c r="E1864" s="1">
        <v>41.582500000000003</v>
      </c>
      <c r="F1864" s="1">
        <v>40.305</v>
      </c>
    </row>
    <row r="1865" spans="1:6" x14ac:dyDescent="0.2">
      <c r="A1865" t="s">
        <v>1133</v>
      </c>
      <c r="B1865" s="1">
        <v>41.31</v>
      </c>
      <c r="C1865">
        <v>145586360</v>
      </c>
      <c r="D1865" s="1">
        <v>41.708799999999997</v>
      </c>
      <c r="E1865" s="1">
        <v>41.73</v>
      </c>
      <c r="F1865" s="1">
        <v>41.022500000000001</v>
      </c>
    </row>
    <row r="1866" spans="1:6" x14ac:dyDescent="0.2">
      <c r="A1866" t="s">
        <v>1134</v>
      </c>
      <c r="B1866" s="1">
        <v>41.43</v>
      </c>
      <c r="C1866">
        <v>261083800</v>
      </c>
      <c r="D1866" s="1">
        <v>42.648800000000001</v>
      </c>
      <c r="E1866" s="1">
        <v>42.804600000000001</v>
      </c>
      <c r="F1866" s="1">
        <v>41.357500000000002</v>
      </c>
    </row>
    <row r="1867" spans="1:6" x14ac:dyDescent="0.2">
      <c r="A1867" t="s">
        <v>1135</v>
      </c>
      <c r="B1867" s="1">
        <v>43.2</v>
      </c>
      <c r="C1867">
        <v>138773120</v>
      </c>
      <c r="D1867" s="1">
        <v>43.737499999999997</v>
      </c>
      <c r="E1867" s="1">
        <v>43.847499999999997</v>
      </c>
      <c r="F1867" s="1">
        <v>43.164999999999999</v>
      </c>
    </row>
    <row r="1868" spans="1:6" x14ac:dyDescent="0.2">
      <c r="A1868" t="s">
        <v>1136</v>
      </c>
      <c r="B1868" s="1">
        <v>44.46</v>
      </c>
      <c r="C1868">
        <v>82178400</v>
      </c>
      <c r="D1868" s="1">
        <v>44.452500000000001</v>
      </c>
      <c r="E1868" s="1">
        <v>44.704999999999998</v>
      </c>
      <c r="F1868" s="1">
        <v>44.22</v>
      </c>
    </row>
    <row r="1869" spans="1:6" x14ac:dyDescent="0.2">
      <c r="A1869" t="s">
        <v>1137</v>
      </c>
      <c r="B1869" s="1">
        <v>44.56</v>
      </c>
      <c r="C1869">
        <v>106300040</v>
      </c>
      <c r="D1869" s="1">
        <v>44.122500000000002</v>
      </c>
      <c r="E1869" s="1">
        <v>44.734099999999998</v>
      </c>
      <c r="F1869" s="1">
        <v>44.102499999999999</v>
      </c>
    </row>
    <row r="1870" spans="1:6" x14ac:dyDescent="0.2">
      <c r="A1870" t="s">
        <v>1138</v>
      </c>
      <c r="B1870" s="1">
        <v>43.954999999999998</v>
      </c>
      <c r="C1870">
        <v>86245280</v>
      </c>
      <c r="D1870" s="1">
        <v>43.7575</v>
      </c>
      <c r="E1870" s="1">
        <v>44.047499999999999</v>
      </c>
      <c r="F1870" s="1">
        <v>43.707500000000003</v>
      </c>
    </row>
    <row r="1871" spans="1:6" x14ac:dyDescent="0.2">
      <c r="A1871" t="s">
        <v>1139</v>
      </c>
      <c r="B1871" s="1">
        <v>43.682499999999997</v>
      </c>
      <c r="C1871">
        <v>100402040</v>
      </c>
      <c r="D1871" s="1">
        <v>43.695</v>
      </c>
      <c r="E1871" s="1">
        <v>43.96</v>
      </c>
      <c r="F1871" s="1">
        <v>43.462499999999999</v>
      </c>
    </row>
    <row r="1872" spans="1:6" x14ac:dyDescent="0.2">
      <c r="A1872" s="2">
        <v>43438</v>
      </c>
      <c r="B1872" s="1">
        <v>43.534999999999997</v>
      </c>
      <c r="C1872">
        <v>91435360</v>
      </c>
      <c r="D1872" s="1">
        <v>43.352499999999999</v>
      </c>
      <c r="E1872" s="1">
        <v>43.75</v>
      </c>
      <c r="F1872" s="1">
        <v>43.26</v>
      </c>
    </row>
    <row r="1873" spans="1:6" x14ac:dyDescent="0.2">
      <c r="A1873" s="2">
        <v>43408</v>
      </c>
      <c r="B1873" s="1">
        <v>43.11</v>
      </c>
      <c r="C1873">
        <v>89604160</v>
      </c>
      <c r="D1873" s="1">
        <v>43.057499999999997</v>
      </c>
      <c r="E1873" s="1">
        <v>43.480800000000002</v>
      </c>
      <c r="F1873" s="1">
        <v>42.924999999999997</v>
      </c>
    </row>
    <row r="1874" spans="1:6" x14ac:dyDescent="0.2">
      <c r="A1874" s="2">
        <v>43377</v>
      </c>
      <c r="B1874" s="1">
        <v>43.3125</v>
      </c>
      <c r="C1874">
        <v>114268440</v>
      </c>
      <c r="D1874" s="1">
        <v>43.25</v>
      </c>
      <c r="E1874" s="1">
        <v>43.5</v>
      </c>
      <c r="F1874" s="1">
        <v>42.8825</v>
      </c>
    </row>
    <row r="1875" spans="1:6" x14ac:dyDescent="0.2">
      <c r="A1875" s="2">
        <v>43347</v>
      </c>
      <c r="B1875" s="1">
        <v>42.512500000000003</v>
      </c>
      <c r="C1875">
        <v>115904800</v>
      </c>
      <c r="D1875" s="1">
        <v>42.47</v>
      </c>
      <c r="E1875" s="1">
        <v>43.272500000000001</v>
      </c>
      <c r="F1875" s="1">
        <v>42.461300000000001</v>
      </c>
    </row>
    <row r="1876" spans="1:6" x14ac:dyDescent="0.2">
      <c r="A1876" s="2">
        <v>43255</v>
      </c>
      <c r="B1876" s="1">
        <v>42.094999999999999</v>
      </c>
      <c r="C1876">
        <v>139798760</v>
      </c>
      <c r="D1876" s="1">
        <v>42.7425</v>
      </c>
      <c r="E1876" s="1">
        <v>43.12</v>
      </c>
      <c r="F1876" s="1">
        <v>42.05</v>
      </c>
    </row>
    <row r="1877" spans="1:6" x14ac:dyDescent="0.2">
      <c r="A1877" s="2">
        <v>43224</v>
      </c>
      <c r="B1877" s="1">
        <v>43.2</v>
      </c>
      <c r="C1877">
        <v>107001040</v>
      </c>
      <c r="D1877" s="1">
        <v>43.145000000000003</v>
      </c>
      <c r="E1877" s="1">
        <v>43.557600000000001</v>
      </c>
      <c r="F1877" s="1">
        <v>43.02</v>
      </c>
    </row>
    <row r="1878" spans="1:6" x14ac:dyDescent="0.2">
      <c r="A1878" s="2">
        <v>43194</v>
      </c>
      <c r="B1878" s="1">
        <v>42.902500000000003</v>
      </c>
      <c r="C1878">
        <v>138327400</v>
      </c>
      <c r="D1878" s="1">
        <v>41.22</v>
      </c>
      <c r="E1878" s="1">
        <v>43.002499999999998</v>
      </c>
      <c r="F1878" s="1">
        <v>41.192500000000003</v>
      </c>
    </row>
    <row r="1879" spans="1:6" x14ac:dyDescent="0.2">
      <c r="A1879" s="2">
        <v>43163</v>
      </c>
      <c r="B1879" s="1">
        <v>42.097499999999997</v>
      </c>
      <c r="C1879">
        <v>120950560</v>
      </c>
      <c r="D1879" s="1">
        <v>41.91</v>
      </c>
      <c r="E1879" s="1">
        <v>42.186399999999999</v>
      </c>
      <c r="F1879" s="1">
        <v>41.22</v>
      </c>
    </row>
    <row r="1880" spans="1:6" x14ac:dyDescent="0.2">
      <c r="A1880" s="2">
        <v>43135</v>
      </c>
      <c r="B1880" s="1">
        <v>41.67</v>
      </c>
      <c r="C1880">
        <v>149702560</v>
      </c>
      <c r="D1880" s="1">
        <v>41.97</v>
      </c>
      <c r="E1880" s="1">
        <v>42.234999999999999</v>
      </c>
      <c r="F1880" s="1">
        <v>41.1175</v>
      </c>
    </row>
    <row r="1881" spans="1:6" x14ac:dyDescent="0.2">
      <c r="A1881" t="s">
        <v>1140</v>
      </c>
      <c r="B1881" s="1">
        <v>41.945</v>
      </c>
      <c r="C1881">
        <v>152465160</v>
      </c>
      <c r="D1881" s="1">
        <v>41.951300000000003</v>
      </c>
      <c r="E1881" s="1">
        <v>42.9375</v>
      </c>
      <c r="F1881" s="1">
        <v>41.725000000000001</v>
      </c>
    </row>
    <row r="1882" spans="1:6" x14ac:dyDescent="0.2">
      <c r="A1882" t="s">
        <v>1141</v>
      </c>
      <c r="B1882" s="1">
        <v>41.62</v>
      </c>
      <c r="C1882">
        <v>165859520</v>
      </c>
      <c r="D1882" s="1">
        <v>41.8125</v>
      </c>
      <c r="E1882" s="1">
        <v>42.505000000000003</v>
      </c>
      <c r="F1882" s="1">
        <v>41.297499999999999</v>
      </c>
    </row>
    <row r="1883" spans="1:6" x14ac:dyDescent="0.2">
      <c r="A1883" t="s">
        <v>1142</v>
      </c>
      <c r="B1883" s="1">
        <v>42.085000000000001</v>
      </c>
      <c r="C1883">
        <v>159296800</v>
      </c>
      <c r="D1883" s="1">
        <v>43.42</v>
      </c>
      <c r="E1883" s="1">
        <v>43.787500000000001</v>
      </c>
      <c r="F1883" s="1">
        <v>41.73</v>
      </c>
    </row>
    <row r="1884" spans="1:6" x14ac:dyDescent="0.2">
      <c r="A1884" t="s">
        <v>1143</v>
      </c>
      <c r="B1884" s="1">
        <v>43.192500000000003</v>
      </c>
      <c r="C1884">
        <v>147114240</v>
      </c>
      <c r="D1884" s="1">
        <v>42.017499999999998</v>
      </c>
      <c r="E1884" s="1">
        <v>43.274999999999999</v>
      </c>
      <c r="F1884" s="1">
        <v>41.61</v>
      </c>
    </row>
    <row r="1885" spans="1:6" x14ac:dyDescent="0.2">
      <c r="A1885" t="s">
        <v>1144</v>
      </c>
      <c r="B1885" s="1">
        <v>41.234999999999999</v>
      </c>
      <c r="C1885">
        <v>163938160</v>
      </c>
      <c r="D1885" s="1">
        <v>42.097499999999997</v>
      </c>
      <c r="E1885" s="1">
        <v>42.48</v>
      </c>
      <c r="F1885" s="1">
        <v>41.234999999999999</v>
      </c>
    </row>
    <row r="1886" spans="1:6" x14ac:dyDescent="0.2">
      <c r="A1886" t="s">
        <v>1145</v>
      </c>
      <c r="B1886" s="1">
        <v>42.212499999999999</v>
      </c>
      <c r="C1886">
        <v>165343920</v>
      </c>
      <c r="D1886" s="1">
        <v>42.5</v>
      </c>
      <c r="E1886" s="1">
        <v>43.17</v>
      </c>
      <c r="F1886" s="1">
        <v>42.15</v>
      </c>
    </row>
    <row r="1887" spans="1:6" x14ac:dyDescent="0.2">
      <c r="A1887" t="s">
        <v>1146</v>
      </c>
      <c r="B1887" s="1">
        <v>42.817500000000003</v>
      </c>
      <c r="C1887">
        <v>145551520</v>
      </c>
      <c r="D1887" s="1">
        <v>43.76</v>
      </c>
      <c r="E1887" s="1">
        <v>43.772500000000001</v>
      </c>
      <c r="F1887" s="1">
        <v>42.814999999999998</v>
      </c>
    </row>
    <row r="1888" spans="1:6" x14ac:dyDescent="0.2">
      <c r="A1888" t="s">
        <v>1147</v>
      </c>
      <c r="B1888" s="1">
        <v>43.81</v>
      </c>
      <c r="C1888">
        <v>78482080</v>
      </c>
      <c r="D1888" s="1">
        <v>43.81</v>
      </c>
      <c r="E1888" s="1">
        <v>44.2</v>
      </c>
      <c r="F1888" s="1">
        <v>43.734999999999999</v>
      </c>
    </row>
    <row r="1889" spans="1:6" x14ac:dyDescent="0.2">
      <c r="A1889" t="s">
        <v>1148</v>
      </c>
      <c r="B1889" s="1">
        <v>43.825000000000003</v>
      </c>
      <c r="C1889">
        <v>131724440</v>
      </c>
      <c r="D1889" s="1">
        <v>44.33</v>
      </c>
      <c r="E1889" s="1">
        <v>44.3675</v>
      </c>
      <c r="F1889" s="1">
        <v>43.414999999999999</v>
      </c>
    </row>
    <row r="1890" spans="1:6" x14ac:dyDescent="0.2">
      <c r="A1890" t="s">
        <v>1149</v>
      </c>
      <c r="B1890" s="1">
        <v>44.505000000000003</v>
      </c>
      <c r="C1890">
        <v>153253320</v>
      </c>
      <c r="D1890" s="1">
        <v>44.662500000000001</v>
      </c>
      <c r="E1890" s="1">
        <v>44.78</v>
      </c>
      <c r="F1890" s="1">
        <v>44.405000000000001</v>
      </c>
    </row>
    <row r="1891" spans="1:6" x14ac:dyDescent="0.2">
      <c r="A1891" t="s">
        <v>1150</v>
      </c>
      <c r="B1891" s="1">
        <v>44.662500000000001</v>
      </c>
      <c r="C1891">
        <v>90706080</v>
      </c>
      <c r="D1891" s="1">
        <v>44.625</v>
      </c>
      <c r="E1891" s="1">
        <v>45.06</v>
      </c>
      <c r="F1891" s="1">
        <v>44.517499999999998</v>
      </c>
    </row>
    <row r="1892" spans="1:6" x14ac:dyDescent="0.2">
      <c r="A1892" t="s">
        <v>1151</v>
      </c>
      <c r="B1892" s="1">
        <v>44.61</v>
      </c>
      <c r="C1892">
        <v>117338520</v>
      </c>
      <c r="D1892" s="1">
        <v>45.08</v>
      </c>
      <c r="E1892" s="1">
        <v>45.13</v>
      </c>
      <c r="F1892" s="1">
        <v>44.452500000000001</v>
      </c>
    </row>
    <row r="1893" spans="1:6" x14ac:dyDescent="0.2">
      <c r="A1893" t="s">
        <v>1152</v>
      </c>
      <c r="B1893" s="1">
        <v>44.9925</v>
      </c>
      <c r="C1893">
        <v>125856680</v>
      </c>
      <c r="D1893" s="1">
        <v>45.647500000000001</v>
      </c>
      <c r="E1893" s="1">
        <v>45.875</v>
      </c>
      <c r="F1893" s="1">
        <v>44.81</v>
      </c>
    </row>
    <row r="1894" spans="1:6" x14ac:dyDescent="0.2">
      <c r="A1894" s="2">
        <v>43437</v>
      </c>
      <c r="B1894" s="1">
        <v>45.43</v>
      </c>
      <c r="C1894">
        <v>128764280</v>
      </c>
      <c r="D1894" s="1">
        <v>45.072499999999998</v>
      </c>
      <c r="E1894" s="1">
        <v>45.597499999999997</v>
      </c>
      <c r="F1894" s="1">
        <v>45.052500000000002</v>
      </c>
    </row>
    <row r="1895" spans="1:6" x14ac:dyDescent="0.2">
      <c r="A1895" s="2">
        <v>43346</v>
      </c>
      <c r="B1895" s="1">
        <v>44.994999999999997</v>
      </c>
      <c r="C1895">
        <v>128521440</v>
      </c>
      <c r="D1895" s="1">
        <v>44.49</v>
      </c>
      <c r="E1895" s="1">
        <v>45</v>
      </c>
      <c r="F1895" s="1">
        <v>44.347499999999997</v>
      </c>
    </row>
    <row r="1896" spans="1:6" x14ac:dyDescent="0.2">
      <c r="A1896" s="2">
        <v>43315</v>
      </c>
      <c r="B1896" s="1">
        <v>44.234999999999999</v>
      </c>
      <c r="C1896">
        <v>98075400</v>
      </c>
      <c r="D1896" s="1">
        <v>43.87</v>
      </c>
      <c r="E1896" s="1">
        <v>44.28</v>
      </c>
      <c r="F1896" s="1">
        <v>43.767499999999998</v>
      </c>
    </row>
    <row r="1897" spans="1:6" x14ac:dyDescent="0.2">
      <c r="A1897" s="2">
        <v>43284</v>
      </c>
      <c r="B1897" s="1">
        <v>43.7575</v>
      </c>
      <c r="C1897">
        <v>126745800</v>
      </c>
      <c r="D1897" s="1">
        <v>43.734999999999999</v>
      </c>
      <c r="E1897" s="1">
        <v>43.962499999999999</v>
      </c>
      <c r="F1897" s="1">
        <v>43.567500000000003</v>
      </c>
    </row>
    <row r="1898" spans="1:6" x14ac:dyDescent="0.2">
      <c r="A1898" s="2">
        <v>43254</v>
      </c>
      <c r="B1898" s="1">
        <v>44.167499999999997</v>
      </c>
      <c r="C1898">
        <v>93092640</v>
      </c>
      <c r="D1898" s="1">
        <v>44.477499999999999</v>
      </c>
      <c r="E1898" s="1">
        <v>44.5625</v>
      </c>
      <c r="F1898" s="1">
        <v>44.032499999999999</v>
      </c>
    </row>
    <row r="1899" spans="1:6" x14ac:dyDescent="0.2">
      <c r="A1899" s="2">
        <v>43223</v>
      </c>
      <c r="B1899" s="1">
        <v>44.204999999999998</v>
      </c>
      <c r="C1899">
        <v>111300560</v>
      </c>
      <c r="D1899" s="1">
        <v>43.802500000000002</v>
      </c>
      <c r="E1899" s="1">
        <v>44.435000000000002</v>
      </c>
      <c r="F1899" s="1">
        <v>43.63</v>
      </c>
    </row>
    <row r="1900" spans="1:6" x14ac:dyDescent="0.2">
      <c r="A1900" s="2">
        <v>43134</v>
      </c>
      <c r="B1900" s="1">
        <v>44.052500000000002</v>
      </c>
      <c r="C1900">
        <v>153704240</v>
      </c>
      <c r="D1900" s="1">
        <v>43.2</v>
      </c>
      <c r="E1900" s="1">
        <v>44.075000000000003</v>
      </c>
      <c r="F1900" s="1">
        <v>43.112499999999997</v>
      </c>
    </row>
    <row r="1901" spans="1:6" x14ac:dyDescent="0.2">
      <c r="A1901" s="2">
        <v>43103</v>
      </c>
      <c r="B1901" s="1">
        <v>43.75</v>
      </c>
      <c r="C1901">
        <v>194824680</v>
      </c>
      <c r="D1901" s="1">
        <v>44.634999999999998</v>
      </c>
      <c r="E1901" s="1">
        <v>44.943800000000003</v>
      </c>
      <c r="F1901" s="1">
        <v>43.164999999999999</v>
      </c>
    </row>
    <row r="1902" spans="1:6" x14ac:dyDescent="0.2">
      <c r="A1902" t="s">
        <v>1153</v>
      </c>
      <c r="B1902" s="1">
        <v>44.53</v>
      </c>
      <c r="C1902">
        <v>150272320</v>
      </c>
      <c r="D1902" s="1">
        <v>44.814999999999998</v>
      </c>
      <c r="E1902" s="1">
        <v>45.153799999999997</v>
      </c>
      <c r="F1902" s="1">
        <v>44.512500000000003</v>
      </c>
    </row>
    <row r="1903" spans="1:6" x14ac:dyDescent="0.2">
      <c r="A1903" t="s">
        <v>1154</v>
      </c>
      <c r="B1903" s="1">
        <v>44.597499999999997</v>
      </c>
      <c r="C1903">
        <v>155542040</v>
      </c>
      <c r="D1903" s="1">
        <v>44.774999999999999</v>
      </c>
      <c r="E1903" s="1">
        <v>45.12</v>
      </c>
      <c r="F1903" s="1">
        <v>44.54</v>
      </c>
    </row>
    <row r="1904" spans="1:6" x14ac:dyDescent="0.2">
      <c r="A1904" t="s">
        <v>1155</v>
      </c>
      <c r="B1904" s="1">
        <v>44.7425</v>
      </c>
      <c r="C1904">
        <v>149414680</v>
      </c>
      <c r="D1904" s="1">
        <v>44.087499999999999</v>
      </c>
      <c r="E1904" s="1">
        <v>44.847499999999997</v>
      </c>
      <c r="F1904" s="1">
        <v>44.052500000000002</v>
      </c>
    </row>
    <row r="1905" spans="1:6" x14ac:dyDescent="0.2">
      <c r="A1905" t="s">
        <v>1156</v>
      </c>
      <c r="B1905" s="1">
        <v>43.875</v>
      </c>
      <c r="C1905">
        <v>135088200</v>
      </c>
      <c r="D1905" s="1">
        <v>43.417499999999997</v>
      </c>
      <c r="E1905" s="1">
        <v>43.912500000000001</v>
      </c>
      <c r="F1905" s="1">
        <v>43.384999999999998</v>
      </c>
    </row>
    <row r="1906" spans="1:6" x14ac:dyDescent="0.2">
      <c r="A1906" t="s">
        <v>1157</v>
      </c>
      <c r="B1906" s="1">
        <v>43.125</v>
      </c>
      <c r="C1906">
        <v>123815040</v>
      </c>
      <c r="D1906" s="1">
        <v>42.95</v>
      </c>
      <c r="E1906" s="1">
        <v>43.487499999999997</v>
      </c>
      <c r="F1906" s="1">
        <v>42.927500000000002</v>
      </c>
    </row>
    <row r="1907" spans="1:6" x14ac:dyDescent="0.2">
      <c r="A1907" t="s">
        <v>1158</v>
      </c>
      <c r="B1907" s="1">
        <v>42.767499999999998</v>
      </c>
      <c r="C1907">
        <v>149512280</v>
      </c>
      <c r="D1907" s="1">
        <v>43.207500000000003</v>
      </c>
      <c r="E1907" s="1">
        <v>43.53</v>
      </c>
      <c r="F1907" s="1">
        <v>42.752499999999998</v>
      </c>
    </row>
    <row r="1908" spans="1:6" x14ac:dyDescent="0.2">
      <c r="A1908" t="s">
        <v>1159</v>
      </c>
      <c r="B1908" s="1">
        <v>42.962499999999999</v>
      </c>
      <c r="C1908">
        <v>134762640</v>
      </c>
      <c r="D1908" s="1">
        <v>43.012500000000003</v>
      </c>
      <c r="E1908" s="1">
        <v>43.564999999999998</v>
      </c>
      <c r="F1908" s="1">
        <v>42.854999999999997</v>
      </c>
    </row>
    <row r="1909" spans="1:6" x14ac:dyDescent="0.2">
      <c r="A1909" t="s">
        <v>1160</v>
      </c>
      <c r="B1909" s="1">
        <v>43.107500000000002</v>
      </c>
      <c r="C1909">
        <v>160455160</v>
      </c>
      <c r="D1909" s="1">
        <v>43.09</v>
      </c>
      <c r="E1909" s="1">
        <v>43.704999999999998</v>
      </c>
      <c r="F1909" s="1">
        <v>42.942500000000003</v>
      </c>
    </row>
    <row r="1910" spans="1:6" x14ac:dyDescent="0.2">
      <c r="A1910" t="s">
        <v>1161</v>
      </c>
      <c r="B1910" s="1">
        <v>43.247500000000002</v>
      </c>
      <c r="C1910">
        <v>203634160</v>
      </c>
      <c r="D1910" s="1">
        <v>42.447499999999998</v>
      </c>
      <c r="E1910" s="1">
        <v>43.272500000000001</v>
      </c>
      <c r="F1910" s="1">
        <v>42.25</v>
      </c>
    </row>
    <row r="1911" spans="1:6" x14ac:dyDescent="0.2">
      <c r="A1911" t="s">
        <v>1162</v>
      </c>
      <c r="B1911" s="1">
        <v>41.842500000000001</v>
      </c>
      <c r="C1911">
        <v>161531560</v>
      </c>
      <c r="D1911" s="1">
        <v>40.761200000000002</v>
      </c>
      <c r="E1911" s="1">
        <v>41.884999999999998</v>
      </c>
      <c r="F1911" s="1">
        <v>40.72</v>
      </c>
    </row>
    <row r="1912" spans="1:6" x14ac:dyDescent="0.2">
      <c r="A1912" t="s">
        <v>1163</v>
      </c>
      <c r="B1912" s="1">
        <v>41.085000000000001</v>
      </c>
      <c r="C1912">
        <v>129933240</v>
      </c>
      <c r="D1912" s="1">
        <v>40.487499999999997</v>
      </c>
      <c r="E1912" s="1">
        <v>41.1875</v>
      </c>
      <c r="F1912" s="1">
        <v>40.412500000000001</v>
      </c>
    </row>
    <row r="1913" spans="1:6" x14ac:dyDescent="0.2">
      <c r="A1913" s="2">
        <v>43436</v>
      </c>
      <c r="B1913" s="1">
        <v>40.677500000000002</v>
      </c>
      <c r="C1913">
        <v>243099600</v>
      </c>
      <c r="D1913" s="1">
        <v>39.625</v>
      </c>
      <c r="E1913" s="1">
        <v>40.972499999999997</v>
      </c>
      <c r="F1913" s="1">
        <v>39.377499999999998</v>
      </c>
    </row>
    <row r="1914" spans="1:6" x14ac:dyDescent="0.2">
      <c r="A1914" s="2">
        <v>43345</v>
      </c>
      <c r="B1914" s="1">
        <v>39.102499999999999</v>
      </c>
      <c r="C1914">
        <v>282334120</v>
      </c>
      <c r="D1914" s="1">
        <v>39.267499999999998</v>
      </c>
      <c r="E1914" s="1">
        <v>39.472499999999997</v>
      </c>
      <c r="F1914" s="1">
        <v>37.56</v>
      </c>
    </row>
    <row r="1915" spans="1:6" x14ac:dyDescent="0.2">
      <c r="A1915" s="2">
        <v>43314</v>
      </c>
      <c r="B1915" s="1">
        <v>38.787500000000001</v>
      </c>
      <c r="C1915">
        <v>216583720</v>
      </c>
      <c r="D1915" s="1">
        <v>40.072499999999998</v>
      </c>
      <c r="E1915" s="1">
        <v>40.25</v>
      </c>
      <c r="F1915" s="1">
        <v>38.7575</v>
      </c>
    </row>
    <row r="1916" spans="1:6" x14ac:dyDescent="0.2">
      <c r="A1916" s="2">
        <v>43283</v>
      </c>
      <c r="B1916" s="1">
        <v>39.884999999999998</v>
      </c>
      <c r="C1916">
        <v>205869760</v>
      </c>
      <c r="D1916" s="1">
        <v>40.771299999999997</v>
      </c>
      <c r="E1916" s="1">
        <v>40.85</v>
      </c>
      <c r="F1916" s="1">
        <v>39.767099999999999</v>
      </c>
    </row>
    <row r="1917" spans="1:6" x14ac:dyDescent="0.2">
      <c r="A1917" s="2">
        <v>43253</v>
      </c>
      <c r="B1917" s="1">
        <v>40.7575</v>
      </c>
      <c r="C1917">
        <v>272687760</v>
      </c>
      <c r="D1917" s="1">
        <v>38.707500000000003</v>
      </c>
      <c r="E1917" s="1">
        <v>40.93</v>
      </c>
      <c r="F1917" s="1">
        <v>38.5</v>
      </c>
    </row>
    <row r="1918" spans="1:6" x14ac:dyDescent="0.2">
      <c r="A1918" s="2">
        <v>43222</v>
      </c>
      <c r="B1918" s="1">
        <v>39.122500000000002</v>
      </c>
      <c r="C1918">
        <v>288861280</v>
      </c>
      <c r="D1918" s="1">
        <v>39.774999999999999</v>
      </c>
      <c r="E1918" s="1">
        <v>40.97</v>
      </c>
      <c r="F1918" s="1">
        <v>39</v>
      </c>
    </row>
    <row r="1919" spans="1:6" x14ac:dyDescent="0.2">
      <c r="A1919" s="2">
        <v>43133</v>
      </c>
      <c r="B1919" s="1">
        <v>40.125</v>
      </c>
      <c r="C1919">
        <v>343828200</v>
      </c>
      <c r="D1919" s="1">
        <v>41.5</v>
      </c>
      <c r="E1919" s="1">
        <v>41.7</v>
      </c>
      <c r="F1919" s="1">
        <v>40.024999999999999</v>
      </c>
    </row>
    <row r="1920" spans="1:6" x14ac:dyDescent="0.2">
      <c r="A1920" s="2">
        <v>43102</v>
      </c>
      <c r="B1920" s="1">
        <v>41.945</v>
      </c>
      <c r="C1920">
        <v>177812920</v>
      </c>
      <c r="D1920" s="1">
        <v>41.791200000000003</v>
      </c>
      <c r="E1920" s="1">
        <v>42.155000000000001</v>
      </c>
      <c r="F1920" s="1">
        <v>41.69</v>
      </c>
    </row>
    <row r="1921" spans="1:6" x14ac:dyDescent="0.2">
      <c r="A1921" t="s">
        <v>1164</v>
      </c>
      <c r="B1921" s="1">
        <v>41.857500000000002</v>
      </c>
      <c r="C1921">
        <v>128938080</v>
      </c>
      <c r="D1921" s="1">
        <v>41.717500000000001</v>
      </c>
      <c r="E1921" s="1">
        <v>42.110399999999998</v>
      </c>
      <c r="F1921" s="1">
        <v>41.625</v>
      </c>
    </row>
    <row r="1922" spans="1:6" x14ac:dyDescent="0.2">
      <c r="A1922" t="s">
        <v>1165</v>
      </c>
      <c r="B1922" s="1">
        <v>41.7425</v>
      </c>
      <c r="C1922">
        <v>182541880</v>
      </c>
      <c r="D1922" s="1">
        <v>41.381300000000003</v>
      </c>
      <c r="E1922" s="1">
        <v>41.842500000000001</v>
      </c>
      <c r="F1922" s="1">
        <v>41.174999999999997</v>
      </c>
    </row>
    <row r="1923" spans="1:6" x14ac:dyDescent="0.2">
      <c r="A1923" t="s">
        <v>1166</v>
      </c>
      <c r="B1923" s="1">
        <v>41.99</v>
      </c>
      <c r="C1923">
        <v>202261680</v>
      </c>
      <c r="D1923" s="1">
        <v>42.54</v>
      </c>
      <c r="E1923" s="1">
        <v>42.54</v>
      </c>
      <c r="F1923" s="1">
        <v>41.767499999999998</v>
      </c>
    </row>
    <row r="1924" spans="1:6" x14ac:dyDescent="0.2">
      <c r="A1924" t="s">
        <v>1167</v>
      </c>
      <c r="B1924" s="1">
        <v>42.877499999999998</v>
      </c>
      <c r="C1924">
        <v>156301000</v>
      </c>
      <c r="D1924" s="1">
        <v>43</v>
      </c>
      <c r="E1924" s="1">
        <v>43</v>
      </c>
      <c r="F1924" s="1">
        <v>42.515000000000001</v>
      </c>
    </row>
    <row r="1925" spans="1:6" x14ac:dyDescent="0.2">
      <c r="A1925" t="s">
        <v>1168</v>
      </c>
      <c r="B1925" s="1">
        <v>42.777500000000003</v>
      </c>
      <c r="C1925">
        <v>165753120</v>
      </c>
      <c r="D1925" s="1">
        <v>43.626199999999997</v>
      </c>
      <c r="E1925" s="1">
        <v>43.737499999999997</v>
      </c>
      <c r="F1925" s="1">
        <v>42.6325</v>
      </c>
    </row>
    <row r="1926" spans="1:6" x14ac:dyDescent="0.2">
      <c r="A1926" t="s">
        <v>1169</v>
      </c>
      <c r="B1926" s="1">
        <v>43.555</v>
      </c>
      <c r="C1926">
        <v>205474160</v>
      </c>
      <c r="D1926" s="1">
        <v>44.3125</v>
      </c>
      <c r="E1926" s="1">
        <v>44.325000000000003</v>
      </c>
      <c r="F1926" s="1">
        <v>43.3</v>
      </c>
    </row>
    <row r="1927" spans="1:6" x14ac:dyDescent="0.2">
      <c r="A1927" t="s">
        <v>1170</v>
      </c>
      <c r="B1927" s="1">
        <v>44.26</v>
      </c>
      <c r="C1927">
        <v>129583480</v>
      </c>
      <c r="D1927" s="1">
        <v>44.325000000000003</v>
      </c>
      <c r="E1927" s="1">
        <v>44.86</v>
      </c>
      <c r="F1927" s="1">
        <v>44.204999999999998</v>
      </c>
    </row>
    <row r="1928" spans="1:6" x14ac:dyDescent="0.2">
      <c r="A1928" t="s">
        <v>1171</v>
      </c>
      <c r="B1928" s="1">
        <v>44.25</v>
      </c>
      <c r="C1928">
        <v>108208000</v>
      </c>
      <c r="D1928" s="1">
        <v>44.325000000000003</v>
      </c>
      <c r="E1928" s="1">
        <v>44.445</v>
      </c>
      <c r="F1928" s="1">
        <v>44.150399999999998</v>
      </c>
    </row>
    <row r="1929" spans="1:6" x14ac:dyDescent="0.2">
      <c r="A1929" t="s">
        <v>1172</v>
      </c>
      <c r="B1929" s="1">
        <v>44.615000000000002</v>
      </c>
      <c r="C1929">
        <v>125225560</v>
      </c>
      <c r="D1929" s="1">
        <v>44.652500000000003</v>
      </c>
      <c r="E1929" s="1">
        <v>44.895000000000003</v>
      </c>
      <c r="F1929" s="1">
        <v>44.352499999999999</v>
      </c>
    </row>
    <row r="1930" spans="1:6" x14ac:dyDescent="0.2">
      <c r="A1930" t="s">
        <v>1173</v>
      </c>
      <c r="B1930" s="1">
        <v>44.814999999999998</v>
      </c>
      <c r="C1930">
        <v>124349320</v>
      </c>
      <c r="D1930" s="1">
        <v>44.842500000000001</v>
      </c>
      <c r="E1930" s="1">
        <v>45.024999999999999</v>
      </c>
      <c r="F1930" s="1">
        <v>44.5625</v>
      </c>
    </row>
    <row r="1931" spans="1:6" x14ac:dyDescent="0.2">
      <c r="A1931" t="s">
        <v>1174</v>
      </c>
      <c r="B1931" s="1">
        <v>44.774999999999999</v>
      </c>
      <c r="C1931">
        <v>137040920</v>
      </c>
      <c r="D1931" s="1">
        <v>44.037500000000001</v>
      </c>
      <c r="E1931" s="1">
        <v>44.8125</v>
      </c>
      <c r="F1931" s="1">
        <v>43.767499999999998</v>
      </c>
    </row>
    <row r="1932" spans="1:6" x14ac:dyDescent="0.2">
      <c r="A1932" t="s">
        <v>1175</v>
      </c>
      <c r="B1932" s="1">
        <v>44.047499999999999</v>
      </c>
      <c r="C1932">
        <v>118049640</v>
      </c>
      <c r="D1932" s="1">
        <v>44.475000000000001</v>
      </c>
      <c r="E1932" s="1">
        <v>44.847499999999997</v>
      </c>
      <c r="F1932" s="1">
        <v>44.034999999999997</v>
      </c>
    </row>
    <row r="1933" spans="1:6" x14ac:dyDescent="0.2">
      <c r="A1933" s="2">
        <v>43435</v>
      </c>
      <c r="B1933" s="1">
        <v>44.272500000000001</v>
      </c>
      <c r="C1933">
        <v>101208800</v>
      </c>
      <c r="D1933" s="1">
        <v>44.045000000000002</v>
      </c>
      <c r="E1933" s="1">
        <v>44.34</v>
      </c>
      <c r="F1933" s="1">
        <v>43.912500000000001</v>
      </c>
    </row>
    <row r="1934" spans="1:6" x14ac:dyDescent="0.2">
      <c r="A1934" s="2">
        <v>43405</v>
      </c>
      <c r="B1934" s="1">
        <v>43.82</v>
      </c>
      <c r="C1934">
        <v>74613520</v>
      </c>
      <c r="D1934" s="1">
        <v>43.647500000000001</v>
      </c>
      <c r="E1934" s="1">
        <v>43.872100000000003</v>
      </c>
      <c r="F1934" s="1">
        <v>43.622500000000002</v>
      </c>
    </row>
    <row r="1935" spans="1:6" x14ac:dyDescent="0.2">
      <c r="A1935" s="2">
        <v>43374</v>
      </c>
      <c r="B1935" s="1">
        <v>43.572499999999998</v>
      </c>
      <c r="C1935">
        <v>95006760</v>
      </c>
      <c r="D1935" s="1">
        <v>43.29</v>
      </c>
      <c r="E1935" s="1">
        <v>43.575000000000003</v>
      </c>
      <c r="F1935" s="1">
        <v>43.25</v>
      </c>
    </row>
    <row r="1936" spans="1:6" x14ac:dyDescent="0.2">
      <c r="A1936" s="2">
        <v>43344</v>
      </c>
      <c r="B1936" s="1">
        <v>43.582500000000003</v>
      </c>
      <c r="C1936">
        <v>86128800</v>
      </c>
      <c r="D1936" s="1">
        <v>43.637500000000003</v>
      </c>
      <c r="E1936" s="1">
        <v>43.765000000000001</v>
      </c>
      <c r="F1936" s="1">
        <v>43.352499999999999</v>
      </c>
    </row>
    <row r="1937" spans="1:6" x14ac:dyDescent="0.2">
      <c r="A1937" s="2">
        <v>43313</v>
      </c>
      <c r="B1937" s="1">
        <v>43.587499999999999</v>
      </c>
      <c r="C1937">
        <v>82095480</v>
      </c>
      <c r="D1937" s="1">
        <v>43.587499999999999</v>
      </c>
      <c r="E1937" s="1">
        <v>43.902500000000003</v>
      </c>
      <c r="F1937" s="1">
        <v>43.482500000000002</v>
      </c>
    </row>
    <row r="1938" spans="1:6" x14ac:dyDescent="0.2">
      <c r="A1938" s="2">
        <v>43221</v>
      </c>
      <c r="B1938" s="1">
        <v>43.75</v>
      </c>
      <c r="C1938">
        <v>94359720</v>
      </c>
      <c r="D1938" s="1">
        <v>43.36</v>
      </c>
      <c r="E1938" s="1">
        <v>43.842500000000001</v>
      </c>
      <c r="F1938" s="1">
        <v>43.262500000000003</v>
      </c>
    </row>
    <row r="1939" spans="1:6" x14ac:dyDescent="0.2">
      <c r="A1939" s="2">
        <v>43191</v>
      </c>
      <c r="B1939" s="1">
        <v>43.2575</v>
      </c>
      <c r="C1939">
        <v>89370600</v>
      </c>
      <c r="D1939" s="1">
        <v>43.134999999999998</v>
      </c>
      <c r="E1939" s="1">
        <v>43.3675</v>
      </c>
      <c r="F1939" s="1">
        <v>43.02</v>
      </c>
    </row>
    <row r="1940" spans="1:6" x14ac:dyDescent="0.2">
      <c r="A1940" s="2">
        <v>43160</v>
      </c>
      <c r="B1940" s="1">
        <v>43.057499999999997</v>
      </c>
      <c r="C1940">
        <v>117844160</v>
      </c>
      <c r="D1940" s="1">
        <v>43.1325</v>
      </c>
      <c r="E1940" s="1">
        <v>43.637500000000003</v>
      </c>
      <c r="F1940" s="1">
        <v>42.99</v>
      </c>
    </row>
    <row r="1941" spans="1:6" x14ac:dyDescent="0.2">
      <c r="A1941" s="2">
        <v>43132</v>
      </c>
      <c r="B1941" s="1">
        <v>43.064999999999998</v>
      </c>
      <c r="C1941">
        <v>101602160</v>
      </c>
      <c r="D1941" s="1">
        <v>42.54</v>
      </c>
      <c r="E1941" s="1">
        <v>43.075000000000003</v>
      </c>
      <c r="F1941" s="1">
        <v>42.314999999999998</v>
      </c>
    </row>
    <row r="1942" spans="1:6" x14ac:dyDescent="0.2">
      <c r="A1942" t="s">
        <v>1176</v>
      </c>
      <c r="B1942" s="1">
        <v>42.307499999999997</v>
      </c>
      <c r="C1942">
        <v>103755040</v>
      </c>
      <c r="D1942" s="1">
        <v>42.63</v>
      </c>
      <c r="E1942" s="1">
        <v>42.647500000000001</v>
      </c>
      <c r="F1942" s="1">
        <v>42.305</v>
      </c>
    </row>
    <row r="1943" spans="1:6" x14ac:dyDescent="0.2">
      <c r="A1943" t="s">
        <v>1177</v>
      </c>
      <c r="B1943" s="1">
        <v>42.77</v>
      </c>
      <c r="C1943">
        <v>65649080</v>
      </c>
      <c r="D1943" s="1">
        <v>42.75</v>
      </c>
      <c r="E1943" s="1">
        <v>42.962499999999999</v>
      </c>
      <c r="F1943" s="1">
        <v>42.62</v>
      </c>
    </row>
    <row r="1944" spans="1:6" x14ac:dyDescent="0.2">
      <c r="A1944" t="s">
        <v>1178</v>
      </c>
      <c r="B1944" s="1">
        <v>42.65</v>
      </c>
      <c r="C1944">
        <v>85909520</v>
      </c>
      <c r="D1944" s="1">
        <v>42.524999999999999</v>
      </c>
      <c r="E1944" s="1">
        <v>42.695</v>
      </c>
      <c r="F1944" s="1">
        <v>42.427500000000002</v>
      </c>
    </row>
    <row r="1945" spans="1:6" x14ac:dyDescent="0.2">
      <c r="A1945" t="s">
        <v>1179</v>
      </c>
      <c r="B1945" s="1">
        <v>42.642499999999998</v>
      </c>
      <c r="C1945">
        <v>132453360</v>
      </c>
      <c r="D1945" s="1">
        <v>42.7</v>
      </c>
      <c r="E1945" s="1">
        <v>42.8675</v>
      </c>
      <c r="F1945" s="1">
        <v>42.419800000000002</v>
      </c>
    </row>
    <row r="1946" spans="1:6" x14ac:dyDescent="0.2">
      <c r="A1946" t="s">
        <v>1180</v>
      </c>
      <c r="B1946" s="1">
        <v>43.752499999999998</v>
      </c>
      <c r="C1946">
        <v>65358760</v>
      </c>
      <c r="D1946" s="1">
        <v>43.67</v>
      </c>
      <c r="E1946" s="1">
        <v>43.856000000000002</v>
      </c>
      <c r="F1946" s="1">
        <v>43.625</v>
      </c>
    </row>
    <row r="1947" spans="1:6" x14ac:dyDescent="0.2">
      <c r="A1947" t="s">
        <v>1181</v>
      </c>
      <c r="B1947" s="1">
        <v>43.752499999999998</v>
      </c>
      <c r="C1947">
        <v>83394640</v>
      </c>
      <c r="D1947" s="1">
        <v>43.542499999999997</v>
      </c>
      <c r="E1947" s="1">
        <v>44.005000000000003</v>
      </c>
      <c r="F1947" s="1">
        <v>43.524999999999999</v>
      </c>
    </row>
    <row r="1948" spans="1:6" x14ac:dyDescent="0.2">
      <c r="A1948" t="s">
        <v>1182</v>
      </c>
      <c r="B1948" s="1">
        <v>43.587499999999999</v>
      </c>
      <c r="C1948">
        <v>93805680</v>
      </c>
      <c r="D1948" s="1">
        <v>43.717500000000001</v>
      </c>
      <c r="E1948" s="1">
        <v>43.854999999999997</v>
      </c>
      <c r="F1948" s="1">
        <v>43.3125</v>
      </c>
    </row>
    <row r="1949" spans="1:6" x14ac:dyDescent="0.2">
      <c r="A1949" t="s">
        <v>1183</v>
      </c>
      <c r="B1949" s="1">
        <v>43.634999999999998</v>
      </c>
      <c r="C1949">
        <v>109574640</v>
      </c>
      <c r="D1949" s="1">
        <v>43.7575</v>
      </c>
      <c r="E1949" s="1">
        <v>43.847499999999997</v>
      </c>
      <c r="F1949" s="1">
        <v>43.522500000000001</v>
      </c>
    </row>
    <row r="1950" spans="1:6" x14ac:dyDescent="0.2">
      <c r="A1950" t="s">
        <v>1184</v>
      </c>
      <c r="B1950" s="1">
        <v>44.104999999999997</v>
      </c>
      <c r="C1950">
        <v>117542600</v>
      </c>
      <c r="D1950" s="1">
        <v>43.72</v>
      </c>
      <c r="E1950" s="1">
        <v>44.3</v>
      </c>
      <c r="F1950" s="1">
        <v>43.715000000000003</v>
      </c>
    </row>
    <row r="1951" spans="1:6" x14ac:dyDescent="0.2">
      <c r="A1951" t="s">
        <v>1185</v>
      </c>
      <c r="B1951" s="1">
        <v>43.4925</v>
      </c>
      <c r="C1951">
        <v>160488400</v>
      </c>
      <c r="D1951" s="1">
        <v>43.407499999999999</v>
      </c>
      <c r="E1951" s="1">
        <v>43.542499999999997</v>
      </c>
      <c r="F1951" s="1">
        <v>43.115000000000002</v>
      </c>
    </row>
    <row r="1952" spans="1:6" x14ac:dyDescent="0.2">
      <c r="A1952" t="s">
        <v>1186</v>
      </c>
      <c r="B1952" s="1">
        <v>43.055</v>
      </c>
      <c r="C1952">
        <v>81770960</v>
      </c>
      <c r="D1952" s="1">
        <v>43.1</v>
      </c>
      <c r="E1952" s="1">
        <v>43.282499999999999</v>
      </c>
      <c r="F1952" s="1">
        <v>42.912500000000001</v>
      </c>
    </row>
    <row r="1953" spans="1:6" x14ac:dyDescent="0.2">
      <c r="A1953" t="s">
        <v>1187</v>
      </c>
      <c r="B1953" s="1">
        <v>43.067500000000003</v>
      </c>
      <c r="C1953">
        <v>93610040</v>
      </c>
      <c r="D1953" s="1">
        <v>43.125</v>
      </c>
      <c r="E1953" s="1">
        <v>43.384999999999998</v>
      </c>
      <c r="F1953" s="1">
        <v>43</v>
      </c>
    </row>
    <row r="1954" spans="1:6" x14ac:dyDescent="0.2">
      <c r="A1954" s="2">
        <v>43081</v>
      </c>
      <c r="B1954" s="1">
        <v>42.924999999999997</v>
      </c>
      <c r="C1954">
        <v>76352680</v>
      </c>
      <c r="D1954" s="1">
        <v>43.037500000000001</v>
      </c>
      <c r="E1954" s="1">
        <v>43.097499999999997</v>
      </c>
      <c r="F1954" s="1">
        <v>42.865299999999998</v>
      </c>
    </row>
    <row r="1955" spans="1:6" x14ac:dyDescent="0.2">
      <c r="A1955" s="2">
        <v>43051</v>
      </c>
      <c r="B1955" s="1">
        <v>43.167499999999997</v>
      </c>
      <c r="C1955">
        <v>137043560</v>
      </c>
      <c r="D1955" s="1">
        <v>42.3</v>
      </c>
      <c r="E1955" s="1">
        <v>43.222499999999997</v>
      </c>
      <c r="F1955" s="1">
        <v>42.197499999999998</v>
      </c>
    </row>
    <row r="1956" spans="1:6" x14ac:dyDescent="0.2">
      <c r="A1956" s="2">
        <v>42959</v>
      </c>
      <c r="B1956" s="1">
        <v>42.342500000000001</v>
      </c>
      <c r="C1956">
        <v>93143040</v>
      </c>
      <c r="D1956" s="1">
        <v>42.622500000000002</v>
      </c>
      <c r="E1956" s="1">
        <v>42.75</v>
      </c>
      <c r="F1956" s="1">
        <v>42.204999999999998</v>
      </c>
    </row>
    <row r="1957" spans="1:6" x14ac:dyDescent="0.2">
      <c r="A1957" s="2">
        <v>42928</v>
      </c>
      <c r="B1957" s="1">
        <v>42.33</v>
      </c>
      <c r="C1957">
        <v>102624440</v>
      </c>
      <c r="D1957" s="1">
        <v>42.2575</v>
      </c>
      <c r="E1957" s="1">
        <v>42.61</v>
      </c>
      <c r="F1957" s="1">
        <v>42.227499999999999</v>
      </c>
    </row>
    <row r="1958" spans="1:6" x14ac:dyDescent="0.2">
      <c r="A1958" s="2">
        <v>42898</v>
      </c>
      <c r="B1958" s="1">
        <v>42.252499999999998</v>
      </c>
      <c r="C1958">
        <v>113591240</v>
      </c>
      <c r="D1958" s="1">
        <v>41.875</v>
      </c>
      <c r="E1958" s="1">
        <v>42.551200000000001</v>
      </c>
      <c r="F1958" s="1">
        <v>41.615000000000002</v>
      </c>
    </row>
    <row r="1959" spans="1:6" x14ac:dyDescent="0.2">
      <c r="A1959" s="2">
        <v>42867</v>
      </c>
      <c r="B1959" s="1">
        <v>42.41</v>
      </c>
      <c r="C1959">
        <v>109262120</v>
      </c>
      <c r="D1959" s="1">
        <v>42.265000000000001</v>
      </c>
      <c r="E1959" s="1">
        <v>42.88</v>
      </c>
      <c r="F1959" s="1">
        <v>42.1</v>
      </c>
    </row>
    <row r="1960" spans="1:6" x14ac:dyDescent="0.2">
      <c r="A1960" s="2">
        <v>42837</v>
      </c>
      <c r="B1960" s="1">
        <v>42.45</v>
      </c>
      <c r="C1960">
        <v>130050320</v>
      </c>
      <c r="D1960" s="1">
        <v>43.12</v>
      </c>
      <c r="E1960" s="1">
        <v>43.155000000000001</v>
      </c>
      <c r="F1960" s="1">
        <v>42.407499999999999</v>
      </c>
    </row>
    <row r="1961" spans="1:6" x14ac:dyDescent="0.2">
      <c r="A1961" s="2">
        <v>42747</v>
      </c>
      <c r="B1961" s="1">
        <v>42.762500000000003</v>
      </c>
      <c r="C1961">
        <v>158940440</v>
      </c>
      <c r="D1961" s="1">
        <v>42.487499999999997</v>
      </c>
      <c r="E1961" s="1">
        <v>42.917499999999997</v>
      </c>
      <c r="F1961" s="1">
        <v>42.125</v>
      </c>
    </row>
    <row r="1962" spans="1:6" x14ac:dyDescent="0.2">
      <c r="A1962" t="s">
        <v>1188</v>
      </c>
      <c r="B1962" s="1">
        <v>42.962499999999999</v>
      </c>
      <c r="C1962">
        <v>165938160</v>
      </c>
      <c r="D1962" s="1">
        <v>42.607500000000002</v>
      </c>
      <c r="E1962" s="1">
        <v>43.034999999999997</v>
      </c>
      <c r="F1962" s="1">
        <v>42.11</v>
      </c>
    </row>
    <row r="1963" spans="1:6" x14ac:dyDescent="0.2">
      <c r="A1963" t="s">
        <v>1189</v>
      </c>
      <c r="B1963" s="1">
        <v>42.37</v>
      </c>
      <c r="C1963">
        <v>165836480</v>
      </c>
      <c r="D1963" s="1">
        <v>43.157499999999999</v>
      </c>
      <c r="E1963" s="1">
        <v>43.23</v>
      </c>
      <c r="F1963" s="1">
        <v>41.79</v>
      </c>
    </row>
    <row r="1964" spans="1:6" x14ac:dyDescent="0.2">
      <c r="A1964" t="s">
        <v>1190</v>
      </c>
      <c r="B1964" s="1">
        <v>43.267499999999998</v>
      </c>
      <c r="C1964">
        <v>105548960</v>
      </c>
      <c r="D1964" s="1">
        <v>43.575000000000003</v>
      </c>
      <c r="E1964" s="1">
        <v>43.717500000000001</v>
      </c>
      <c r="F1964" s="1">
        <v>42.965000000000003</v>
      </c>
    </row>
    <row r="1965" spans="1:6" x14ac:dyDescent="0.2">
      <c r="A1965" t="s">
        <v>1191</v>
      </c>
      <c r="B1965" s="1">
        <v>43.522500000000001</v>
      </c>
      <c r="C1965">
        <v>82364360</v>
      </c>
      <c r="D1965" s="1">
        <v>43.762500000000003</v>
      </c>
      <c r="E1965" s="1">
        <v>43.77</v>
      </c>
      <c r="F1965" s="1">
        <v>43.335000000000001</v>
      </c>
    </row>
    <row r="1966" spans="1:6" x14ac:dyDescent="0.2">
      <c r="A1966" t="s">
        <v>1192</v>
      </c>
      <c r="B1966" s="1">
        <v>43.7425</v>
      </c>
      <c r="C1966">
        <v>56106680</v>
      </c>
      <c r="D1966" s="1">
        <v>43.774999999999999</v>
      </c>
      <c r="E1966" s="1">
        <v>43.875</v>
      </c>
      <c r="F1966" s="1">
        <v>43.661499999999997</v>
      </c>
    </row>
    <row r="1967" spans="1:6" x14ac:dyDescent="0.2">
      <c r="A1967" t="s">
        <v>1193</v>
      </c>
      <c r="B1967" s="1">
        <v>43.74</v>
      </c>
      <c r="C1967">
        <v>102234720</v>
      </c>
      <c r="D1967" s="1">
        <v>43.34</v>
      </c>
      <c r="E1967" s="1">
        <v>43.75</v>
      </c>
      <c r="F1967" s="1">
        <v>43.262500000000003</v>
      </c>
    </row>
    <row r="1968" spans="1:6" x14ac:dyDescent="0.2">
      <c r="A1968" t="s">
        <v>1194</v>
      </c>
      <c r="B1968" s="1">
        <v>43.284999999999997</v>
      </c>
      <c r="C1968">
        <v>100188520</v>
      </c>
      <c r="D1968" s="1">
        <v>42.695</v>
      </c>
      <c r="E1968" s="1">
        <v>43.424999999999997</v>
      </c>
      <c r="F1968" s="1">
        <v>42.695</v>
      </c>
    </row>
    <row r="1969" spans="1:6" x14ac:dyDescent="0.2">
      <c r="A1969" t="s">
        <v>1195</v>
      </c>
      <c r="B1969" s="1">
        <v>42.494999999999997</v>
      </c>
      <c r="C1969">
        <v>64166200</v>
      </c>
      <c r="D1969" s="1">
        <v>42.572499999999998</v>
      </c>
      <c r="E1969" s="1">
        <v>42.64</v>
      </c>
      <c r="F1969" s="1">
        <v>42.39</v>
      </c>
    </row>
    <row r="1970" spans="1:6" x14ac:dyDescent="0.2">
      <c r="A1970" t="s">
        <v>1196</v>
      </c>
      <c r="B1970" s="1">
        <v>42.537500000000001</v>
      </c>
      <c r="C1970">
        <v>87536040</v>
      </c>
      <c r="D1970" s="1">
        <v>42.76</v>
      </c>
      <c r="E1970" s="1">
        <v>42.847499999999997</v>
      </c>
      <c r="F1970" s="1">
        <v>42.41</v>
      </c>
    </row>
    <row r="1971" spans="1:6" x14ac:dyDescent="0.2">
      <c r="A1971" t="s">
        <v>1197</v>
      </c>
      <c r="B1971" s="1">
        <v>42.774999999999999</v>
      </c>
      <c r="C1971">
        <v>94394600</v>
      </c>
      <c r="D1971" s="1">
        <v>42.795000000000002</v>
      </c>
      <c r="E1971" s="1">
        <v>42.967500000000001</v>
      </c>
      <c r="F1971" s="1">
        <v>42.575000000000003</v>
      </c>
    </row>
    <row r="1972" spans="1:6" x14ac:dyDescent="0.2">
      <c r="A1972" t="s">
        <v>1198</v>
      </c>
      <c r="B1972" s="1">
        <v>42.27</v>
      </c>
      <c r="C1972">
        <v>115992880</v>
      </c>
      <c r="D1972" s="1">
        <v>42.4925</v>
      </c>
      <c r="E1972" s="1">
        <v>42.579900000000002</v>
      </c>
      <c r="F1972" s="1">
        <v>42.094999999999999</v>
      </c>
    </row>
    <row r="1973" spans="1:6" x14ac:dyDescent="0.2">
      <c r="A1973" t="s">
        <v>1199</v>
      </c>
      <c r="B1973" s="1">
        <v>42.835000000000001</v>
      </c>
      <c r="C1973">
        <v>98733400</v>
      </c>
      <c r="D1973" s="1">
        <v>43.26</v>
      </c>
      <c r="E1973" s="1">
        <v>43.37</v>
      </c>
      <c r="F1973" s="1">
        <v>42.795000000000002</v>
      </c>
    </row>
    <row r="1974" spans="1:6" x14ac:dyDescent="0.2">
      <c r="A1974" t="s">
        <v>1200</v>
      </c>
      <c r="B1974" s="1">
        <v>43.4925</v>
      </c>
      <c r="C1974">
        <v>67825160</v>
      </c>
      <c r="D1974" s="1">
        <v>43.375</v>
      </c>
      <c r="E1974" s="1">
        <v>43.625</v>
      </c>
      <c r="F1974" s="1">
        <v>43.35</v>
      </c>
    </row>
    <row r="1975" spans="1:6" x14ac:dyDescent="0.2">
      <c r="A1975" s="2">
        <v>43019</v>
      </c>
      <c r="B1975" s="1">
        <v>43.667499999999997</v>
      </c>
      <c r="C1975">
        <v>100518040</v>
      </c>
      <c r="D1975" s="1">
        <v>43.777500000000003</v>
      </c>
      <c r="E1975" s="1">
        <v>43.844999999999999</v>
      </c>
      <c r="F1975" s="1">
        <v>43.567500000000003</v>
      </c>
    </row>
    <row r="1976" spans="1:6" x14ac:dyDescent="0.2">
      <c r="A1976" s="2">
        <v>42989</v>
      </c>
      <c r="B1976" s="1">
        <v>43.97</v>
      </c>
      <c r="C1976">
        <v>117690440</v>
      </c>
      <c r="D1976" s="1">
        <v>43.777500000000003</v>
      </c>
      <c r="E1976" s="1">
        <v>44.023800000000001</v>
      </c>
      <c r="F1976" s="1">
        <v>43.284999999999997</v>
      </c>
    </row>
    <row r="1977" spans="1:6" x14ac:dyDescent="0.2">
      <c r="A1977" s="2">
        <v>42958</v>
      </c>
      <c r="B1977" s="1">
        <v>44.06</v>
      </c>
      <c r="C1977">
        <v>97435680</v>
      </c>
      <c r="D1977" s="1">
        <v>43.664999999999999</v>
      </c>
      <c r="E1977" s="1">
        <v>44.06</v>
      </c>
      <c r="F1977" s="1">
        <v>43.582500000000003</v>
      </c>
    </row>
    <row r="1978" spans="1:6" x14ac:dyDescent="0.2">
      <c r="A1978" s="2">
        <v>42927</v>
      </c>
      <c r="B1978" s="1">
        <v>43.702500000000001</v>
      </c>
      <c r="C1978">
        <v>97328480</v>
      </c>
      <c r="D1978" s="1">
        <v>43.477499999999999</v>
      </c>
      <c r="E1978" s="1">
        <v>43.8125</v>
      </c>
      <c r="F1978" s="1">
        <v>43.4</v>
      </c>
    </row>
    <row r="1979" spans="1:6" x14ac:dyDescent="0.2">
      <c r="A1979" s="2">
        <v>42897</v>
      </c>
      <c r="B1979" s="1">
        <v>43.5625</v>
      </c>
      <c r="C1979">
        <v>139081920</v>
      </c>
      <c r="D1979" s="1">
        <v>43.091299999999997</v>
      </c>
      <c r="E1979" s="1">
        <v>43.747500000000002</v>
      </c>
      <c r="F1979" s="1">
        <v>42.93</v>
      </c>
    </row>
    <row r="1980" spans="1:6" x14ac:dyDescent="0.2">
      <c r="A1980" s="2">
        <v>42805</v>
      </c>
      <c r="B1980" s="1">
        <v>43.125</v>
      </c>
      <c r="C1980">
        <v>237328840</v>
      </c>
      <c r="D1980" s="1">
        <v>43.5</v>
      </c>
      <c r="E1980" s="1">
        <v>43.564999999999998</v>
      </c>
      <c r="F1980" s="1">
        <v>42.78</v>
      </c>
    </row>
    <row r="1981" spans="1:6" x14ac:dyDescent="0.2">
      <c r="A1981" s="2">
        <v>42777</v>
      </c>
      <c r="B1981" s="1">
        <v>42.027500000000003</v>
      </c>
      <c r="C1981">
        <v>158672400</v>
      </c>
      <c r="D1981" s="1">
        <v>41.91</v>
      </c>
      <c r="E1981" s="1">
        <v>42.125</v>
      </c>
      <c r="F1981" s="1">
        <v>41.32</v>
      </c>
    </row>
    <row r="1982" spans="1:6" x14ac:dyDescent="0.2">
      <c r="A1982" s="2">
        <v>42746</v>
      </c>
      <c r="B1982" s="1">
        <v>41.722499999999997</v>
      </c>
      <c r="C1982">
        <v>133931880</v>
      </c>
      <c r="D1982" s="1">
        <v>42.467500000000001</v>
      </c>
      <c r="E1982" s="1">
        <v>42.484999999999999</v>
      </c>
      <c r="F1982" s="1">
        <v>41.402500000000003</v>
      </c>
    </row>
    <row r="1983" spans="1:6" x14ac:dyDescent="0.2">
      <c r="A1983" t="s">
        <v>1201</v>
      </c>
      <c r="B1983" s="1">
        <v>42.26</v>
      </c>
      <c r="C1983">
        <v>143118080</v>
      </c>
      <c r="D1983" s="1">
        <v>41.975000000000001</v>
      </c>
      <c r="E1983" s="1">
        <v>42.412500000000001</v>
      </c>
      <c r="F1983" s="1">
        <v>41.734999999999999</v>
      </c>
    </row>
    <row r="1984" spans="1:6" x14ac:dyDescent="0.2">
      <c r="A1984" t="s">
        <v>1202</v>
      </c>
      <c r="B1984" s="1">
        <v>41.68</v>
      </c>
      <c r="C1984">
        <v>178605680</v>
      </c>
      <c r="D1984" s="1">
        <v>40.972499999999997</v>
      </c>
      <c r="E1984" s="1">
        <v>42.017499999999998</v>
      </c>
      <c r="F1984" s="1">
        <v>40.93</v>
      </c>
    </row>
    <row r="1985" spans="1:6" x14ac:dyDescent="0.2">
      <c r="A1985" t="s">
        <v>1203</v>
      </c>
      <c r="B1985" s="1">
        <v>40.762500000000003</v>
      </c>
      <c r="C1985">
        <v>177551080</v>
      </c>
      <c r="D1985" s="1">
        <v>39.822499999999998</v>
      </c>
      <c r="E1985" s="1">
        <v>40.9</v>
      </c>
      <c r="F1985" s="1">
        <v>39.674999999999997</v>
      </c>
    </row>
    <row r="1986" spans="1:6" x14ac:dyDescent="0.2">
      <c r="A1986" t="s">
        <v>1204</v>
      </c>
      <c r="B1986" s="1">
        <v>39.352499999999999</v>
      </c>
      <c r="C1986">
        <v>67666600</v>
      </c>
      <c r="D1986" s="1">
        <v>39.307499999999997</v>
      </c>
      <c r="E1986" s="1">
        <v>39.4574</v>
      </c>
      <c r="F1986" s="1">
        <v>39.195</v>
      </c>
    </row>
    <row r="1987" spans="1:6" x14ac:dyDescent="0.2">
      <c r="A1987" t="s">
        <v>1205</v>
      </c>
      <c r="B1987" s="1">
        <v>39.102499999999999</v>
      </c>
      <c r="C1987">
        <v>84702680</v>
      </c>
      <c r="D1987" s="1">
        <v>39.227499999999999</v>
      </c>
      <c r="E1987" s="1">
        <v>39.387500000000003</v>
      </c>
      <c r="F1987" s="1">
        <v>38.817500000000003</v>
      </c>
    </row>
    <row r="1988" spans="1:6" x14ac:dyDescent="0.2">
      <c r="A1988" t="s">
        <v>1206</v>
      </c>
      <c r="B1988" s="1">
        <v>39.274999999999999</v>
      </c>
      <c r="C1988">
        <v>70534920</v>
      </c>
      <c r="D1988" s="1">
        <v>39.072499999999998</v>
      </c>
      <c r="E1988" s="1">
        <v>39.354999999999997</v>
      </c>
      <c r="F1988" s="1">
        <v>39.049999999999997</v>
      </c>
    </row>
    <row r="1989" spans="1:6" x14ac:dyDescent="0.2">
      <c r="A1989" t="s">
        <v>1207</v>
      </c>
      <c r="B1989" s="1">
        <v>39.042499999999997</v>
      </c>
      <c r="C1989">
        <v>87555720</v>
      </c>
      <c r="D1989" s="1">
        <v>39.222499999999997</v>
      </c>
      <c r="E1989" s="1">
        <v>39.422499999999999</v>
      </c>
      <c r="F1989" s="1">
        <v>38.875</v>
      </c>
    </row>
    <row r="1990" spans="1:6" x14ac:dyDescent="0.2">
      <c r="A1990" t="s">
        <v>1208</v>
      </c>
      <c r="B1990" s="1">
        <v>39.0625</v>
      </c>
      <c r="C1990">
        <v>95630160</v>
      </c>
      <c r="D1990" s="1">
        <v>39.152500000000003</v>
      </c>
      <c r="E1990" s="1">
        <v>39.4375</v>
      </c>
      <c r="F1990" s="1">
        <v>38.99</v>
      </c>
    </row>
    <row r="1991" spans="1:6" x14ac:dyDescent="0.2">
      <c r="A1991" t="s">
        <v>1209</v>
      </c>
      <c r="B1991" s="1">
        <v>38.994999999999997</v>
      </c>
      <c r="C1991">
        <v>169429680</v>
      </c>
      <c r="D1991" s="1">
        <v>39.1875</v>
      </c>
      <c r="E1991" s="1">
        <v>39.270000000000003</v>
      </c>
      <c r="F1991" s="1">
        <v>38.755000000000003</v>
      </c>
    </row>
    <row r="1992" spans="1:6" x14ac:dyDescent="0.2">
      <c r="A1992" t="s">
        <v>1210</v>
      </c>
      <c r="B1992" s="1">
        <v>39.94</v>
      </c>
      <c r="C1992">
        <v>65011400</v>
      </c>
      <c r="D1992" s="1">
        <v>40.104999999999997</v>
      </c>
      <c r="E1992" s="1">
        <v>40.177500000000002</v>
      </c>
      <c r="F1992" s="1">
        <v>39.9</v>
      </c>
    </row>
    <row r="1993" spans="1:6" x14ac:dyDescent="0.2">
      <c r="A1993" t="s">
        <v>1211</v>
      </c>
      <c r="B1993" s="1">
        <v>40.1175</v>
      </c>
      <c r="C1993">
        <v>75878800</v>
      </c>
      <c r="D1993" s="1">
        <v>39.945</v>
      </c>
      <c r="E1993" s="1">
        <v>40.217500000000001</v>
      </c>
      <c r="F1993" s="1">
        <v>39.807499999999997</v>
      </c>
    </row>
    <row r="1994" spans="1:6" x14ac:dyDescent="0.2">
      <c r="A1994" t="s">
        <v>1212</v>
      </c>
      <c r="B1994" s="1">
        <v>39.97</v>
      </c>
      <c r="C1994">
        <v>96373200</v>
      </c>
      <c r="D1994" s="1">
        <v>39.475000000000001</v>
      </c>
      <c r="E1994" s="1">
        <v>40</v>
      </c>
      <c r="F1994" s="1">
        <v>39.412500000000001</v>
      </c>
    </row>
    <row r="1995" spans="1:6" x14ac:dyDescent="0.2">
      <c r="A1995" t="s">
        <v>1213</v>
      </c>
      <c r="B1995" s="1">
        <v>39.247500000000002</v>
      </c>
      <c r="C1995">
        <v>65471120</v>
      </c>
      <c r="D1995" s="1">
        <v>39.182499999999997</v>
      </c>
      <c r="E1995" s="1">
        <v>39.32</v>
      </c>
      <c r="F1995" s="1">
        <v>39.102499999999999</v>
      </c>
    </row>
    <row r="1996" spans="1:6" x14ac:dyDescent="0.2">
      <c r="A1996" s="2">
        <v>43079</v>
      </c>
      <c r="B1996" s="1">
        <v>39</v>
      </c>
      <c r="C1996">
        <v>65522280</v>
      </c>
      <c r="D1996" s="1">
        <v>39.087499999999999</v>
      </c>
      <c r="E1996" s="1">
        <v>39.342500000000001</v>
      </c>
      <c r="F1996" s="1">
        <v>38.932499999999997</v>
      </c>
    </row>
    <row r="1997" spans="1:6" x14ac:dyDescent="0.2">
      <c r="A1997" s="2">
        <v>43049</v>
      </c>
      <c r="B1997" s="1">
        <v>39.137500000000003</v>
      </c>
      <c r="C1997">
        <v>67445800</v>
      </c>
      <c r="D1997" s="1">
        <v>38.9925</v>
      </c>
      <c r="E1997" s="1">
        <v>39.244999999999997</v>
      </c>
      <c r="F1997" s="1">
        <v>38.9375</v>
      </c>
    </row>
    <row r="1998" spans="1:6" x14ac:dyDescent="0.2">
      <c r="A1998" s="2">
        <v>43018</v>
      </c>
      <c r="B1998" s="1">
        <v>38.975000000000001</v>
      </c>
      <c r="C1998">
        <v>62414080</v>
      </c>
      <c r="D1998" s="1">
        <v>39.013800000000003</v>
      </c>
      <c r="E1998" s="1">
        <v>39.5</v>
      </c>
      <c r="F1998" s="1">
        <v>38.774999999999999</v>
      </c>
    </row>
    <row r="1999" spans="1:6" x14ac:dyDescent="0.2">
      <c r="A1999" s="2">
        <v>42988</v>
      </c>
      <c r="B1999" s="1">
        <v>38.96</v>
      </c>
      <c r="C1999">
        <v>64972320</v>
      </c>
      <c r="D1999" s="1">
        <v>38.952500000000001</v>
      </c>
      <c r="E1999" s="1">
        <v>39.182499999999997</v>
      </c>
      <c r="F1999" s="1">
        <v>38.871299999999998</v>
      </c>
    </row>
    <row r="2000" spans="1:6" x14ac:dyDescent="0.2">
      <c r="A2000" s="2">
        <v>42896</v>
      </c>
      <c r="B2000" s="1">
        <v>38.825000000000003</v>
      </c>
      <c r="C2000">
        <v>68895160</v>
      </c>
      <c r="D2000" s="1">
        <v>38.7425</v>
      </c>
      <c r="E2000" s="1">
        <v>38.872500000000002</v>
      </c>
      <c r="F2000" s="1">
        <v>38.64</v>
      </c>
    </row>
    <row r="2001" spans="1:6" x14ac:dyDescent="0.2">
      <c r="A2001" s="2">
        <v>42865</v>
      </c>
      <c r="B2001" s="1">
        <v>38.847499999999997</v>
      </c>
      <c r="C2001">
        <v>84863480</v>
      </c>
      <c r="D2001" s="1">
        <v>38.545000000000002</v>
      </c>
      <c r="E2001" s="1">
        <v>38.86</v>
      </c>
      <c r="F2001" s="1">
        <v>38.512500000000003</v>
      </c>
    </row>
    <row r="2002" spans="1:6" x14ac:dyDescent="0.2">
      <c r="A2002" s="2">
        <v>42835</v>
      </c>
      <c r="B2002" s="1">
        <v>38.369999999999997</v>
      </c>
      <c r="C2002">
        <v>80355760</v>
      </c>
      <c r="D2002" s="1">
        <v>38.407499999999999</v>
      </c>
      <c r="E2002" s="1">
        <v>38.465000000000003</v>
      </c>
      <c r="F2002" s="1">
        <v>38.115000000000002</v>
      </c>
    </row>
    <row r="2003" spans="1:6" x14ac:dyDescent="0.2">
      <c r="A2003" s="2">
        <v>42804</v>
      </c>
      <c r="B2003" s="1">
        <v>38.619999999999997</v>
      </c>
      <c r="C2003">
        <v>64867200</v>
      </c>
      <c r="D2003" s="1">
        <v>38.502499999999998</v>
      </c>
      <c r="E2003" s="1">
        <v>38.772500000000001</v>
      </c>
      <c r="F2003" s="1">
        <v>38.477499999999999</v>
      </c>
    </row>
    <row r="2004" spans="1:6" x14ac:dyDescent="0.2">
      <c r="A2004" s="2">
        <v>42776</v>
      </c>
      <c r="B2004" s="1">
        <v>38.452500000000001</v>
      </c>
      <c r="C2004">
        <v>74526160</v>
      </c>
      <c r="D2004" s="1">
        <v>38.564999999999998</v>
      </c>
      <c r="E2004" s="1">
        <v>38.612499999999997</v>
      </c>
      <c r="F2004" s="1">
        <v>38.18</v>
      </c>
    </row>
    <row r="2005" spans="1:6" x14ac:dyDescent="0.2">
      <c r="A2005" t="s">
        <v>1214</v>
      </c>
      <c r="B2005" s="1">
        <v>38.53</v>
      </c>
      <c r="C2005">
        <v>104818680</v>
      </c>
      <c r="D2005" s="1">
        <v>38.302500000000002</v>
      </c>
      <c r="E2005" s="1">
        <v>38.532499999999999</v>
      </c>
      <c r="F2005" s="1">
        <v>38</v>
      </c>
    </row>
    <row r="2006" spans="1:6" x14ac:dyDescent="0.2">
      <c r="A2006" t="s">
        <v>1215</v>
      </c>
      <c r="B2006" s="1">
        <v>38.32</v>
      </c>
      <c r="C2006">
        <v>87933640</v>
      </c>
      <c r="D2006" s="1">
        <v>38.472499999999997</v>
      </c>
      <c r="E2006" s="1">
        <v>38.57</v>
      </c>
      <c r="F2006" s="1">
        <v>38.174999999999997</v>
      </c>
    </row>
    <row r="2007" spans="1:6" x14ac:dyDescent="0.2">
      <c r="A2007" t="s">
        <v>1216</v>
      </c>
      <c r="B2007" s="1">
        <v>38.557499999999997</v>
      </c>
      <c r="C2007">
        <v>101609080</v>
      </c>
      <c r="D2007" s="1">
        <v>38.450000000000003</v>
      </c>
      <c r="E2007" s="1">
        <v>38.679699999999997</v>
      </c>
      <c r="F2007" s="1">
        <v>38.384999999999998</v>
      </c>
    </row>
    <row r="2008" spans="1:6" x14ac:dyDescent="0.2">
      <c r="A2008" t="s">
        <v>1217</v>
      </c>
      <c r="B2008" s="1">
        <v>38.284999999999997</v>
      </c>
      <c r="C2008">
        <v>143631080</v>
      </c>
      <c r="D2008" s="1">
        <v>37.945</v>
      </c>
      <c r="E2008" s="1">
        <v>38.479999999999997</v>
      </c>
      <c r="F2008" s="1">
        <v>37.922499999999999</v>
      </c>
    </row>
    <row r="2009" spans="1:6" x14ac:dyDescent="0.2">
      <c r="A2009" t="s">
        <v>1218</v>
      </c>
      <c r="B2009" s="1">
        <v>37.637500000000003</v>
      </c>
      <c r="C2009">
        <v>177464560</v>
      </c>
      <c r="D2009" s="1">
        <v>37.497500000000002</v>
      </c>
      <c r="E2009" s="1">
        <v>37.957500000000003</v>
      </c>
      <c r="F2009" s="1">
        <v>37.29</v>
      </c>
    </row>
    <row r="2010" spans="1:6" x14ac:dyDescent="0.2">
      <c r="A2010" t="s">
        <v>1219</v>
      </c>
      <c r="B2010" s="1">
        <v>37.972499999999997</v>
      </c>
      <c r="C2010">
        <v>186301640</v>
      </c>
      <c r="D2010" s="1">
        <v>38.005000000000003</v>
      </c>
      <c r="E2010" s="1">
        <v>38.067500000000003</v>
      </c>
      <c r="F2010" s="1">
        <v>37.64</v>
      </c>
    </row>
    <row r="2011" spans="1:6" x14ac:dyDescent="0.2">
      <c r="A2011" t="s">
        <v>1220</v>
      </c>
      <c r="B2011" s="1">
        <v>38.347499999999997</v>
      </c>
      <c r="C2011">
        <v>149400240</v>
      </c>
      <c r="D2011" s="1">
        <v>38.950000000000003</v>
      </c>
      <c r="E2011" s="1">
        <v>38.950000000000003</v>
      </c>
      <c r="F2011" s="1">
        <v>38.1875</v>
      </c>
    </row>
    <row r="2012" spans="1:6" x14ac:dyDescent="0.2">
      <c r="A2012" t="s">
        <v>1221</v>
      </c>
      <c r="B2012" s="1">
        <v>39.017499999999998</v>
      </c>
      <c r="C2012">
        <v>208504960</v>
      </c>
      <c r="D2012" s="1">
        <v>39.475000000000001</v>
      </c>
      <c r="E2012" s="1">
        <v>39.564999999999998</v>
      </c>
      <c r="F2012" s="1">
        <v>38.457500000000003</v>
      </c>
    </row>
    <row r="2013" spans="1:6" x14ac:dyDescent="0.2">
      <c r="A2013" t="s">
        <v>1222</v>
      </c>
      <c r="B2013" s="1">
        <v>39.682499999999997</v>
      </c>
      <c r="C2013">
        <v>82262480</v>
      </c>
      <c r="D2013" s="1">
        <v>39.877499999999998</v>
      </c>
      <c r="E2013" s="1">
        <v>39.942500000000003</v>
      </c>
      <c r="F2013" s="1">
        <v>39.61</v>
      </c>
    </row>
    <row r="2014" spans="1:6" x14ac:dyDescent="0.2">
      <c r="A2014" t="s">
        <v>1223</v>
      </c>
      <c r="B2014" s="1">
        <v>39.667499999999997</v>
      </c>
      <c r="C2014">
        <v>112630520</v>
      </c>
      <c r="D2014" s="1">
        <v>40.027500000000003</v>
      </c>
      <c r="E2014" s="1">
        <v>40.125</v>
      </c>
      <c r="F2014" s="1">
        <v>39.498800000000003</v>
      </c>
    </row>
    <row r="2015" spans="1:6" x14ac:dyDescent="0.2">
      <c r="A2015" t="s">
        <v>1224</v>
      </c>
      <c r="B2015" s="1">
        <v>39.97</v>
      </c>
      <c r="C2015">
        <v>195384240</v>
      </c>
      <c r="D2015" s="1">
        <v>39.6175</v>
      </c>
      <c r="E2015" s="1">
        <v>40.2425</v>
      </c>
      <c r="F2015" s="1">
        <v>39.5</v>
      </c>
    </row>
    <row r="2016" spans="1:6" x14ac:dyDescent="0.2">
      <c r="A2016" t="s">
        <v>1225</v>
      </c>
      <c r="B2016" s="1">
        <v>39.57</v>
      </c>
      <c r="C2016">
        <v>94549240</v>
      </c>
      <c r="D2016" s="1">
        <v>39.747500000000002</v>
      </c>
      <c r="E2016" s="1">
        <v>39.85</v>
      </c>
      <c r="F2016" s="1">
        <v>39.522500000000001</v>
      </c>
    </row>
    <row r="2017" spans="1:6" x14ac:dyDescent="0.2">
      <c r="A2017" t="s">
        <v>1226</v>
      </c>
      <c r="B2017" s="1">
        <v>39.912500000000001</v>
      </c>
      <c r="C2017">
        <v>179465120</v>
      </c>
      <c r="D2017" s="1">
        <v>39.967500000000001</v>
      </c>
      <c r="E2017" s="1">
        <v>39.99</v>
      </c>
      <c r="F2017" s="1">
        <v>39.477499999999999</v>
      </c>
    </row>
    <row r="2018" spans="1:6" x14ac:dyDescent="0.2">
      <c r="A2018" s="2">
        <v>43078</v>
      </c>
      <c r="B2018" s="1">
        <v>40.215000000000003</v>
      </c>
      <c r="C2018">
        <v>286298240</v>
      </c>
      <c r="D2018" s="1">
        <v>40.652500000000003</v>
      </c>
      <c r="E2018" s="1">
        <v>40.99</v>
      </c>
      <c r="F2018" s="1">
        <v>39.692500000000003</v>
      </c>
    </row>
    <row r="2019" spans="1:6" x14ac:dyDescent="0.2">
      <c r="A2019" s="2">
        <v>43048</v>
      </c>
      <c r="B2019" s="1">
        <v>40.375</v>
      </c>
      <c r="C2019">
        <v>126027560</v>
      </c>
      <c r="D2019" s="1">
        <v>40.125</v>
      </c>
      <c r="E2019" s="1">
        <v>40.512500000000003</v>
      </c>
      <c r="F2019" s="1">
        <v>39.972499999999997</v>
      </c>
    </row>
    <row r="2020" spans="1:6" x14ac:dyDescent="0.2">
      <c r="A2020" s="2">
        <v>42956</v>
      </c>
      <c r="B2020" s="1">
        <v>39.657499999999999</v>
      </c>
      <c r="C2020">
        <v>113646960</v>
      </c>
      <c r="D2020" s="1">
        <v>40.215000000000003</v>
      </c>
      <c r="E2020" s="1">
        <v>40.287500000000001</v>
      </c>
      <c r="F2020" s="1">
        <v>39.6325</v>
      </c>
    </row>
    <row r="2021" spans="1:6" x14ac:dyDescent="0.2">
      <c r="A2021" s="2">
        <v>42925</v>
      </c>
      <c r="B2021" s="1">
        <v>40.314999999999998</v>
      </c>
      <c r="C2021">
        <v>87620640</v>
      </c>
      <c r="D2021" s="1">
        <v>40.522500000000001</v>
      </c>
      <c r="E2021" s="1">
        <v>40.56</v>
      </c>
      <c r="F2021" s="1">
        <v>40.090000000000003</v>
      </c>
    </row>
    <row r="2022" spans="1:6" x14ac:dyDescent="0.2">
      <c r="A2022" s="2">
        <v>42895</v>
      </c>
      <c r="B2022" s="1">
        <v>40.477499999999999</v>
      </c>
      <c r="C2022">
        <v>86441200</v>
      </c>
      <c r="D2022" s="1">
        <v>40.677500000000002</v>
      </c>
      <c r="E2022" s="1">
        <v>40.747500000000002</v>
      </c>
      <c r="F2022" s="1">
        <v>40.130000000000003</v>
      </c>
    </row>
    <row r="2023" spans="1:6" x14ac:dyDescent="0.2">
      <c r="A2023" s="2">
        <v>42864</v>
      </c>
      <c r="B2023" s="1">
        <v>40.520000000000003</v>
      </c>
      <c r="C2023">
        <v>117967640</v>
      </c>
      <c r="D2023" s="1">
        <v>40.9375</v>
      </c>
      <c r="E2023" s="1">
        <v>41.0625</v>
      </c>
      <c r="F2023" s="1">
        <v>40.14</v>
      </c>
    </row>
    <row r="2024" spans="1:6" x14ac:dyDescent="0.2">
      <c r="A2024" s="2">
        <v>42744</v>
      </c>
      <c r="B2024" s="1">
        <v>41.012500000000003</v>
      </c>
      <c r="C2024">
        <v>66257360</v>
      </c>
      <c r="D2024" s="1">
        <v>41.2</v>
      </c>
      <c r="E2024" s="1">
        <v>41.234999999999999</v>
      </c>
      <c r="F2024" s="1">
        <v>40.907499999999999</v>
      </c>
    </row>
    <row r="2025" spans="1:6" x14ac:dyDescent="0.2">
      <c r="A2025" t="s">
        <v>1227</v>
      </c>
      <c r="B2025" s="1">
        <v>41</v>
      </c>
      <c r="C2025">
        <v>106919760</v>
      </c>
      <c r="D2025" s="1">
        <v>40.909999999999997</v>
      </c>
      <c r="E2025" s="1">
        <v>41.13</v>
      </c>
      <c r="F2025" s="1">
        <v>40.869999999999997</v>
      </c>
    </row>
    <row r="2026" spans="1:6" x14ac:dyDescent="0.2">
      <c r="A2026" t="s">
        <v>1228</v>
      </c>
      <c r="B2026" s="1">
        <v>40.837499999999999</v>
      </c>
      <c r="C2026">
        <v>108863080</v>
      </c>
      <c r="D2026" s="1">
        <v>40.950000000000003</v>
      </c>
      <c r="E2026" s="1">
        <v>40.972499999999997</v>
      </c>
      <c r="F2026" s="1">
        <v>40.652500000000003</v>
      </c>
    </row>
    <row r="2027" spans="1:6" x14ac:dyDescent="0.2">
      <c r="A2027" t="s">
        <v>1229</v>
      </c>
      <c r="B2027" s="1">
        <v>40.727499999999999</v>
      </c>
      <c r="C2027">
        <v>117804200</v>
      </c>
      <c r="D2027" s="1">
        <v>40.024999999999999</v>
      </c>
      <c r="E2027" s="1">
        <v>40.78</v>
      </c>
      <c r="F2027" s="1">
        <v>40</v>
      </c>
    </row>
    <row r="2028" spans="1:6" x14ac:dyDescent="0.2">
      <c r="A2028" t="s">
        <v>1230</v>
      </c>
      <c r="B2028" s="1">
        <v>40.3675</v>
      </c>
      <c r="C2028">
        <v>102599560</v>
      </c>
      <c r="D2028" s="1">
        <v>40.034999999999997</v>
      </c>
      <c r="E2028" s="1">
        <v>40.5</v>
      </c>
      <c r="F2028" s="1">
        <v>39.982500000000002</v>
      </c>
    </row>
    <row r="2029" spans="1:6" x14ac:dyDescent="0.2">
      <c r="A2029" t="s">
        <v>1231</v>
      </c>
      <c r="B2029" s="1">
        <v>39.965000000000003</v>
      </c>
      <c r="C2029">
        <v>100738400</v>
      </c>
      <c r="D2029" s="1">
        <v>39.912500000000001</v>
      </c>
      <c r="E2029" s="1">
        <v>40.14</v>
      </c>
      <c r="F2029" s="1">
        <v>39.817500000000003</v>
      </c>
    </row>
    <row r="2030" spans="1:6" x14ac:dyDescent="0.2">
      <c r="A2030" t="s">
        <v>1232</v>
      </c>
      <c r="B2030" s="1">
        <v>39.817500000000003</v>
      </c>
      <c r="C2030">
        <v>79128680</v>
      </c>
      <c r="D2030" s="1">
        <v>40.107500000000002</v>
      </c>
      <c r="E2030" s="1">
        <v>40.185000000000002</v>
      </c>
      <c r="F2030" s="1">
        <v>39.637500000000003</v>
      </c>
    </row>
    <row r="2031" spans="1:6" x14ac:dyDescent="0.2">
      <c r="A2031" t="s">
        <v>1233</v>
      </c>
      <c r="B2031" s="1">
        <v>39.994999999999997</v>
      </c>
      <c r="C2031">
        <v>77507760</v>
      </c>
      <c r="D2031" s="1">
        <v>39.767499999999998</v>
      </c>
      <c r="E2031" s="1">
        <v>40.1175</v>
      </c>
      <c r="F2031" s="1">
        <v>39.72</v>
      </c>
    </row>
    <row r="2032" spans="1:6" x14ac:dyDescent="0.2">
      <c r="A2032" t="s">
        <v>1234</v>
      </c>
      <c r="B2032" s="1">
        <v>39.945</v>
      </c>
      <c r="C2032">
        <v>86259560</v>
      </c>
      <c r="D2032" s="1">
        <v>39.557499999999997</v>
      </c>
      <c r="E2032" s="1">
        <v>40</v>
      </c>
      <c r="F2032" s="1">
        <v>39.505000000000003</v>
      </c>
    </row>
    <row r="2033" spans="1:6" x14ac:dyDescent="0.2">
      <c r="A2033" t="s">
        <v>1235</v>
      </c>
      <c r="B2033" s="1">
        <v>39.302500000000002</v>
      </c>
      <c r="C2033">
        <v>105320280</v>
      </c>
      <c r="D2033" s="1">
        <v>39.375</v>
      </c>
      <c r="E2033" s="1">
        <v>39.472499999999997</v>
      </c>
      <c r="F2033" s="1">
        <v>38.777500000000003</v>
      </c>
    </row>
    <row r="2034" spans="1:6" x14ac:dyDescent="0.2">
      <c r="A2034" t="s">
        <v>1236</v>
      </c>
      <c r="B2034" s="1">
        <v>39.375</v>
      </c>
      <c r="C2034">
        <v>109567800</v>
      </c>
      <c r="D2034" s="1">
        <v>39.465000000000003</v>
      </c>
      <c r="E2034" s="1">
        <v>39.875</v>
      </c>
      <c r="F2034" s="1">
        <v>39.18</v>
      </c>
    </row>
    <row r="2035" spans="1:6" x14ac:dyDescent="0.2">
      <c r="A2035" t="s">
        <v>1237</v>
      </c>
      <c r="B2035" s="1">
        <v>39.465000000000003</v>
      </c>
      <c r="C2035">
        <v>109511840</v>
      </c>
      <c r="D2035" s="1">
        <v>40.130000000000003</v>
      </c>
      <c r="E2035" s="1">
        <v>40.177500000000002</v>
      </c>
      <c r="F2035" s="1">
        <v>39.46</v>
      </c>
    </row>
    <row r="2036" spans="1:6" x14ac:dyDescent="0.2">
      <c r="A2036" t="s">
        <v>1238</v>
      </c>
      <c r="B2036" s="1">
        <v>40.237499999999997</v>
      </c>
      <c r="C2036">
        <v>110429480</v>
      </c>
      <c r="D2036" s="1">
        <v>40.484999999999999</v>
      </c>
      <c r="E2036" s="1">
        <v>40.627499999999998</v>
      </c>
      <c r="F2036" s="1">
        <v>40.037500000000001</v>
      </c>
    </row>
    <row r="2037" spans="1:6" x14ac:dyDescent="0.2">
      <c r="A2037" t="s">
        <v>1239</v>
      </c>
      <c r="B2037" s="1">
        <v>40.4</v>
      </c>
      <c r="C2037">
        <v>117510520</v>
      </c>
      <c r="D2037" s="1">
        <v>40.164999999999999</v>
      </c>
      <c r="E2037" s="1">
        <v>40.548699999999997</v>
      </c>
      <c r="F2037" s="1">
        <v>40.034999999999997</v>
      </c>
    </row>
    <row r="2038" spans="1:6" x14ac:dyDescent="0.2">
      <c r="A2038" t="s">
        <v>1240</v>
      </c>
      <c r="B2038" s="1">
        <v>39.962499999999999</v>
      </c>
      <c r="C2038">
        <v>88299040</v>
      </c>
      <c r="D2038" s="1">
        <v>39.83</v>
      </c>
      <c r="E2038" s="1">
        <v>40.052500000000002</v>
      </c>
      <c r="F2038" s="1">
        <v>39.6875</v>
      </c>
    </row>
    <row r="2039" spans="1:6" x14ac:dyDescent="0.2">
      <c r="A2039" s="2">
        <v>43047</v>
      </c>
      <c r="B2039" s="1">
        <v>39.369999999999997</v>
      </c>
      <c r="C2039">
        <v>104835880</v>
      </c>
      <c r="D2039" s="1">
        <v>39.15</v>
      </c>
      <c r="E2039" s="1">
        <v>39.6432</v>
      </c>
      <c r="F2039" s="1">
        <v>39.017499999999998</v>
      </c>
    </row>
    <row r="2040" spans="1:6" x14ac:dyDescent="0.2">
      <c r="A2040" s="2">
        <v>43016</v>
      </c>
      <c r="B2040" s="1">
        <v>38.83</v>
      </c>
      <c r="C2040">
        <v>158544760</v>
      </c>
      <c r="D2040" s="1">
        <v>39.975000000000001</v>
      </c>
      <c r="E2040" s="1">
        <v>40</v>
      </c>
      <c r="F2040" s="1">
        <v>38.657499999999999</v>
      </c>
    </row>
    <row r="2041" spans="1:6" x14ac:dyDescent="0.2">
      <c r="A2041" s="2">
        <v>42986</v>
      </c>
      <c r="B2041" s="1">
        <v>40.265000000000001</v>
      </c>
      <c r="C2041">
        <v>104241720</v>
      </c>
      <c r="D2041" s="1">
        <v>39.814999999999998</v>
      </c>
      <c r="E2041" s="1">
        <v>40.317500000000003</v>
      </c>
      <c r="F2041" s="1">
        <v>39.777500000000003</v>
      </c>
    </row>
    <row r="2042" spans="1:6" x14ac:dyDescent="0.2">
      <c r="A2042" s="2">
        <v>42955</v>
      </c>
      <c r="B2042" s="1">
        <v>40.020000000000003</v>
      </c>
      <c r="C2042">
        <v>144509960</v>
      </c>
      <c r="D2042" s="1">
        <v>39.65</v>
      </c>
      <c r="E2042" s="1">
        <v>40.457500000000003</v>
      </c>
      <c r="F2042" s="1">
        <v>39.567500000000003</v>
      </c>
    </row>
    <row r="2043" spans="1:6" x14ac:dyDescent="0.2">
      <c r="A2043" s="2">
        <v>42924</v>
      </c>
      <c r="B2043" s="1">
        <v>39.702500000000001</v>
      </c>
      <c r="C2043">
        <v>87309600</v>
      </c>
      <c r="D2043" s="1">
        <v>39.265000000000001</v>
      </c>
      <c r="E2043" s="1">
        <v>39.729999999999997</v>
      </c>
      <c r="F2043" s="1">
        <v>39.167499999999997</v>
      </c>
    </row>
    <row r="2044" spans="1:6" x14ac:dyDescent="0.2">
      <c r="A2044" s="2">
        <v>42833</v>
      </c>
      <c r="B2044" s="1">
        <v>39.097499999999997</v>
      </c>
      <c r="C2044">
        <v>82059240</v>
      </c>
      <c r="D2044" s="1">
        <v>39.017499999999998</v>
      </c>
      <c r="E2044" s="1">
        <v>39.35</v>
      </c>
      <c r="F2044" s="1">
        <v>38.922499999999999</v>
      </c>
    </row>
    <row r="2045" spans="1:6" x14ac:dyDescent="0.2">
      <c r="A2045" s="2">
        <v>42802</v>
      </c>
      <c r="B2045" s="1">
        <v>38.892499999999998</v>
      </c>
      <c r="C2045">
        <v>106416560</v>
      </c>
      <c r="D2045" s="1">
        <v>39.262500000000003</v>
      </c>
      <c r="E2045" s="1">
        <v>39.302500000000002</v>
      </c>
      <c r="F2045" s="1">
        <v>38.755000000000003</v>
      </c>
    </row>
    <row r="2046" spans="1:6" x14ac:dyDescent="0.2">
      <c r="A2046" s="2">
        <v>42774</v>
      </c>
      <c r="B2046" s="1">
        <v>39.284999999999997</v>
      </c>
      <c r="C2046">
        <v>278905760</v>
      </c>
      <c r="D2046" s="1">
        <v>39.82</v>
      </c>
      <c r="E2046" s="1">
        <v>39.9375</v>
      </c>
      <c r="F2046" s="1">
        <v>39.04</v>
      </c>
    </row>
    <row r="2047" spans="1:6" x14ac:dyDescent="0.2">
      <c r="A2047" s="2">
        <v>42743</v>
      </c>
      <c r="B2047" s="1">
        <v>37.512500000000003</v>
      </c>
      <c r="C2047">
        <v>134676080</v>
      </c>
      <c r="D2047" s="1">
        <v>37.274999999999999</v>
      </c>
      <c r="E2047" s="1">
        <v>37.555</v>
      </c>
      <c r="F2047" s="1">
        <v>37.102499999999999</v>
      </c>
    </row>
    <row r="2048" spans="1:6" x14ac:dyDescent="0.2">
      <c r="A2048" t="s">
        <v>1241</v>
      </c>
      <c r="B2048" s="1">
        <v>37.182499999999997</v>
      </c>
      <c r="C2048">
        <v>78761680</v>
      </c>
      <c r="D2048" s="1">
        <v>37.475000000000001</v>
      </c>
      <c r="E2048" s="1">
        <v>37.582500000000003</v>
      </c>
      <c r="F2048" s="1">
        <v>37.032499999999999</v>
      </c>
    </row>
    <row r="2049" spans="1:6" x14ac:dyDescent="0.2">
      <c r="A2049" t="s">
        <v>1242</v>
      </c>
      <c r="B2049" s="1">
        <v>37.375</v>
      </c>
      <c r="C2049">
        <v>68771080</v>
      </c>
      <c r="D2049" s="1">
        <v>37.472499999999997</v>
      </c>
      <c r="E2049" s="1">
        <v>37.557499999999997</v>
      </c>
      <c r="F2049" s="1">
        <v>37.297499999999999</v>
      </c>
    </row>
    <row r="2050" spans="1:6" x14ac:dyDescent="0.2">
      <c r="A2050" t="s">
        <v>1243</v>
      </c>
      <c r="B2050" s="1">
        <v>37.64</v>
      </c>
      <c r="C2050">
        <v>129719080</v>
      </c>
      <c r="D2050" s="1">
        <v>38.4375</v>
      </c>
      <c r="E2050" s="1">
        <v>38.497500000000002</v>
      </c>
      <c r="F2050" s="1">
        <v>36.825000000000003</v>
      </c>
    </row>
    <row r="2051" spans="1:6" x14ac:dyDescent="0.2">
      <c r="A2051" t="s">
        <v>1244</v>
      </c>
      <c r="B2051" s="1">
        <v>38.365000000000002</v>
      </c>
      <c r="C2051">
        <v>62596480</v>
      </c>
      <c r="D2051" s="1">
        <v>38.337499999999999</v>
      </c>
      <c r="E2051" s="1">
        <v>38.482500000000002</v>
      </c>
      <c r="F2051" s="1">
        <v>38.265000000000001</v>
      </c>
    </row>
    <row r="2052" spans="1:6" x14ac:dyDescent="0.2">
      <c r="A2052" t="s">
        <v>1245</v>
      </c>
      <c r="B2052" s="1">
        <v>38.185000000000002</v>
      </c>
      <c r="C2052">
        <v>75193000</v>
      </c>
      <c r="D2052" s="1">
        <v>37.950000000000003</v>
      </c>
      <c r="E2052" s="1">
        <v>38.46</v>
      </c>
      <c r="F2052" s="1">
        <v>37.950000000000003</v>
      </c>
    </row>
    <row r="2053" spans="1:6" x14ac:dyDescent="0.2">
      <c r="A2053" t="s">
        <v>1246</v>
      </c>
      <c r="B2053" s="1">
        <v>38.022500000000001</v>
      </c>
      <c r="C2053">
        <v>85865480</v>
      </c>
      <c r="D2053" s="1">
        <v>37.645000000000003</v>
      </c>
      <c r="E2053" s="1">
        <v>38.11</v>
      </c>
      <c r="F2053" s="1">
        <v>37.475000000000001</v>
      </c>
    </row>
    <row r="2054" spans="1:6" x14ac:dyDescent="0.2">
      <c r="A2054" t="s">
        <v>1247</v>
      </c>
      <c r="B2054" s="1">
        <v>37.567500000000003</v>
      </c>
      <c r="C2054">
        <v>100445240</v>
      </c>
      <c r="D2054" s="1">
        <v>37.497500000000002</v>
      </c>
      <c r="E2054" s="1">
        <v>37.61</v>
      </c>
      <c r="F2054" s="1">
        <v>37.22</v>
      </c>
    </row>
    <row r="2055" spans="1:6" x14ac:dyDescent="0.2">
      <c r="A2055" t="s">
        <v>1248</v>
      </c>
      <c r="B2055" s="1">
        <v>37.585000000000001</v>
      </c>
      <c r="C2055">
        <v>68681960</v>
      </c>
      <c r="D2055" s="1">
        <v>37.875</v>
      </c>
      <c r="E2055" s="1">
        <v>37.935000000000002</v>
      </c>
      <c r="F2055" s="1">
        <v>37.547499999999999</v>
      </c>
    </row>
    <row r="2056" spans="1:6" x14ac:dyDescent="0.2">
      <c r="A2056" t="s">
        <v>1249</v>
      </c>
      <c r="B2056" s="1">
        <v>37.755000000000003</v>
      </c>
      <c r="C2056">
        <v>83439320</v>
      </c>
      <c r="D2056" s="1">
        <v>37.619999999999997</v>
      </c>
      <c r="E2056" s="1">
        <v>37.854999999999997</v>
      </c>
      <c r="F2056" s="1">
        <v>37.487499999999997</v>
      </c>
    </row>
    <row r="2057" spans="1:6" x14ac:dyDescent="0.2">
      <c r="A2057" t="s">
        <v>1250</v>
      </c>
      <c r="B2057" s="1">
        <v>37.520000000000003</v>
      </c>
      <c r="C2057">
        <v>71348520</v>
      </c>
      <c r="D2057" s="1">
        <v>37.299999999999997</v>
      </c>
      <c r="E2057" s="1">
        <v>37.532499999999999</v>
      </c>
      <c r="F2057" s="1">
        <v>37.167499999999997</v>
      </c>
    </row>
    <row r="2058" spans="1:6" x14ac:dyDescent="0.2">
      <c r="A2058" t="s">
        <v>1251</v>
      </c>
      <c r="B2058" s="1">
        <v>37.39</v>
      </c>
      <c r="C2058">
        <v>95062840</v>
      </c>
      <c r="D2058" s="1">
        <v>37.204999999999998</v>
      </c>
      <c r="E2058" s="1">
        <v>37.725000000000001</v>
      </c>
      <c r="F2058" s="1">
        <v>37.142499999999998</v>
      </c>
    </row>
    <row r="2059" spans="1:6" x14ac:dyDescent="0.2">
      <c r="A2059" t="s">
        <v>1252</v>
      </c>
      <c r="B2059" s="1">
        <v>37.26</v>
      </c>
      <c r="C2059">
        <v>80468280</v>
      </c>
      <c r="D2059" s="1">
        <v>36.9925</v>
      </c>
      <c r="E2059" s="1">
        <v>37.332500000000003</v>
      </c>
      <c r="F2059" s="1">
        <v>36.832500000000003</v>
      </c>
    </row>
    <row r="2060" spans="1:6" x14ac:dyDescent="0.2">
      <c r="A2060" t="s">
        <v>1253</v>
      </c>
      <c r="B2060" s="1">
        <v>36.942500000000003</v>
      </c>
      <c r="C2060">
        <v>100322000</v>
      </c>
      <c r="D2060" s="1">
        <v>36.375</v>
      </c>
      <c r="E2060" s="1">
        <v>37.122500000000002</v>
      </c>
      <c r="F2060" s="1">
        <v>36.36</v>
      </c>
    </row>
    <row r="2061" spans="1:6" x14ac:dyDescent="0.2">
      <c r="A2061" s="2">
        <v>43076</v>
      </c>
      <c r="B2061" s="1">
        <v>36.435000000000002</v>
      </c>
      <c r="C2061">
        <v>99335200</v>
      </c>
      <c r="D2061" s="1">
        <v>36.467500000000001</v>
      </c>
      <c r="E2061" s="1">
        <v>36.545000000000002</v>
      </c>
      <c r="F2061" s="1">
        <v>36.204999999999998</v>
      </c>
    </row>
    <row r="2062" spans="1:6" x14ac:dyDescent="0.2">
      <c r="A2062" s="2">
        <v>43046</v>
      </c>
      <c r="B2062" s="1">
        <v>36.3825</v>
      </c>
      <c r="C2062">
        <v>74588880</v>
      </c>
      <c r="D2062" s="1">
        <v>36.182499999999997</v>
      </c>
      <c r="E2062" s="1">
        <v>36.462499999999999</v>
      </c>
      <c r="F2062" s="1">
        <v>36.094999999999999</v>
      </c>
    </row>
    <row r="2063" spans="1:6" x14ac:dyDescent="0.2">
      <c r="A2063" s="2">
        <v>43015</v>
      </c>
      <c r="B2063" s="1">
        <v>36.265000000000001</v>
      </c>
      <c r="C2063">
        <v>84322320</v>
      </c>
      <c r="D2063" s="1">
        <v>36.027500000000003</v>
      </c>
      <c r="E2063" s="1">
        <v>36.487499999999997</v>
      </c>
      <c r="F2063" s="1">
        <v>35.842500000000001</v>
      </c>
    </row>
    <row r="2064" spans="1:6" x14ac:dyDescent="0.2">
      <c r="A2064" s="2">
        <v>42923</v>
      </c>
      <c r="B2064" s="1">
        <v>36.045000000000002</v>
      </c>
      <c r="C2064">
        <v>74108000</v>
      </c>
      <c r="D2064" s="1">
        <v>35.725000000000001</v>
      </c>
      <c r="E2064" s="1">
        <v>36.1875</v>
      </c>
      <c r="F2064" s="1">
        <v>35.725000000000001</v>
      </c>
    </row>
    <row r="2065" spans="1:6" x14ac:dyDescent="0.2">
      <c r="A2065" s="2">
        <v>42893</v>
      </c>
      <c r="B2065" s="1">
        <v>35.682499999999997</v>
      </c>
      <c r="C2065">
        <v>96441320</v>
      </c>
      <c r="D2065" s="1">
        <v>35.755000000000003</v>
      </c>
      <c r="E2065" s="1">
        <v>35.875</v>
      </c>
      <c r="F2065" s="1">
        <v>35.602499999999999</v>
      </c>
    </row>
    <row r="2066" spans="1:6" x14ac:dyDescent="0.2">
      <c r="A2066" s="2">
        <v>42862</v>
      </c>
      <c r="B2066" s="1">
        <v>36.022500000000001</v>
      </c>
      <c r="C2066">
        <v>86201080</v>
      </c>
      <c r="D2066" s="1">
        <v>35.922499999999999</v>
      </c>
      <c r="E2066" s="1">
        <v>36.197499999999998</v>
      </c>
      <c r="F2066" s="1">
        <v>35.680900000000001</v>
      </c>
    </row>
    <row r="2067" spans="1:6" x14ac:dyDescent="0.2">
      <c r="A2067" s="2">
        <v>42801</v>
      </c>
      <c r="B2067" s="1">
        <v>35.875</v>
      </c>
      <c r="C2067">
        <v>57111400</v>
      </c>
      <c r="D2067" s="1">
        <v>36.22</v>
      </c>
      <c r="E2067" s="1">
        <v>36.325000000000003</v>
      </c>
      <c r="F2067" s="1">
        <v>35.774999999999999</v>
      </c>
    </row>
    <row r="2068" spans="1:6" x14ac:dyDescent="0.2">
      <c r="A2068" t="s">
        <v>1254</v>
      </c>
      <c r="B2068" s="1">
        <v>36.005000000000003</v>
      </c>
      <c r="C2068">
        <v>91947840</v>
      </c>
      <c r="D2068" s="1">
        <v>36.112499999999997</v>
      </c>
      <c r="E2068" s="1">
        <v>36.24</v>
      </c>
      <c r="F2068" s="1">
        <v>35.945</v>
      </c>
    </row>
    <row r="2069" spans="1:6" x14ac:dyDescent="0.2">
      <c r="A2069" t="s">
        <v>1255</v>
      </c>
      <c r="B2069" s="1">
        <v>35.92</v>
      </c>
      <c r="C2069">
        <v>125802080</v>
      </c>
      <c r="D2069" s="1">
        <v>36.177500000000002</v>
      </c>
      <c r="E2069" s="1">
        <v>36.282499999999999</v>
      </c>
      <c r="F2069" s="1">
        <v>35.57</v>
      </c>
    </row>
    <row r="2070" spans="1:6" x14ac:dyDescent="0.2">
      <c r="A2070" t="s">
        <v>1256</v>
      </c>
      <c r="B2070" s="1">
        <v>36.457500000000003</v>
      </c>
      <c r="C2070">
        <v>88211680</v>
      </c>
      <c r="D2070" s="1">
        <v>36.122500000000002</v>
      </c>
      <c r="E2070" s="1">
        <v>36.527500000000003</v>
      </c>
      <c r="F2070" s="1">
        <v>35.79</v>
      </c>
    </row>
    <row r="2071" spans="1:6" x14ac:dyDescent="0.2">
      <c r="A2071" t="s">
        <v>1257</v>
      </c>
      <c r="B2071" s="1">
        <v>35.932499999999997</v>
      </c>
      <c r="C2071">
        <v>98900840</v>
      </c>
      <c r="D2071" s="1">
        <v>36.252499999999998</v>
      </c>
      <c r="E2071" s="1">
        <v>36.54</v>
      </c>
      <c r="F2071" s="1">
        <v>35.905000000000001</v>
      </c>
    </row>
    <row r="2072" spans="1:6" x14ac:dyDescent="0.2">
      <c r="A2072" t="s">
        <v>1258</v>
      </c>
      <c r="B2072" s="1">
        <v>36.454999999999998</v>
      </c>
      <c r="C2072">
        <v>102698000</v>
      </c>
      <c r="D2072" s="1">
        <v>36.792499999999997</v>
      </c>
      <c r="E2072" s="1">
        <v>37.07</v>
      </c>
      <c r="F2072" s="1">
        <v>36.344999999999999</v>
      </c>
    </row>
    <row r="2073" spans="1:6" x14ac:dyDescent="0.2">
      <c r="A2073" t="s">
        <v>1259</v>
      </c>
      <c r="B2073" s="1">
        <v>36.57</v>
      </c>
      <c r="C2073">
        <v>141685240</v>
      </c>
      <c r="D2073" s="1">
        <v>36.282499999999999</v>
      </c>
      <c r="E2073" s="1">
        <v>36.79</v>
      </c>
      <c r="F2073" s="1">
        <v>36.277500000000003</v>
      </c>
    </row>
    <row r="2074" spans="1:6" x14ac:dyDescent="0.2">
      <c r="A2074" t="s">
        <v>1260</v>
      </c>
      <c r="B2074" s="1">
        <v>36.407499999999999</v>
      </c>
      <c r="C2074">
        <v>76328680</v>
      </c>
      <c r="D2074" s="1">
        <v>36.442500000000003</v>
      </c>
      <c r="E2074" s="1">
        <v>36.674999999999997</v>
      </c>
      <c r="F2074" s="1">
        <v>36.28</v>
      </c>
    </row>
    <row r="2075" spans="1:6" x14ac:dyDescent="0.2">
      <c r="A2075" t="s">
        <v>1261</v>
      </c>
      <c r="B2075" s="1">
        <v>36.467500000000001</v>
      </c>
      <c r="C2075">
        <v>84990360</v>
      </c>
      <c r="D2075" s="1">
        <v>36.380000000000003</v>
      </c>
      <c r="E2075" s="1">
        <v>36.517299999999999</v>
      </c>
      <c r="F2075" s="1">
        <v>36.152500000000003</v>
      </c>
    </row>
    <row r="2076" spans="1:6" x14ac:dyDescent="0.2">
      <c r="A2076" t="s">
        <v>1262</v>
      </c>
      <c r="B2076" s="1">
        <v>36.252499999999998</v>
      </c>
      <c r="C2076">
        <v>99511800</v>
      </c>
      <c r="D2076" s="1">
        <v>36.717500000000001</v>
      </c>
      <c r="E2076" s="1">
        <v>36.717500000000001</v>
      </c>
      <c r="F2076" s="1">
        <v>36.234999999999999</v>
      </c>
    </row>
    <row r="2077" spans="1:6" x14ac:dyDescent="0.2">
      <c r="A2077" t="s">
        <v>1263</v>
      </c>
      <c r="B2077" s="1">
        <v>36.585000000000001</v>
      </c>
      <c r="C2077">
        <v>128814560</v>
      </c>
      <c r="D2077" s="1">
        <v>35.914999999999999</v>
      </c>
      <c r="E2077" s="1">
        <v>36.685000000000002</v>
      </c>
      <c r="F2077" s="1">
        <v>35.914999999999999</v>
      </c>
    </row>
    <row r="2078" spans="1:6" x14ac:dyDescent="0.2">
      <c r="A2078" t="s">
        <v>1264</v>
      </c>
      <c r="B2078" s="1">
        <v>35.567500000000003</v>
      </c>
      <c r="C2078">
        <v>201058160</v>
      </c>
      <c r="D2078" s="1">
        <v>35.945</v>
      </c>
      <c r="E2078" s="1">
        <v>36.125</v>
      </c>
      <c r="F2078" s="1">
        <v>35.549999999999997</v>
      </c>
    </row>
    <row r="2079" spans="1:6" x14ac:dyDescent="0.2">
      <c r="A2079" t="s">
        <v>1265</v>
      </c>
      <c r="B2079" s="1">
        <v>36.072499999999998</v>
      </c>
      <c r="C2079">
        <v>126571600</v>
      </c>
      <c r="D2079" s="1">
        <v>35.83</v>
      </c>
      <c r="E2079" s="1">
        <v>36.119999999999997</v>
      </c>
      <c r="F2079" s="1">
        <v>35.552500000000002</v>
      </c>
    </row>
    <row r="2080" spans="1:6" x14ac:dyDescent="0.2">
      <c r="A2080" t="s">
        <v>1266</v>
      </c>
      <c r="B2080" s="1">
        <v>36.29</v>
      </c>
      <c r="C2080">
        <v>125818360</v>
      </c>
      <c r="D2080" s="1">
        <v>36.875</v>
      </c>
      <c r="E2080" s="1">
        <v>36.875</v>
      </c>
      <c r="F2080" s="1">
        <v>35.96</v>
      </c>
    </row>
    <row r="2081" spans="1:6" x14ac:dyDescent="0.2">
      <c r="A2081" t="s">
        <v>1267</v>
      </c>
      <c r="B2081" s="1">
        <v>36.647500000000001</v>
      </c>
      <c r="C2081">
        <v>136356760</v>
      </c>
      <c r="D2081" s="1">
        <v>36.79</v>
      </c>
      <c r="E2081" s="1">
        <v>36.862499999999997</v>
      </c>
      <c r="F2081" s="1">
        <v>36.287500000000001</v>
      </c>
    </row>
    <row r="2082" spans="1:6" x14ac:dyDescent="0.2">
      <c r="A2082" s="2">
        <v>43075</v>
      </c>
      <c r="B2082" s="1">
        <v>36.354999999999997</v>
      </c>
      <c r="C2082">
        <v>288750840</v>
      </c>
      <c r="D2082" s="1">
        <v>36.435000000000002</v>
      </c>
      <c r="E2082" s="1">
        <v>36.522500000000001</v>
      </c>
      <c r="F2082" s="1">
        <v>35.627499999999998</v>
      </c>
    </row>
    <row r="2083" spans="1:6" x14ac:dyDescent="0.2">
      <c r="A2083" s="2">
        <v>42984</v>
      </c>
      <c r="B2083" s="1">
        <v>37.244999999999997</v>
      </c>
      <c r="C2083">
        <v>259131640</v>
      </c>
      <c r="D2083" s="1">
        <v>38.797499999999999</v>
      </c>
      <c r="E2083" s="1">
        <v>38.797499999999999</v>
      </c>
      <c r="F2083" s="1">
        <v>36.505000000000003</v>
      </c>
    </row>
    <row r="2084" spans="1:6" x14ac:dyDescent="0.2">
      <c r="A2084" s="2">
        <v>42953</v>
      </c>
      <c r="B2084" s="1">
        <v>38.747500000000002</v>
      </c>
      <c r="C2084">
        <v>84576160</v>
      </c>
      <c r="D2084" s="1">
        <v>38.8125</v>
      </c>
      <c r="E2084" s="1">
        <v>38.884999999999998</v>
      </c>
      <c r="F2084" s="1">
        <v>38.6</v>
      </c>
    </row>
    <row r="2085" spans="1:6" x14ac:dyDescent="0.2">
      <c r="A2085" s="2">
        <v>42922</v>
      </c>
      <c r="B2085" s="1">
        <v>38.842500000000001</v>
      </c>
      <c r="C2085">
        <v>84070240</v>
      </c>
      <c r="D2085" s="1">
        <v>38.755000000000003</v>
      </c>
      <c r="E2085" s="1">
        <v>38.994999999999997</v>
      </c>
      <c r="F2085" s="1">
        <v>38.619999999999997</v>
      </c>
    </row>
    <row r="2086" spans="1:6" x14ac:dyDescent="0.2">
      <c r="A2086" s="2">
        <v>42892</v>
      </c>
      <c r="B2086" s="1">
        <v>38.612499999999997</v>
      </c>
      <c r="C2086">
        <v>106367400</v>
      </c>
      <c r="D2086" s="1">
        <v>38.475000000000001</v>
      </c>
      <c r="E2086" s="1">
        <v>38.952500000000001</v>
      </c>
      <c r="F2086" s="1">
        <v>38.445</v>
      </c>
    </row>
    <row r="2087" spans="1:6" x14ac:dyDescent="0.2">
      <c r="A2087" s="2">
        <v>42861</v>
      </c>
      <c r="B2087" s="1">
        <v>38.482500000000002</v>
      </c>
      <c r="C2087">
        <v>101110720</v>
      </c>
      <c r="D2087" s="1">
        <v>38.585000000000001</v>
      </c>
      <c r="E2087" s="1">
        <v>38.612499999999997</v>
      </c>
      <c r="F2087" s="1">
        <v>38.365000000000002</v>
      </c>
    </row>
    <row r="2088" spans="1:6" x14ac:dyDescent="0.2">
      <c r="A2088" s="2">
        <v>42772</v>
      </c>
      <c r="B2088" s="1">
        <v>38.862499999999997</v>
      </c>
      <c r="C2088">
        <v>110860560</v>
      </c>
      <c r="D2088" s="1">
        <v>38.395000000000003</v>
      </c>
      <c r="E2088" s="1">
        <v>38.862499999999997</v>
      </c>
      <c r="F2088" s="1">
        <v>38.222499999999997</v>
      </c>
    </row>
    <row r="2089" spans="1:6" x14ac:dyDescent="0.2">
      <c r="A2089" s="2">
        <v>42741</v>
      </c>
      <c r="B2089" s="1">
        <v>38.295000000000002</v>
      </c>
      <c r="C2089">
        <v>65534440</v>
      </c>
      <c r="D2089" s="1">
        <v>38.292499999999997</v>
      </c>
      <c r="E2089" s="1">
        <v>38.332500000000003</v>
      </c>
      <c r="F2089" s="1">
        <v>38.055</v>
      </c>
    </row>
    <row r="2090" spans="1:6" x14ac:dyDescent="0.2">
      <c r="A2090" t="s">
        <v>1268</v>
      </c>
      <c r="B2090" s="1">
        <v>38.19</v>
      </c>
      <c r="C2090">
        <v>97811000</v>
      </c>
      <c r="D2090" s="1">
        <v>38.4925</v>
      </c>
      <c r="E2090" s="1">
        <v>38.542499999999997</v>
      </c>
      <c r="F2090" s="1">
        <v>38.094999999999999</v>
      </c>
    </row>
    <row r="2091" spans="1:6" x14ac:dyDescent="0.2">
      <c r="A2091" t="s">
        <v>1269</v>
      </c>
      <c r="B2091" s="1">
        <v>38.417499999999997</v>
      </c>
      <c r="C2091">
        <v>80474480</v>
      </c>
      <c r="D2091" s="1">
        <v>38.354999999999997</v>
      </c>
      <c r="E2091" s="1">
        <v>38.607500000000002</v>
      </c>
      <c r="F2091" s="1">
        <v>38.332500000000003</v>
      </c>
    </row>
    <row r="2092" spans="1:6" x14ac:dyDescent="0.2">
      <c r="A2092" t="s">
        <v>1270</v>
      </c>
      <c r="B2092" s="1">
        <v>38.402500000000003</v>
      </c>
      <c r="C2092">
        <v>87580080</v>
      </c>
      <c r="D2092" s="1">
        <v>38.5</v>
      </c>
      <c r="E2092" s="1">
        <v>38.56</v>
      </c>
      <c r="F2092" s="1">
        <v>38.327500000000001</v>
      </c>
    </row>
    <row r="2093" spans="1:6" x14ac:dyDescent="0.2">
      <c r="A2093" t="s">
        <v>1271</v>
      </c>
      <c r="B2093" s="1">
        <v>38.467500000000001</v>
      </c>
      <c r="C2093">
        <v>76871240</v>
      </c>
      <c r="D2093" s="1">
        <v>38.432499999999997</v>
      </c>
      <c r="E2093" s="1">
        <v>38.587499999999999</v>
      </c>
      <c r="F2093" s="1">
        <v>38.2575</v>
      </c>
    </row>
    <row r="2094" spans="1:6" x14ac:dyDescent="0.2">
      <c r="A2094" t="s">
        <v>1272</v>
      </c>
      <c r="B2094" s="1">
        <v>38.335000000000001</v>
      </c>
      <c r="C2094">
        <v>76807280</v>
      </c>
      <c r="D2094" s="1">
        <v>38.46</v>
      </c>
      <c r="E2094" s="1">
        <v>38.542499999999997</v>
      </c>
      <c r="F2094" s="1">
        <v>38.167499999999997</v>
      </c>
    </row>
    <row r="2095" spans="1:6" x14ac:dyDescent="0.2">
      <c r="A2095" t="s">
        <v>1273</v>
      </c>
      <c r="B2095" s="1">
        <v>38.450000000000003</v>
      </c>
      <c r="C2095">
        <v>79624680</v>
      </c>
      <c r="D2095" s="1">
        <v>38.725000000000001</v>
      </c>
      <c r="E2095" s="1">
        <v>38.725000000000001</v>
      </c>
      <c r="F2095" s="1">
        <v>38.327500000000001</v>
      </c>
    </row>
    <row r="2096" spans="1:6" x14ac:dyDescent="0.2">
      <c r="A2096" t="s">
        <v>1274</v>
      </c>
      <c r="B2096" s="1">
        <v>38.497500000000002</v>
      </c>
      <c r="C2096">
        <v>91722520</v>
      </c>
      <c r="D2096" s="1">
        <v>38.5</v>
      </c>
      <c r="E2096" s="1">
        <v>38.645000000000003</v>
      </c>
      <c r="F2096" s="1">
        <v>38.227499999999999</v>
      </c>
    </row>
    <row r="2097" spans="1:6" x14ac:dyDescent="0.2">
      <c r="A2097" t="s">
        <v>1275</v>
      </c>
      <c r="B2097" s="1">
        <v>38.265000000000001</v>
      </c>
      <c r="C2097">
        <v>107571400</v>
      </c>
      <c r="D2097" s="1">
        <v>38.344999999999999</v>
      </c>
      <c r="E2097" s="1">
        <v>38.494999999999997</v>
      </c>
      <c r="F2097" s="1">
        <v>38.157499999999999</v>
      </c>
    </row>
    <row r="2098" spans="1:6" x14ac:dyDescent="0.2">
      <c r="A2098" t="s">
        <v>1276</v>
      </c>
      <c r="B2098" s="1">
        <v>38.134999999999998</v>
      </c>
      <c r="C2098">
        <v>134080600</v>
      </c>
      <c r="D2098" s="1">
        <v>37.817500000000003</v>
      </c>
      <c r="E2098" s="1">
        <v>38.335000000000001</v>
      </c>
      <c r="F2098" s="1">
        <v>37.782499999999999</v>
      </c>
    </row>
    <row r="2099" spans="1:6" x14ac:dyDescent="0.2">
      <c r="A2099" t="s">
        <v>1277</v>
      </c>
      <c r="B2099" s="1">
        <v>37.5625</v>
      </c>
      <c r="C2099">
        <v>202697120</v>
      </c>
      <c r="D2099" s="1">
        <v>38.4</v>
      </c>
      <c r="E2099" s="1">
        <v>38.642499999999998</v>
      </c>
      <c r="F2099" s="1">
        <v>37.427500000000002</v>
      </c>
    </row>
    <row r="2100" spans="1:6" x14ac:dyDescent="0.2">
      <c r="A2100" t="s">
        <v>1278</v>
      </c>
      <c r="B2100" s="1">
        <v>38.8675</v>
      </c>
      <c r="C2100">
        <v>79977080</v>
      </c>
      <c r="D2100" s="1">
        <v>38.984999999999999</v>
      </c>
      <c r="E2100" s="1">
        <v>39.015000000000001</v>
      </c>
      <c r="F2100" s="1">
        <v>38.68</v>
      </c>
    </row>
    <row r="2101" spans="1:6" x14ac:dyDescent="0.2">
      <c r="A2101" t="s">
        <v>1279</v>
      </c>
      <c r="B2101" s="1">
        <v>38.924999999999997</v>
      </c>
      <c r="C2101">
        <v>103649080</v>
      </c>
      <c r="D2101" s="1">
        <v>39.002499999999998</v>
      </c>
      <c r="E2101" s="1">
        <v>39.162500000000001</v>
      </c>
      <c r="F2101" s="1">
        <v>38.762500000000003</v>
      </c>
    </row>
    <row r="2102" spans="1:6" x14ac:dyDescent="0.2">
      <c r="A2102" s="2">
        <v>43074</v>
      </c>
      <c r="B2102" s="1">
        <v>39.024999999999999</v>
      </c>
      <c r="C2102">
        <v>129975080</v>
      </c>
      <c r="D2102" s="1">
        <v>38.674999999999997</v>
      </c>
      <c r="E2102" s="1">
        <v>39.104999999999997</v>
      </c>
      <c r="F2102" s="1">
        <v>38.667499999999997</v>
      </c>
    </row>
    <row r="2103" spans="1:6" x14ac:dyDescent="0.2">
      <c r="A2103" s="2">
        <v>43044</v>
      </c>
      <c r="B2103" s="1">
        <v>38.487499999999997</v>
      </c>
      <c r="C2103">
        <v>108945160</v>
      </c>
      <c r="D2103" s="1">
        <v>38.112499999999997</v>
      </c>
      <c r="E2103" s="1">
        <v>38.517499999999998</v>
      </c>
      <c r="F2103" s="1">
        <v>38.077500000000001</v>
      </c>
    </row>
    <row r="2104" spans="1:6" x14ac:dyDescent="0.2">
      <c r="A2104" s="2">
        <v>43013</v>
      </c>
      <c r="B2104" s="1">
        <v>38.314999999999998</v>
      </c>
      <c r="C2104">
        <v>103116240</v>
      </c>
      <c r="D2104" s="1">
        <v>38.407499999999999</v>
      </c>
      <c r="E2104" s="1">
        <v>38.484999999999999</v>
      </c>
      <c r="F2104" s="1">
        <v>38.027500000000003</v>
      </c>
    </row>
    <row r="2105" spans="1:6" x14ac:dyDescent="0.2">
      <c r="A2105" s="2">
        <v>42983</v>
      </c>
      <c r="B2105" s="1">
        <v>38.497500000000002</v>
      </c>
      <c r="C2105">
        <v>155631760</v>
      </c>
      <c r="D2105" s="1">
        <v>38.467500000000001</v>
      </c>
      <c r="E2105" s="1">
        <v>38.72</v>
      </c>
      <c r="F2105" s="1">
        <v>38.362499999999997</v>
      </c>
    </row>
    <row r="2106" spans="1:6" x14ac:dyDescent="0.2">
      <c r="A2106" s="2">
        <v>42952</v>
      </c>
      <c r="B2106" s="1">
        <v>38.252499999999998</v>
      </c>
      <c r="C2106">
        <v>194681760</v>
      </c>
      <c r="D2106" s="1">
        <v>37.2575</v>
      </c>
      <c r="E2106" s="1">
        <v>38.424999999999997</v>
      </c>
      <c r="F2106" s="1">
        <v>37.2575</v>
      </c>
    </row>
    <row r="2107" spans="1:6" x14ac:dyDescent="0.2">
      <c r="A2107" s="2">
        <v>42860</v>
      </c>
      <c r="B2107" s="1">
        <v>37.24</v>
      </c>
      <c r="C2107">
        <v>109019400</v>
      </c>
      <c r="D2107" s="1">
        <v>36.69</v>
      </c>
      <c r="E2107" s="1">
        <v>37.244999999999997</v>
      </c>
      <c r="F2107" s="1">
        <v>36.69</v>
      </c>
    </row>
    <row r="2108" spans="1:6" x14ac:dyDescent="0.2">
      <c r="A2108" s="2">
        <v>42830</v>
      </c>
      <c r="B2108" s="1">
        <v>36.6325</v>
      </c>
      <c r="C2108">
        <v>93383880</v>
      </c>
      <c r="D2108" s="1">
        <v>36.630000000000003</v>
      </c>
      <c r="E2108" s="1">
        <v>36.784999999999997</v>
      </c>
      <c r="F2108" s="1">
        <v>36.452500000000001</v>
      </c>
    </row>
    <row r="2109" spans="1:6" x14ac:dyDescent="0.2">
      <c r="A2109" s="2">
        <v>42799</v>
      </c>
      <c r="B2109" s="1">
        <v>36.765000000000001</v>
      </c>
      <c r="C2109">
        <v>182318960</v>
      </c>
      <c r="D2109" s="1">
        <v>36.397500000000001</v>
      </c>
      <c r="E2109" s="1">
        <v>36.872500000000002</v>
      </c>
      <c r="F2109" s="1">
        <v>36.067500000000003</v>
      </c>
    </row>
    <row r="2110" spans="1:6" x14ac:dyDescent="0.2">
      <c r="A2110" s="2">
        <v>42771</v>
      </c>
      <c r="B2110" s="1">
        <v>36.877499999999998</v>
      </c>
      <c r="C2110">
        <v>176731720</v>
      </c>
      <c r="D2110" s="1">
        <v>36.884999999999998</v>
      </c>
      <c r="E2110" s="1">
        <v>37.022500000000001</v>
      </c>
      <c r="F2110" s="1">
        <v>36.71</v>
      </c>
    </row>
    <row r="2111" spans="1:6" x14ac:dyDescent="0.2">
      <c r="A2111" s="2">
        <v>42740</v>
      </c>
      <c r="B2111" s="1">
        <v>36.645000000000003</v>
      </c>
      <c r="C2111">
        <v>133993080</v>
      </c>
      <c r="D2111" s="1">
        <v>36.274999999999999</v>
      </c>
      <c r="E2111" s="1">
        <v>36.799999999999997</v>
      </c>
      <c r="F2111" s="1">
        <v>36.24</v>
      </c>
    </row>
    <row r="2112" spans="1:6" x14ac:dyDescent="0.2">
      <c r="A2112" t="s">
        <v>1280</v>
      </c>
      <c r="B2112" s="1">
        <v>35.912500000000001</v>
      </c>
      <c r="C2112">
        <v>83133840</v>
      </c>
      <c r="D2112" s="1">
        <v>36.022500000000001</v>
      </c>
      <c r="E2112" s="1">
        <v>36.075000000000003</v>
      </c>
      <c r="F2112" s="1">
        <v>35.817500000000003</v>
      </c>
    </row>
    <row r="2113" spans="1:6" x14ac:dyDescent="0.2">
      <c r="A2113" t="s">
        <v>1281</v>
      </c>
      <c r="B2113" s="1">
        <v>35.947499999999998</v>
      </c>
      <c r="C2113">
        <v>56794640</v>
      </c>
      <c r="D2113" s="1">
        <v>35.980800000000002</v>
      </c>
      <c r="E2113" s="1">
        <v>36.04</v>
      </c>
      <c r="F2113" s="1">
        <v>35.827500000000001</v>
      </c>
    </row>
    <row r="2114" spans="1:6" x14ac:dyDescent="0.2">
      <c r="A2114" t="s">
        <v>1282</v>
      </c>
      <c r="B2114" s="1">
        <v>35.92</v>
      </c>
      <c r="C2114">
        <v>79992200</v>
      </c>
      <c r="D2114" s="1">
        <v>36.1175</v>
      </c>
      <c r="E2114" s="1">
        <v>36.15</v>
      </c>
      <c r="F2114" s="1">
        <v>35.844099999999997</v>
      </c>
    </row>
    <row r="2115" spans="1:6" x14ac:dyDescent="0.2">
      <c r="A2115" t="s">
        <v>1283</v>
      </c>
      <c r="B2115" s="1">
        <v>36.1325</v>
      </c>
      <c r="C2115">
        <v>73302880</v>
      </c>
      <c r="D2115" s="1">
        <v>35.977499999999999</v>
      </c>
      <c r="E2115" s="1">
        <v>36.225000000000001</v>
      </c>
      <c r="F2115" s="1">
        <v>35.967500000000001</v>
      </c>
    </row>
    <row r="2116" spans="1:6" x14ac:dyDescent="0.2">
      <c r="A2116" t="s">
        <v>1284</v>
      </c>
      <c r="B2116" s="1">
        <v>35.909999999999997</v>
      </c>
      <c r="C2116">
        <v>68470840</v>
      </c>
      <c r="D2116" s="1">
        <v>35.875</v>
      </c>
      <c r="E2116" s="1">
        <v>35.987499999999997</v>
      </c>
      <c r="F2116" s="1">
        <v>35.795000000000002</v>
      </c>
    </row>
    <row r="2117" spans="1:6" x14ac:dyDescent="0.2">
      <c r="A2117" t="s">
        <v>1285</v>
      </c>
      <c r="B2117" s="1">
        <v>35.567500000000003</v>
      </c>
      <c r="C2117">
        <v>69163600</v>
      </c>
      <c r="D2117" s="1">
        <v>35.61</v>
      </c>
      <c r="E2117" s="1">
        <v>35.67</v>
      </c>
      <c r="F2117" s="1">
        <v>35.462499999999999</v>
      </c>
    </row>
    <row r="2118" spans="1:6" x14ac:dyDescent="0.2">
      <c r="A2118" t="s">
        <v>1286</v>
      </c>
      <c r="B2118" s="1">
        <v>35.61</v>
      </c>
      <c r="C2118">
        <v>93176160</v>
      </c>
      <c r="D2118" s="1">
        <v>35.305</v>
      </c>
      <c r="E2118" s="1">
        <v>35.729999999999997</v>
      </c>
      <c r="F2118" s="1">
        <v>35.29</v>
      </c>
    </row>
    <row r="2119" spans="1:6" x14ac:dyDescent="0.2">
      <c r="A2119" t="s">
        <v>1287</v>
      </c>
      <c r="B2119" s="1">
        <v>35.17</v>
      </c>
      <c r="C2119">
        <v>69208640</v>
      </c>
      <c r="D2119" s="1">
        <v>35.47</v>
      </c>
      <c r="E2119" s="1">
        <v>35.5</v>
      </c>
      <c r="F2119" s="1">
        <v>35.112499999999997</v>
      </c>
    </row>
    <row r="2120" spans="1:6" x14ac:dyDescent="0.2">
      <c r="A2120" t="s">
        <v>1288</v>
      </c>
      <c r="B2120" s="1">
        <v>35.299999999999997</v>
      </c>
      <c r="C2120">
        <v>58705680</v>
      </c>
      <c r="D2120" s="1">
        <v>35.352499999999999</v>
      </c>
      <c r="E2120" s="1">
        <v>35.51</v>
      </c>
      <c r="F2120" s="1">
        <v>35.277500000000003</v>
      </c>
    </row>
    <row r="2121" spans="1:6" x14ac:dyDescent="0.2">
      <c r="A2121" t="s">
        <v>1289</v>
      </c>
      <c r="B2121" s="1">
        <v>35.457500000000003</v>
      </c>
      <c r="C2121">
        <v>66116520</v>
      </c>
      <c r="D2121" s="1">
        <v>35.369999999999997</v>
      </c>
      <c r="E2121" s="1">
        <v>35.47</v>
      </c>
      <c r="F2121" s="1">
        <v>35.217500000000001</v>
      </c>
    </row>
    <row r="2122" spans="1:6" x14ac:dyDescent="0.2">
      <c r="A2122" t="s">
        <v>1290</v>
      </c>
      <c r="B2122" s="1">
        <v>35.262500000000003</v>
      </c>
      <c r="C2122">
        <v>71102040</v>
      </c>
      <c r="D2122" s="1">
        <v>35.477499999999999</v>
      </c>
      <c r="E2122" s="1">
        <v>35.594999999999999</v>
      </c>
      <c r="F2122" s="1">
        <v>35.262500000000003</v>
      </c>
    </row>
    <row r="2123" spans="1:6" x14ac:dyDescent="0.2">
      <c r="A2123" s="2">
        <v>43073</v>
      </c>
      <c r="B2123" s="1">
        <v>35.450000000000003</v>
      </c>
      <c r="C2123">
        <v>81281680</v>
      </c>
      <c r="D2123" s="1">
        <v>35.4</v>
      </c>
      <c r="E2123" s="1">
        <v>35.537500000000001</v>
      </c>
      <c r="F2123" s="1">
        <v>35.252499999999998</v>
      </c>
    </row>
    <row r="2124" spans="1:6" x14ac:dyDescent="0.2">
      <c r="A2124" s="2">
        <v>43043</v>
      </c>
      <c r="B2124" s="1">
        <v>35.407499999999999</v>
      </c>
      <c r="C2124">
        <v>121366080</v>
      </c>
      <c r="D2124" s="1">
        <v>35.734999999999999</v>
      </c>
      <c r="E2124" s="1">
        <v>35.837499999999999</v>
      </c>
      <c r="F2124" s="1">
        <v>35.015000000000001</v>
      </c>
    </row>
    <row r="2125" spans="1:6" x14ac:dyDescent="0.2">
      <c r="A2125" s="2">
        <v>43012</v>
      </c>
      <c r="B2125" s="1">
        <v>35.792499999999997</v>
      </c>
      <c r="C2125">
        <v>75618720</v>
      </c>
      <c r="D2125" s="1">
        <v>35.9</v>
      </c>
      <c r="E2125" s="1">
        <v>35.969799999999999</v>
      </c>
      <c r="F2125" s="1">
        <v>35.725000000000001</v>
      </c>
    </row>
    <row r="2126" spans="1:6" x14ac:dyDescent="0.2">
      <c r="A2126" s="2">
        <v>42920</v>
      </c>
      <c r="B2126" s="1">
        <v>35.835000000000001</v>
      </c>
      <c r="C2126">
        <v>66634640</v>
      </c>
      <c r="D2126" s="1">
        <v>35.932499999999997</v>
      </c>
      <c r="E2126" s="1">
        <v>36.045000000000002</v>
      </c>
      <c r="F2126" s="1">
        <v>35.817500000000003</v>
      </c>
    </row>
    <row r="2127" spans="1:6" x14ac:dyDescent="0.2">
      <c r="A2127" s="2">
        <v>42890</v>
      </c>
      <c r="B2127" s="1">
        <v>35.914999999999999</v>
      </c>
      <c r="C2127">
        <v>84524160</v>
      </c>
      <c r="D2127" s="1">
        <v>36.072499999999998</v>
      </c>
      <c r="E2127" s="1">
        <v>36.130000000000003</v>
      </c>
      <c r="F2127" s="1">
        <v>35.862499999999997</v>
      </c>
    </row>
    <row r="2128" spans="1:6" x14ac:dyDescent="0.2">
      <c r="A2128" s="2">
        <v>42859</v>
      </c>
      <c r="B2128" s="1">
        <v>36.005000000000003</v>
      </c>
      <c r="C2128">
        <v>110598000</v>
      </c>
      <c r="D2128" s="1">
        <v>36.055</v>
      </c>
      <c r="E2128" s="1">
        <v>36.365000000000002</v>
      </c>
      <c r="F2128" s="1">
        <v>35.952500000000001</v>
      </c>
    </row>
    <row r="2129" spans="1:6" x14ac:dyDescent="0.2">
      <c r="A2129" s="2">
        <v>42829</v>
      </c>
      <c r="B2129" s="1">
        <v>36.192500000000003</v>
      </c>
      <c r="C2129">
        <v>79461200</v>
      </c>
      <c r="D2129" s="1">
        <v>35.8125</v>
      </c>
      <c r="E2129" s="1">
        <v>36.222499999999997</v>
      </c>
      <c r="F2129" s="1">
        <v>35.792499999999997</v>
      </c>
    </row>
    <row r="2130" spans="1:6" x14ac:dyDescent="0.2">
      <c r="A2130" s="2">
        <v>42798</v>
      </c>
      <c r="B2130" s="1">
        <v>35.924999999999997</v>
      </c>
      <c r="C2130">
        <v>79880160</v>
      </c>
      <c r="D2130" s="1">
        <v>35.927500000000002</v>
      </c>
      <c r="E2130" s="1">
        <v>36.03</v>
      </c>
      <c r="F2130" s="1">
        <v>35.762500000000003</v>
      </c>
    </row>
    <row r="2131" spans="1:6" x14ac:dyDescent="0.2">
      <c r="A2131" t="s">
        <v>1291</v>
      </c>
      <c r="B2131" s="1">
        <v>35.914999999999999</v>
      </c>
      <c r="C2131">
        <v>78305920</v>
      </c>
      <c r="D2131" s="1">
        <v>35.93</v>
      </c>
      <c r="E2131" s="1">
        <v>36.067500000000003</v>
      </c>
      <c r="F2131" s="1">
        <v>35.752499999999998</v>
      </c>
    </row>
    <row r="2132" spans="1:6" x14ac:dyDescent="0.2">
      <c r="A2132" t="s">
        <v>1292</v>
      </c>
      <c r="B2132" s="1">
        <v>35.982500000000002</v>
      </c>
      <c r="C2132">
        <v>84756000</v>
      </c>
      <c r="D2132" s="1">
        <v>36.047499999999999</v>
      </c>
      <c r="E2132" s="1">
        <v>36.125</v>
      </c>
      <c r="F2132" s="1">
        <v>35.875</v>
      </c>
    </row>
    <row r="2133" spans="1:6" x14ac:dyDescent="0.2">
      <c r="A2133" t="s">
        <v>1293</v>
      </c>
      <c r="B2133" s="1">
        <v>36.03</v>
      </c>
      <c r="C2133">
        <v>116696160</v>
      </c>
      <c r="D2133" s="1">
        <v>35.92</v>
      </c>
      <c r="E2133" s="1">
        <v>36.122500000000002</v>
      </c>
      <c r="F2133" s="1">
        <v>35.797499999999999</v>
      </c>
    </row>
    <row r="2134" spans="1:6" x14ac:dyDescent="0.2">
      <c r="A2134" t="s">
        <v>1294</v>
      </c>
      <c r="B2134" s="1">
        <v>35.950000000000003</v>
      </c>
      <c r="C2134">
        <v>133393600</v>
      </c>
      <c r="D2134" s="1">
        <v>35.227499999999999</v>
      </c>
      <c r="E2134" s="1">
        <v>36.01</v>
      </c>
      <c r="F2134" s="1">
        <v>35.155000000000001</v>
      </c>
    </row>
    <row r="2135" spans="1:6" x14ac:dyDescent="0.2">
      <c r="A2135" t="s">
        <v>1295</v>
      </c>
      <c r="B2135" s="1">
        <v>35.22</v>
      </c>
      <c r="C2135">
        <v>94126680</v>
      </c>
      <c r="D2135" s="1">
        <v>34.847499999999997</v>
      </c>
      <c r="E2135" s="1">
        <v>35.305</v>
      </c>
      <c r="F2135" s="1">
        <v>34.655000000000001</v>
      </c>
    </row>
    <row r="2136" spans="1:6" x14ac:dyDescent="0.2">
      <c r="A2136" t="s">
        <v>1296</v>
      </c>
      <c r="B2136" s="1">
        <v>35.159999999999997</v>
      </c>
      <c r="C2136">
        <v>89420560</v>
      </c>
      <c r="D2136" s="1">
        <v>35.375</v>
      </c>
      <c r="E2136" s="1">
        <v>35.435000000000002</v>
      </c>
      <c r="F2136" s="1">
        <v>35.087499999999999</v>
      </c>
    </row>
    <row r="2137" spans="1:6" x14ac:dyDescent="0.2">
      <c r="A2137" t="s">
        <v>1297</v>
      </c>
      <c r="B2137" s="1">
        <v>35.229999999999997</v>
      </c>
      <c r="C2137">
        <v>81197240</v>
      </c>
      <c r="D2137" s="1">
        <v>35.314999999999998</v>
      </c>
      <c r="E2137" s="1">
        <v>35.396099999999997</v>
      </c>
      <c r="F2137" s="1">
        <v>35.152500000000003</v>
      </c>
    </row>
    <row r="2138" spans="1:6" x14ac:dyDescent="0.2">
      <c r="A2138" t="s">
        <v>1298</v>
      </c>
      <c r="B2138" s="1">
        <v>35.354999999999997</v>
      </c>
      <c r="C2138">
        <v>103219280</v>
      </c>
      <c r="D2138" s="1">
        <v>34.961300000000001</v>
      </c>
      <c r="E2138" s="1">
        <v>35.4</v>
      </c>
      <c r="F2138" s="1">
        <v>34.94</v>
      </c>
    </row>
    <row r="2139" spans="1:6" x14ac:dyDescent="0.2">
      <c r="A2139" t="s">
        <v>1299</v>
      </c>
      <c r="B2139" s="1">
        <v>34.96</v>
      </c>
      <c r="C2139">
        <v>157844520</v>
      </c>
      <c r="D2139" s="1">
        <v>35.527500000000003</v>
      </c>
      <c r="E2139" s="1">
        <v>35.700000000000003</v>
      </c>
      <c r="F2139" s="1">
        <v>34.932499999999997</v>
      </c>
    </row>
    <row r="2140" spans="1:6" x14ac:dyDescent="0.2">
      <c r="A2140" t="s">
        <v>1300</v>
      </c>
      <c r="B2140" s="1">
        <v>35.365000000000002</v>
      </c>
      <c r="C2140">
        <v>85032400</v>
      </c>
      <c r="D2140" s="1">
        <v>35.1</v>
      </c>
      <c r="E2140" s="1">
        <v>35.375</v>
      </c>
      <c r="F2140" s="1">
        <v>35.057499999999997</v>
      </c>
    </row>
    <row r="2141" spans="1:6" x14ac:dyDescent="0.2">
      <c r="A2141" t="s">
        <v>1301</v>
      </c>
      <c r="B2141" s="1">
        <v>34.997500000000002</v>
      </c>
      <c r="C2141">
        <v>174802280</v>
      </c>
      <c r="D2141" s="1">
        <v>35.25</v>
      </c>
      <c r="E2141" s="1">
        <v>35.25</v>
      </c>
      <c r="F2141" s="1">
        <v>34.972499999999997</v>
      </c>
    </row>
    <row r="2142" spans="1:6" x14ac:dyDescent="0.2">
      <c r="A2142" t="s">
        <v>1302</v>
      </c>
      <c r="B2142" s="1">
        <v>35.172499999999999</v>
      </c>
      <c r="C2142">
        <v>76695120</v>
      </c>
      <c r="D2142" s="1">
        <v>35.18</v>
      </c>
      <c r="E2142" s="1">
        <v>35.255000000000003</v>
      </c>
      <c r="F2142" s="1">
        <v>35.064999999999998</v>
      </c>
    </row>
    <row r="2143" spans="1:6" x14ac:dyDescent="0.2">
      <c r="A2143" t="s">
        <v>1303</v>
      </c>
      <c r="B2143" s="1">
        <v>35.115000000000002</v>
      </c>
      <c r="C2143">
        <v>102706880</v>
      </c>
      <c r="D2143" s="1">
        <v>34.852499999999999</v>
      </c>
      <c r="E2143" s="1">
        <v>35.1875</v>
      </c>
      <c r="F2143" s="1">
        <v>34.756300000000003</v>
      </c>
    </row>
    <row r="2144" spans="1:6" x14ac:dyDescent="0.2">
      <c r="A2144" t="s">
        <v>1304</v>
      </c>
      <c r="B2144" s="1">
        <v>34.747500000000002</v>
      </c>
      <c r="C2144">
        <v>61127400</v>
      </c>
      <c r="D2144" s="1">
        <v>34.825000000000003</v>
      </c>
      <c r="E2144" s="1">
        <v>34.912500000000001</v>
      </c>
      <c r="F2144" s="1">
        <v>34.71</v>
      </c>
    </row>
    <row r="2145" spans="1:6" x14ac:dyDescent="0.2">
      <c r="A2145" t="s">
        <v>1305</v>
      </c>
      <c r="B2145" s="1">
        <v>34.799999999999997</v>
      </c>
      <c r="C2145">
        <v>68195200</v>
      </c>
      <c r="D2145" s="1">
        <v>34.712499999999999</v>
      </c>
      <c r="E2145" s="1">
        <v>34.857500000000002</v>
      </c>
      <c r="F2145" s="1">
        <v>34.704999999999998</v>
      </c>
    </row>
    <row r="2146" spans="1:6" x14ac:dyDescent="0.2">
      <c r="A2146" s="2">
        <v>43011</v>
      </c>
      <c r="B2146" s="1">
        <v>34.784999999999997</v>
      </c>
      <c r="C2146">
        <v>78315680</v>
      </c>
      <c r="D2146" s="1">
        <v>34.8125</v>
      </c>
      <c r="E2146" s="1">
        <v>34.839300000000001</v>
      </c>
      <c r="F2146" s="1">
        <v>34.659999999999997</v>
      </c>
    </row>
    <row r="2147" spans="1:6" x14ac:dyDescent="0.2">
      <c r="A2147" s="2">
        <v>42981</v>
      </c>
      <c r="B2147" s="1">
        <v>34.67</v>
      </c>
      <c r="C2147">
        <v>88471000</v>
      </c>
      <c r="D2147" s="1">
        <v>34.685000000000002</v>
      </c>
      <c r="E2147" s="1">
        <v>34.697499999999998</v>
      </c>
      <c r="F2147" s="1">
        <v>34.262500000000003</v>
      </c>
    </row>
    <row r="2148" spans="1:6" x14ac:dyDescent="0.2">
      <c r="A2148" s="2">
        <v>42950</v>
      </c>
      <c r="B2148" s="1">
        <v>34.75</v>
      </c>
      <c r="C2148">
        <v>74782000</v>
      </c>
      <c r="D2148" s="1">
        <v>34.737499999999997</v>
      </c>
      <c r="E2148" s="1">
        <v>34.950000000000003</v>
      </c>
      <c r="F2148" s="1">
        <v>34.704999999999998</v>
      </c>
    </row>
    <row r="2149" spans="1:6" x14ac:dyDescent="0.2">
      <c r="A2149" s="2">
        <v>42919</v>
      </c>
      <c r="B2149" s="1">
        <v>34.880000000000003</v>
      </c>
      <c r="C2149">
        <v>69756840</v>
      </c>
      <c r="D2149" s="1">
        <v>34.765000000000001</v>
      </c>
      <c r="E2149" s="1">
        <v>34.994999999999997</v>
      </c>
      <c r="F2149" s="1">
        <v>34.697499999999998</v>
      </c>
    </row>
    <row r="2150" spans="1:6" x14ac:dyDescent="0.2">
      <c r="A2150" s="2">
        <v>42889</v>
      </c>
      <c r="B2150" s="1">
        <v>34.835000000000001</v>
      </c>
      <c r="C2150">
        <v>84919560</v>
      </c>
      <c r="D2150" s="1">
        <v>34.841299999999997</v>
      </c>
      <c r="E2150" s="1">
        <v>34.942500000000003</v>
      </c>
      <c r="F2150" s="1">
        <v>34.649000000000001</v>
      </c>
    </row>
    <row r="2151" spans="1:6" x14ac:dyDescent="0.2">
      <c r="A2151" s="2">
        <v>42797</v>
      </c>
      <c r="B2151" s="1">
        <v>34.945</v>
      </c>
      <c r="C2151">
        <v>86221480</v>
      </c>
      <c r="D2151" s="1">
        <v>34.695</v>
      </c>
      <c r="E2151" s="1">
        <v>34.957500000000003</v>
      </c>
      <c r="F2151" s="1">
        <v>34.647500000000001</v>
      </c>
    </row>
    <row r="2152" spans="1:6" x14ac:dyDescent="0.2">
      <c r="A2152" s="2">
        <v>42769</v>
      </c>
      <c r="B2152" s="1">
        <v>34.74</v>
      </c>
      <c r="C2152">
        <v>104682760</v>
      </c>
      <c r="D2152" s="1">
        <v>35</v>
      </c>
      <c r="E2152" s="1">
        <v>35.069699999999997</v>
      </c>
      <c r="F2152" s="1">
        <v>34.69</v>
      </c>
    </row>
    <row r="2153" spans="1:6" x14ac:dyDescent="0.2">
      <c r="A2153" s="2">
        <v>42738</v>
      </c>
      <c r="B2153" s="1">
        <v>34.947499999999998</v>
      </c>
      <c r="C2153">
        <v>145449760</v>
      </c>
      <c r="D2153" s="1">
        <v>34.472499999999997</v>
      </c>
      <c r="E2153" s="1">
        <v>35.037500000000001</v>
      </c>
      <c r="F2153" s="1">
        <v>34.398800000000001</v>
      </c>
    </row>
    <row r="2154" spans="1:6" x14ac:dyDescent="0.2">
      <c r="A2154" t="s">
        <v>1306</v>
      </c>
      <c r="B2154" s="1">
        <v>34.247500000000002</v>
      </c>
      <c r="C2154">
        <v>93785360</v>
      </c>
      <c r="D2154" s="1">
        <v>34.270000000000003</v>
      </c>
      <c r="E2154" s="1">
        <v>34.358800000000002</v>
      </c>
      <c r="F2154" s="1">
        <v>34.174999999999997</v>
      </c>
    </row>
    <row r="2155" spans="1:6" x14ac:dyDescent="0.2">
      <c r="A2155" t="s">
        <v>1307</v>
      </c>
      <c r="B2155" s="1">
        <v>34.232500000000002</v>
      </c>
      <c r="C2155">
        <v>80888840</v>
      </c>
      <c r="D2155" s="1">
        <v>34.284999999999997</v>
      </c>
      <c r="E2155" s="1">
        <v>34.358800000000002</v>
      </c>
      <c r="F2155" s="1">
        <v>34.07</v>
      </c>
    </row>
    <row r="2156" spans="1:6" x14ac:dyDescent="0.2">
      <c r="A2156" t="s">
        <v>1308</v>
      </c>
      <c r="B2156" s="1">
        <v>34.164999999999999</v>
      </c>
      <c r="C2156">
        <v>87018400</v>
      </c>
      <c r="D2156" s="1">
        <v>33.977499999999999</v>
      </c>
      <c r="E2156" s="1">
        <v>34.164999999999999</v>
      </c>
      <c r="F2156" s="1">
        <v>33.82</v>
      </c>
    </row>
    <row r="2157" spans="1:6" x14ac:dyDescent="0.2">
      <c r="A2157" t="s">
        <v>1309</v>
      </c>
      <c r="B2157" s="1">
        <v>34.1325</v>
      </c>
      <c r="C2157">
        <v>83049440</v>
      </c>
      <c r="D2157" s="1">
        <v>34.344999999999999</v>
      </c>
      <c r="E2157" s="1">
        <v>34.369999999999997</v>
      </c>
      <c r="F2157" s="1">
        <v>34.075000000000003</v>
      </c>
    </row>
    <row r="2158" spans="1:6" x14ac:dyDescent="0.2">
      <c r="A2158" t="s">
        <v>1310</v>
      </c>
      <c r="B2158" s="1">
        <v>34.277500000000003</v>
      </c>
      <c r="C2158">
        <v>83076120</v>
      </c>
      <c r="D2158" s="1">
        <v>34.107500000000002</v>
      </c>
      <c r="E2158" s="1">
        <v>34.28</v>
      </c>
      <c r="F2158" s="1">
        <v>34.027500000000003</v>
      </c>
    </row>
    <row r="2159" spans="1:6" x14ac:dyDescent="0.2">
      <c r="A2159" t="s">
        <v>1311</v>
      </c>
      <c r="B2159" s="1">
        <v>34.174999999999997</v>
      </c>
      <c r="C2159">
        <v>97948800</v>
      </c>
      <c r="D2159" s="1">
        <v>34.057499999999997</v>
      </c>
      <c r="E2159" s="1">
        <v>34.1875</v>
      </c>
      <c r="F2159" s="1">
        <v>33.994999999999997</v>
      </c>
    </row>
    <row r="2160" spans="1:6" x14ac:dyDescent="0.2">
      <c r="A2160" t="s">
        <v>1312</v>
      </c>
      <c r="B2160" s="1">
        <v>33.93</v>
      </c>
      <c r="C2160">
        <v>88653120</v>
      </c>
      <c r="D2160" s="1">
        <v>33.774999999999999</v>
      </c>
      <c r="E2160" s="1">
        <v>33.957500000000003</v>
      </c>
      <c r="F2160" s="1">
        <v>33.774999999999999</v>
      </c>
    </row>
    <row r="2161" spans="1:6" x14ac:dyDescent="0.2">
      <c r="A2161" t="s">
        <v>1313</v>
      </c>
      <c r="B2161" s="1">
        <v>33.836300000000001</v>
      </c>
      <c r="C2161">
        <v>90159440</v>
      </c>
      <c r="D2161" s="1">
        <v>33.917499999999997</v>
      </c>
      <c r="E2161" s="1">
        <v>33.975000000000001</v>
      </c>
      <c r="F2161" s="1">
        <v>33.709899999999998</v>
      </c>
    </row>
    <row r="2162" spans="1:6" x14ac:dyDescent="0.2">
      <c r="A2162" t="s">
        <v>1314</v>
      </c>
      <c r="B2162" s="1">
        <v>33.877499999999998</v>
      </c>
      <c r="C2162">
        <v>142314560</v>
      </c>
      <c r="D2162" s="1">
        <v>33.880000000000003</v>
      </c>
      <c r="E2162" s="1">
        <v>34.067500000000003</v>
      </c>
      <c r="F2162" s="1">
        <v>33.655000000000001</v>
      </c>
    </row>
    <row r="2163" spans="1:6" x14ac:dyDescent="0.2">
      <c r="A2163" t="s">
        <v>1315</v>
      </c>
      <c r="B2163" s="1">
        <v>33.755000000000003</v>
      </c>
      <c r="C2163">
        <v>132218000</v>
      </c>
      <c r="D2163" s="1">
        <v>33.3675</v>
      </c>
      <c r="E2163" s="1">
        <v>33.772500000000001</v>
      </c>
      <c r="F2163" s="1">
        <v>33.3125</v>
      </c>
    </row>
    <row r="2164" spans="1:6" x14ac:dyDescent="0.2">
      <c r="A2164" t="s">
        <v>1316</v>
      </c>
      <c r="B2164" s="1">
        <v>33.322499999999998</v>
      </c>
      <c r="C2164">
        <v>91959920</v>
      </c>
      <c r="D2164" s="1">
        <v>33.270000000000003</v>
      </c>
      <c r="E2164" s="1">
        <v>33.454999999999998</v>
      </c>
      <c r="F2164" s="1">
        <v>33.1875</v>
      </c>
    </row>
    <row r="2165" spans="1:6" x14ac:dyDescent="0.2">
      <c r="A2165" s="2">
        <v>43010</v>
      </c>
      <c r="B2165" s="1">
        <v>33.03</v>
      </c>
      <c r="C2165">
        <v>80185000</v>
      </c>
      <c r="D2165" s="1">
        <v>33.115000000000002</v>
      </c>
      <c r="E2165" s="1">
        <v>33.234999999999999</v>
      </c>
      <c r="F2165" s="1">
        <v>33.012500000000003</v>
      </c>
    </row>
    <row r="2166" spans="1:6" x14ac:dyDescent="0.2">
      <c r="A2166" s="2">
        <v>42980</v>
      </c>
      <c r="B2166" s="1">
        <v>33.104999999999997</v>
      </c>
      <c r="C2166">
        <v>113285760</v>
      </c>
      <c r="D2166" s="1">
        <v>32.912500000000001</v>
      </c>
      <c r="E2166" s="1">
        <v>33.111199999999997</v>
      </c>
      <c r="F2166" s="1">
        <v>32.78</v>
      </c>
    </row>
    <row r="2167" spans="1:6" x14ac:dyDescent="0.2">
      <c r="A2167" s="2">
        <v>42949</v>
      </c>
      <c r="B2167" s="1">
        <v>33.01</v>
      </c>
      <c r="C2167">
        <v>91766600</v>
      </c>
      <c r="D2167" s="1">
        <v>32.837499999999999</v>
      </c>
      <c r="E2167" s="1">
        <v>33.055</v>
      </c>
      <c r="F2167" s="1">
        <v>32.805</v>
      </c>
    </row>
    <row r="2168" spans="1:6" x14ac:dyDescent="0.2">
      <c r="A2168" s="2">
        <v>42918</v>
      </c>
      <c r="B2168" s="1">
        <v>32.8825</v>
      </c>
      <c r="C2168">
        <v>152633640</v>
      </c>
      <c r="D2168" s="1">
        <v>32.634999999999998</v>
      </c>
      <c r="E2168" s="1">
        <v>33.022500000000001</v>
      </c>
      <c r="F2168" s="1">
        <v>32.612499999999997</v>
      </c>
    </row>
    <row r="2169" spans="1:6" x14ac:dyDescent="0.2">
      <c r="A2169" s="2">
        <v>42888</v>
      </c>
      <c r="B2169" s="1">
        <v>32.572499999999998</v>
      </c>
      <c r="C2169">
        <v>107138120</v>
      </c>
      <c r="D2169" s="1">
        <v>32.282499999999999</v>
      </c>
      <c r="E2169" s="1">
        <v>32.625</v>
      </c>
      <c r="F2169" s="1">
        <v>32.225000000000001</v>
      </c>
    </row>
    <row r="2170" spans="1:6" x14ac:dyDescent="0.2">
      <c r="A2170" s="2">
        <v>42796</v>
      </c>
      <c r="B2170" s="1">
        <v>32.270000000000003</v>
      </c>
      <c r="C2170">
        <v>97840640</v>
      </c>
      <c r="D2170" s="1">
        <v>32.077500000000001</v>
      </c>
      <c r="E2170" s="1">
        <v>32.297499999999999</v>
      </c>
      <c r="F2170" s="1">
        <v>32.04</v>
      </c>
    </row>
    <row r="2171" spans="1:6" x14ac:dyDescent="0.2">
      <c r="A2171" s="2">
        <v>42768</v>
      </c>
      <c r="B2171" s="1">
        <v>32.1325</v>
      </c>
      <c r="C2171">
        <v>134685000</v>
      </c>
      <c r="D2171" s="1">
        <v>31.9937</v>
      </c>
      <c r="E2171" s="1">
        <v>32.347499999999997</v>
      </c>
      <c r="F2171" s="1">
        <v>31.945</v>
      </c>
    </row>
    <row r="2172" spans="1:6" x14ac:dyDescent="0.2">
      <c r="A2172" s="2">
        <v>42737</v>
      </c>
      <c r="B2172" s="1">
        <v>32.1875</v>
      </c>
      <c r="C2172">
        <v>447349200</v>
      </c>
      <c r="D2172" s="1">
        <v>31.7575</v>
      </c>
      <c r="E2172" s="1">
        <v>32.622500000000002</v>
      </c>
      <c r="F2172" s="1">
        <v>31.752500000000001</v>
      </c>
    </row>
    <row r="2173" spans="1:6" x14ac:dyDescent="0.2">
      <c r="A2173" t="s">
        <v>1317</v>
      </c>
      <c r="B2173" s="1">
        <v>30.337499999999999</v>
      </c>
      <c r="C2173">
        <v>191071040</v>
      </c>
      <c r="D2173" s="1">
        <v>30.287500000000001</v>
      </c>
      <c r="E2173" s="1">
        <v>30.3475</v>
      </c>
      <c r="F2173" s="1">
        <v>30.155000000000001</v>
      </c>
    </row>
    <row r="2174" spans="1:6" x14ac:dyDescent="0.2">
      <c r="A2174" t="s">
        <v>1318</v>
      </c>
      <c r="B2174" s="1">
        <v>30.407499999999999</v>
      </c>
      <c r="C2174">
        <v>121308440</v>
      </c>
      <c r="D2174" s="1">
        <v>30.232500000000002</v>
      </c>
      <c r="E2174" s="1">
        <v>30.407499999999999</v>
      </c>
      <c r="F2174" s="1">
        <v>30.164999999999999</v>
      </c>
    </row>
    <row r="2175" spans="1:6" x14ac:dyDescent="0.2">
      <c r="A2175" t="s">
        <v>1319</v>
      </c>
      <c r="B2175" s="1">
        <v>30.487500000000001</v>
      </c>
      <c r="C2175">
        <v>81981360</v>
      </c>
      <c r="D2175" s="1">
        <v>30.535</v>
      </c>
      <c r="E2175" s="1">
        <v>30.587499999999999</v>
      </c>
      <c r="F2175" s="1">
        <v>30.4</v>
      </c>
    </row>
    <row r="2176" spans="1:6" x14ac:dyDescent="0.2">
      <c r="A2176" t="s">
        <v>1320</v>
      </c>
      <c r="B2176" s="1">
        <v>30.484999999999999</v>
      </c>
      <c r="C2176">
        <v>105282960</v>
      </c>
      <c r="D2176" s="1">
        <v>30.4175</v>
      </c>
      <c r="E2176" s="1">
        <v>30.61</v>
      </c>
      <c r="F2176" s="1">
        <v>30.4</v>
      </c>
    </row>
    <row r="2177" spans="1:6" x14ac:dyDescent="0.2">
      <c r="A2177" t="s">
        <v>1321</v>
      </c>
      <c r="B2177" s="1">
        <v>30.47</v>
      </c>
      <c r="C2177">
        <v>129669640</v>
      </c>
      <c r="D2177" s="1">
        <v>30.105</v>
      </c>
      <c r="E2177" s="1">
        <v>30.524999999999999</v>
      </c>
      <c r="F2177" s="1">
        <v>30.07</v>
      </c>
    </row>
    <row r="2178" spans="1:6" x14ac:dyDescent="0.2">
      <c r="A2178" t="s">
        <v>1322</v>
      </c>
      <c r="B2178" s="1">
        <v>29.9925</v>
      </c>
      <c r="C2178">
        <v>92764600</v>
      </c>
      <c r="D2178" s="1">
        <v>29.887499999999999</v>
      </c>
      <c r="E2178" s="1">
        <v>30.024999999999999</v>
      </c>
      <c r="F2178" s="1">
        <v>29.875</v>
      </c>
    </row>
    <row r="2179" spans="1:6" x14ac:dyDescent="0.2">
      <c r="A2179" t="s">
        <v>1323</v>
      </c>
      <c r="B2179" s="1">
        <v>30.02</v>
      </c>
      <c r="C2179">
        <v>87928000</v>
      </c>
      <c r="D2179" s="1">
        <v>30</v>
      </c>
      <c r="E2179" s="1">
        <v>30.202500000000001</v>
      </c>
      <c r="F2179" s="1">
        <v>29.942499999999999</v>
      </c>
    </row>
    <row r="2180" spans="1:6" x14ac:dyDescent="0.2">
      <c r="A2180" t="s">
        <v>1324</v>
      </c>
      <c r="B2180" s="1">
        <v>30</v>
      </c>
      <c r="C2180">
        <v>119690600</v>
      </c>
      <c r="D2180" s="1">
        <v>30.112500000000001</v>
      </c>
      <c r="E2180" s="1">
        <v>30.112500000000001</v>
      </c>
      <c r="F2180" s="1">
        <v>29.933700000000002</v>
      </c>
    </row>
    <row r="2181" spans="1:6" x14ac:dyDescent="0.2">
      <c r="A2181" t="s">
        <v>1325</v>
      </c>
      <c r="B2181" s="1">
        <v>29.945</v>
      </c>
      <c r="C2181">
        <v>102217160</v>
      </c>
      <c r="D2181" s="1">
        <v>29.85</v>
      </c>
      <c r="E2181" s="1">
        <v>30.022500000000001</v>
      </c>
      <c r="F2181" s="1">
        <v>29.842500000000001</v>
      </c>
    </row>
    <row r="2182" spans="1:6" x14ac:dyDescent="0.2">
      <c r="A2182" t="s">
        <v>1326</v>
      </c>
      <c r="B2182" s="1">
        <v>29.997499999999999</v>
      </c>
      <c r="C2182">
        <v>94749400</v>
      </c>
      <c r="D2182" s="1">
        <v>30</v>
      </c>
      <c r="E2182" s="1">
        <v>30.125</v>
      </c>
      <c r="F2182" s="1">
        <v>29.927499999999998</v>
      </c>
    </row>
    <row r="2183" spans="1:6" x14ac:dyDescent="0.2">
      <c r="A2183" t="s">
        <v>1327</v>
      </c>
      <c r="B2183" s="1">
        <v>30</v>
      </c>
      <c r="C2183">
        <v>137648360</v>
      </c>
      <c r="D2183" s="1">
        <v>29.585000000000001</v>
      </c>
      <c r="E2183" s="1">
        <v>30.06</v>
      </c>
      <c r="F2183" s="1">
        <v>29.555</v>
      </c>
    </row>
    <row r="2184" spans="1:6" x14ac:dyDescent="0.2">
      <c r="A2184" t="s">
        <v>1328</v>
      </c>
      <c r="B2184" s="1">
        <v>29.76</v>
      </c>
      <c r="C2184">
        <v>104332120</v>
      </c>
      <c r="D2184" s="1">
        <v>29.7775</v>
      </c>
      <c r="E2184" s="1">
        <v>29.905000000000001</v>
      </c>
      <c r="F2184" s="1">
        <v>29.702500000000001</v>
      </c>
    </row>
    <row r="2185" spans="1:6" x14ac:dyDescent="0.2">
      <c r="A2185" s="2">
        <v>43070</v>
      </c>
      <c r="B2185" s="1">
        <v>29.8125</v>
      </c>
      <c r="C2185">
        <v>108230200</v>
      </c>
      <c r="D2185" s="1">
        <v>29.723700000000001</v>
      </c>
      <c r="E2185" s="1">
        <v>29.824999999999999</v>
      </c>
      <c r="F2185" s="1">
        <v>29.552499999999998</v>
      </c>
    </row>
    <row r="2186" spans="1:6" x14ac:dyDescent="0.2">
      <c r="A2186" s="2">
        <v>43040</v>
      </c>
      <c r="B2186" s="1">
        <v>29.9375</v>
      </c>
      <c r="C2186">
        <v>109812520</v>
      </c>
      <c r="D2186" s="1">
        <v>29.684999999999999</v>
      </c>
      <c r="E2186" s="1">
        <v>29.982500000000002</v>
      </c>
      <c r="F2186" s="1">
        <v>29.65</v>
      </c>
    </row>
    <row r="2187" spans="1:6" x14ac:dyDescent="0.2">
      <c r="A2187" s="2">
        <v>43009</v>
      </c>
      <c r="B2187" s="1">
        <v>29.7775</v>
      </c>
      <c r="C2187">
        <v>97730640</v>
      </c>
      <c r="D2187" s="1">
        <v>29.692499999999999</v>
      </c>
      <c r="E2187" s="1">
        <v>29.844999999999999</v>
      </c>
      <c r="F2187" s="1">
        <v>29.574999999999999</v>
      </c>
    </row>
    <row r="2188" spans="1:6" x14ac:dyDescent="0.2">
      <c r="A2188" s="2">
        <v>42979</v>
      </c>
      <c r="B2188" s="1">
        <v>29.747499999999999</v>
      </c>
      <c r="C2188">
        <v>133681160</v>
      </c>
      <c r="D2188" s="1">
        <v>29.487500000000001</v>
      </c>
      <c r="E2188" s="1">
        <v>29.857500000000002</v>
      </c>
      <c r="F2188" s="1">
        <v>29.484999999999999</v>
      </c>
    </row>
    <row r="2189" spans="1:6" x14ac:dyDescent="0.2">
      <c r="A2189" s="2">
        <v>42887</v>
      </c>
      <c r="B2189" s="1">
        <v>29.477499999999999</v>
      </c>
      <c r="C2189">
        <v>126859280</v>
      </c>
      <c r="D2189" s="1">
        <v>29.195</v>
      </c>
      <c r="E2189" s="1">
        <v>29.54</v>
      </c>
      <c r="F2189" s="1">
        <v>29.1175</v>
      </c>
    </row>
    <row r="2190" spans="1:6" x14ac:dyDescent="0.2">
      <c r="A2190" s="2">
        <v>42856</v>
      </c>
      <c r="B2190" s="1">
        <v>29.1525</v>
      </c>
      <c r="C2190">
        <v>88460400</v>
      </c>
      <c r="D2190" s="1">
        <v>28.98</v>
      </c>
      <c r="E2190" s="1">
        <v>29.216000000000001</v>
      </c>
      <c r="F2190" s="1">
        <v>28.952500000000001</v>
      </c>
    </row>
    <row r="2191" spans="1:6" x14ac:dyDescent="0.2">
      <c r="A2191" s="2">
        <v>42826</v>
      </c>
      <c r="B2191" s="1">
        <v>29.004999999999999</v>
      </c>
      <c r="C2191">
        <v>84326480</v>
      </c>
      <c r="D2191" s="1">
        <v>28.962499999999999</v>
      </c>
      <c r="E2191" s="1">
        <v>29.127500000000001</v>
      </c>
      <c r="F2191" s="1">
        <v>28.9375</v>
      </c>
    </row>
    <row r="2192" spans="1:6" x14ac:dyDescent="0.2">
      <c r="A2192" s="2">
        <v>42795</v>
      </c>
      <c r="B2192" s="1">
        <v>29.037500000000001</v>
      </c>
      <c r="C2192">
        <v>115076880</v>
      </c>
      <c r="D2192" s="1">
        <v>28.95</v>
      </c>
      <c r="E2192" s="1">
        <v>29.0825</v>
      </c>
      <c r="F2192" s="1">
        <v>28.69</v>
      </c>
    </row>
    <row r="2193" spans="1:6" x14ac:dyDescent="0.2">
      <c r="A2193" t="s">
        <v>1329</v>
      </c>
      <c r="B2193" s="1">
        <v>28.954999999999998</v>
      </c>
      <c r="C2193">
        <v>122223600</v>
      </c>
      <c r="D2193" s="1">
        <v>29.162500000000001</v>
      </c>
      <c r="E2193" s="1">
        <v>29.3</v>
      </c>
      <c r="F2193" s="1">
        <v>28.857500000000002</v>
      </c>
    </row>
    <row r="2194" spans="1:6" x14ac:dyDescent="0.2">
      <c r="A2194" t="s">
        <v>1330</v>
      </c>
      <c r="B2194" s="1">
        <v>29.182500000000001</v>
      </c>
      <c r="C2194">
        <v>59918720</v>
      </c>
      <c r="D2194" s="1">
        <v>29.112500000000001</v>
      </c>
      <c r="E2194" s="1">
        <v>29.2774</v>
      </c>
      <c r="F2194" s="1">
        <v>29.1</v>
      </c>
    </row>
    <row r="2195" spans="1:6" x14ac:dyDescent="0.2">
      <c r="A2195" t="s">
        <v>1331</v>
      </c>
      <c r="B2195" s="1">
        <v>29.19</v>
      </c>
      <c r="C2195">
        <v>82746040</v>
      </c>
      <c r="D2195" s="1">
        <v>29.38</v>
      </c>
      <c r="E2195" s="1">
        <v>29.504100000000001</v>
      </c>
      <c r="F2195" s="1">
        <v>29.05</v>
      </c>
    </row>
    <row r="2196" spans="1:6" x14ac:dyDescent="0.2">
      <c r="A2196" t="s">
        <v>1332</v>
      </c>
      <c r="B2196" s="1">
        <v>29.315000000000001</v>
      </c>
      <c r="C2196">
        <v>72527880</v>
      </c>
      <c r="D2196" s="1">
        <v>29.13</v>
      </c>
      <c r="E2196" s="1">
        <v>29.45</v>
      </c>
      <c r="F2196" s="1">
        <v>29.122499999999999</v>
      </c>
    </row>
    <row r="2197" spans="1:6" x14ac:dyDescent="0.2">
      <c r="A2197" t="s">
        <v>1333</v>
      </c>
      <c r="B2197" s="1">
        <v>29.13</v>
      </c>
      <c r="C2197">
        <v>56976200</v>
      </c>
      <c r="D2197" s="1">
        <v>28.897500000000001</v>
      </c>
      <c r="E2197" s="1">
        <v>29.13</v>
      </c>
      <c r="F2197" s="1">
        <v>28.897500000000001</v>
      </c>
    </row>
    <row r="2198" spans="1:6" x14ac:dyDescent="0.2">
      <c r="A2198" t="s">
        <v>1334</v>
      </c>
      <c r="B2198" s="1">
        <v>29.072500000000002</v>
      </c>
      <c r="C2198">
        <v>104175280</v>
      </c>
      <c r="D2198" s="1">
        <v>29.087499999999999</v>
      </c>
      <c r="E2198" s="1">
        <v>29.127500000000001</v>
      </c>
      <c r="F2198" s="1">
        <v>28.91</v>
      </c>
    </row>
    <row r="2199" spans="1:6" x14ac:dyDescent="0.2">
      <c r="A2199" t="s">
        <v>1335</v>
      </c>
      <c r="B2199" s="1">
        <v>29.265000000000001</v>
      </c>
      <c r="C2199">
        <v>94897720</v>
      </c>
      <c r="D2199" s="1">
        <v>29.2</v>
      </c>
      <c r="E2199" s="1">
        <v>29.35</v>
      </c>
      <c r="F2199" s="1">
        <v>29.195</v>
      </c>
    </row>
    <row r="2200" spans="1:6" x14ac:dyDescent="0.2">
      <c r="A2200" t="s">
        <v>1336</v>
      </c>
      <c r="B2200" s="1">
        <v>29.237500000000001</v>
      </c>
      <c r="C2200">
        <v>85349240</v>
      </c>
      <c r="D2200" s="1">
        <v>29.184999999999999</v>
      </c>
      <c r="E2200" s="1">
        <v>29.375</v>
      </c>
      <c r="F2200" s="1">
        <v>29.17</v>
      </c>
    </row>
    <row r="2201" spans="1:6" x14ac:dyDescent="0.2">
      <c r="A2201" t="s">
        <v>1337</v>
      </c>
      <c r="B2201" s="1">
        <v>29.16</v>
      </c>
      <c r="C2201">
        <v>111027040</v>
      </c>
      <c r="D2201" s="1">
        <v>28.95</v>
      </c>
      <c r="E2201" s="1">
        <v>29.344999999999999</v>
      </c>
      <c r="F2201" s="1">
        <v>28.9375</v>
      </c>
    </row>
    <row r="2202" spans="1:6" x14ac:dyDescent="0.2">
      <c r="A2202" t="s">
        <v>1338</v>
      </c>
      <c r="B2202" s="1">
        <v>28.9925</v>
      </c>
      <c r="C2202">
        <v>177138640</v>
      </c>
      <c r="D2202" s="1">
        <v>29.1175</v>
      </c>
      <c r="E2202" s="1">
        <v>29.125</v>
      </c>
      <c r="F2202" s="1">
        <v>28.911200000000001</v>
      </c>
    </row>
    <row r="2203" spans="1:6" x14ac:dyDescent="0.2">
      <c r="A2203" t="s">
        <v>1339</v>
      </c>
      <c r="B2203" s="1">
        <v>28.954999999999998</v>
      </c>
      <c r="C2203">
        <v>185144600</v>
      </c>
      <c r="D2203" s="1">
        <v>28.844999999999999</v>
      </c>
      <c r="E2203" s="1">
        <v>29.182500000000001</v>
      </c>
      <c r="F2203" s="1">
        <v>28.807500000000001</v>
      </c>
    </row>
    <row r="2204" spans="1:6" x14ac:dyDescent="0.2">
      <c r="A2204" t="s">
        <v>1340</v>
      </c>
      <c r="B2204" s="1">
        <v>28.797499999999999</v>
      </c>
      <c r="C2204">
        <v>135849480</v>
      </c>
      <c r="D2204" s="1">
        <v>28.76</v>
      </c>
      <c r="E2204" s="1">
        <v>29.05</v>
      </c>
      <c r="F2204" s="1">
        <v>28.745000000000001</v>
      </c>
    </row>
    <row r="2205" spans="1:6" x14ac:dyDescent="0.2">
      <c r="A2205" t="s">
        <v>1341</v>
      </c>
      <c r="B2205" s="1">
        <v>28.797499999999999</v>
      </c>
      <c r="C2205">
        <v>173173400</v>
      </c>
      <c r="D2205" s="1">
        <v>28.46</v>
      </c>
      <c r="E2205" s="1">
        <v>28.98</v>
      </c>
      <c r="F2205" s="1">
        <v>28.4375</v>
      </c>
    </row>
    <row r="2206" spans="1:6" x14ac:dyDescent="0.2">
      <c r="A2206" s="2">
        <v>42716</v>
      </c>
      <c r="B2206" s="1">
        <v>28.324999999999999</v>
      </c>
      <c r="C2206">
        <v>104706760</v>
      </c>
      <c r="D2206" s="1">
        <v>28.322500000000002</v>
      </c>
      <c r="E2206" s="1">
        <v>28.75</v>
      </c>
      <c r="F2206" s="1">
        <v>28.122499999999999</v>
      </c>
    </row>
    <row r="2207" spans="1:6" x14ac:dyDescent="0.2">
      <c r="A2207" s="2">
        <v>42625</v>
      </c>
      <c r="B2207" s="1">
        <v>28.487500000000001</v>
      </c>
      <c r="C2207">
        <v>137297400</v>
      </c>
      <c r="D2207" s="1">
        <v>28.077500000000001</v>
      </c>
      <c r="E2207" s="1">
        <v>28.675000000000001</v>
      </c>
      <c r="F2207" s="1">
        <v>28.077500000000001</v>
      </c>
    </row>
    <row r="2208" spans="1:6" x14ac:dyDescent="0.2">
      <c r="A2208" s="2">
        <v>42594</v>
      </c>
      <c r="B2208" s="1">
        <v>28.03</v>
      </c>
      <c r="C2208">
        <v>108199320</v>
      </c>
      <c r="D2208" s="1">
        <v>27.715</v>
      </c>
      <c r="E2208" s="1">
        <v>28.107500000000002</v>
      </c>
      <c r="F2208" s="1">
        <v>27.65</v>
      </c>
    </row>
    <row r="2209" spans="1:6" x14ac:dyDescent="0.2">
      <c r="A2209" s="2">
        <v>42563</v>
      </c>
      <c r="B2209" s="1">
        <v>27.7575</v>
      </c>
      <c r="C2209">
        <v>119904120</v>
      </c>
      <c r="D2209" s="1">
        <v>27.315000000000001</v>
      </c>
      <c r="E2209" s="1">
        <v>27.797499999999999</v>
      </c>
      <c r="F2209" s="1">
        <v>27.29</v>
      </c>
    </row>
    <row r="2210" spans="1:6" x14ac:dyDescent="0.2">
      <c r="A2210" s="2">
        <v>42533</v>
      </c>
      <c r="B2210" s="1">
        <v>27.487500000000001</v>
      </c>
      <c r="C2210">
        <v>104642240</v>
      </c>
      <c r="D2210" s="1">
        <v>27.375</v>
      </c>
      <c r="E2210" s="1">
        <v>27.59</v>
      </c>
      <c r="F2210" s="1">
        <v>27.297499999999999</v>
      </c>
    </row>
    <row r="2211" spans="1:6" x14ac:dyDescent="0.2">
      <c r="A2211" s="2">
        <v>42502</v>
      </c>
      <c r="B2211" s="1">
        <v>27.2775</v>
      </c>
      <c r="C2211">
        <v>136455520</v>
      </c>
      <c r="D2211" s="1">
        <v>27.5</v>
      </c>
      <c r="E2211" s="1">
        <v>27.5075</v>
      </c>
      <c r="F2211" s="1">
        <v>27.0625</v>
      </c>
    </row>
    <row r="2212" spans="1:6" x14ac:dyDescent="0.2">
      <c r="A2212" s="2">
        <v>42412</v>
      </c>
      <c r="B2212" s="1">
        <v>27.475000000000001</v>
      </c>
      <c r="C2212">
        <v>105925280</v>
      </c>
      <c r="D2212" s="1">
        <v>27.2925</v>
      </c>
      <c r="E2212" s="1">
        <v>27.522500000000001</v>
      </c>
      <c r="F2212" s="1">
        <v>27.212499999999999</v>
      </c>
    </row>
    <row r="2213" spans="1:6" x14ac:dyDescent="0.2">
      <c r="A2213" s="2">
        <v>42381</v>
      </c>
      <c r="B2213" s="1">
        <v>27.372499999999999</v>
      </c>
      <c r="C2213">
        <v>148138080</v>
      </c>
      <c r="D2213" s="1">
        <v>27.591200000000001</v>
      </c>
      <c r="E2213" s="1">
        <v>27.734999999999999</v>
      </c>
      <c r="F2213" s="1">
        <v>27.2575</v>
      </c>
    </row>
    <row r="2214" spans="1:6" x14ac:dyDescent="0.2">
      <c r="A2214" t="s">
        <v>1342</v>
      </c>
      <c r="B2214" s="1">
        <v>27.63</v>
      </c>
      <c r="C2214">
        <v>144605800</v>
      </c>
      <c r="D2214" s="1">
        <v>27.9</v>
      </c>
      <c r="E2214" s="1">
        <v>28.05</v>
      </c>
      <c r="F2214" s="1">
        <v>27.567499999999999</v>
      </c>
    </row>
    <row r="2215" spans="1:6" x14ac:dyDescent="0.2">
      <c r="A2215" t="s">
        <v>1343</v>
      </c>
      <c r="B2215" s="1">
        <v>27.864999999999998</v>
      </c>
      <c r="C2215">
        <v>114031120</v>
      </c>
      <c r="D2215" s="1">
        <v>27.695</v>
      </c>
      <c r="E2215" s="1">
        <v>28.0075</v>
      </c>
      <c r="F2215" s="1">
        <v>27.517499999999998</v>
      </c>
    </row>
    <row r="2216" spans="1:6" x14ac:dyDescent="0.2">
      <c r="A2216" t="s">
        <v>1344</v>
      </c>
      <c r="B2216" s="1">
        <v>27.892499999999998</v>
      </c>
      <c r="C2216">
        <v>108217280</v>
      </c>
      <c r="D2216" s="1">
        <v>27.857500000000002</v>
      </c>
      <c r="E2216" s="1">
        <v>28.116299999999999</v>
      </c>
      <c r="F2216" s="1">
        <v>27.8475</v>
      </c>
    </row>
    <row r="2217" spans="1:6" x14ac:dyDescent="0.2">
      <c r="A2217" t="s">
        <v>1345</v>
      </c>
      <c r="B2217" s="1">
        <v>27.947500000000002</v>
      </c>
      <c r="C2217">
        <v>45903680</v>
      </c>
      <c r="D2217" s="1">
        <v>27.782499999999999</v>
      </c>
      <c r="E2217" s="1">
        <v>27.967500000000001</v>
      </c>
      <c r="F2217" s="1">
        <v>27.737500000000001</v>
      </c>
    </row>
    <row r="2218" spans="1:6" x14ac:dyDescent="0.2">
      <c r="A2218" t="s">
        <v>1346</v>
      </c>
      <c r="B2218" s="1">
        <v>27.807500000000001</v>
      </c>
      <c r="C2218">
        <v>109682200</v>
      </c>
      <c r="D2218" s="1">
        <v>27.84</v>
      </c>
      <c r="E2218" s="1">
        <v>27.877500000000001</v>
      </c>
      <c r="F2218" s="1">
        <v>27.5825</v>
      </c>
    </row>
    <row r="2219" spans="1:6" x14ac:dyDescent="0.2">
      <c r="A2219" t="s">
        <v>1347</v>
      </c>
      <c r="B2219" s="1">
        <v>27.95</v>
      </c>
      <c r="C2219">
        <v>103726840</v>
      </c>
      <c r="D2219" s="1">
        <v>27.987500000000001</v>
      </c>
      <c r="E2219" s="1">
        <v>28.105</v>
      </c>
      <c r="F2219" s="1">
        <v>27.85</v>
      </c>
    </row>
    <row r="2220" spans="1:6" x14ac:dyDescent="0.2">
      <c r="A2220" t="s">
        <v>1348</v>
      </c>
      <c r="B2220" s="1">
        <v>27.932500000000001</v>
      </c>
      <c r="C2220">
        <v>116656760</v>
      </c>
      <c r="D2220" s="1">
        <v>27.53</v>
      </c>
      <c r="E2220" s="1">
        <v>27.997499999999999</v>
      </c>
      <c r="F2220" s="1">
        <v>27.502500000000001</v>
      </c>
    </row>
    <row r="2221" spans="1:6" x14ac:dyDescent="0.2">
      <c r="A2221" t="s">
        <v>1349</v>
      </c>
      <c r="B2221" s="1">
        <v>27.515000000000001</v>
      </c>
      <c r="C2221">
        <v>113243360</v>
      </c>
      <c r="D2221" s="1">
        <v>27.43</v>
      </c>
      <c r="E2221" s="1">
        <v>27.635000000000002</v>
      </c>
      <c r="F2221" s="1">
        <v>27.414999999999999</v>
      </c>
    </row>
    <row r="2222" spans="1:6" x14ac:dyDescent="0.2">
      <c r="A2222" t="s">
        <v>1350</v>
      </c>
      <c r="B2222" s="1">
        <v>27.487500000000001</v>
      </c>
      <c r="C2222">
        <v>110492600</v>
      </c>
      <c r="D2222" s="1">
        <v>27.452500000000001</v>
      </c>
      <c r="E2222" s="1">
        <v>27.587499999999999</v>
      </c>
      <c r="F2222" s="1">
        <v>27.2075</v>
      </c>
    </row>
    <row r="2223" spans="1:6" x14ac:dyDescent="0.2">
      <c r="A2223" t="s">
        <v>1351</v>
      </c>
      <c r="B2223" s="1">
        <v>27.497499999999999</v>
      </c>
      <c r="C2223">
        <v>234896320</v>
      </c>
      <c r="D2223" s="1">
        <v>26.675000000000001</v>
      </c>
      <c r="E2223" s="1">
        <v>27.557500000000001</v>
      </c>
      <c r="F2223" s="1">
        <v>26.65</v>
      </c>
    </row>
    <row r="2224" spans="1:6" x14ac:dyDescent="0.2">
      <c r="A2224" t="s">
        <v>1352</v>
      </c>
      <c r="B2224" s="1">
        <v>26.7775</v>
      </c>
      <c r="C2224">
        <v>128922360</v>
      </c>
      <c r="D2224" s="1">
        <v>26.642499999999998</v>
      </c>
      <c r="E2224" s="1">
        <v>26.92</v>
      </c>
      <c r="F2224" s="1">
        <v>26.5398</v>
      </c>
    </row>
    <row r="2225" spans="1:6" x14ac:dyDescent="0.2">
      <c r="A2225" t="s">
        <v>1353</v>
      </c>
      <c r="B2225" s="1">
        <v>26.427499999999998</v>
      </c>
      <c r="C2225">
        <v>203605520</v>
      </c>
      <c r="D2225" s="1">
        <v>26.927499999999998</v>
      </c>
      <c r="E2225" s="1">
        <v>26.952200000000001</v>
      </c>
      <c r="F2225" s="1">
        <v>26.02</v>
      </c>
    </row>
    <row r="2226" spans="1:6" x14ac:dyDescent="0.2">
      <c r="A2226" s="2">
        <v>42685</v>
      </c>
      <c r="B2226" s="1">
        <v>27.107500000000002</v>
      </c>
      <c r="C2226">
        <v>136468120</v>
      </c>
      <c r="D2226" s="1">
        <v>26.78</v>
      </c>
      <c r="E2226" s="1">
        <v>27.217500000000001</v>
      </c>
      <c r="F2226" s="1">
        <v>26.637499999999999</v>
      </c>
    </row>
    <row r="2227" spans="1:6" x14ac:dyDescent="0.2">
      <c r="A2227" s="2">
        <v>42654</v>
      </c>
      <c r="B2227" s="1">
        <v>26.947500000000002</v>
      </c>
      <c r="C2227">
        <v>228390960</v>
      </c>
      <c r="D2227" s="1">
        <v>27.772500000000001</v>
      </c>
      <c r="E2227" s="1">
        <v>27.772500000000001</v>
      </c>
      <c r="F2227" s="1">
        <v>26.4575</v>
      </c>
    </row>
    <row r="2228" spans="1:6" x14ac:dyDescent="0.2">
      <c r="A2228" s="2">
        <v>42624</v>
      </c>
      <c r="B2228" s="1">
        <v>27.72</v>
      </c>
      <c r="C2228">
        <v>236474960</v>
      </c>
      <c r="D2228" s="1">
        <v>27.47</v>
      </c>
      <c r="E2228" s="1">
        <v>27.83</v>
      </c>
      <c r="F2228" s="1">
        <v>27.012499999999999</v>
      </c>
    </row>
    <row r="2229" spans="1:6" x14ac:dyDescent="0.2">
      <c r="A2229" s="2">
        <v>42593</v>
      </c>
      <c r="B2229" s="1">
        <v>27.765000000000001</v>
      </c>
      <c r="C2229">
        <v>96518520</v>
      </c>
      <c r="D2229" s="1">
        <v>27.577500000000001</v>
      </c>
      <c r="E2229" s="1">
        <v>27.93</v>
      </c>
      <c r="F2229" s="1">
        <v>27.425000000000001</v>
      </c>
    </row>
    <row r="2230" spans="1:6" x14ac:dyDescent="0.2">
      <c r="A2230" s="2">
        <v>42562</v>
      </c>
      <c r="B2230" s="1">
        <v>27.602499999999999</v>
      </c>
      <c r="C2230">
        <v>129447720</v>
      </c>
      <c r="D2230" s="1">
        <v>27.52</v>
      </c>
      <c r="E2230" s="1">
        <v>27.627500000000001</v>
      </c>
      <c r="F2230" s="1">
        <v>27.364999999999998</v>
      </c>
    </row>
    <row r="2231" spans="1:6" x14ac:dyDescent="0.2">
      <c r="A2231" s="2">
        <v>42471</v>
      </c>
      <c r="B2231" s="1">
        <v>27.21</v>
      </c>
      <c r="C2231">
        <v>123163720</v>
      </c>
      <c r="D2231" s="1">
        <v>27.1325</v>
      </c>
      <c r="E2231" s="1">
        <v>27.5625</v>
      </c>
      <c r="F2231" s="1">
        <v>27.0275</v>
      </c>
    </row>
    <row r="2232" spans="1:6" x14ac:dyDescent="0.2">
      <c r="A2232" s="2">
        <v>42440</v>
      </c>
      <c r="B2232" s="1">
        <v>27.4575</v>
      </c>
      <c r="C2232">
        <v>106154800</v>
      </c>
      <c r="D2232" s="1">
        <v>27.745000000000001</v>
      </c>
      <c r="E2232" s="1">
        <v>27.864999999999998</v>
      </c>
      <c r="F2232" s="1">
        <v>27.387499999999999</v>
      </c>
    </row>
    <row r="2233" spans="1:6" x14ac:dyDescent="0.2">
      <c r="A2233" s="2">
        <v>42411</v>
      </c>
      <c r="B2233" s="1">
        <v>27.897500000000001</v>
      </c>
      <c r="C2233">
        <v>112699920</v>
      </c>
      <c r="D2233" s="1">
        <v>27.85</v>
      </c>
      <c r="E2233" s="1">
        <v>28.087499999999999</v>
      </c>
      <c r="F2233" s="1">
        <v>27.807500000000001</v>
      </c>
    </row>
    <row r="2234" spans="1:6" x14ac:dyDescent="0.2">
      <c r="A2234" s="2">
        <v>42380</v>
      </c>
      <c r="B2234" s="1">
        <v>27.872499999999999</v>
      </c>
      <c r="C2234">
        <v>173615040</v>
      </c>
      <c r="D2234" s="1">
        <v>28.364999999999998</v>
      </c>
      <c r="E2234" s="1">
        <v>28.442499999999999</v>
      </c>
      <c r="F2234" s="1">
        <v>27.6325</v>
      </c>
    </row>
    <row r="2235" spans="1:6" x14ac:dyDescent="0.2">
      <c r="A2235" t="s">
        <v>1354</v>
      </c>
      <c r="B2235" s="1">
        <v>28.385000000000002</v>
      </c>
      <c r="C2235">
        <v>105515640</v>
      </c>
      <c r="D2235" s="1">
        <v>28.412500000000001</v>
      </c>
      <c r="E2235" s="1">
        <v>28.557500000000001</v>
      </c>
      <c r="F2235" s="1">
        <v>28.3</v>
      </c>
    </row>
    <row r="2236" spans="1:6" x14ac:dyDescent="0.2">
      <c r="A2236" t="s">
        <v>1355</v>
      </c>
      <c r="B2236" s="1">
        <v>28.43</v>
      </c>
      <c r="C2236">
        <v>147168400</v>
      </c>
      <c r="D2236" s="1">
        <v>28.467500000000001</v>
      </c>
      <c r="E2236" s="1">
        <v>28.802499999999998</v>
      </c>
      <c r="F2236" s="1">
        <v>28.362500000000001</v>
      </c>
    </row>
    <row r="2237" spans="1:6" x14ac:dyDescent="0.2">
      <c r="A2237" t="s">
        <v>1356</v>
      </c>
      <c r="B2237" s="1">
        <v>28.62</v>
      </c>
      <c r="C2237">
        <v>125584520</v>
      </c>
      <c r="D2237" s="1">
        <v>28.8475</v>
      </c>
      <c r="E2237" s="1">
        <v>28.965</v>
      </c>
      <c r="F2237" s="1">
        <v>28.524999999999999</v>
      </c>
    </row>
    <row r="2238" spans="1:6" x14ac:dyDescent="0.2">
      <c r="A2238" t="s">
        <v>1357</v>
      </c>
      <c r="B2238" s="1">
        <v>28.897500000000001</v>
      </c>
      <c r="C2238">
        <v>264114560</v>
      </c>
      <c r="D2238" s="1">
        <v>28.577500000000001</v>
      </c>
      <c r="E2238" s="1">
        <v>28.925000000000001</v>
      </c>
      <c r="F2238" s="1">
        <v>28.327500000000001</v>
      </c>
    </row>
    <row r="2239" spans="1:6" x14ac:dyDescent="0.2">
      <c r="A2239" t="s">
        <v>1358</v>
      </c>
      <c r="B2239" s="1">
        <v>29.5625</v>
      </c>
      <c r="C2239">
        <v>187282400</v>
      </c>
      <c r="D2239" s="1">
        <v>29.487500000000001</v>
      </c>
      <c r="E2239" s="1">
        <v>29.59</v>
      </c>
      <c r="F2239" s="1">
        <v>29.327500000000001</v>
      </c>
    </row>
    <row r="2240" spans="1:6" x14ac:dyDescent="0.2">
      <c r="A2240" t="s">
        <v>1359</v>
      </c>
      <c r="B2240" s="1">
        <v>29.412500000000001</v>
      </c>
      <c r="C2240">
        <v>93970600</v>
      </c>
      <c r="D2240" s="1">
        <v>29.274999999999999</v>
      </c>
      <c r="E2240" s="1">
        <v>29.434999999999999</v>
      </c>
      <c r="F2240" s="1">
        <v>29.25</v>
      </c>
    </row>
    <row r="2241" spans="1:6" x14ac:dyDescent="0.2">
      <c r="A2241" t="s">
        <v>1360</v>
      </c>
      <c r="B2241" s="1">
        <v>29.15</v>
      </c>
      <c r="C2241">
        <v>90110760</v>
      </c>
      <c r="D2241" s="1">
        <v>29.202500000000001</v>
      </c>
      <c r="E2241" s="1">
        <v>29.227499999999999</v>
      </c>
      <c r="F2241" s="1">
        <v>29.07</v>
      </c>
    </row>
    <row r="2242" spans="1:6" x14ac:dyDescent="0.2">
      <c r="A2242" t="s">
        <v>1361</v>
      </c>
      <c r="B2242" s="1">
        <v>29.265000000000001</v>
      </c>
      <c r="C2242">
        <v>96400600</v>
      </c>
      <c r="D2242" s="1">
        <v>29.215</v>
      </c>
      <c r="E2242" s="1">
        <v>29.344999999999999</v>
      </c>
      <c r="F2242" s="1">
        <v>29.0825</v>
      </c>
    </row>
    <row r="2243" spans="1:6" x14ac:dyDescent="0.2">
      <c r="A2243" t="s">
        <v>1362</v>
      </c>
      <c r="B2243" s="1">
        <v>29.28</v>
      </c>
      <c r="C2243">
        <v>79908640</v>
      </c>
      <c r="D2243" s="1">
        <v>29.3125</v>
      </c>
      <c r="E2243" s="1">
        <v>29.44</v>
      </c>
      <c r="F2243" s="1">
        <v>28.45</v>
      </c>
    </row>
    <row r="2244" spans="1:6" x14ac:dyDescent="0.2">
      <c r="A2244" t="s">
        <v>1363</v>
      </c>
      <c r="B2244" s="1">
        <v>29.3675</v>
      </c>
      <c r="C2244">
        <v>97232840</v>
      </c>
      <c r="D2244" s="1">
        <v>29.545000000000002</v>
      </c>
      <c r="E2244" s="1">
        <v>29.552499999999998</v>
      </c>
      <c r="F2244" s="1">
        <v>29.362500000000001</v>
      </c>
    </row>
    <row r="2245" spans="1:6" x14ac:dyDescent="0.2">
      <c r="A2245" t="s">
        <v>1364</v>
      </c>
      <c r="B2245" s="1">
        <v>29.387499999999999</v>
      </c>
      <c r="C2245">
        <v>94335240</v>
      </c>
      <c r="D2245" s="1">
        <v>29.3325</v>
      </c>
      <c r="E2245" s="1">
        <v>29.46</v>
      </c>
      <c r="F2245" s="1">
        <v>29.195</v>
      </c>
    </row>
    <row r="2246" spans="1:6" x14ac:dyDescent="0.2">
      <c r="A2246" t="s">
        <v>1365</v>
      </c>
      <c r="B2246" s="1">
        <v>29.407499999999999</v>
      </c>
      <c r="C2246">
        <v>142504080</v>
      </c>
      <c r="D2246" s="1">
        <v>29.47</v>
      </c>
      <c r="E2246" s="1">
        <v>29.5425</v>
      </c>
      <c r="F2246" s="1">
        <v>29.282499999999999</v>
      </c>
    </row>
    <row r="2247" spans="1:6" x14ac:dyDescent="0.2">
      <c r="A2247" t="s">
        <v>1366</v>
      </c>
      <c r="B2247" s="1">
        <v>29.245000000000001</v>
      </c>
      <c r="C2247">
        <v>140167280</v>
      </c>
      <c r="D2247" s="1">
        <v>29.197500000000002</v>
      </c>
      <c r="E2247" s="1">
        <v>29.36</v>
      </c>
      <c r="F2247" s="1">
        <v>28.93</v>
      </c>
    </row>
    <row r="2248" spans="1:6" x14ac:dyDescent="0.2">
      <c r="A2248" s="2">
        <v>42714</v>
      </c>
      <c r="B2248" s="1">
        <v>29.335000000000001</v>
      </c>
      <c r="C2248">
        <v>150051720</v>
      </c>
      <c r="D2248" s="1">
        <v>29.337499999999999</v>
      </c>
      <c r="E2248" s="1">
        <v>29.495000000000001</v>
      </c>
      <c r="F2248" s="1">
        <v>29.1875</v>
      </c>
    </row>
    <row r="2249" spans="1:6" x14ac:dyDescent="0.2">
      <c r="A2249" s="2">
        <v>42684</v>
      </c>
      <c r="B2249" s="1">
        <v>29.074999999999999</v>
      </c>
      <c r="C2249">
        <v>255852040</v>
      </c>
      <c r="D2249" s="1">
        <v>29.425000000000001</v>
      </c>
      <c r="E2249" s="1">
        <v>29.672499999999999</v>
      </c>
      <c r="F2249" s="1">
        <v>29.05</v>
      </c>
    </row>
    <row r="2250" spans="1:6" x14ac:dyDescent="0.2">
      <c r="A2250" s="2">
        <v>42653</v>
      </c>
      <c r="B2250" s="1">
        <v>29.012499999999999</v>
      </c>
      <c r="C2250">
        <v>144351640</v>
      </c>
      <c r="D2250" s="1">
        <v>28.754999999999999</v>
      </c>
      <c r="E2250" s="1">
        <v>29.1875</v>
      </c>
      <c r="F2250" s="1">
        <v>28.68</v>
      </c>
    </row>
    <row r="2251" spans="1:6" x14ac:dyDescent="0.2">
      <c r="A2251" s="2">
        <v>42561</v>
      </c>
      <c r="B2251" s="1">
        <v>28.515000000000001</v>
      </c>
      <c r="C2251">
        <v>97345760</v>
      </c>
      <c r="D2251" s="1">
        <v>28.577500000000001</v>
      </c>
      <c r="E2251" s="1">
        <v>28.64</v>
      </c>
      <c r="F2251" s="1">
        <v>28.377500000000001</v>
      </c>
    </row>
    <row r="2252" spans="1:6" x14ac:dyDescent="0.2">
      <c r="A2252" s="2">
        <v>42531</v>
      </c>
      <c r="B2252" s="1">
        <v>28.4725</v>
      </c>
      <c r="C2252">
        <v>114034840</v>
      </c>
      <c r="D2252" s="1">
        <v>28.425000000000001</v>
      </c>
      <c r="E2252" s="1">
        <v>28.585000000000001</v>
      </c>
      <c r="F2252" s="1">
        <v>28.282499999999999</v>
      </c>
    </row>
    <row r="2253" spans="1:6" x14ac:dyDescent="0.2">
      <c r="A2253" s="2">
        <v>42500</v>
      </c>
      <c r="B2253" s="1">
        <v>28.262499999999999</v>
      </c>
      <c r="C2253">
        <v>85601640</v>
      </c>
      <c r="D2253" s="1">
        <v>28.35</v>
      </c>
      <c r="E2253" s="1">
        <v>28.414999999999999</v>
      </c>
      <c r="F2253" s="1">
        <v>28.172499999999999</v>
      </c>
    </row>
    <row r="2254" spans="1:6" x14ac:dyDescent="0.2">
      <c r="A2254" s="2">
        <v>42470</v>
      </c>
      <c r="B2254" s="1">
        <v>28.25</v>
      </c>
      <c r="C2254">
        <v>118829080</v>
      </c>
      <c r="D2254" s="1">
        <v>28.265000000000001</v>
      </c>
      <c r="E2254" s="1">
        <v>28.577500000000001</v>
      </c>
      <c r="F2254" s="1">
        <v>28.157499999999999</v>
      </c>
    </row>
    <row r="2255" spans="1:6" x14ac:dyDescent="0.2">
      <c r="A2255" s="2">
        <v>42439</v>
      </c>
      <c r="B2255" s="1">
        <v>28.13</v>
      </c>
      <c r="C2255">
        <v>86538080</v>
      </c>
      <c r="D2255" s="1">
        <v>28.177499999999998</v>
      </c>
      <c r="E2255" s="1">
        <v>28.262499999999999</v>
      </c>
      <c r="F2255" s="1">
        <v>28.07</v>
      </c>
    </row>
    <row r="2256" spans="1:6" x14ac:dyDescent="0.2">
      <c r="A2256" t="s">
        <v>1367</v>
      </c>
      <c r="B2256" s="1">
        <v>28.262499999999999</v>
      </c>
      <c r="C2256">
        <v>145362680</v>
      </c>
      <c r="D2256" s="1">
        <v>28.114999999999998</v>
      </c>
      <c r="E2256" s="1">
        <v>28.342500000000001</v>
      </c>
      <c r="F2256" s="1">
        <v>27.95</v>
      </c>
    </row>
    <row r="2257" spans="1:6" x14ac:dyDescent="0.2">
      <c r="A2257" t="s">
        <v>1368</v>
      </c>
      <c r="B2257" s="1">
        <v>28.045000000000002</v>
      </c>
      <c r="C2257">
        <v>143400040</v>
      </c>
      <c r="D2257" s="1">
        <v>28.29</v>
      </c>
      <c r="E2257" s="1">
        <v>28.45</v>
      </c>
      <c r="F2257" s="1">
        <v>27.95</v>
      </c>
    </row>
    <row r="2258" spans="1:6" x14ac:dyDescent="0.2">
      <c r="A2258" t="s">
        <v>1369</v>
      </c>
      <c r="B2258" s="1">
        <v>28.487500000000001</v>
      </c>
      <c r="C2258">
        <v>118433560</v>
      </c>
      <c r="D2258" s="1">
        <v>28.422499999999999</v>
      </c>
      <c r="E2258" s="1">
        <v>28.66</v>
      </c>
      <c r="F2258" s="1">
        <v>28.357500000000002</v>
      </c>
    </row>
    <row r="2259" spans="1:6" x14ac:dyDescent="0.2">
      <c r="A2259" t="s">
        <v>1370</v>
      </c>
      <c r="B2259" s="1">
        <v>28.272500000000001</v>
      </c>
      <c r="C2259">
        <v>98349960</v>
      </c>
      <c r="D2259" s="1">
        <v>28.25</v>
      </c>
      <c r="E2259" s="1">
        <v>28.295000000000002</v>
      </c>
      <c r="F2259" s="1">
        <v>28.085000000000001</v>
      </c>
    </row>
    <row r="2260" spans="1:6" x14ac:dyDescent="0.2">
      <c r="A2260" t="s">
        <v>1371</v>
      </c>
      <c r="B2260" s="1">
        <v>28.22</v>
      </c>
      <c r="C2260">
        <v>119200960</v>
      </c>
      <c r="D2260" s="1">
        <v>27.91</v>
      </c>
      <c r="E2260" s="1">
        <v>28.3475</v>
      </c>
      <c r="F2260" s="1">
        <v>27.887499999999999</v>
      </c>
    </row>
    <row r="2261" spans="1:6" x14ac:dyDescent="0.2">
      <c r="A2261" t="s">
        <v>1372</v>
      </c>
      <c r="B2261" s="1">
        <v>28.177499999999998</v>
      </c>
      <c r="C2261">
        <v>209644280</v>
      </c>
      <c r="D2261" s="1">
        <v>28.605</v>
      </c>
      <c r="E2261" s="1">
        <v>28.697500000000002</v>
      </c>
      <c r="F2261" s="1">
        <v>27.887499999999999</v>
      </c>
    </row>
    <row r="2262" spans="1:6" x14ac:dyDescent="0.2">
      <c r="A2262" t="s">
        <v>1373</v>
      </c>
      <c r="B2262" s="1">
        <v>28.655000000000001</v>
      </c>
      <c r="C2262">
        <v>124192680</v>
      </c>
      <c r="D2262" s="1">
        <v>28.587499999999999</v>
      </c>
      <c r="E2262" s="1">
        <v>28.734999999999999</v>
      </c>
      <c r="F2262" s="1">
        <v>28.5</v>
      </c>
    </row>
    <row r="2263" spans="1:6" x14ac:dyDescent="0.2">
      <c r="A2263" t="s">
        <v>1374</v>
      </c>
      <c r="B2263" s="1">
        <v>28.387499999999999</v>
      </c>
      <c r="C2263">
        <v>143807600</v>
      </c>
      <c r="D2263" s="1">
        <v>28.462499999999999</v>
      </c>
      <c r="E2263" s="1">
        <v>28.497299999999999</v>
      </c>
      <c r="F2263" s="1">
        <v>28.110299999999999</v>
      </c>
    </row>
    <row r="2264" spans="1:6" x14ac:dyDescent="0.2">
      <c r="A2264" t="s">
        <v>1375</v>
      </c>
      <c r="B2264" s="1">
        <v>28.392499999999998</v>
      </c>
      <c r="C2264">
        <v>137976600</v>
      </c>
      <c r="D2264" s="1">
        <v>28.262499999999999</v>
      </c>
      <c r="E2264" s="1">
        <v>28.53</v>
      </c>
      <c r="F2264" s="1">
        <v>28.127500000000001</v>
      </c>
    </row>
    <row r="2265" spans="1:6" x14ac:dyDescent="0.2">
      <c r="A2265" t="s">
        <v>1376</v>
      </c>
      <c r="B2265" s="1">
        <v>28.395</v>
      </c>
      <c r="C2265">
        <v>187748760</v>
      </c>
      <c r="D2265" s="1">
        <v>28.797499999999999</v>
      </c>
      <c r="E2265" s="1">
        <v>29.045000000000002</v>
      </c>
      <c r="F2265" s="1">
        <v>28.3125</v>
      </c>
    </row>
    <row r="2266" spans="1:6" x14ac:dyDescent="0.2">
      <c r="A2266" t="s">
        <v>1377</v>
      </c>
      <c r="B2266" s="1">
        <v>28.73</v>
      </c>
      <c r="C2266">
        <v>319055560</v>
      </c>
      <c r="D2266" s="1">
        <v>28.78</v>
      </c>
      <c r="E2266" s="1">
        <v>29.032499999999999</v>
      </c>
      <c r="F2266" s="1">
        <v>28.51</v>
      </c>
    </row>
    <row r="2267" spans="1:6" x14ac:dyDescent="0.2">
      <c r="A2267" t="s">
        <v>1378</v>
      </c>
      <c r="B2267" s="1">
        <v>28.892499999999998</v>
      </c>
      <c r="C2267">
        <v>361592680</v>
      </c>
      <c r="D2267" s="1">
        <v>28.465</v>
      </c>
      <c r="E2267" s="1">
        <v>28.932500000000001</v>
      </c>
      <c r="F2267" s="1">
        <v>28.372499999999999</v>
      </c>
    </row>
    <row r="2268" spans="1:6" x14ac:dyDescent="0.2">
      <c r="A2268" t="s">
        <v>1379</v>
      </c>
      <c r="B2268" s="1">
        <v>27.942499999999999</v>
      </c>
      <c r="C2268">
        <v>444747600</v>
      </c>
      <c r="D2268" s="1">
        <v>27.182500000000001</v>
      </c>
      <c r="E2268" s="1">
        <v>28.2575</v>
      </c>
      <c r="F2268" s="1">
        <v>27.15</v>
      </c>
    </row>
    <row r="2269" spans="1:6" x14ac:dyDescent="0.2">
      <c r="A2269" t="s">
        <v>1380</v>
      </c>
      <c r="B2269" s="1">
        <v>26.987500000000001</v>
      </c>
      <c r="C2269">
        <v>248320640</v>
      </c>
      <c r="D2269" s="1">
        <v>26.877500000000001</v>
      </c>
      <c r="E2269" s="1">
        <v>27.197500000000002</v>
      </c>
      <c r="F2269" s="1">
        <v>26.81</v>
      </c>
    </row>
    <row r="2270" spans="1:6" x14ac:dyDescent="0.2">
      <c r="A2270" s="2">
        <v>42713</v>
      </c>
      <c r="B2270" s="1">
        <v>26.36</v>
      </c>
      <c r="C2270">
        <v>180458360</v>
      </c>
      <c r="D2270" s="1">
        <v>25.662500000000001</v>
      </c>
      <c r="E2270" s="1">
        <v>26.43</v>
      </c>
      <c r="F2270" s="1">
        <v>25.6325</v>
      </c>
    </row>
    <row r="2271" spans="1:6" x14ac:dyDescent="0.2">
      <c r="A2271" s="2">
        <v>42622</v>
      </c>
      <c r="B2271" s="1">
        <v>25.782499999999999</v>
      </c>
      <c r="C2271">
        <v>185846440</v>
      </c>
      <c r="D2271" s="1">
        <v>26.16</v>
      </c>
      <c r="E2271" s="1">
        <v>26.43</v>
      </c>
      <c r="F2271" s="1">
        <v>25.782499999999999</v>
      </c>
    </row>
    <row r="2272" spans="1:6" x14ac:dyDescent="0.2">
      <c r="A2272" s="2">
        <v>42591</v>
      </c>
      <c r="B2272" s="1">
        <v>26.38</v>
      </c>
      <c r="C2272">
        <v>211821240</v>
      </c>
      <c r="D2272" s="1">
        <v>26.8125</v>
      </c>
      <c r="E2272" s="1">
        <v>26.817499999999999</v>
      </c>
      <c r="F2272" s="1">
        <v>26.31</v>
      </c>
    </row>
    <row r="2273" spans="1:6" x14ac:dyDescent="0.2">
      <c r="A2273" s="2">
        <v>42560</v>
      </c>
      <c r="B2273" s="1">
        <v>27.09</v>
      </c>
      <c r="C2273">
        <v>169001920</v>
      </c>
      <c r="D2273" s="1">
        <v>26.9575</v>
      </c>
      <c r="E2273" s="1">
        <v>27.19</v>
      </c>
      <c r="F2273" s="1">
        <v>26.767499999999998</v>
      </c>
    </row>
    <row r="2274" spans="1:6" x14ac:dyDescent="0.2">
      <c r="A2274" s="2">
        <v>42530</v>
      </c>
      <c r="B2274" s="1">
        <v>26.925000000000001</v>
      </c>
      <c r="C2274">
        <v>106580520</v>
      </c>
      <c r="D2274" s="1">
        <v>26.975000000000001</v>
      </c>
      <c r="E2274" s="1">
        <v>27.074999999999999</v>
      </c>
      <c r="F2274" s="1">
        <v>26.877500000000001</v>
      </c>
    </row>
    <row r="2275" spans="1:6" x14ac:dyDescent="0.2">
      <c r="A2275" s="2">
        <v>42409</v>
      </c>
      <c r="B2275" s="1">
        <v>26.932500000000001</v>
      </c>
      <c r="C2275">
        <v>105575080</v>
      </c>
      <c r="D2275" s="1">
        <v>26.925000000000001</v>
      </c>
      <c r="E2275" s="1">
        <v>27</v>
      </c>
      <c r="F2275" s="1">
        <v>26.704999999999998</v>
      </c>
    </row>
    <row r="2276" spans="1:6" x14ac:dyDescent="0.2">
      <c r="A2276" s="2">
        <v>42378</v>
      </c>
      <c r="B2276" s="1">
        <v>26.682500000000001</v>
      </c>
      <c r="C2276">
        <v>106701000</v>
      </c>
      <c r="D2276" s="1">
        <v>26.535</v>
      </c>
      <c r="E2276" s="1">
        <v>26.7</v>
      </c>
      <c r="F2276" s="1">
        <v>26.405000000000001</v>
      </c>
    </row>
    <row r="2277" spans="1:6" x14ac:dyDescent="0.2">
      <c r="A2277" t="s">
        <v>1381</v>
      </c>
      <c r="B2277" s="1">
        <v>26.524999999999999</v>
      </c>
      <c r="C2277">
        <v>126556040</v>
      </c>
      <c r="D2277" s="1">
        <v>26.414999999999999</v>
      </c>
      <c r="E2277" s="1">
        <v>26.642499999999998</v>
      </c>
      <c r="F2277" s="1">
        <v>26.41</v>
      </c>
    </row>
    <row r="2278" spans="1:6" x14ac:dyDescent="0.2">
      <c r="A2278" t="s">
        <v>1382</v>
      </c>
      <c r="B2278" s="1">
        <v>26.5</v>
      </c>
      <c r="C2278">
        <v>99271760</v>
      </c>
      <c r="D2278" s="1">
        <v>26.45</v>
      </c>
      <c r="E2278" s="1">
        <v>26.625</v>
      </c>
      <c r="F2278" s="1">
        <v>26.375</v>
      </c>
    </row>
    <row r="2279" spans="1:6" x14ac:dyDescent="0.2">
      <c r="A2279" t="s">
        <v>1383</v>
      </c>
      <c r="B2279" s="1">
        <v>26.704999999999998</v>
      </c>
      <c r="C2279">
        <v>99600520</v>
      </c>
      <c r="D2279" s="1">
        <v>26.655000000000001</v>
      </c>
      <c r="E2279" s="1">
        <v>26.86</v>
      </c>
      <c r="F2279" s="1">
        <v>26.572500000000002</v>
      </c>
    </row>
    <row r="2280" spans="1:6" x14ac:dyDescent="0.2">
      <c r="A2280" t="s">
        <v>1384</v>
      </c>
      <c r="B2280" s="1">
        <v>26.734999999999999</v>
      </c>
      <c r="C2280">
        <v>110977200</v>
      </c>
      <c r="D2280" s="1">
        <v>26.852499999999999</v>
      </c>
      <c r="E2280" s="1">
        <v>26.987500000000001</v>
      </c>
      <c r="F2280" s="1">
        <v>26.577500000000001</v>
      </c>
    </row>
    <row r="2281" spans="1:6" x14ac:dyDescent="0.2">
      <c r="A2281" t="s">
        <v>1385</v>
      </c>
      <c r="B2281" s="1">
        <v>26.892499999999998</v>
      </c>
      <c r="C2281">
        <v>100006920</v>
      </c>
      <c r="D2281" s="1">
        <v>26.8475</v>
      </c>
      <c r="E2281" s="1">
        <v>26.97</v>
      </c>
      <c r="F2281" s="1">
        <v>26.67</v>
      </c>
    </row>
    <row r="2282" spans="1:6" x14ac:dyDescent="0.2">
      <c r="A2282" t="s">
        <v>1386</v>
      </c>
      <c r="B2282" s="1">
        <v>27.0075</v>
      </c>
      <c r="C2282">
        <v>94424960</v>
      </c>
      <c r="D2282" s="1">
        <v>27.141200000000001</v>
      </c>
      <c r="E2282" s="1">
        <v>27.1875</v>
      </c>
      <c r="F2282" s="1">
        <v>26.92</v>
      </c>
    </row>
    <row r="2283" spans="1:6" x14ac:dyDescent="0.2">
      <c r="A2283" t="s">
        <v>1387</v>
      </c>
      <c r="B2283" s="1">
        <v>27.212499999999999</v>
      </c>
      <c r="C2283">
        <v>84947400</v>
      </c>
      <c r="D2283" s="1">
        <v>27.147500000000001</v>
      </c>
      <c r="E2283" s="1">
        <v>27.33</v>
      </c>
      <c r="F2283" s="1">
        <v>27.1325</v>
      </c>
    </row>
    <row r="2284" spans="1:6" x14ac:dyDescent="0.2">
      <c r="A2284" t="s">
        <v>1388</v>
      </c>
      <c r="B2284" s="1">
        <v>27.127500000000001</v>
      </c>
      <c r="C2284">
        <v>103137680</v>
      </c>
      <c r="D2284" s="1">
        <v>27.215</v>
      </c>
      <c r="E2284" s="1">
        <v>27.274999999999999</v>
      </c>
      <c r="F2284" s="1">
        <v>26.962499999999999</v>
      </c>
    </row>
    <row r="2285" spans="1:6" x14ac:dyDescent="0.2">
      <c r="A2285" t="s">
        <v>1389</v>
      </c>
      <c r="B2285" s="1">
        <v>27.34</v>
      </c>
      <c r="C2285">
        <v>100435560</v>
      </c>
      <c r="D2285" s="1">
        <v>27.192499999999999</v>
      </c>
      <c r="E2285" s="1">
        <v>27.422499999999999</v>
      </c>
      <c r="F2285" s="1">
        <v>27.09</v>
      </c>
    </row>
    <row r="2286" spans="1:6" x14ac:dyDescent="0.2">
      <c r="A2286" t="s">
        <v>1390</v>
      </c>
      <c r="B2286" s="1">
        <v>27.27</v>
      </c>
      <c r="C2286">
        <v>87673360</v>
      </c>
      <c r="D2286" s="1">
        <v>27.307500000000001</v>
      </c>
      <c r="E2286" s="1">
        <v>27.4</v>
      </c>
      <c r="F2286" s="1">
        <v>27.254999999999999</v>
      </c>
    </row>
    <row r="2287" spans="1:6" x14ac:dyDescent="0.2">
      <c r="A2287" t="s">
        <v>1391</v>
      </c>
      <c r="B2287" s="1">
        <v>27.305</v>
      </c>
      <c r="C2287">
        <v>101314720</v>
      </c>
      <c r="D2287" s="1">
        <v>27.274999999999999</v>
      </c>
      <c r="E2287" s="1">
        <v>27.342500000000001</v>
      </c>
      <c r="F2287" s="1">
        <v>27.085000000000001</v>
      </c>
    </row>
    <row r="2288" spans="1:6" x14ac:dyDescent="0.2">
      <c r="A2288" t="s">
        <v>1392</v>
      </c>
      <c r="B2288" s="1">
        <v>27.344999999999999</v>
      </c>
      <c r="C2288">
        <v>135018720</v>
      </c>
      <c r="D2288" s="1">
        <v>27.407499999999999</v>
      </c>
      <c r="E2288" s="1">
        <v>27.557500000000001</v>
      </c>
      <c r="F2288" s="1">
        <v>27.302499999999998</v>
      </c>
    </row>
    <row r="2289" spans="1:6" x14ac:dyDescent="0.2">
      <c r="A2289" t="s">
        <v>1393</v>
      </c>
      <c r="B2289" s="1">
        <v>27.37</v>
      </c>
      <c r="C2289">
        <v>102817320</v>
      </c>
      <c r="D2289" s="1">
        <v>27.035</v>
      </c>
      <c r="E2289" s="1">
        <v>27.385000000000002</v>
      </c>
      <c r="F2289" s="1">
        <v>27.02</v>
      </c>
    </row>
    <row r="2290" spans="1:6" x14ac:dyDescent="0.2">
      <c r="A2290" s="2">
        <v>42712</v>
      </c>
      <c r="B2290" s="1">
        <v>27.045000000000002</v>
      </c>
      <c r="C2290">
        <v>74594800</v>
      </c>
      <c r="D2290" s="1">
        <v>26.945</v>
      </c>
      <c r="E2290" s="1">
        <v>27.11</v>
      </c>
      <c r="F2290" s="1">
        <v>26.945</v>
      </c>
    </row>
    <row r="2291" spans="1:6" x14ac:dyDescent="0.2">
      <c r="A2291" s="2">
        <v>42682</v>
      </c>
      <c r="B2291" s="1">
        <v>26.982500000000002</v>
      </c>
      <c r="C2291">
        <v>109840280</v>
      </c>
      <c r="D2291" s="1">
        <v>27.13</v>
      </c>
      <c r="E2291" s="1">
        <v>27.232500000000002</v>
      </c>
      <c r="F2291" s="1">
        <v>26.962499999999999</v>
      </c>
    </row>
    <row r="2292" spans="1:6" x14ac:dyDescent="0.2">
      <c r="A2292" s="2">
        <v>42651</v>
      </c>
      <c r="B2292" s="1">
        <v>27</v>
      </c>
      <c r="C2292">
        <v>95359520</v>
      </c>
      <c r="D2292" s="1">
        <v>27.177499999999998</v>
      </c>
      <c r="E2292" s="1">
        <v>27.225000000000001</v>
      </c>
      <c r="F2292" s="1">
        <v>26.94</v>
      </c>
    </row>
    <row r="2293" spans="1:6" x14ac:dyDescent="0.2">
      <c r="A2293" s="2">
        <v>42621</v>
      </c>
      <c r="B2293" s="1">
        <v>27.202500000000001</v>
      </c>
      <c r="C2293">
        <v>105185040</v>
      </c>
      <c r="D2293" s="1">
        <v>27.057500000000001</v>
      </c>
      <c r="E2293" s="1">
        <v>27.234999999999999</v>
      </c>
      <c r="F2293" s="1">
        <v>27.002500000000001</v>
      </c>
    </row>
    <row r="2294" spans="1:6" x14ac:dyDescent="0.2">
      <c r="A2294" s="2">
        <v>42590</v>
      </c>
      <c r="B2294" s="1">
        <v>27.092500000000001</v>
      </c>
      <c r="C2294">
        <v>112041720</v>
      </c>
      <c r="D2294" s="1">
        <v>26.88</v>
      </c>
      <c r="E2294" s="1">
        <v>27.092500000000001</v>
      </c>
      <c r="F2294" s="1">
        <v>26.79</v>
      </c>
    </row>
    <row r="2295" spans="1:6" x14ac:dyDescent="0.2">
      <c r="A2295" s="2">
        <v>42498</v>
      </c>
      <c r="B2295" s="1">
        <v>26.87</v>
      </c>
      <c r="C2295">
        <v>158186440</v>
      </c>
      <c r="D2295" s="1">
        <v>26.567499999999999</v>
      </c>
      <c r="E2295" s="1">
        <v>26.912500000000001</v>
      </c>
      <c r="F2295" s="1">
        <v>26.545000000000002</v>
      </c>
    </row>
    <row r="2296" spans="1:6" x14ac:dyDescent="0.2">
      <c r="A2296" s="2">
        <v>42468</v>
      </c>
      <c r="B2296" s="1">
        <v>26.467500000000001</v>
      </c>
      <c r="C2296">
        <v>107126920</v>
      </c>
      <c r="D2296" s="1">
        <v>26.395</v>
      </c>
      <c r="E2296" s="1">
        <v>26.5</v>
      </c>
      <c r="F2296" s="1">
        <v>26.32</v>
      </c>
    </row>
    <row r="2297" spans="1:6" x14ac:dyDescent="0.2">
      <c r="A2297" s="2">
        <v>42437</v>
      </c>
      <c r="B2297" s="1">
        <v>26.447500000000002</v>
      </c>
      <c r="C2297">
        <v>120593440</v>
      </c>
      <c r="D2297" s="1">
        <v>26.202500000000001</v>
      </c>
      <c r="E2297" s="1">
        <v>26.46</v>
      </c>
      <c r="F2297" s="1">
        <v>26.192499999999999</v>
      </c>
    </row>
    <row r="2298" spans="1:6" x14ac:dyDescent="0.2">
      <c r="A2298" s="2">
        <v>42408</v>
      </c>
      <c r="B2298" s="1">
        <v>26.12</v>
      </c>
      <c r="C2298">
        <v>135080880</v>
      </c>
      <c r="D2298" s="1">
        <v>26.512499999999999</v>
      </c>
      <c r="E2298" s="1">
        <v>26.517499999999998</v>
      </c>
      <c r="F2298" s="1">
        <v>26</v>
      </c>
    </row>
    <row r="2299" spans="1:6" x14ac:dyDescent="0.2">
      <c r="A2299" s="2">
        <v>42377</v>
      </c>
      <c r="B2299" s="1">
        <v>26.512499999999999</v>
      </c>
      <c r="C2299">
        <v>152075640</v>
      </c>
      <c r="D2299" s="1">
        <v>26.102499999999999</v>
      </c>
      <c r="E2299" s="1">
        <v>26.537500000000001</v>
      </c>
      <c r="F2299" s="1">
        <v>26.102499999999999</v>
      </c>
    </row>
    <row r="2300" spans="1:6" x14ac:dyDescent="0.2">
      <c r="A2300" t="s">
        <v>1394</v>
      </c>
      <c r="B2300" s="1">
        <v>26.052499999999998</v>
      </c>
      <c r="C2300">
        <v>110791880</v>
      </c>
      <c r="D2300" s="1">
        <v>26.047499999999999</v>
      </c>
      <c r="E2300" s="1">
        <v>26.137499999999999</v>
      </c>
      <c r="F2300" s="1">
        <v>25.92</v>
      </c>
    </row>
    <row r="2301" spans="1:6" x14ac:dyDescent="0.2">
      <c r="A2301" t="s">
        <v>1395</v>
      </c>
      <c r="B2301" s="1">
        <v>26.085000000000001</v>
      </c>
      <c r="C2301">
        <v>155087360</v>
      </c>
      <c r="D2301" s="1">
        <v>25.7075</v>
      </c>
      <c r="E2301" s="1">
        <v>26.112500000000001</v>
      </c>
      <c r="F2301" s="1">
        <v>25.704999999999998</v>
      </c>
    </row>
    <row r="2302" spans="1:6" x14ac:dyDescent="0.2">
      <c r="A2302" t="s">
        <v>1396</v>
      </c>
      <c r="B2302" s="1">
        <v>25.737500000000001</v>
      </c>
      <c r="C2302">
        <v>368575680</v>
      </c>
      <c r="D2302" s="1">
        <v>26.066299999999998</v>
      </c>
      <c r="E2302" s="1">
        <v>26.087499999999999</v>
      </c>
      <c r="F2302" s="1">
        <v>25.6875</v>
      </c>
    </row>
    <row r="2303" spans="1:6" x14ac:dyDescent="0.2">
      <c r="A2303" t="s">
        <v>1397</v>
      </c>
      <c r="B2303" s="1">
        <v>24.1675</v>
      </c>
      <c r="C2303">
        <v>213818480</v>
      </c>
      <c r="D2303" s="1">
        <v>24.204999999999998</v>
      </c>
      <c r="E2303" s="1">
        <v>24.4925</v>
      </c>
      <c r="F2303" s="1">
        <v>24.105</v>
      </c>
    </row>
    <row r="2304" spans="1:6" x14ac:dyDescent="0.2">
      <c r="A2304" t="s">
        <v>1398</v>
      </c>
      <c r="B2304" s="1">
        <v>24.335000000000001</v>
      </c>
      <c r="C2304">
        <v>161162320</v>
      </c>
      <c r="D2304" s="1">
        <v>24.5625</v>
      </c>
      <c r="E2304" s="1">
        <v>24.71</v>
      </c>
      <c r="F2304" s="1">
        <v>24.23</v>
      </c>
    </row>
    <row r="2305" spans="1:6" x14ac:dyDescent="0.2">
      <c r="A2305" t="s">
        <v>1399</v>
      </c>
      <c r="B2305" s="1">
        <v>24.664999999999999</v>
      </c>
      <c r="C2305">
        <v>112872960</v>
      </c>
      <c r="D2305" s="1">
        <v>24.815000000000001</v>
      </c>
      <c r="E2305" s="1">
        <v>24.824999999999999</v>
      </c>
      <c r="F2305" s="1">
        <v>24.577500000000001</v>
      </c>
    </row>
    <row r="2306" spans="1:6" x14ac:dyDescent="0.2">
      <c r="A2306" t="s">
        <v>1400</v>
      </c>
      <c r="B2306" s="1">
        <v>24.857500000000002</v>
      </c>
      <c r="C2306">
        <v>130760320</v>
      </c>
      <c r="D2306" s="1">
        <v>24.9575</v>
      </c>
      <c r="E2306" s="1">
        <v>25.25</v>
      </c>
      <c r="F2306" s="1">
        <v>24.782499999999999</v>
      </c>
    </row>
    <row r="2307" spans="1:6" x14ac:dyDescent="0.2">
      <c r="A2307" t="s">
        <v>1401</v>
      </c>
      <c r="B2307" s="1">
        <v>24.99</v>
      </c>
      <c r="C2307">
        <v>104876440</v>
      </c>
      <c r="D2307" s="1">
        <v>25</v>
      </c>
      <c r="E2307" s="1">
        <v>25.114999999999998</v>
      </c>
      <c r="F2307" s="1">
        <v>24.933800000000002</v>
      </c>
    </row>
    <row r="2308" spans="1:6" x14ac:dyDescent="0.2">
      <c r="A2308" t="s">
        <v>1402</v>
      </c>
      <c r="B2308" s="1">
        <v>24.967500000000001</v>
      </c>
      <c r="C2308">
        <v>95065440</v>
      </c>
      <c r="D2308" s="1">
        <v>24.89</v>
      </c>
      <c r="E2308" s="1">
        <v>25</v>
      </c>
      <c r="F2308" s="1">
        <v>24.835000000000001</v>
      </c>
    </row>
    <row r="2309" spans="1:6" x14ac:dyDescent="0.2">
      <c r="A2309" t="s">
        <v>1403</v>
      </c>
      <c r="B2309" s="1">
        <v>24.9575</v>
      </c>
      <c r="C2309">
        <v>145858120</v>
      </c>
      <c r="D2309" s="1">
        <v>24.675000000000001</v>
      </c>
      <c r="E2309" s="1">
        <v>25.032499999999999</v>
      </c>
      <c r="F2309" s="1">
        <v>24.65</v>
      </c>
    </row>
    <row r="2310" spans="1:6" x14ac:dyDescent="0.2">
      <c r="A2310" t="s">
        <v>1404</v>
      </c>
      <c r="B2310" s="1">
        <v>24.695</v>
      </c>
      <c r="C2310">
        <v>120125640</v>
      </c>
      <c r="D2310" s="1">
        <v>24.73</v>
      </c>
      <c r="E2310" s="1">
        <v>24.824999999999999</v>
      </c>
      <c r="F2310" s="1">
        <v>24.625</v>
      </c>
    </row>
    <row r="2311" spans="1:6" x14ac:dyDescent="0.2">
      <c r="A2311" t="s">
        <v>1405</v>
      </c>
      <c r="B2311" s="1">
        <v>24.697500000000002</v>
      </c>
      <c r="C2311">
        <v>155543920</v>
      </c>
      <c r="D2311" s="1">
        <v>24.3475</v>
      </c>
      <c r="E2311" s="1">
        <v>24.747499999999999</v>
      </c>
      <c r="F2311" s="1">
        <v>24.33</v>
      </c>
    </row>
    <row r="2312" spans="1:6" x14ac:dyDescent="0.2">
      <c r="A2312" t="s">
        <v>1406</v>
      </c>
      <c r="B2312" s="1">
        <v>24.217500000000001</v>
      </c>
      <c r="C2312">
        <v>103518720</v>
      </c>
      <c r="D2312" s="1">
        <v>24.352499999999999</v>
      </c>
      <c r="E2312" s="1">
        <v>24.4175</v>
      </c>
      <c r="F2312" s="1">
        <v>24.21</v>
      </c>
    </row>
    <row r="2313" spans="1:6" x14ac:dyDescent="0.2">
      <c r="A2313" s="2">
        <v>42711</v>
      </c>
      <c r="B2313" s="1">
        <v>24.355</v>
      </c>
      <c r="C2313">
        <v>96518120</v>
      </c>
      <c r="D2313" s="1">
        <v>24.2925</v>
      </c>
      <c r="E2313" s="1">
        <v>24.425000000000001</v>
      </c>
      <c r="F2313" s="1">
        <v>24.28</v>
      </c>
    </row>
    <row r="2314" spans="1:6" x14ac:dyDescent="0.2">
      <c r="A2314" s="2">
        <v>42681</v>
      </c>
      <c r="B2314" s="1">
        <v>24.245000000000001</v>
      </c>
      <c r="C2314">
        <v>93271960</v>
      </c>
      <c r="D2314" s="1">
        <v>24.1875</v>
      </c>
      <c r="E2314" s="1">
        <v>24.412500000000001</v>
      </c>
      <c r="F2314" s="1">
        <v>24.182500000000001</v>
      </c>
    </row>
    <row r="2315" spans="1:6" x14ac:dyDescent="0.2">
      <c r="A2315" s="2">
        <v>42589</v>
      </c>
      <c r="B2315" s="1">
        <v>24.17</v>
      </c>
      <c r="C2315">
        <v>115510000</v>
      </c>
      <c r="D2315" s="1">
        <v>24.122499999999999</v>
      </c>
      <c r="E2315" s="1">
        <v>24.2225</v>
      </c>
      <c r="F2315" s="1">
        <v>24.012499999999999</v>
      </c>
    </row>
    <row r="2316" spans="1:6" x14ac:dyDescent="0.2">
      <c r="A2316" s="2">
        <v>42558</v>
      </c>
      <c r="B2316" s="1">
        <v>23.984999999999999</v>
      </c>
      <c r="C2316">
        <v>97843400</v>
      </c>
      <c r="D2316" s="1">
        <v>23.925000000000001</v>
      </c>
      <c r="E2316" s="1">
        <v>24.125</v>
      </c>
      <c r="F2316" s="1">
        <v>23.905000000000001</v>
      </c>
    </row>
    <row r="2317" spans="1:6" x14ac:dyDescent="0.2">
      <c r="A2317" s="2">
        <v>42528</v>
      </c>
      <c r="B2317" s="1">
        <v>23.8825</v>
      </c>
      <c r="C2317">
        <v>123510160</v>
      </c>
      <c r="D2317" s="1">
        <v>23.65</v>
      </c>
      <c r="E2317" s="1">
        <v>23.914999999999999</v>
      </c>
      <c r="F2317" s="1">
        <v>23.592500000000001</v>
      </c>
    </row>
    <row r="2318" spans="1:6" x14ac:dyDescent="0.2">
      <c r="A2318" s="2">
        <v>42497</v>
      </c>
      <c r="B2318" s="1">
        <v>23.747499999999999</v>
      </c>
      <c r="C2318">
        <v>110215000</v>
      </c>
      <c r="D2318" s="1">
        <v>23.8475</v>
      </c>
      <c r="E2318" s="1">
        <v>23.85</v>
      </c>
      <c r="F2318" s="1">
        <v>23.614999999999998</v>
      </c>
    </row>
    <row r="2319" spans="1:6" x14ac:dyDescent="0.2">
      <c r="A2319" s="2">
        <v>42376</v>
      </c>
      <c r="B2319" s="1">
        <v>23.9725</v>
      </c>
      <c r="C2319">
        <v>103928320</v>
      </c>
      <c r="D2319" s="1">
        <v>23.872499999999999</v>
      </c>
      <c r="E2319" s="1">
        <v>24.116299999999999</v>
      </c>
      <c r="F2319" s="1">
        <v>23.8325</v>
      </c>
    </row>
    <row r="2320" spans="1:6" x14ac:dyDescent="0.2">
      <c r="A2320" t="s">
        <v>1407</v>
      </c>
      <c r="B2320" s="1">
        <v>23.9</v>
      </c>
      <c r="C2320">
        <v>143133280</v>
      </c>
      <c r="D2320" s="1">
        <v>23.61</v>
      </c>
      <c r="E2320" s="1">
        <v>23.942499999999999</v>
      </c>
      <c r="F2320" s="1">
        <v>23.574999999999999</v>
      </c>
    </row>
    <row r="2321" spans="1:6" x14ac:dyDescent="0.2">
      <c r="A2321" t="s">
        <v>1408</v>
      </c>
      <c r="B2321" s="1">
        <v>23.6</v>
      </c>
      <c r="C2321">
        <v>146021680</v>
      </c>
      <c r="D2321" s="1">
        <v>23.4925</v>
      </c>
      <c r="E2321" s="1">
        <v>23.637499999999999</v>
      </c>
      <c r="F2321" s="1">
        <v>23.407499999999999</v>
      </c>
    </row>
    <row r="2322" spans="1:6" x14ac:dyDescent="0.2">
      <c r="A2322" t="s">
        <v>1409</v>
      </c>
      <c r="B2322" s="1">
        <v>23.397500000000001</v>
      </c>
      <c r="C2322">
        <v>161551840</v>
      </c>
      <c r="D2322" s="1">
        <v>23.225000000000001</v>
      </c>
      <c r="E2322" s="1">
        <v>23.414999999999999</v>
      </c>
      <c r="F2322" s="1">
        <v>23.035</v>
      </c>
    </row>
    <row r="2323" spans="1:6" x14ac:dyDescent="0.2">
      <c r="A2323" t="s">
        <v>1410</v>
      </c>
      <c r="B2323" s="1">
        <v>23.01</v>
      </c>
      <c r="C2323">
        <v>182382720</v>
      </c>
      <c r="D2323" s="1">
        <v>23.25</v>
      </c>
      <c r="E2323" s="1">
        <v>23.262499999999999</v>
      </c>
      <c r="F2323" s="1">
        <v>22.875</v>
      </c>
    </row>
    <row r="2324" spans="1:6" x14ac:dyDescent="0.2">
      <c r="A2324" t="s">
        <v>1411</v>
      </c>
      <c r="B2324" s="1">
        <v>23.35</v>
      </c>
      <c r="C2324">
        <v>300878840</v>
      </c>
      <c r="D2324" s="1">
        <v>23.227499999999999</v>
      </c>
      <c r="E2324" s="1">
        <v>23.663799999999998</v>
      </c>
      <c r="F2324" s="1">
        <v>23.162500000000001</v>
      </c>
    </row>
    <row r="2325" spans="1:6" x14ac:dyDescent="0.2">
      <c r="A2325" t="s">
        <v>1412</v>
      </c>
      <c r="B2325" s="1">
        <v>24.024999999999999</v>
      </c>
      <c r="C2325">
        <v>128169160</v>
      </c>
      <c r="D2325" s="1">
        <v>23.984999999999999</v>
      </c>
      <c r="E2325" s="1">
        <v>24.072500000000002</v>
      </c>
      <c r="F2325" s="1">
        <v>23.8125</v>
      </c>
    </row>
    <row r="2326" spans="1:6" x14ac:dyDescent="0.2">
      <c r="A2326" t="s">
        <v>1413</v>
      </c>
      <c r="B2326" s="1">
        <v>23.887499999999999</v>
      </c>
      <c r="C2326">
        <v>116496560</v>
      </c>
      <c r="D2326" s="1">
        <v>24.0625</v>
      </c>
      <c r="E2326" s="1">
        <v>24.2225</v>
      </c>
      <c r="F2326" s="1">
        <v>23.837499999999999</v>
      </c>
    </row>
    <row r="2327" spans="1:6" x14ac:dyDescent="0.2">
      <c r="A2327" t="s">
        <v>1414</v>
      </c>
      <c r="B2327" s="1">
        <v>23.977499999999999</v>
      </c>
      <c r="C2327">
        <v>141628200</v>
      </c>
      <c r="D2327" s="1">
        <v>23.734999999999999</v>
      </c>
      <c r="E2327" s="1">
        <v>24.087499999999999</v>
      </c>
      <c r="F2327" s="1">
        <v>23.669</v>
      </c>
    </row>
    <row r="2328" spans="1:6" x14ac:dyDescent="0.2">
      <c r="A2328" t="s">
        <v>1415</v>
      </c>
      <c r="B2328" s="1">
        <v>23.774999999999999</v>
      </c>
      <c r="C2328">
        <v>137423880</v>
      </c>
      <c r="D2328" s="1">
        <v>24</v>
      </c>
      <c r="E2328" s="1">
        <v>24.142499999999998</v>
      </c>
      <c r="F2328" s="1">
        <v>23.7575</v>
      </c>
    </row>
    <row r="2329" spans="1:6" x14ac:dyDescent="0.2">
      <c r="A2329" t="s">
        <v>1416</v>
      </c>
      <c r="B2329" s="1">
        <v>23.8325</v>
      </c>
      <c r="C2329">
        <v>243173040</v>
      </c>
      <c r="D2329" s="1">
        <v>24.155000000000001</v>
      </c>
      <c r="E2329" s="1">
        <v>24.162500000000001</v>
      </c>
      <c r="F2329" s="1">
        <v>23.824999999999999</v>
      </c>
    </row>
    <row r="2330" spans="1:6" x14ac:dyDescent="0.2">
      <c r="A2330" t="s">
        <v>1417</v>
      </c>
      <c r="B2330" s="1">
        <v>24.387499999999999</v>
      </c>
      <c r="C2330">
        <v>125007480</v>
      </c>
      <c r="D2330" s="1">
        <v>24.112500000000001</v>
      </c>
      <c r="E2330" s="1">
        <v>24.4375</v>
      </c>
      <c r="F2330" s="1">
        <v>24.017499999999998</v>
      </c>
    </row>
    <row r="2331" spans="1:6" x14ac:dyDescent="0.2">
      <c r="A2331" t="s">
        <v>1418</v>
      </c>
      <c r="B2331" s="1">
        <v>24.285</v>
      </c>
      <c r="C2331">
        <v>117492200</v>
      </c>
      <c r="D2331" s="1">
        <v>24.454999999999998</v>
      </c>
      <c r="E2331" s="1">
        <v>24.602499999999999</v>
      </c>
      <c r="F2331" s="1">
        <v>24.2575</v>
      </c>
    </row>
    <row r="2332" spans="1:6" x14ac:dyDescent="0.2">
      <c r="A2332" t="s">
        <v>1419</v>
      </c>
      <c r="B2332" s="1">
        <v>24.364999999999998</v>
      </c>
      <c r="C2332">
        <v>127562960</v>
      </c>
      <c r="D2332" s="1">
        <v>24.33</v>
      </c>
      <c r="E2332" s="1">
        <v>24.6187</v>
      </c>
      <c r="F2332" s="1">
        <v>24.1875</v>
      </c>
    </row>
    <row r="2333" spans="1:6" x14ac:dyDescent="0.2">
      <c r="A2333" t="s">
        <v>1420</v>
      </c>
      <c r="B2333" s="1">
        <v>24.335000000000001</v>
      </c>
      <c r="C2333">
        <v>150833440</v>
      </c>
      <c r="D2333" s="1">
        <v>24.672499999999999</v>
      </c>
      <c r="E2333" s="1">
        <v>24.78</v>
      </c>
      <c r="F2333" s="1">
        <v>24.274999999999999</v>
      </c>
    </row>
    <row r="2334" spans="1:6" x14ac:dyDescent="0.2">
      <c r="A2334" s="2">
        <v>42649</v>
      </c>
      <c r="B2334" s="1">
        <v>24.7075</v>
      </c>
      <c r="C2334">
        <v>126688880</v>
      </c>
      <c r="D2334" s="1">
        <v>24.6325</v>
      </c>
      <c r="E2334" s="1">
        <v>24.836400000000001</v>
      </c>
      <c r="F2334" s="1">
        <v>24.62</v>
      </c>
    </row>
    <row r="2335" spans="1:6" x14ac:dyDescent="0.2">
      <c r="A2335" s="2">
        <v>42619</v>
      </c>
      <c r="B2335" s="1">
        <v>24.912500000000001</v>
      </c>
      <c r="C2335">
        <v>106302280</v>
      </c>
      <c r="D2335" s="1">
        <v>24.625</v>
      </c>
      <c r="E2335" s="1">
        <v>24.997499999999999</v>
      </c>
      <c r="F2335" s="1">
        <v>24.614999999999998</v>
      </c>
    </row>
    <row r="2336" spans="1:6" x14ac:dyDescent="0.2">
      <c r="A2336" s="2">
        <v>42588</v>
      </c>
      <c r="B2336" s="1">
        <v>24.734999999999999</v>
      </c>
      <c r="C2336">
        <v>83359800</v>
      </c>
      <c r="D2336" s="1">
        <v>24.754999999999999</v>
      </c>
      <c r="E2336" s="1">
        <v>24.89</v>
      </c>
      <c r="F2336" s="1">
        <v>24.67</v>
      </c>
    </row>
    <row r="2337" spans="1:6" x14ac:dyDescent="0.2">
      <c r="A2337" s="2">
        <v>42557</v>
      </c>
      <c r="B2337" s="1">
        <v>24.7575</v>
      </c>
      <c r="C2337">
        <v>89513520</v>
      </c>
      <c r="D2337" s="1">
        <v>24.8125</v>
      </c>
      <c r="E2337" s="1">
        <v>24.967500000000001</v>
      </c>
      <c r="F2337" s="1">
        <v>24.74</v>
      </c>
    </row>
    <row r="2338" spans="1:6" x14ac:dyDescent="0.2">
      <c r="A2338" s="2">
        <v>42527</v>
      </c>
      <c r="B2338" s="1">
        <v>24.657499999999999</v>
      </c>
      <c r="C2338">
        <v>93060800</v>
      </c>
      <c r="D2338" s="1">
        <v>24.497499999999999</v>
      </c>
      <c r="E2338" s="1">
        <v>25.4725</v>
      </c>
      <c r="F2338" s="1">
        <v>24.387499999999999</v>
      </c>
    </row>
    <row r="2339" spans="1:6" x14ac:dyDescent="0.2">
      <c r="A2339" s="2">
        <v>42435</v>
      </c>
      <c r="B2339" s="1">
        <v>24.48</v>
      </c>
      <c r="C2339">
        <v>113950280</v>
      </c>
      <c r="D2339" s="1">
        <v>24.447500000000002</v>
      </c>
      <c r="E2339" s="1">
        <v>24.567499999999999</v>
      </c>
      <c r="F2339" s="1">
        <v>24.362500000000001</v>
      </c>
    </row>
    <row r="2340" spans="1:6" x14ac:dyDescent="0.2">
      <c r="A2340" s="2">
        <v>42406</v>
      </c>
      <c r="B2340" s="1">
        <v>24.43</v>
      </c>
      <c r="C2340">
        <v>160680800</v>
      </c>
      <c r="D2340" s="1">
        <v>24.4</v>
      </c>
      <c r="E2340" s="1">
        <v>24.46</v>
      </c>
      <c r="F2340" s="1">
        <v>24.157499999999999</v>
      </c>
    </row>
    <row r="2341" spans="1:6" x14ac:dyDescent="0.2">
      <c r="A2341" s="2">
        <v>42375</v>
      </c>
      <c r="B2341" s="1">
        <v>24.614999999999998</v>
      </c>
      <c r="C2341">
        <v>116556400</v>
      </c>
      <c r="D2341" s="1">
        <v>24.754999999999999</v>
      </c>
      <c r="E2341" s="1">
        <v>24.885000000000002</v>
      </c>
      <c r="F2341" s="1">
        <v>24.5825</v>
      </c>
    </row>
    <row r="2342" spans="1:6" x14ac:dyDescent="0.2">
      <c r="A2342" t="s">
        <v>1421</v>
      </c>
      <c r="B2342" s="1">
        <v>24.965</v>
      </c>
      <c r="C2342">
        <v>169072160</v>
      </c>
      <c r="D2342" s="1">
        <v>24.9</v>
      </c>
      <c r="E2342" s="1">
        <v>25.1</v>
      </c>
      <c r="F2342" s="1">
        <v>24.704999999999998</v>
      </c>
    </row>
    <row r="2343" spans="1:6" x14ac:dyDescent="0.2">
      <c r="A2343" t="s">
        <v>1422</v>
      </c>
      <c r="B2343" s="1">
        <v>25.087499999999999</v>
      </c>
      <c r="C2343">
        <v>145197840</v>
      </c>
      <c r="D2343" s="1">
        <v>24.86</v>
      </c>
      <c r="E2343" s="1">
        <v>25.1175</v>
      </c>
      <c r="F2343" s="1">
        <v>24.811299999999999</v>
      </c>
    </row>
    <row r="2344" spans="1:6" x14ac:dyDescent="0.2">
      <c r="A2344" t="s">
        <v>1423</v>
      </c>
      <c r="B2344" s="1">
        <v>25.102499999999999</v>
      </c>
      <c r="C2344">
        <v>225173960</v>
      </c>
      <c r="D2344" s="1">
        <v>24.92</v>
      </c>
      <c r="E2344" s="1">
        <v>25.182500000000001</v>
      </c>
      <c r="F2344" s="1">
        <v>24.66</v>
      </c>
    </row>
    <row r="2345" spans="1:6" x14ac:dyDescent="0.2">
      <c r="A2345" t="s">
        <v>1424</v>
      </c>
      <c r="B2345" s="1">
        <v>24.905000000000001</v>
      </c>
      <c r="C2345">
        <v>153033200</v>
      </c>
      <c r="D2345" s="1">
        <v>24.6675</v>
      </c>
      <c r="E2345" s="1">
        <v>24.934999999999999</v>
      </c>
      <c r="F2345" s="1">
        <v>24.5275</v>
      </c>
    </row>
    <row r="2346" spans="1:6" x14ac:dyDescent="0.2">
      <c r="A2346" t="s">
        <v>1425</v>
      </c>
      <c r="B2346" s="1">
        <v>24.475000000000001</v>
      </c>
      <c r="C2346">
        <v>140297520</v>
      </c>
      <c r="D2346" s="1">
        <v>24.305</v>
      </c>
      <c r="E2346" s="1">
        <v>24.522500000000001</v>
      </c>
      <c r="F2346" s="1">
        <v>24.21</v>
      </c>
    </row>
    <row r="2347" spans="1:6" x14ac:dyDescent="0.2">
      <c r="A2347" t="s">
        <v>1426</v>
      </c>
      <c r="B2347" s="1">
        <v>24.107500000000002</v>
      </c>
      <c r="C2347">
        <v>151908080</v>
      </c>
      <c r="D2347" s="1">
        <v>23.967500000000001</v>
      </c>
      <c r="E2347" s="1">
        <v>24.297499999999999</v>
      </c>
      <c r="F2347" s="1">
        <v>23.9175</v>
      </c>
    </row>
    <row r="2348" spans="1:6" x14ac:dyDescent="0.2">
      <c r="A2348" t="s">
        <v>1427</v>
      </c>
      <c r="B2348" s="1">
        <v>23.805</v>
      </c>
      <c r="C2348">
        <v>127336080</v>
      </c>
      <c r="D2348" s="1">
        <v>23.66</v>
      </c>
      <c r="E2348" s="1">
        <v>23.857500000000002</v>
      </c>
      <c r="F2348" s="1">
        <v>23.63</v>
      </c>
    </row>
    <row r="2349" spans="1:6" x14ac:dyDescent="0.2">
      <c r="A2349" t="s">
        <v>1428</v>
      </c>
      <c r="B2349" s="1">
        <v>23.55</v>
      </c>
      <c r="C2349">
        <v>121671520</v>
      </c>
      <c r="D2349" s="1">
        <v>23.66</v>
      </c>
      <c r="E2349" s="1">
        <v>23.66</v>
      </c>
      <c r="F2349" s="1">
        <v>23.392499999999998</v>
      </c>
    </row>
    <row r="2350" spans="1:6" x14ac:dyDescent="0.2">
      <c r="A2350" t="s">
        <v>1429</v>
      </c>
      <c r="B2350" s="1">
        <v>23.64</v>
      </c>
      <c r="C2350">
        <v>168039320</v>
      </c>
      <c r="D2350" s="1">
        <v>23.54</v>
      </c>
      <c r="E2350" s="1">
        <v>23.802499999999998</v>
      </c>
      <c r="F2350" s="1">
        <v>23.4725</v>
      </c>
    </row>
    <row r="2351" spans="1:6" x14ac:dyDescent="0.2">
      <c r="A2351" t="s">
        <v>1430</v>
      </c>
      <c r="B2351" s="1">
        <v>23.372499999999999</v>
      </c>
      <c r="C2351">
        <v>187435640</v>
      </c>
      <c r="D2351" s="1">
        <v>23.637499999999999</v>
      </c>
      <c r="E2351" s="1">
        <v>23.675000000000001</v>
      </c>
      <c r="F2351" s="1">
        <v>23.252500000000001</v>
      </c>
    </row>
    <row r="2352" spans="1:6" x14ac:dyDescent="0.2">
      <c r="A2352" t="s">
        <v>1431</v>
      </c>
      <c r="B2352" s="1">
        <v>23.47</v>
      </c>
      <c r="C2352">
        <v>244769360</v>
      </c>
      <c r="D2352" s="1">
        <v>23.0975</v>
      </c>
      <c r="E2352" s="1">
        <v>23.5975</v>
      </c>
      <c r="F2352" s="1">
        <v>22.912500000000001</v>
      </c>
    </row>
    <row r="2353" spans="1:6" x14ac:dyDescent="0.2">
      <c r="A2353" t="s">
        <v>1432</v>
      </c>
      <c r="B2353" s="1">
        <v>22.63</v>
      </c>
      <c r="C2353">
        <v>176892160</v>
      </c>
      <c r="D2353" s="1">
        <v>22.5</v>
      </c>
      <c r="E2353" s="1">
        <v>22.9175</v>
      </c>
      <c r="F2353" s="1">
        <v>22.5</v>
      </c>
    </row>
    <row r="2354" spans="1:6" x14ac:dyDescent="0.2">
      <c r="A2354" s="2">
        <v>42709</v>
      </c>
      <c r="B2354" s="1">
        <v>22.585000000000001</v>
      </c>
      <c r="C2354">
        <v>304733840</v>
      </c>
      <c r="D2354" s="1">
        <v>23.18</v>
      </c>
      <c r="E2354" s="1">
        <v>23.195</v>
      </c>
      <c r="F2354" s="1">
        <v>22.3675</v>
      </c>
    </row>
    <row r="2355" spans="1:6" x14ac:dyDescent="0.2">
      <c r="A2355" s="2">
        <v>42679</v>
      </c>
      <c r="B2355" s="1">
        <v>23.127500000000001</v>
      </c>
      <c r="C2355">
        <v>114564720</v>
      </c>
      <c r="D2355" s="1">
        <v>23.37</v>
      </c>
      <c r="E2355" s="1">
        <v>23.392499999999998</v>
      </c>
      <c r="F2355" s="1">
        <v>23.114999999999998</v>
      </c>
    </row>
    <row r="2356" spans="1:6" x14ac:dyDescent="0.2">
      <c r="A2356" s="2">
        <v>42648</v>
      </c>
      <c r="B2356" s="1">
        <v>23.355</v>
      </c>
      <c r="C2356">
        <v>134612080</v>
      </c>
      <c r="D2356" s="1">
        <v>23.3325</v>
      </c>
      <c r="E2356" s="1">
        <v>23.392499999999998</v>
      </c>
      <c r="F2356" s="1">
        <v>23.0275</v>
      </c>
    </row>
    <row r="2357" spans="1:6" x14ac:dyDescent="0.2">
      <c r="A2357" s="2">
        <v>42618</v>
      </c>
      <c r="B2357" s="1">
        <v>23.197500000000002</v>
      </c>
      <c r="C2357">
        <v>131582600</v>
      </c>
      <c r="D2357" s="1">
        <v>23.25</v>
      </c>
      <c r="E2357" s="1">
        <v>23.442499999999999</v>
      </c>
      <c r="F2357" s="1">
        <v>23.147500000000001</v>
      </c>
    </row>
    <row r="2358" spans="1:6" x14ac:dyDescent="0.2">
      <c r="A2358" s="2">
        <v>42526</v>
      </c>
      <c r="B2358" s="1">
        <v>23.18</v>
      </c>
      <c r="C2358">
        <v>174660640</v>
      </c>
      <c r="D2358" s="1">
        <v>23.342500000000001</v>
      </c>
      <c r="E2358" s="1">
        <v>23.362500000000001</v>
      </c>
      <c r="F2358" s="1">
        <v>22.962499999999999</v>
      </c>
    </row>
    <row r="2359" spans="1:6" x14ac:dyDescent="0.2">
      <c r="A2359" s="2">
        <v>42495</v>
      </c>
      <c r="B2359" s="1">
        <v>23.31</v>
      </c>
      <c r="C2359">
        <v>143400880</v>
      </c>
      <c r="D2359" s="1">
        <v>23.5</v>
      </c>
      <c r="E2359" s="1">
        <v>23.517499999999998</v>
      </c>
      <c r="F2359" s="1">
        <v>23.17</v>
      </c>
    </row>
    <row r="2360" spans="1:6" x14ac:dyDescent="0.2">
      <c r="A2360" s="2">
        <v>42465</v>
      </c>
      <c r="B2360" s="1">
        <v>23.547499999999999</v>
      </c>
      <c r="C2360">
        <v>163936640</v>
      </c>
      <c r="D2360" s="1">
        <v>23.8</v>
      </c>
      <c r="E2360" s="1">
        <v>23.975000000000001</v>
      </c>
      <c r="F2360" s="1">
        <v>23.454999999999998</v>
      </c>
    </row>
    <row r="2361" spans="1:6" x14ac:dyDescent="0.2">
      <c r="A2361" s="2">
        <v>42434</v>
      </c>
      <c r="B2361" s="1">
        <v>23.795000000000002</v>
      </c>
      <c r="C2361">
        <v>227080320</v>
      </c>
      <c r="D2361" s="1">
        <v>23.55</v>
      </c>
      <c r="E2361" s="1">
        <v>23.934999999999999</v>
      </c>
      <c r="F2361" s="1">
        <v>23.42</v>
      </c>
    </row>
    <row r="2362" spans="1:6" x14ac:dyDescent="0.2">
      <c r="A2362" s="2">
        <v>42405</v>
      </c>
      <c r="B2362" s="1">
        <v>23.41</v>
      </c>
      <c r="C2362">
        <v>191377960</v>
      </c>
      <c r="D2362" s="1">
        <v>23.491299999999999</v>
      </c>
      <c r="E2362" s="1">
        <v>23.52</v>
      </c>
      <c r="F2362" s="1">
        <v>23.1</v>
      </c>
    </row>
    <row r="2363" spans="1:6" x14ac:dyDescent="0.2">
      <c r="A2363" t="s">
        <v>1433</v>
      </c>
      <c r="B2363" s="1">
        <v>23.434999999999999</v>
      </c>
      <c r="C2363">
        <v>273555360</v>
      </c>
      <c r="D2363" s="1">
        <v>23.497499999999999</v>
      </c>
      <c r="E2363" s="1">
        <v>23.68</v>
      </c>
      <c r="F2363" s="1">
        <v>23.127500000000001</v>
      </c>
    </row>
    <row r="2364" spans="1:6" x14ac:dyDescent="0.2">
      <c r="A2364" t="s">
        <v>1434</v>
      </c>
      <c r="B2364" s="1">
        <v>23.7075</v>
      </c>
      <c r="C2364">
        <v>328428480</v>
      </c>
      <c r="D2364" s="1">
        <v>24.4025</v>
      </c>
      <c r="E2364" s="1">
        <v>24.47</v>
      </c>
      <c r="F2364" s="1">
        <v>23.5625</v>
      </c>
    </row>
    <row r="2365" spans="1:6" x14ac:dyDescent="0.2">
      <c r="A2365" t="s">
        <v>1435</v>
      </c>
      <c r="B2365" s="1">
        <v>24.454999999999998</v>
      </c>
      <c r="C2365">
        <v>457745200</v>
      </c>
      <c r="D2365" s="1">
        <v>24</v>
      </c>
      <c r="E2365" s="1">
        <v>24.677499999999998</v>
      </c>
      <c r="F2365" s="1">
        <v>23.92</v>
      </c>
    </row>
    <row r="2366" spans="1:6" x14ac:dyDescent="0.2">
      <c r="A2366" t="s">
        <v>1436</v>
      </c>
      <c r="B2366" s="1">
        <v>26.087499999999999</v>
      </c>
      <c r="C2366">
        <v>211919120</v>
      </c>
      <c r="D2366" s="1">
        <v>25.977499999999999</v>
      </c>
      <c r="E2366" s="1">
        <v>26.324999999999999</v>
      </c>
      <c r="F2366" s="1">
        <v>25.977499999999999</v>
      </c>
    </row>
    <row r="2367" spans="1:6" x14ac:dyDescent="0.2">
      <c r="A2367" t="s">
        <v>1437</v>
      </c>
      <c r="B2367" s="1">
        <v>26.27</v>
      </c>
      <c r="C2367">
        <v>111991960</v>
      </c>
      <c r="D2367" s="1">
        <v>26.25</v>
      </c>
      <c r="E2367" s="1">
        <v>26.412500000000001</v>
      </c>
      <c r="F2367" s="1">
        <v>26.127500000000001</v>
      </c>
    </row>
    <row r="2368" spans="1:6" x14ac:dyDescent="0.2">
      <c r="A2368" t="s">
        <v>1438</v>
      </c>
      <c r="B2368" s="1">
        <v>26.42</v>
      </c>
      <c r="C2368">
        <v>134623240</v>
      </c>
      <c r="D2368" s="1">
        <v>26.252500000000001</v>
      </c>
      <c r="E2368" s="1">
        <v>26.62</v>
      </c>
      <c r="F2368" s="1">
        <v>26.155000000000001</v>
      </c>
    </row>
    <row r="2369" spans="1:6" x14ac:dyDescent="0.2">
      <c r="A2369" t="s">
        <v>1439</v>
      </c>
      <c r="B2369" s="1">
        <v>26.4925</v>
      </c>
      <c r="C2369">
        <v>125667640</v>
      </c>
      <c r="D2369" s="1">
        <v>26.732500000000002</v>
      </c>
      <c r="E2369" s="1">
        <v>26.732500000000002</v>
      </c>
      <c r="F2369" s="1">
        <v>26.38</v>
      </c>
    </row>
    <row r="2370" spans="1:6" x14ac:dyDescent="0.2">
      <c r="A2370" t="s">
        <v>1440</v>
      </c>
      <c r="B2370" s="1">
        <v>26.782499999999999</v>
      </c>
      <c r="C2370">
        <v>122307920</v>
      </c>
      <c r="D2370" s="1">
        <v>26.66</v>
      </c>
      <c r="E2370" s="1">
        <v>27.022500000000001</v>
      </c>
      <c r="F2370" s="1">
        <v>26.515000000000001</v>
      </c>
    </row>
    <row r="2371" spans="1:6" x14ac:dyDescent="0.2">
      <c r="A2371" t="s">
        <v>1441</v>
      </c>
      <c r="B2371" s="1">
        <v>26.727499999999999</v>
      </c>
      <c r="C2371">
        <v>129362480</v>
      </c>
      <c r="D2371" s="1">
        <v>26.97</v>
      </c>
      <c r="E2371" s="1">
        <v>27</v>
      </c>
      <c r="F2371" s="1">
        <v>26.557500000000001</v>
      </c>
    </row>
    <row r="2372" spans="1:6" x14ac:dyDescent="0.2">
      <c r="A2372" t="s">
        <v>1442</v>
      </c>
      <c r="B2372" s="1">
        <v>26.87</v>
      </c>
      <c r="C2372">
        <v>243139680</v>
      </c>
      <c r="D2372" s="1">
        <v>27.2225</v>
      </c>
      <c r="E2372" s="1">
        <v>27.237500000000001</v>
      </c>
      <c r="F2372" s="1">
        <v>26.734999999999999</v>
      </c>
    </row>
    <row r="2373" spans="1:6" x14ac:dyDescent="0.2">
      <c r="A2373" t="s">
        <v>1443</v>
      </c>
      <c r="B2373" s="1">
        <v>27.462499999999999</v>
      </c>
      <c r="C2373">
        <v>187494680</v>
      </c>
      <c r="D2373" s="1">
        <v>28.0275</v>
      </c>
      <c r="E2373" s="1">
        <v>28.074999999999999</v>
      </c>
      <c r="F2373" s="1">
        <v>27.432500000000001</v>
      </c>
    </row>
    <row r="2374" spans="1:6" x14ac:dyDescent="0.2">
      <c r="A2374" t="s">
        <v>1444</v>
      </c>
      <c r="B2374" s="1">
        <v>28.024999999999999</v>
      </c>
      <c r="C2374">
        <v>101459680</v>
      </c>
      <c r="D2374" s="1">
        <v>27.905000000000001</v>
      </c>
      <c r="E2374" s="1">
        <v>28.0975</v>
      </c>
      <c r="F2374" s="1">
        <v>27.8325</v>
      </c>
    </row>
    <row r="2375" spans="1:6" x14ac:dyDescent="0.2">
      <c r="A2375" t="s">
        <v>1445</v>
      </c>
      <c r="B2375" s="1">
        <v>28.01</v>
      </c>
      <c r="C2375">
        <v>131087040</v>
      </c>
      <c r="D2375" s="1">
        <v>27.7</v>
      </c>
      <c r="E2375" s="1">
        <v>28.085000000000001</v>
      </c>
      <c r="F2375" s="1">
        <v>27.7</v>
      </c>
    </row>
    <row r="2376" spans="1:6" x14ac:dyDescent="0.2">
      <c r="A2376" s="2">
        <v>42708</v>
      </c>
      <c r="B2376" s="1">
        <v>27.61</v>
      </c>
      <c r="C2376">
        <v>108602280</v>
      </c>
      <c r="D2376" s="1">
        <v>27.335000000000001</v>
      </c>
      <c r="E2376" s="1">
        <v>27.625</v>
      </c>
      <c r="F2376" s="1">
        <v>27.164999999999999</v>
      </c>
    </row>
    <row r="2377" spans="1:6" x14ac:dyDescent="0.2">
      <c r="A2377" s="2">
        <v>42678</v>
      </c>
      <c r="B2377" s="1">
        <v>27.254999999999999</v>
      </c>
      <c r="C2377">
        <v>117431760</v>
      </c>
      <c r="D2377" s="1">
        <v>27.2425</v>
      </c>
      <c r="E2377" s="1">
        <v>27.6525</v>
      </c>
      <c r="F2377" s="1">
        <v>27.2075</v>
      </c>
    </row>
    <row r="2378" spans="1:6" x14ac:dyDescent="0.2">
      <c r="A2378" s="2">
        <v>42586</v>
      </c>
      <c r="B2378" s="1">
        <v>27.164999999999999</v>
      </c>
      <c r="C2378">
        <v>94215160</v>
      </c>
      <c r="D2378" s="1">
        <v>27.227499999999999</v>
      </c>
      <c r="E2378" s="1">
        <v>27.442499999999999</v>
      </c>
      <c r="F2378" s="1">
        <v>27.0425</v>
      </c>
    </row>
    <row r="2379" spans="1:6" x14ac:dyDescent="0.2">
      <c r="A2379" s="2">
        <v>42555</v>
      </c>
      <c r="B2379" s="1">
        <v>27.135000000000002</v>
      </c>
      <c r="C2379">
        <v>126943240</v>
      </c>
      <c r="D2379" s="1">
        <v>27.487500000000001</v>
      </c>
      <c r="E2379" s="1">
        <v>27.605</v>
      </c>
      <c r="F2379" s="1">
        <v>27.030200000000001</v>
      </c>
    </row>
    <row r="2380" spans="1:6" x14ac:dyDescent="0.2">
      <c r="A2380" s="2">
        <v>42525</v>
      </c>
      <c r="B2380" s="1">
        <v>27.74</v>
      </c>
      <c r="C2380">
        <v>104715360</v>
      </c>
      <c r="D2380" s="1">
        <v>27.557500000000001</v>
      </c>
      <c r="E2380" s="1">
        <v>27.745000000000001</v>
      </c>
      <c r="F2380" s="1">
        <v>27.3</v>
      </c>
    </row>
    <row r="2381" spans="1:6" x14ac:dyDescent="0.2">
      <c r="A2381" s="2">
        <v>42494</v>
      </c>
      <c r="B2381" s="1">
        <v>27.452500000000001</v>
      </c>
      <c r="C2381">
        <v>106241680</v>
      </c>
      <c r="D2381" s="1">
        <v>27.377500000000001</v>
      </c>
      <c r="E2381" s="1">
        <v>27.682500000000001</v>
      </c>
      <c r="F2381" s="1">
        <v>27.355</v>
      </c>
    </row>
    <row r="2382" spans="1:6" x14ac:dyDescent="0.2">
      <c r="A2382" s="2">
        <v>42464</v>
      </c>
      <c r="B2382" s="1">
        <v>27.78</v>
      </c>
      <c r="C2382">
        <v>149291720</v>
      </c>
      <c r="D2382" s="1">
        <v>27.605</v>
      </c>
      <c r="E2382" s="1">
        <v>28.047499999999999</v>
      </c>
      <c r="F2382" s="1">
        <v>27.567499999999999</v>
      </c>
    </row>
    <row r="2383" spans="1:6" x14ac:dyDescent="0.2">
      <c r="A2383" s="2">
        <v>42373</v>
      </c>
      <c r="B2383" s="1">
        <v>27.497499999999999</v>
      </c>
      <c r="C2383">
        <v>103281840</v>
      </c>
      <c r="D2383" s="1">
        <v>27.195</v>
      </c>
      <c r="E2383" s="1">
        <v>27.5</v>
      </c>
      <c r="F2383" s="1">
        <v>27.05</v>
      </c>
    </row>
    <row r="2384" spans="1:6" x14ac:dyDescent="0.2">
      <c r="A2384" t="s">
        <v>1446</v>
      </c>
      <c r="B2384" s="1">
        <v>27.247499999999999</v>
      </c>
      <c r="C2384">
        <v>103055360</v>
      </c>
      <c r="D2384" s="1">
        <v>27.43</v>
      </c>
      <c r="E2384" s="1">
        <v>27.475000000000001</v>
      </c>
      <c r="F2384" s="1">
        <v>27.22</v>
      </c>
    </row>
    <row r="2385" spans="1:6" x14ac:dyDescent="0.2">
      <c r="A2385" t="s">
        <v>1447</v>
      </c>
      <c r="B2385" s="1">
        <v>27.39</v>
      </c>
      <c r="C2385">
        <v>182190360</v>
      </c>
      <c r="D2385" s="1">
        <v>27.162500000000001</v>
      </c>
      <c r="E2385" s="1">
        <v>27.605</v>
      </c>
      <c r="F2385" s="1">
        <v>27.15</v>
      </c>
    </row>
    <row r="2386" spans="1:6" x14ac:dyDescent="0.2">
      <c r="A2386" t="s">
        <v>1448</v>
      </c>
      <c r="B2386" s="1">
        <v>26.92</v>
      </c>
      <c r="C2386">
        <v>124619640</v>
      </c>
      <c r="D2386" s="1">
        <v>26.2225</v>
      </c>
      <c r="E2386" s="1">
        <v>26.947500000000002</v>
      </c>
      <c r="F2386" s="1">
        <v>26.22</v>
      </c>
    </row>
    <row r="2387" spans="1:6" x14ac:dyDescent="0.2">
      <c r="A2387" t="s">
        <v>1449</v>
      </c>
      <c r="B2387" s="1">
        <v>26.297499999999999</v>
      </c>
      <c r="C2387">
        <v>77417760</v>
      </c>
      <c r="D2387" s="1">
        <v>26.5</v>
      </c>
      <c r="E2387" s="1">
        <v>26.547499999999999</v>
      </c>
      <c r="F2387" s="1">
        <v>26.265000000000001</v>
      </c>
    </row>
    <row r="2388" spans="1:6" x14ac:dyDescent="0.2">
      <c r="A2388" t="s">
        <v>1450</v>
      </c>
      <c r="B2388" s="1">
        <v>26.4175</v>
      </c>
      <c r="C2388">
        <v>102273400</v>
      </c>
      <c r="D2388" s="1">
        <v>26.3675</v>
      </c>
      <c r="E2388" s="1">
        <v>26.5625</v>
      </c>
      <c r="F2388" s="1">
        <v>26.2225</v>
      </c>
    </row>
    <row r="2389" spans="1:6" x14ac:dyDescent="0.2">
      <c r="A2389" t="s">
        <v>1451</v>
      </c>
      <c r="B2389" s="1">
        <v>26.532499999999999</v>
      </c>
      <c r="C2389">
        <v>102745400</v>
      </c>
      <c r="D2389" s="1">
        <v>26.62</v>
      </c>
      <c r="E2389" s="1">
        <v>26.767499999999998</v>
      </c>
      <c r="F2389" s="1">
        <v>26.475000000000001</v>
      </c>
    </row>
    <row r="2390" spans="1:6" x14ac:dyDescent="0.2">
      <c r="A2390" t="s">
        <v>1452</v>
      </c>
      <c r="B2390" s="1">
        <v>26.68</v>
      </c>
      <c r="C2390">
        <v>129381720</v>
      </c>
      <c r="D2390" s="1">
        <v>26.3125</v>
      </c>
      <c r="E2390" s="1">
        <v>26.822500000000002</v>
      </c>
      <c r="F2390" s="1">
        <v>26.302499999999998</v>
      </c>
    </row>
    <row r="2391" spans="1:6" x14ac:dyDescent="0.2">
      <c r="A2391" t="s">
        <v>1453</v>
      </c>
      <c r="B2391" s="1">
        <v>26.477499999999999</v>
      </c>
      <c r="C2391">
        <v>141816920</v>
      </c>
      <c r="D2391" s="1">
        <v>26.482500000000002</v>
      </c>
      <c r="E2391" s="1">
        <v>26.912500000000001</v>
      </c>
      <c r="F2391" s="1">
        <v>26.285</v>
      </c>
    </row>
    <row r="2392" spans="1:6" x14ac:dyDescent="0.2">
      <c r="A2392" t="s">
        <v>1454</v>
      </c>
      <c r="B2392" s="1">
        <v>26.48</v>
      </c>
      <c r="C2392">
        <v>174428480</v>
      </c>
      <c r="D2392" s="1">
        <v>26.585000000000001</v>
      </c>
      <c r="E2392" s="1">
        <v>26.625</v>
      </c>
      <c r="F2392" s="1">
        <v>26.297499999999999</v>
      </c>
    </row>
    <row r="2393" spans="1:6" x14ac:dyDescent="0.2">
      <c r="A2393" t="s">
        <v>1455</v>
      </c>
      <c r="B2393" s="1">
        <v>26.45</v>
      </c>
      <c r="C2393">
        <v>137579320</v>
      </c>
      <c r="D2393" s="1">
        <v>26.38</v>
      </c>
      <c r="E2393" s="1">
        <v>26.6175</v>
      </c>
      <c r="F2393" s="1">
        <v>26.24</v>
      </c>
    </row>
    <row r="2394" spans="1:6" x14ac:dyDescent="0.2">
      <c r="A2394" t="s">
        <v>1456</v>
      </c>
      <c r="B2394" s="1">
        <v>26.4925</v>
      </c>
      <c r="C2394">
        <v>152946920</v>
      </c>
      <c r="D2394" s="1">
        <v>26.1525</v>
      </c>
      <c r="E2394" s="1">
        <v>26.577500000000001</v>
      </c>
      <c r="F2394" s="1">
        <v>26.147500000000001</v>
      </c>
    </row>
    <row r="2395" spans="1:6" x14ac:dyDescent="0.2">
      <c r="A2395" t="s">
        <v>1457</v>
      </c>
      <c r="B2395" s="1">
        <v>26.145</v>
      </c>
      <c r="C2395">
        <v>160105000</v>
      </c>
      <c r="D2395" s="1">
        <v>25.99</v>
      </c>
      <c r="E2395" s="1">
        <v>26.295000000000002</v>
      </c>
      <c r="F2395" s="1">
        <v>25.962499999999999</v>
      </c>
    </row>
    <row r="2396" spans="1:6" x14ac:dyDescent="0.2">
      <c r="A2396" t="s">
        <v>1458</v>
      </c>
      <c r="B2396" s="1">
        <v>25.63</v>
      </c>
      <c r="C2396">
        <v>100233120</v>
      </c>
      <c r="D2396" s="1">
        <v>25.477499999999999</v>
      </c>
      <c r="E2396" s="1">
        <v>25.727499999999999</v>
      </c>
      <c r="F2396" s="1">
        <v>25.445</v>
      </c>
    </row>
    <row r="2397" spans="1:6" x14ac:dyDescent="0.2">
      <c r="A2397" s="2">
        <v>42677</v>
      </c>
      <c r="B2397" s="1">
        <v>25.565000000000001</v>
      </c>
      <c r="C2397">
        <v>109475360</v>
      </c>
      <c r="D2397" s="1">
        <v>25.56</v>
      </c>
      <c r="E2397" s="1">
        <v>25.57</v>
      </c>
      <c r="F2397" s="1">
        <v>25.375</v>
      </c>
    </row>
    <row r="2398" spans="1:6" x14ac:dyDescent="0.2">
      <c r="A2398" s="2">
        <v>42646</v>
      </c>
      <c r="B2398" s="1">
        <v>25.2925</v>
      </c>
      <c r="C2398">
        <v>133962520</v>
      </c>
      <c r="D2398" s="1">
        <v>25.352499999999999</v>
      </c>
      <c r="E2398" s="1">
        <v>25.56</v>
      </c>
      <c r="F2398" s="1">
        <v>25.037500000000001</v>
      </c>
    </row>
    <row r="2399" spans="1:6" x14ac:dyDescent="0.2">
      <c r="A2399" s="2">
        <v>42616</v>
      </c>
      <c r="B2399" s="1">
        <v>25.28</v>
      </c>
      <c r="C2399">
        <v>108594120</v>
      </c>
      <c r="D2399" s="1">
        <v>25.327500000000001</v>
      </c>
      <c r="E2399" s="1">
        <v>25.395</v>
      </c>
      <c r="F2399" s="1">
        <v>25.067499999999999</v>
      </c>
    </row>
    <row r="2400" spans="1:6" x14ac:dyDescent="0.2">
      <c r="A2400" s="2">
        <v>42585</v>
      </c>
      <c r="B2400" s="1">
        <v>25.2575</v>
      </c>
      <c r="C2400">
        <v>126154840</v>
      </c>
      <c r="D2400" s="1">
        <v>25.195</v>
      </c>
      <c r="E2400" s="1">
        <v>25.44</v>
      </c>
      <c r="F2400" s="1">
        <v>25.1</v>
      </c>
    </row>
    <row r="2401" spans="1:6" x14ac:dyDescent="0.2">
      <c r="A2401" s="2">
        <v>42554</v>
      </c>
      <c r="B2401" s="1">
        <v>25.467500000000001</v>
      </c>
      <c r="C2401">
        <v>143562960</v>
      </c>
      <c r="D2401" s="1">
        <v>25.5975</v>
      </c>
      <c r="E2401" s="1">
        <v>25.7075</v>
      </c>
      <c r="F2401" s="1">
        <v>25.24</v>
      </c>
    </row>
    <row r="2402" spans="1:6" x14ac:dyDescent="0.2">
      <c r="A2402" s="2">
        <v>42463</v>
      </c>
      <c r="B2402" s="1">
        <v>25.752500000000001</v>
      </c>
      <c r="C2402">
        <v>184106400</v>
      </c>
      <c r="D2402" s="1">
        <v>25.592500000000001</v>
      </c>
      <c r="E2402" s="1">
        <v>25.9375</v>
      </c>
      <c r="F2402" s="1">
        <v>25.342500000000001</v>
      </c>
    </row>
    <row r="2403" spans="1:6" x14ac:dyDescent="0.2">
      <c r="A2403" s="2">
        <v>42432</v>
      </c>
      <c r="B2403" s="1">
        <v>25.375</v>
      </c>
      <c r="C2403">
        <v>147537960</v>
      </c>
      <c r="D2403" s="1">
        <v>25.145</v>
      </c>
      <c r="E2403" s="1">
        <v>25.427499999999998</v>
      </c>
      <c r="F2403" s="1">
        <v>25.112500000000001</v>
      </c>
    </row>
    <row r="2404" spans="1:6" x14ac:dyDescent="0.2">
      <c r="A2404" s="2">
        <v>42403</v>
      </c>
      <c r="B2404" s="1">
        <v>25.1875</v>
      </c>
      <c r="C2404">
        <v>132544520</v>
      </c>
      <c r="D2404" s="1">
        <v>25.127500000000001</v>
      </c>
      <c r="E2404" s="1">
        <v>25.2225</v>
      </c>
      <c r="F2404" s="1">
        <v>24.91</v>
      </c>
    </row>
    <row r="2405" spans="1:6" x14ac:dyDescent="0.2">
      <c r="A2405" s="2">
        <v>42372</v>
      </c>
      <c r="B2405" s="1">
        <v>25.1325</v>
      </c>
      <c r="C2405">
        <v>201214000</v>
      </c>
      <c r="D2405" s="1">
        <v>24.412500000000001</v>
      </c>
      <c r="E2405" s="1">
        <v>25.192499999999999</v>
      </c>
      <c r="F2405" s="1">
        <v>24.355</v>
      </c>
    </row>
    <row r="2406" spans="1:6" x14ac:dyDescent="0.2">
      <c r="A2406" t="s">
        <v>1459</v>
      </c>
      <c r="B2406" s="1">
        <v>24.172499999999999</v>
      </c>
      <c r="C2406">
        <v>140525840</v>
      </c>
      <c r="D2406" s="1">
        <v>24.215</v>
      </c>
      <c r="E2406" s="1">
        <v>24.557500000000001</v>
      </c>
      <c r="F2406" s="1">
        <v>24.162500000000001</v>
      </c>
    </row>
    <row r="2407" spans="1:6" x14ac:dyDescent="0.2">
      <c r="A2407" t="s">
        <v>1460</v>
      </c>
      <c r="B2407" s="1">
        <v>24.227499999999999</v>
      </c>
      <c r="C2407">
        <v>115799040</v>
      </c>
      <c r="D2407" s="1">
        <v>24.3</v>
      </c>
      <c r="E2407" s="1">
        <v>24.5059</v>
      </c>
      <c r="F2407" s="1">
        <v>24.145</v>
      </c>
    </row>
    <row r="2408" spans="1:6" x14ac:dyDescent="0.2">
      <c r="A2408" t="s">
        <v>1461</v>
      </c>
      <c r="B2408" s="1">
        <v>24.19</v>
      </c>
      <c r="C2408">
        <v>110104160</v>
      </c>
      <c r="D2408" s="1">
        <v>24.012499999999999</v>
      </c>
      <c r="E2408" s="1">
        <v>24.19</v>
      </c>
      <c r="F2408" s="1">
        <v>23.8125</v>
      </c>
    </row>
    <row r="2409" spans="1:6" x14ac:dyDescent="0.2">
      <c r="A2409" t="s">
        <v>1462</v>
      </c>
      <c r="B2409" s="1">
        <v>24.024999999999999</v>
      </c>
      <c r="C2409">
        <v>144768600</v>
      </c>
      <c r="D2409" s="1">
        <v>23.495000000000001</v>
      </c>
      <c r="E2409" s="1">
        <v>24.094999999999999</v>
      </c>
      <c r="F2409" s="1">
        <v>23.33</v>
      </c>
    </row>
    <row r="2410" spans="1:6" x14ac:dyDescent="0.2">
      <c r="A2410" t="s">
        <v>1463</v>
      </c>
      <c r="B2410" s="1">
        <v>23.672499999999999</v>
      </c>
      <c r="C2410">
        <v>127404720</v>
      </c>
      <c r="D2410" s="1">
        <v>24.1</v>
      </c>
      <c r="E2410" s="1">
        <v>24.125</v>
      </c>
      <c r="F2410" s="1">
        <v>23.637499999999999</v>
      </c>
    </row>
    <row r="2411" spans="1:6" x14ac:dyDescent="0.2">
      <c r="A2411" t="s">
        <v>1464</v>
      </c>
      <c r="B2411" s="1">
        <v>24.22</v>
      </c>
      <c r="C2411">
        <v>136961880</v>
      </c>
      <c r="D2411" s="1">
        <v>24.077500000000001</v>
      </c>
      <c r="E2411" s="1">
        <v>24.225000000000001</v>
      </c>
      <c r="F2411" s="1">
        <v>23.98</v>
      </c>
    </row>
    <row r="2412" spans="1:6" x14ac:dyDescent="0.2">
      <c r="A2412" t="s">
        <v>1465</v>
      </c>
      <c r="B2412" s="1">
        <v>24.01</v>
      </c>
      <c r="C2412">
        <v>141162280</v>
      </c>
      <c r="D2412" s="1">
        <v>24</v>
      </c>
      <c r="E2412" s="1">
        <v>24.19</v>
      </c>
      <c r="F2412" s="1">
        <v>23.95</v>
      </c>
    </row>
    <row r="2413" spans="1:6" x14ac:dyDescent="0.2">
      <c r="A2413" t="s">
        <v>1466</v>
      </c>
      <c r="B2413" s="1">
        <v>24.065000000000001</v>
      </c>
      <c r="C2413">
        <v>155464400</v>
      </c>
      <c r="D2413" s="1">
        <v>24.71</v>
      </c>
      <c r="E2413" s="1">
        <v>24.7225</v>
      </c>
      <c r="F2413" s="1">
        <v>24.0227</v>
      </c>
    </row>
    <row r="2414" spans="1:6" x14ac:dyDescent="0.2">
      <c r="A2414" t="s">
        <v>1467</v>
      </c>
      <c r="B2414" s="1">
        <v>24.53</v>
      </c>
      <c r="C2414">
        <v>179247200</v>
      </c>
      <c r="D2414" s="1">
        <v>24.1675</v>
      </c>
      <c r="E2414" s="1">
        <v>24.552499999999998</v>
      </c>
      <c r="F2414" s="1">
        <v>24.037500000000001</v>
      </c>
    </row>
    <row r="2415" spans="1:6" x14ac:dyDescent="0.2">
      <c r="A2415" t="s">
        <v>1468</v>
      </c>
      <c r="B2415" s="1">
        <v>24.16</v>
      </c>
      <c r="C2415">
        <v>192130400</v>
      </c>
      <c r="D2415" s="1">
        <v>23.754999999999999</v>
      </c>
      <c r="E2415" s="1">
        <v>24.212499999999999</v>
      </c>
      <c r="F2415" s="1">
        <v>23.6525</v>
      </c>
    </row>
    <row r="2416" spans="1:6" x14ac:dyDescent="0.2">
      <c r="A2416" s="2">
        <v>42706</v>
      </c>
      <c r="B2416" s="1">
        <v>23.497499999999999</v>
      </c>
      <c r="C2416">
        <v>161292080</v>
      </c>
      <c r="D2416" s="1">
        <v>23.547499999999999</v>
      </c>
      <c r="E2416" s="1">
        <v>23.625</v>
      </c>
      <c r="F2416" s="1">
        <v>23.252500000000001</v>
      </c>
    </row>
    <row r="2417" spans="1:6" x14ac:dyDescent="0.2">
      <c r="A2417" s="2">
        <v>42676</v>
      </c>
      <c r="B2417" s="1">
        <v>23.425000000000001</v>
      </c>
      <c r="C2417">
        <v>199918800</v>
      </c>
      <c r="D2417" s="1">
        <v>23.447500000000002</v>
      </c>
      <c r="E2417" s="1">
        <v>23.68</v>
      </c>
      <c r="F2417" s="1">
        <v>23.147500000000001</v>
      </c>
    </row>
    <row r="2418" spans="1:6" x14ac:dyDescent="0.2">
      <c r="A2418" s="2">
        <v>42645</v>
      </c>
      <c r="B2418" s="1">
        <v>23.567499999999999</v>
      </c>
      <c r="C2418">
        <v>169155160</v>
      </c>
      <c r="D2418" s="1">
        <v>23.98</v>
      </c>
      <c r="E2418" s="1">
        <v>24.087499999999999</v>
      </c>
      <c r="F2418" s="1">
        <v>23.524999999999999</v>
      </c>
    </row>
    <row r="2419" spans="1:6" x14ac:dyDescent="0.2">
      <c r="A2419" s="2">
        <v>42615</v>
      </c>
      <c r="B2419" s="1">
        <v>23.747499999999999</v>
      </c>
      <c r="C2419">
        <v>177130240</v>
      </c>
      <c r="D2419" s="1">
        <v>23.572500000000002</v>
      </c>
      <c r="E2419" s="1">
        <v>23.984999999999999</v>
      </c>
      <c r="F2419" s="1">
        <v>23.482500000000002</v>
      </c>
    </row>
    <row r="2420" spans="1:6" x14ac:dyDescent="0.2">
      <c r="A2420" s="2">
        <v>42584</v>
      </c>
      <c r="B2420" s="1">
        <v>23.752500000000001</v>
      </c>
      <c r="C2420">
        <v>215682200</v>
      </c>
      <c r="D2420" s="1">
        <v>23.282499999999999</v>
      </c>
      <c r="E2420" s="1">
        <v>23.925000000000001</v>
      </c>
      <c r="F2420" s="1">
        <v>23.26</v>
      </c>
    </row>
    <row r="2421" spans="1:6" x14ac:dyDescent="0.2">
      <c r="A2421" s="2">
        <v>42492</v>
      </c>
      <c r="B2421" s="1">
        <v>23.504999999999999</v>
      </c>
      <c r="C2421">
        <v>185262480</v>
      </c>
      <c r="D2421" s="1">
        <v>24.13</v>
      </c>
      <c r="E2421" s="1">
        <v>24.23</v>
      </c>
      <c r="F2421" s="1">
        <v>23.422499999999999</v>
      </c>
    </row>
    <row r="2422" spans="1:6" x14ac:dyDescent="0.2">
      <c r="A2422" s="2">
        <v>42462</v>
      </c>
      <c r="B2422" s="1">
        <v>24.15</v>
      </c>
      <c r="C2422">
        <v>185672920</v>
      </c>
      <c r="D2422" s="1">
        <v>23.965</v>
      </c>
      <c r="E2422" s="1">
        <v>24.3325</v>
      </c>
      <c r="F2422" s="1">
        <v>23.797499999999999</v>
      </c>
    </row>
    <row r="2423" spans="1:6" x14ac:dyDescent="0.2">
      <c r="A2423" s="2">
        <v>42431</v>
      </c>
      <c r="B2423" s="1">
        <v>24.087499999999999</v>
      </c>
      <c r="C2423">
        <v>183480520</v>
      </c>
      <c r="D2423" s="1">
        <v>23.75</v>
      </c>
      <c r="E2423" s="1">
        <v>24.21</v>
      </c>
      <c r="F2423" s="1">
        <v>23.52</v>
      </c>
    </row>
    <row r="2424" spans="1:6" x14ac:dyDescent="0.2">
      <c r="A2424" s="2">
        <v>42402</v>
      </c>
      <c r="B2424" s="1">
        <v>23.62</v>
      </c>
      <c r="C2424">
        <v>148762000</v>
      </c>
      <c r="D2424" s="1">
        <v>23.855</v>
      </c>
      <c r="E2424" s="1">
        <v>24.01</v>
      </c>
      <c r="F2424" s="1">
        <v>23.57</v>
      </c>
    </row>
    <row r="2425" spans="1:6" x14ac:dyDescent="0.2">
      <c r="A2425" s="2">
        <v>42371</v>
      </c>
      <c r="B2425" s="1">
        <v>24.107500000000002</v>
      </c>
      <c r="C2425">
        <v>163257440</v>
      </c>
      <c r="D2425" s="1">
        <v>24.1175</v>
      </c>
      <c r="E2425" s="1">
        <v>24.177499999999998</v>
      </c>
      <c r="F2425" s="1">
        <v>23.85</v>
      </c>
    </row>
    <row r="2426" spans="1:6" x14ac:dyDescent="0.2">
      <c r="A2426" t="s">
        <v>1469</v>
      </c>
      <c r="B2426" s="1">
        <v>24.335000000000001</v>
      </c>
      <c r="C2426">
        <v>257329760</v>
      </c>
      <c r="D2426" s="1">
        <v>23.697500000000002</v>
      </c>
      <c r="E2426" s="1">
        <v>24.335000000000001</v>
      </c>
      <c r="F2426" s="1">
        <v>23.587499999999999</v>
      </c>
    </row>
    <row r="2427" spans="1:6" x14ac:dyDescent="0.2">
      <c r="A2427" t="s">
        <v>1470</v>
      </c>
      <c r="B2427" s="1">
        <v>23.522500000000001</v>
      </c>
      <c r="C2427">
        <v>222489480</v>
      </c>
      <c r="D2427" s="1">
        <v>23.447500000000002</v>
      </c>
      <c r="E2427" s="1">
        <v>23.63</v>
      </c>
      <c r="F2427" s="1">
        <v>23.0975</v>
      </c>
    </row>
    <row r="2428" spans="1:6" x14ac:dyDescent="0.2">
      <c r="A2428" t="s">
        <v>1471</v>
      </c>
      <c r="B2428" s="1">
        <v>23.355</v>
      </c>
      <c r="C2428">
        <v>532236000</v>
      </c>
      <c r="D2428" s="1">
        <v>24.01</v>
      </c>
      <c r="E2428" s="1">
        <v>24.1572</v>
      </c>
      <c r="F2428" s="1">
        <v>23.335000000000001</v>
      </c>
    </row>
    <row r="2429" spans="1:6" x14ac:dyDescent="0.2">
      <c r="A2429" t="s">
        <v>1472</v>
      </c>
      <c r="B2429" s="1">
        <v>24.997499999999999</v>
      </c>
      <c r="C2429">
        <v>287749240</v>
      </c>
      <c r="D2429" s="1">
        <v>24.982500000000002</v>
      </c>
      <c r="E2429" s="1">
        <v>25.22</v>
      </c>
      <c r="F2429" s="1">
        <v>24.517499999999998</v>
      </c>
    </row>
    <row r="2430" spans="1:6" x14ac:dyDescent="0.2">
      <c r="A2430" t="s">
        <v>1473</v>
      </c>
      <c r="B2430" s="1">
        <v>24.86</v>
      </c>
      <c r="C2430">
        <v>206119920</v>
      </c>
      <c r="D2430" s="1">
        <v>25.38</v>
      </c>
      <c r="E2430" s="1">
        <v>25.3825</v>
      </c>
      <c r="F2430" s="1">
        <v>24.802499999999998</v>
      </c>
    </row>
    <row r="2431" spans="1:6" x14ac:dyDescent="0.2">
      <c r="A2431" t="s">
        <v>1474</v>
      </c>
      <c r="B2431" s="1">
        <v>25.355</v>
      </c>
      <c r="C2431">
        <v>262594640</v>
      </c>
      <c r="D2431" s="1">
        <v>24.657499999999999</v>
      </c>
      <c r="E2431" s="1">
        <v>25.364999999999998</v>
      </c>
      <c r="F2431" s="1">
        <v>24.592500000000001</v>
      </c>
    </row>
    <row r="2432" spans="1:6" x14ac:dyDescent="0.2">
      <c r="A2432" t="s">
        <v>1475</v>
      </c>
      <c r="B2432" s="1">
        <v>24.074999999999999</v>
      </c>
      <c r="C2432">
        <v>208396800</v>
      </c>
      <c r="D2432" s="1">
        <v>24.265000000000001</v>
      </c>
      <c r="E2432" s="1">
        <v>24.47</v>
      </c>
      <c r="F2432" s="1">
        <v>23.734999999999999</v>
      </c>
    </row>
    <row r="2433" spans="1:6" x14ac:dyDescent="0.2">
      <c r="A2433" t="s">
        <v>1476</v>
      </c>
      <c r="B2433" s="1">
        <v>24.197500000000002</v>
      </c>
      <c r="C2433">
        <v>289097200</v>
      </c>
      <c r="D2433" s="1">
        <v>23.774999999999999</v>
      </c>
      <c r="E2433" s="1">
        <v>24.5474</v>
      </c>
      <c r="F2433" s="1">
        <v>23.355</v>
      </c>
    </row>
    <row r="2434" spans="1:6" x14ac:dyDescent="0.2">
      <c r="A2434" t="s">
        <v>1477</v>
      </c>
      <c r="B2434" s="1">
        <v>24.164999999999999</v>
      </c>
      <c r="C2434">
        <v>211843240</v>
      </c>
      <c r="D2434" s="1">
        <v>24.602499999999999</v>
      </c>
      <c r="E2434" s="1">
        <v>24.662500000000001</v>
      </c>
      <c r="F2434" s="1">
        <v>23.875</v>
      </c>
    </row>
    <row r="2435" spans="1:6" x14ac:dyDescent="0.2">
      <c r="A2435" t="s">
        <v>1478</v>
      </c>
      <c r="B2435" s="1">
        <v>24.282499999999999</v>
      </c>
      <c r="C2435">
        <v>317424040</v>
      </c>
      <c r="D2435" s="1">
        <v>24.05</v>
      </c>
      <c r="E2435" s="1">
        <v>24.427499999999998</v>
      </c>
      <c r="F2435" s="1">
        <v>23.84</v>
      </c>
    </row>
    <row r="2436" spans="1:6" x14ac:dyDescent="0.2">
      <c r="A2436" t="s">
        <v>1479</v>
      </c>
      <c r="B2436" s="1">
        <v>24.88</v>
      </c>
      <c r="C2436">
        <v>252000560</v>
      </c>
      <c r="D2436" s="1">
        <v>24.49</v>
      </c>
      <c r="E2436" s="1">
        <v>25.12</v>
      </c>
      <c r="F2436" s="1">
        <v>23.934999999999999</v>
      </c>
    </row>
    <row r="2437" spans="1:6" x14ac:dyDescent="0.2">
      <c r="A2437" t="s">
        <v>1480</v>
      </c>
      <c r="B2437" s="1">
        <v>24.3475</v>
      </c>
      <c r="C2437">
        <v>249143080</v>
      </c>
      <c r="D2437" s="1">
        <v>25.08</v>
      </c>
      <c r="E2437" s="1">
        <v>25.297499999999999</v>
      </c>
      <c r="F2437" s="1">
        <v>24.324999999999999</v>
      </c>
    </row>
    <row r="2438" spans="1:6" x14ac:dyDescent="0.2">
      <c r="A2438" s="2">
        <v>42705</v>
      </c>
      <c r="B2438" s="1">
        <v>24.99</v>
      </c>
      <c r="C2438">
        <v>196184600</v>
      </c>
      <c r="D2438" s="1">
        <v>25.137499999999999</v>
      </c>
      <c r="E2438" s="1">
        <v>25.172499999999999</v>
      </c>
      <c r="F2438" s="1">
        <v>24.71</v>
      </c>
    </row>
    <row r="2439" spans="1:6" x14ac:dyDescent="0.2">
      <c r="A2439" s="2">
        <v>42675</v>
      </c>
      <c r="B2439" s="1">
        <v>24.6325</v>
      </c>
      <c r="C2439">
        <v>198751480</v>
      </c>
      <c r="D2439" s="1">
        <v>24.7425</v>
      </c>
      <c r="E2439" s="1">
        <v>24.765000000000001</v>
      </c>
      <c r="F2439" s="1">
        <v>24.335000000000001</v>
      </c>
    </row>
    <row r="2440" spans="1:6" x14ac:dyDescent="0.2">
      <c r="A2440" s="2">
        <v>42583</v>
      </c>
      <c r="B2440" s="1">
        <v>24.24</v>
      </c>
      <c r="C2440">
        <v>282888000</v>
      </c>
      <c r="D2440" s="1">
        <v>24.637499999999999</v>
      </c>
      <c r="E2440" s="1">
        <v>24.7775</v>
      </c>
      <c r="F2440" s="1">
        <v>24.19</v>
      </c>
    </row>
    <row r="2441" spans="1:6" x14ac:dyDescent="0.2">
      <c r="A2441" s="2">
        <v>42552</v>
      </c>
      <c r="B2441" s="1">
        <v>24.112500000000001</v>
      </c>
      <c r="C2441">
        <v>322969840</v>
      </c>
      <c r="D2441" s="1">
        <v>24.67</v>
      </c>
      <c r="E2441" s="1">
        <v>25.032499999999999</v>
      </c>
      <c r="F2441" s="1">
        <v>24.107500000000002</v>
      </c>
    </row>
    <row r="2442" spans="1:6" x14ac:dyDescent="0.2">
      <c r="A2442" s="2">
        <v>42522</v>
      </c>
      <c r="B2442" s="1">
        <v>25.175000000000001</v>
      </c>
      <c r="C2442">
        <v>273537080</v>
      </c>
      <c r="D2442" s="1">
        <v>25.14</v>
      </c>
      <c r="E2442" s="1">
        <v>25.592500000000001</v>
      </c>
      <c r="F2442" s="1">
        <v>24.967500000000001</v>
      </c>
    </row>
    <row r="2443" spans="1:6" x14ac:dyDescent="0.2">
      <c r="A2443" s="2">
        <v>42491</v>
      </c>
      <c r="B2443" s="1">
        <v>25.677499999999998</v>
      </c>
      <c r="C2443">
        <v>222332560</v>
      </c>
      <c r="D2443" s="1">
        <v>26.4375</v>
      </c>
      <c r="E2443" s="1">
        <v>26.462499999999999</v>
      </c>
      <c r="F2443" s="1">
        <v>25.602499999999999</v>
      </c>
    </row>
    <row r="2444" spans="1:6" x14ac:dyDescent="0.2">
      <c r="A2444" s="2">
        <v>42461</v>
      </c>
      <c r="B2444" s="1">
        <v>26.337499999999999</v>
      </c>
      <c r="C2444">
        <v>270276360</v>
      </c>
      <c r="D2444" s="1">
        <v>25.6525</v>
      </c>
      <c r="E2444" s="1">
        <v>26.341999999999999</v>
      </c>
      <c r="F2444" s="1">
        <v>25.5</v>
      </c>
    </row>
    <row r="2445" spans="1:6" x14ac:dyDescent="0.2">
      <c r="A2445" t="s">
        <v>1481</v>
      </c>
      <c r="B2445" s="1">
        <v>26.315000000000001</v>
      </c>
      <c r="C2445">
        <v>163541920</v>
      </c>
      <c r="D2445" s="1">
        <v>26.752500000000001</v>
      </c>
      <c r="E2445" s="1">
        <v>26.7575</v>
      </c>
      <c r="F2445" s="1">
        <v>26.204999999999998</v>
      </c>
    </row>
    <row r="2446" spans="1:6" x14ac:dyDescent="0.2">
      <c r="A2446" t="s">
        <v>1482</v>
      </c>
      <c r="B2446" s="1">
        <v>26.83</v>
      </c>
      <c r="C2446">
        <v>100736360</v>
      </c>
      <c r="D2446" s="1">
        <v>27.145</v>
      </c>
      <c r="E2446" s="1">
        <v>27.175000000000001</v>
      </c>
      <c r="F2446" s="1">
        <v>26.795000000000002</v>
      </c>
    </row>
    <row r="2447" spans="1:6" x14ac:dyDescent="0.2">
      <c r="A2447" t="s">
        <v>1483</v>
      </c>
      <c r="B2447" s="1">
        <v>27.184999999999999</v>
      </c>
      <c r="C2447">
        <v>123649040</v>
      </c>
      <c r="D2447" s="1">
        <v>26.74</v>
      </c>
      <c r="E2447" s="1">
        <v>27.357500000000002</v>
      </c>
      <c r="F2447" s="1">
        <v>26.715</v>
      </c>
    </row>
    <row r="2448" spans="1:6" x14ac:dyDescent="0.2">
      <c r="A2448" t="s">
        <v>1484</v>
      </c>
      <c r="B2448" s="1">
        <v>26.704999999999998</v>
      </c>
      <c r="C2448">
        <v>106559720</v>
      </c>
      <c r="D2448" s="1">
        <v>26.897500000000001</v>
      </c>
      <c r="E2448" s="1">
        <v>26.922499999999999</v>
      </c>
      <c r="F2448" s="1">
        <v>26.545200000000001</v>
      </c>
    </row>
    <row r="2449" spans="1:6" x14ac:dyDescent="0.2">
      <c r="A2449" t="s">
        <v>1485</v>
      </c>
      <c r="B2449" s="1">
        <v>27.0075</v>
      </c>
      <c r="C2449">
        <v>54386720</v>
      </c>
      <c r="D2449" s="1">
        <v>27.25</v>
      </c>
      <c r="E2449" s="1">
        <v>27.25</v>
      </c>
      <c r="F2449" s="1">
        <v>26.987500000000001</v>
      </c>
    </row>
    <row r="2450" spans="1:6" x14ac:dyDescent="0.2">
      <c r="A2450" t="s">
        <v>1486</v>
      </c>
      <c r="B2450" s="1">
        <v>27.1525</v>
      </c>
      <c r="C2450">
        <v>130472560</v>
      </c>
      <c r="D2450" s="1">
        <v>26.817499999999999</v>
      </c>
      <c r="E2450" s="1">
        <v>27.212499999999999</v>
      </c>
      <c r="F2450" s="1">
        <v>26.8</v>
      </c>
    </row>
    <row r="2451" spans="1:6" x14ac:dyDescent="0.2">
      <c r="A2451" t="s">
        <v>1487</v>
      </c>
      <c r="B2451" s="1">
        <v>26.807500000000001</v>
      </c>
      <c r="C2451">
        <v>130913840</v>
      </c>
      <c r="D2451" s="1">
        <v>26.85</v>
      </c>
      <c r="E2451" s="1">
        <v>26.93</v>
      </c>
      <c r="F2451" s="1">
        <v>26.6127</v>
      </c>
    </row>
    <row r="2452" spans="1:6" x14ac:dyDescent="0.2">
      <c r="A2452" t="s">
        <v>1488</v>
      </c>
      <c r="B2452" s="1">
        <v>26.8325</v>
      </c>
      <c r="C2452">
        <v>190028920</v>
      </c>
      <c r="D2452" s="1">
        <v>26.82</v>
      </c>
      <c r="E2452" s="1">
        <v>26.842500000000001</v>
      </c>
      <c r="F2452" s="1">
        <v>26.392499999999998</v>
      </c>
    </row>
    <row r="2453" spans="1:6" x14ac:dyDescent="0.2">
      <c r="A2453" t="s">
        <v>1489</v>
      </c>
      <c r="B2453" s="1">
        <v>26.5075</v>
      </c>
      <c r="C2453">
        <v>384788760</v>
      </c>
      <c r="D2453" s="1">
        <v>27.227499999999999</v>
      </c>
      <c r="E2453" s="1">
        <v>27.38</v>
      </c>
      <c r="F2453" s="1">
        <v>26.452500000000001</v>
      </c>
    </row>
    <row r="2454" spans="1:6" x14ac:dyDescent="0.2">
      <c r="A2454" t="s">
        <v>1490</v>
      </c>
      <c r="B2454" s="1">
        <v>27.245000000000001</v>
      </c>
      <c r="C2454">
        <v>178619320</v>
      </c>
      <c r="D2454" s="1">
        <v>28.004999999999999</v>
      </c>
      <c r="E2454" s="1">
        <v>28.0625</v>
      </c>
      <c r="F2454" s="1">
        <v>27.245000000000001</v>
      </c>
    </row>
    <row r="2455" spans="1:6" x14ac:dyDescent="0.2">
      <c r="A2455" t="s">
        <v>1491</v>
      </c>
      <c r="B2455" s="1">
        <v>27.835000000000001</v>
      </c>
      <c r="C2455">
        <v>224629480</v>
      </c>
      <c r="D2455" s="1">
        <v>27.767499999999998</v>
      </c>
      <c r="E2455" s="1">
        <v>27.997499999999999</v>
      </c>
      <c r="F2455" s="1">
        <v>27.2</v>
      </c>
    </row>
    <row r="2456" spans="1:6" x14ac:dyDescent="0.2">
      <c r="A2456" t="s">
        <v>1492</v>
      </c>
      <c r="B2456" s="1">
        <v>27.622499999999999</v>
      </c>
      <c r="C2456">
        <v>212674320</v>
      </c>
      <c r="D2456" s="1">
        <v>27.984999999999999</v>
      </c>
      <c r="E2456" s="1">
        <v>28.2</v>
      </c>
      <c r="F2456" s="1">
        <v>27.587499999999999</v>
      </c>
    </row>
    <row r="2457" spans="1:6" x14ac:dyDescent="0.2">
      <c r="A2457" t="s">
        <v>1493</v>
      </c>
      <c r="B2457" s="1">
        <v>28.12</v>
      </c>
      <c r="C2457">
        <v>258712880</v>
      </c>
      <c r="D2457" s="1">
        <v>28.045000000000002</v>
      </c>
      <c r="E2457" s="1">
        <v>28.17</v>
      </c>
      <c r="F2457" s="1">
        <v>27.447500000000002</v>
      </c>
    </row>
    <row r="2458" spans="1:6" x14ac:dyDescent="0.2">
      <c r="A2458" s="2">
        <v>42320</v>
      </c>
      <c r="B2458" s="1">
        <v>28.295000000000002</v>
      </c>
      <c r="C2458">
        <v>187240080</v>
      </c>
      <c r="D2458" s="1">
        <v>28.797499999999999</v>
      </c>
      <c r="E2458" s="1">
        <v>28.8475</v>
      </c>
      <c r="F2458" s="1">
        <v>28.212800000000001</v>
      </c>
    </row>
    <row r="2459" spans="1:6" x14ac:dyDescent="0.2">
      <c r="A2459" s="2">
        <v>42289</v>
      </c>
      <c r="B2459" s="1">
        <v>29.0425</v>
      </c>
      <c r="C2459">
        <v>116634560</v>
      </c>
      <c r="D2459" s="1">
        <v>29.01</v>
      </c>
      <c r="E2459" s="1">
        <v>29.234999999999999</v>
      </c>
      <c r="F2459" s="1">
        <v>28.877500000000001</v>
      </c>
    </row>
    <row r="2460" spans="1:6" x14ac:dyDescent="0.2">
      <c r="A2460" s="2">
        <v>42259</v>
      </c>
      <c r="B2460" s="1">
        <v>28.905000000000001</v>
      </c>
      <c r="C2460">
        <v>185207720</v>
      </c>
      <c r="D2460" s="1">
        <v>29.41</v>
      </c>
      <c r="E2460" s="1">
        <v>29.422499999999999</v>
      </c>
      <c r="F2460" s="1">
        <v>28.77</v>
      </c>
    </row>
    <row r="2461" spans="1:6" x14ac:dyDescent="0.2">
      <c r="A2461" s="2">
        <v>42228</v>
      </c>
      <c r="B2461" s="1">
        <v>29.557500000000001</v>
      </c>
      <c r="C2461">
        <v>137101680</v>
      </c>
      <c r="D2461" s="1">
        <v>29.38</v>
      </c>
      <c r="E2461" s="1">
        <v>29.65</v>
      </c>
      <c r="F2461" s="1">
        <v>29.215</v>
      </c>
    </row>
    <row r="2462" spans="1:6" x14ac:dyDescent="0.2">
      <c r="A2462" s="2">
        <v>42197</v>
      </c>
      <c r="B2462" s="1">
        <v>29.57</v>
      </c>
      <c r="C2462">
        <v>128252400</v>
      </c>
      <c r="D2462" s="1">
        <v>29.745000000000001</v>
      </c>
      <c r="E2462" s="1">
        <v>29.965</v>
      </c>
      <c r="F2462" s="1">
        <v>29.452500000000001</v>
      </c>
    </row>
    <row r="2463" spans="1:6" x14ac:dyDescent="0.2">
      <c r="A2463" s="2">
        <v>42106</v>
      </c>
      <c r="B2463" s="1">
        <v>29.7575</v>
      </c>
      <c r="C2463">
        <v>230871480</v>
      </c>
      <c r="D2463" s="1">
        <v>28.822500000000002</v>
      </c>
      <c r="E2463" s="1">
        <v>29.8125</v>
      </c>
      <c r="F2463" s="1">
        <v>28.7775</v>
      </c>
    </row>
    <row r="2464" spans="1:6" x14ac:dyDescent="0.2">
      <c r="A2464" s="2">
        <v>42075</v>
      </c>
      <c r="B2464" s="1">
        <v>28.8</v>
      </c>
      <c r="C2464">
        <v>166045520</v>
      </c>
      <c r="D2464" s="1">
        <v>29.137499999999999</v>
      </c>
      <c r="E2464" s="1">
        <v>29.197500000000002</v>
      </c>
      <c r="F2464" s="1">
        <v>28.555</v>
      </c>
    </row>
    <row r="2465" spans="1:6" x14ac:dyDescent="0.2">
      <c r="A2465" s="2">
        <v>42047</v>
      </c>
      <c r="B2465" s="1">
        <v>29.07</v>
      </c>
      <c r="C2465">
        <v>133267960</v>
      </c>
      <c r="D2465" s="1">
        <v>29.262499999999999</v>
      </c>
      <c r="E2465" s="1">
        <v>29.5275</v>
      </c>
      <c r="F2465" s="1">
        <v>29.02</v>
      </c>
    </row>
    <row r="2466" spans="1:6" x14ac:dyDescent="0.2">
      <c r="A2466" s="2">
        <v>42016</v>
      </c>
      <c r="B2466" s="1">
        <v>29.335000000000001</v>
      </c>
      <c r="C2466">
        <v>139225000</v>
      </c>
      <c r="D2466" s="1">
        <v>29.6875</v>
      </c>
      <c r="E2466" s="1">
        <v>29.702500000000001</v>
      </c>
      <c r="F2466" s="1">
        <v>29.215</v>
      </c>
    </row>
    <row r="2467" spans="1:6" x14ac:dyDescent="0.2">
      <c r="A2467" t="s">
        <v>1494</v>
      </c>
      <c r="B2467" s="1">
        <v>29.574999999999999</v>
      </c>
      <c r="C2467">
        <v>152252520</v>
      </c>
      <c r="D2467" s="1">
        <v>29.497499999999999</v>
      </c>
      <c r="E2467" s="1">
        <v>29.852499999999999</v>
      </c>
      <c r="F2467" s="1">
        <v>29.4375</v>
      </c>
    </row>
    <row r="2468" spans="1:6" x14ac:dyDescent="0.2">
      <c r="A2468" t="s">
        <v>1495</v>
      </c>
      <c r="B2468" s="1">
        <v>29.452500000000001</v>
      </c>
      <c r="C2468">
        <v>52185800</v>
      </c>
      <c r="D2468" s="1">
        <v>29.572500000000002</v>
      </c>
      <c r="E2468" s="1">
        <v>29.602499999999999</v>
      </c>
      <c r="F2468" s="1">
        <v>29.4</v>
      </c>
    </row>
    <row r="2469" spans="1:6" x14ac:dyDescent="0.2">
      <c r="A2469" t="s">
        <v>1496</v>
      </c>
      <c r="B2469" s="1">
        <v>29.5075</v>
      </c>
      <c r="C2469">
        <v>85367840</v>
      </c>
      <c r="D2469" s="1">
        <v>29.802499999999998</v>
      </c>
      <c r="E2469" s="1">
        <v>29.807500000000001</v>
      </c>
      <c r="F2469" s="1">
        <v>29.48</v>
      </c>
    </row>
    <row r="2470" spans="1:6" x14ac:dyDescent="0.2">
      <c r="A2470" t="s">
        <v>1497</v>
      </c>
      <c r="B2470" s="1">
        <v>29.72</v>
      </c>
      <c r="C2470">
        <v>170991800</v>
      </c>
      <c r="D2470" s="1">
        <v>29.3325</v>
      </c>
      <c r="E2470" s="1">
        <v>29.837499999999999</v>
      </c>
      <c r="F2470" s="1">
        <v>29.28</v>
      </c>
    </row>
    <row r="2471" spans="1:6" x14ac:dyDescent="0.2">
      <c r="A2471" t="s">
        <v>1498</v>
      </c>
      <c r="B2471" s="1">
        <v>29.4375</v>
      </c>
      <c r="C2471">
        <v>129782720</v>
      </c>
      <c r="D2471" s="1">
        <v>29.817499999999999</v>
      </c>
      <c r="E2471" s="1">
        <v>29.932500000000001</v>
      </c>
      <c r="F2471" s="1">
        <v>29.335000000000001</v>
      </c>
    </row>
    <row r="2472" spans="1:6" x14ac:dyDescent="0.2">
      <c r="A2472" t="s">
        <v>1499</v>
      </c>
      <c r="B2472" s="1">
        <v>29.824999999999999</v>
      </c>
      <c r="C2472">
        <v>136540920</v>
      </c>
      <c r="D2472" s="1">
        <v>29.8</v>
      </c>
      <c r="E2472" s="1">
        <v>29.98</v>
      </c>
      <c r="F2472" s="1">
        <v>29.712499999999999</v>
      </c>
    </row>
    <row r="2473" spans="1:6" x14ac:dyDescent="0.2">
      <c r="A2473" t="s">
        <v>1500</v>
      </c>
      <c r="B2473" s="1">
        <v>29.695</v>
      </c>
      <c r="C2473">
        <v>172935800</v>
      </c>
      <c r="D2473" s="1">
        <v>29.41</v>
      </c>
      <c r="E2473" s="1">
        <v>29.9375</v>
      </c>
      <c r="F2473" s="1">
        <v>29.19</v>
      </c>
    </row>
    <row r="2474" spans="1:6" x14ac:dyDescent="0.2">
      <c r="A2474" t="s">
        <v>1501</v>
      </c>
      <c r="B2474" s="1">
        <v>29.322500000000002</v>
      </c>
      <c r="C2474">
        <v>186238920</v>
      </c>
      <c r="D2474" s="1">
        <v>28.94</v>
      </c>
      <c r="E2474" s="1">
        <v>29.372499999999999</v>
      </c>
      <c r="F2474" s="1">
        <v>28.875</v>
      </c>
    </row>
    <row r="2475" spans="1:6" x14ac:dyDescent="0.2">
      <c r="A2475" t="s">
        <v>1502</v>
      </c>
      <c r="B2475" s="1">
        <v>28.422499999999999</v>
      </c>
      <c r="C2475">
        <v>110336080</v>
      </c>
      <c r="D2475" s="1">
        <v>28.73</v>
      </c>
      <c r="E2475" s="1">
        <v>28.762499999999999</v>
      </c>
      <c r="F2475" s="1">
        <v>28.33</v>
      </c>
    </row>
    <row r="2476" spans="1:6" x14ac:dyDescent="0.2">
      <c r="A2476" t="s">
        <v>1503</v>
      </c>
      <c r="B2476" s="1">
        <v>28.543700000000001</v>
      </c>
      <c r="C2476">
        <v>151918280</v>
      </c>
      <c r="D2476" s="1">
        <v>27.844999999999999</v>
      </c>
      <c r="E2476" s="1">
        <v>28.56</v>
      </c>
      <c r="F2476" s="1">
        <v>27.75</v>
      </c>
    </row>
    <row r="2477" spans="1:6" x14ac:dyDescent="0.2">
      <c r="A2477" t="s">
        <v>1504</v>
      </c>
      <c r="B2477" s="1">
        <v>28.085000000000001</v>
      </c>
      <c r="C2477">
        <v>182221200</v>
      </c>
      <c r="D2477" s="1">
        <v>28.8</v>
      </c>
      <c r="E2477" s="1">
        <v>28.892499999999998</v>
      </c>
      <c r="F2477" s="1">
        <v>28.067499999999999</v>
      </c>
    </row>
    <row r="2478" spans="1:6" x14ac:dyDescent="0.2">
      <c r="A2478" s="2">
        <v>42349</v>
      </c>
      <c r="B2478" s="1">
        <v>28.93</v>
      </c>
      <c r="C2478">
        <v>129845400</v>
      </c>
      <c r="D2478" s="1">
        <v>29.065000000000001</v>
      </c>
      <c r="E2478" s="1">
        <v>29.204999999999998</v>
      </c>
      <c r="F2478" s="1">
        <v>28.912500000000001</v>
      </c>
    </row>
    <row r="2479" spans="1:6" x14ac:dyDescent="0.2">
      <c r="A2479" s="2">
        <v>42319</v>
      </c>
      <c r="B2479" s="1">
        <v>29.0275</v>
      </c>
      <c r="C2479">
        <v>180717600</v>
      </c>
      <c r="D2479" s="1">
        <v>29.092500000000001</v>
      </c>
      <c r="E2479" s="1">
        <v>29.355</v>
      </c>
      <c r="F2479" s="1">
        <v>28.802499999999998</v>
      </c>
    </row>
    <row r="2480" spans="1:6" x14ac:dyDescent="0.2">
      <c r="A2480" s="2">
        <v>42288</v>
      </c>
      <c r="B2480" s="1">
        <v>29.192499999999999</v>
      </c>
      <c r="C2480">
        <v>236117600</v>
      </c>
      <c r="D2480" s="1">
        <v>29.225000000000001</v>
      </c>
      <c r="E2480" s="1">
        <v>29.517499999999998</v>
      </c>
      <c r="F2480" s="1">
        <v>29.0153</v>
      </c>
    </row>
    <row r="2481" spans="1:6" x14ac:dyDescent="0.2">
      <c r="A2481" s="2">
        <v>42258</v>
      </c>
      <c r="B2481" s="1">
        <v>30.142499999999998</v>
      </c>
      <c r="C2481">
        <v>135317160</v>
      </c>
      <c r="D2481" s="1">
        <v>30.24</v>
      </c>
      <c r="E2481" s="1">
        <v>30.452500000000001</v>
      </c>
      <c r="F2481" s="1">
        <v>30.012499999999999</v>
      </c>
    </row>
    <row r="2482" spans="1:6" x14ac:dyDescent="0.2">
      <c r="A2482" s="2">
        <v>42166</v>
      </c>
      <c r="B2482" s="1">
        <v>30.265000000000001</v>
      </c>
      <c r="C2482">
        <v>132036440</v>
      </c>
      <c r="D2482" s="1">
        <v>30.2775</v>
      </c>
      <c r="E2482" s="1">
        <v>30.452500000000001</v>
      </c>
      <c r="F2482" s="1">
        <v>30.155000000000001</v>
      </c>
    </row>
    <row r="2483" spans="1:6" x14ac:dyDescent="0.2">
      <c r="A2483" s="2">
        <v>42135</v>
      </c>
      <c r="B2483" s="1">
        <v>30.23</v>
      </c>
      <c r="C2483">
        <v>157933600</v>
      </c>
      <c r="D2483" s="1">
        <v>30.462499999999999</v>
      </c>
      <c r="E2483" s="1">
        <v>30.672499999999999</v>
      </c>
      <c r="F2483" s="1">
        <v>30.045000000000002</v>
      </c>
    </row>
    <row r="2484" spans="1:6" x14ac:dyDescent="0.2">
      <c r="A2484" s="2">
        <v>42105</v>
      </c>
      <c r="B2484" s="1">
        <v>30.5</v>
      </c>
      <c r="C2484">
        <v>179316240</v>
      </c>
      <c r="D2484" s="1">
        <v>30.782499999999999</v>
      </c>
      <c r="E2484" s="1">
        <v>30.954999999999998</v>
      </c>
      <c r="F2484" s="1">
        <v>30.405000000000001</v>
      </c>
    </row>
    <row r="2485" spans="1:6" x14ac:dyDescent="0.2">
      <c r="A2485" s="2">
        <v>42074</v>
      </c>
      <c r="B2485" s="1">
        <v>30.642499999999998</v>
      </c>
      <c r="C2485">
        <v>181917040</v>
      </c>
      <c r="D2485" s="1">
        <v>30.197500000000002</v>
      </c>
      <c r="E2485" s="1">
        <v>30.872499999999999</v>
      </c>
      <c r="F2485" s="1">
        <v>30.175000000000001</v>
      </c>
    </row>
    <row r="2486" spans="1:6" x14ac:dyDescent="0.2">
      <c r="A2486" s="2">
        <v>42046</v>
      </c>
      <c r="B2486" s="1">
        <v>30.295000000000002</v>
      </c>
      <c r="C2486">
        <v>128611480</v>
      </c>
      <c r="D2486" s="1">
        <v>29.967500000000001</v>
      </c>
      <c r="E2486" s="1">
        <v>30.34</v>
      </c>
      <c r="F2486" s="1">
        <v>29.9025</v>
      </c>
    </row>
    <row r="2487" spans="1:6" x14ac:dyDescent="0.2">
      <c r="A2487" t="s">
        <v>1505</v>
      </c>
      <c r="B2487" s="1">
        <v>29.875</v>
      </c>
      <c r="C2487">
        <v>197220880</v>
      </c>
      <c r="D2487" s="1">
        <v>30.247499999999999</v>
      </c>
      <c r="E2487" s="1">
        <v>30.305</v>
      </c>
      <c r="F2487" s="1">
        <v>29.862500000000001</v>
      </c>
    </row>
    <row r="2488" spans="1:6" x14ac:dyDescent="0.2">
      <c r="A2488" t="s">
        <v>1506</v>
      </c>
      <c r="B2488" s="1">
        <v>30.1325</v>
      </c>
      <c r="C2488">
        <v>204424400</v>
      </c>
      <c r="D2488" s="1">
        <v>29.675000000000001</v>
      </c>
      <c r="E2488" s="1">
        <v>30.172499999999999</v>
      </c>
      <c r="F2488" s="1">
        <v>29.567499999999999</v>
      </c>
    </row>
    <row r="2489" spans="1:6" x14ac:dyDescent="0.2">
      <c r="A2489" t="s">
        <v>1507</v>
      </c>
      <c r="B2489" s="1">
        <v>29.817499999999999</v>
      </c>
      <c r="C2489">
        <v>341744840</v>
      </c>
      <c r="D2489" s="1">
        <v>29.232500000000002</v>
      </c>
      <c r="E2489" s="1">
        <v>29.824999999999999</v>
      </c>
      <c r="F2489" s="1">
        <v>29.015000000000001</v>
      </c>
    </row>
    <row r="2490" spans="1:6" x14ac:dyDescent="0.2">
      <c r="A2490" t="s">
        <v>1508</v>
      </c>
      <c r="B2490" s="1">
        <v>28.637499999999999</v>
      </c>
      <c r="C2490">
        <v>270693800</v>
      </c>
      <c r="D2490" s="1">
        <v>28.85</v>
      </c>
      <c r="E2490" s="1">
        <v>29.135000000000002</v>
      </c>
      <c r="F2490" s="1">
        <v>28.497499999999999</v>
      </c>
    </row>
    <row r="2491" spans="1:6" x14ac:dyDescent="0.2">
      <c r="A2491" t="s">
        <v>1509</v>
      </c>
      <c r="B2491" s="1">
        <v>28.82</v>
      </c>
      <c r="C2491">
        <v>264559080</v>
      </c>
      <c r="D2491" s="1">
        <v>29.52</v>
      </c>
      <c r="E2491" s="1">
        <v>29.532499999999999</v>
      </c>
      <c r="F2491" s="1">
        <v>28.73</v>
      </c>
    </row>
    <row r="2492" spans="1:6" x14ac:dyDescent="0.2">
      <c r="A2492" t="s">
        <v>1510</v>
      </c>
      <c r="B2492" s="1">
        <v>29.77</v>
      </c>
      <c r="C2492">
        <v>237006960</v>
      </c>
      <c r="D2492" s="1">
        <v>29.175000000000001</v>
      </c>
      <c r="E2492" s="1">
        <v>29.806999999999999</v>
      </c>
      <c r="F2492" s="1">
        <v>29.0825</v>
      </c>
    </row>
    <row r="2493" spans="1:6" x14ac:dyDescent="0.2">
      <c r="A2493" t="s">
        <v>1511</v>
      </c>
      <c r="B2493" s="1">
        <v>28.875</v>
      </c>
      <c r="C2493">
        <v>165722640</v>
      </c>
      <c r="D2493" s="1">
        <v>28.5825</v>
      </c>
      <c r="E2493" s="1">
        <v>28.875</v>
      </c>
      <c r="F2493" s="1">
        <v>28.524999999999999</v>
      </c>
    </row>
    <row r="2494" spans="1:6" x14ac:dyDescent="0.2">
      <c r="A2494" t="s">
        <v>1512</v>
      </c>
      <c r="B2494" s="1">
        <v>28.44</v>
      </c>
      <c r="C2494">
        <v>169107520</v>
      </c>
      <c r="D2494" s="1">
        <v>28.5</v>
      </c>
      <c r="E2494" s="1">
        <v>28.895</v>
      </c>
      <c r="F2494" s="1">
        <v>28.425000000000001</v>
      </c>
    </row>
    <row r="2495" spans="1:6" x14ac:dyDescent="0.2">
      <c r="A2495" t="s">
        <v>1513</v>
      </c>
      <c r="B2495" s="1">
        <v>28.442499999999999</v>
      </c>
      <c r="C2495">
        <v>195716800</v>
      </c>
      <c r="D2495" s="1">
        <v>27.835000000000001</v>
      </c>
      <c r="E2495" s="1">
        <v>28.5425</v>
      </c>
      <c r="F2495" s="1">
        <v>27.704999999999998</v>
      </c>
    </row>
    <row r="2496" spans="1:6" x14ac:dyDescent="0.2">
      <c r="A2496" t="s">
        <v>1514</v>
      </c>
      <c r="B2496" s="1">
        <v>27.932500000000001</v>
      </c>
      <c r="C2496">
        <v>118895000</v>
      </c>
      <c r="D2496" s="1">
        <v>27.7</v>
      </c>
      <c r="E2496" s="1">
        <v>27.9375</v>
      </c>
      <c r="F2496" s="1">
        <v>27.5275</v>
      </c>
    </row>
    <row r="2497" spans="1:6" x14ac:dyDescent="0.2">
      <c r="A2497" t="s">
        <v>1515</v>
      </c>
      <c r="B2497" s="1">
        <v>27.76</v>
      </c>
      <c r="C2497">
        <v>155179720</v>
      </c>
      <c r="D2497" s="1">
        <v>27.945</v>
      </c>
      <c r="E2497" s="1">
        <v>28</v>
      </c>
      <c r="F2497" s="1">
        <v>27.6325</v>
      </c>
    </row>
    <row r="2498" spans="1:6" x14ac:dyDescent="0.2">
      <c r="A2498" t="s">
        <v>1516</v>
      </c>
      <c r="B2498" s="1">
        <v>27.965</v>
      </c>
      <c r="C2498">
        <v>150488800</v>
      </c>
      <c r="D2498" s="1">
        <v>27.732500000000002</v>
      </c>
      <c r="E2498" s="1">
        <v>28.024999999999999</v>
      </c>
      <c r="F2498" s="1">
        <v>27.622499999999999</v>
      </c>
    </row>
    <row r="2499" spans="1:6" x14ac:dyDescent="0.2">
      <c r="A2499" t="s">
        <v>1517</v>
      </c>
      <c r="B2499" s="1">
        <v>27.552499999999998</v>
      </c>
      <c r="C2499">
        <v>177736880</v>
      </c>
      <c r="D2499" s="1">
        <v>27.822500000000002</v>
      </c>
      <c r="E2499" s="1">
        <v>27.88</v>
      </c>
      <c r="F2499" s="1">
        <v>27.39</v>
      </c>
    </row>
    <row r="2500" spans="1:6" x14ac:dyDescent="0.2">
      <c r="A2500" t="s">
        <v>1518</v>
      </c>
      <c r="B2500" s="1">
        <v>27.947500000000002</v>
      </c>
      <c r="C2500">
        <v>131883160</v>
      </c>
      <c r="D2500" s="1">
        <v>27.704999999999998</v>
      </c>
      <c r="E2500" s="1">
        <v>28.112500000000001</v>
      </c>
      <c r="F2500" s="1">
        <v>27.67</v>
      </c>
    </row>
    <row r="2501" spans="1:6" x14ac:dyDescent="0.2">
      <c r="A2501" s="2">
        <v>42348</v>
      </c>
      <c r="B2501" s="1">
        <v>27.9</v>
      </c>
      <c r="C2501">
        <v>121547320</v>
      </c>
      <c r="D2501" s="1">
        <v>28.182500000000001</v>
      </c>
      <c r="E2501" s="1">
        <v>28.1875</v>
      </c>
      <c r="F2501" s="1">
        <v>27.86</v>
      </c>
    </row>
    <row r="2502" spans="1:6" x14ac:dyDescent="0.2">
      <c r="A2502" s="2">
        <v>42257</v>
      </c>
      <c r="B2502" s="1">
        <v>28.03</v>
      </c>
      <c r="C2502">
        <v>210882480</v>
      </c>
      <c r="D2502" s="1">
        <v>27.5</v>
      </c>
      <c r="E2502" s="1">
        <v>28.07</v>
      </c>
      <c r="F2502" s="1">
        <v>27.372499999999999</v>
      </c>
    </row>
    <row r="2503" spans="1:6" x14ac:dyDescent="0.2">
      <c r="A2503" s="2">
        <v>42226</v>
      </c>
      <c r="B2503" s="1">
        <v>27.375</v>
      </c>
      <c r="C2503">
        <v>246989040</v>
      </c>
      <c r="D2503" s="1">
        <v>27.547499999999999</v>
      </c>
      <c r="E2503" s="1">
        <v>27.547499999999999</v>
      </c>
      <c r="F2503" s="1">
        <v>27.052499999999998</v>
      </c>
    </row>
    <row r="2504" spans="1:6" x14ac:dyDescent="0.2">
      <c r="A2504" s="2">
        <v>42195</v>
      </c>
      <c r="B2504" s="1">
        <v>27.695</v>
      </c>
      <c r="C2504">
        <v>186871080</v>
      </c>
      <c r="D2504" s="1">
        <v>27.934999999999999</v>
      </c>
      <c r="E2504" s="1">
        <v>27.942499999999999</v>
      </c>
      <c r="F2504" s="1">
        <v>27.352499999999999</v>
      </c>
    </row>
    <row r="2505" spans="1:6" x14ac:dyDescent="0.2">
      <c r="A2505" s="2">
        <v>42165</v>
      </c>
      <c r="B2505" s="1">
        <v>27.827500000000001</v>
      </c>
      <c r="C2505">
        <v>194808800</v>
      </c>
      <c r="D2505" s="1">
        <v>27.657499999999999</v>
      </c>
      <c r="E2505" s="1">
        <v>27.934999999999999</v>
      </c>
      <c r="F2505" s="1">
        <v>27.441299999999998</v>
      </c>
    </row>
    <row r="2506" spans="1:6" x14ac:dyDescent="0.2">
      <c r="A2506" s="2">
        <v>42134</v>
      </c>
      <c r="B2506" s="1">
        <v>27.695</v>
      </c>
      <c r="C2506">
        <v>208132400</v>
      </c>
      <c r="D2506" s="1">
        <v>27.47</v>
      </c>
      <c r="E2506" s="1">
        <v>27.842400000000001</v>
      </c>
      <c r="F2506" s="1">
        <v>27.267499999999998</v>
      </c>
    </row>
    <row r="2507" spans="1:6" x14ac:dyDescent="0.2">
      <c r="A2507" s="2">
        <v>42045</v>
      </c>
      <c r="B2507" s="1">
        <v>27.594999999999999</v>
      </c>
      <c r="C2507">
        <v>231099760</v>
      </c>
      <c r="D2507" s="1">
        <v>27.002500000000001</v>
      </c>
      <c r="E2507" s="1">
        <v>27.753399999999999</v>
      </c>
      <c r="F2507" s="1">
        <v>26.887499999999999</v>
      </c>
    </row>
    <row r="2508" spans="1:6" x14ac:dyDescent="0.2">
      <c r="A2508" s="2">
        <v>42014</v>
      </c>
      <c r="B2508" s="1">
        <v>27.395</v>
      </c>
      <c r="C2508">
        <v>255397880</v>
      </c>
      <c r="D2508" s="1">
        <v>27.267499999999998</v>
      </c>
      <c r="E2508" s="1">
        <v>27.405000000000001</v>
      </c>
      <c r="F2508" s="1">
        <v>26.827500000000001</v>
      </c>
    </row>
    <row r="2509" spans="1:6" x14ac:dyDescent="0.2">
      <c r="A2509" t="s">
        <v>1519</v>
      </c>
      <c r="B2509" s="1">
        <v>27.574999999999999</v>
      </c>
      <c r="C2509">
        <v>265203720</v>
      </c>
      <c r="D2509" s="1">
        <v>27.5425</v>
      </c>
      <c r="E2509" s="1">
        <v>27.885000000000002</v>
      </c>
      <c r="F2509" s="1">
        <v>27.182500000000001</v>
      </c>
    </row>
    <row r="2510" spans="1:6" x14ac:dyDescent="0.2">
      <c r="A2510" t="s">
        <v>1520</v>
      </c>
      <c r="B2510" s="1">
        <v>27.265000000000001</v>
      </c>
      <c r="C2510">
        <v>292921120</v>
      </c>
      <c r="D2510" s="1">
        <v>28.2075</v>
      </c>
      <c r="E2510" s="1">
        <v>28.377500000000001</v>
      </c>
      <c r="F2510" s="1">
        <v>26.965</v>
      </c>
    </row>
    <row r="2511" spans="1:6" x14ac:dyDescent="0.2">
      <c r="A2511" t="s">
        <v>1521</v>
      </c>
      <c r="B2511" s="1">
        <v>28.11</v>
      </c>
      <c r="C2511">
        <v>207447960</v>
      </c>
      <c r="D2511" s="1">
        <v>28.462499999999999</v>
      </c>
      <c r="E2511" s="1">
        <v>28.642499999999998</v>
      </c>
      <c r="F2511" s="1">
        <v>28.11</v>
      </c>
    </row>
    <row r="2512" spans="1:6" x14ac:dyDescent="0.2">
      <c r="A2512" t="s">
        <v>1522</v>
      </c>
      <c r="B2512" s="1">
        <v>28.677499999999998</v>
      </c>
      <c r="C2512">
        <v>224022200</v>
      </c>
      <c r="D2512" s="1">
        <v>29.11</v>
      </c>
      <c r="E2512" s="1">
        <v>29.172499999999999</v>
      </c>
      <c r="F2512" s="1">
        <v>28.504999999999999</v>
      </c>
    </row>
    <row r="2513" spans="1:6" x14ac:dyDescent="0.2">
      <c r="A2513" t="s">
        <v>1523</v>
      </c>
      <c r="B2513" s="1">
        <v>28.75</v>
      </c>
      <c r="C2513">
        <v>200246320</v>
      </c>
      <c r="D2513" s="1">
        <v>28.3125</v>
      </c>
      <c r="E2513" s="1">
        <v>28.875</v>
      </c>
      <c r="F2513" s="1">
        <v>28.092500000000001</v>
      </c>
    </row>
    <row r="2514" spans="1:6" x14ac:dyDescent="0.2">
      <c r="A2514" t="s">
        <v>1524</v>
      </c>
      <c r="B2514" s="1">
        <v>28.58</v>
      </c>
      <c r="C2514">
        <v>142713440</v>
      </c>
      <c r="D2514" s="1">
        <v>28.407499999999999</v>
      </c>
      <c r="E2514" s="1">
        <v>28.68</v>
      </c>
      <c r="F2514" s="1">
        <v>28.324999999999999</v>
      </c>
    </row>
    <row r="2515" spans="1:6" x14ac:dyDescent="0.2">
      <c r="A2515" t="s">
        <v>1525</v>
      </c>
      <c r="B2515" s="1">
        <v>28.35</v>
      </c>
      <c r="C2515">
        <v>201112120</v>
      </c>
      <c r="D2515" s="1">
        <v>28.344999999999999</v>
      </c>
      <c r="E2515" s="1">
        <v>28.545000000000002</v>
      </c>
      <c r="F2515" s="1">
        <v>28.13</v>
      </c>
    </row>
    <row r="2516" spans="1:6" x14ac:dyDescent="0.2">
      <c r="A2516" t="s">
        <v>1526</v>
      </c>
      <c r="B2516" s="1">
        <v>28.802499999999998</v>
      </c>
      <c r="C2516">
        <v>186376880</v>
      </c>
      <c r="D2516" s="1">
        <v>28.4175</v>
      </c>
      <c r="E2516" s="1">
        <v>28.842500000000001</v>
      </c>
      <c r="F2516" s="1">
        <v>28.414999999999999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200F-1095-8845-9C13-AD360CEB3F67}">
  <dimension ref="A1:G2516"/>
  <sheetViews>
    <sheetView zoomScale="200" workbookViewId="0">
      <selection activeCell="E19" sqref="E19"/>
    </sheetView>
  </sheetViews>
  <sheetFormatPr baseColWidth="10" defaultRowHeight="16" x14ac:dyDescent="0.2"/>
  <cols>
    <col min="1" max="1" width="15.1640625" style="3" customWidth="1"/>
    <col min="2" max="2" width="14.33203125" customWidth="1"/>
    <col min="3" max="3" width="16" customWidth="1"/>
    <col min="7" max="7" width="29" customWidth="1"/>
  </cols>
  <sheetData>
    <row r="1" spans="1:7" x14ac:dyDescent="0.2">
      <c r="A1" s="9" t="s">
        <v>0</v>
      </c>
      <c r="B1" s="10" t="s">
        <v>1</v>
      </c>
      <c r="C1" s="10" t="s">
        <v>1527</v>
      </c>
      <c r="E1" s="58" t="s">
        <v>1531</v>
      </c>
      <c r="F1" s="58"/>
      <c r="G1" s="14" t="s">
        <v>1533</v>
      </c>
    </row>
    <row r="2" spans="1:7" x14ac:dyDescent="0.2">
      <c r="A2" s="4" t="s">
        <v>6</v>
      </c>
      <c r="B2" s="6">
        <v>245.5</v>
      </c>
      <c r="C2" s="11">
        <f>LN(B2/B3)</f>
        <v>3.1530602396182335E-2</v>
      </c>
      <c r="E2" s="10" t="s">
        <v>1528</v>
      </c>
      <c r="F2" s="14">
        <f>AVERAGE(C2:C932)</f>
        <v>3.2141279979834288E-4</v>
      </c>
      <c r="G2" s="14" t="s">
        <v>1534</v>
      </c>
    </row>
    <row r="3" spans="1:7" x14ac:dyDescent="0.2">
      <c r="A3" s="4" t="s">
        <v>7</v>
      </c>
      <c r="B3" s="6">
        <v>237.88</v>
      </c>
      <c r="C3" s="12">
        <f>LN(B3/B4)</f>
        <v>-4.6553652135744661E-3</v>
      </c>
      <c r="E3" s="10" t="s">
        <v>1529</v>
      </c>
      <c r="F3" s="14">
        <f>_xlfn.STDEV.S(C2:C932)</f>
        <v>1.8274814512727541E-2</v>
      </c>
    </row>
    <row r="4" spans="1:7" x14ac:dyDescent="0.2">
      <c r="A4" s="4" t="s">
        <v>8</v>
      </c>
      <c r="B4" s="6">
        <v>238.99</v>
      </c>
      <c r="C4" s="12">
        <f t="shared" ref="C4:C66" si="0">LN(B4/B5)</f>
        <v>3.5209828050978467E-3</v>
      </c>
      <c r="E4" s="10" t="s">
        <v>1530</v>
      </c>
      <c r="F4" s="43">
        <f>F3^2</f>
        <v>3.3396884547459715E-4</v>
      </c>
    </row>
    <row r="5" spans="1:7" x14ac:dyDescent="0.2">
      <c r="A5" s="4" t="s">
        <v>9</v>
      </c>
      <c r="B5" s="6">
        <v>238.15</v>
      </c>
      <c r="C5" s="12">
        <f t="shared" si="0"/>
        <v>6.1072107269313034E-3</v>
      </c>
    </row>
    <row r="6" spans="1:7" x14ac:dyDescent="0.2">
      <c r="A6" s="4" t="s">
        <v>10</v>
      </c>
      <c r="B6" s="6">
        <v>236.7</v>
      </c>
      <c r="C6" s="12">
        <f t="shared" si="0"/>
        <v>1.1173300598125255E-2</v>
      </c>
      <c r="E6" s="58" t="s">
        <v>1532</v>
      </c>
      <c r="F6" s="58"/>
      <c r="G6" s="14" t="s">
        <v>1535</v>
      </c>
    </row>
    <row r="7" spans="1:7" x14ac:dyDescent="0.2">
      <c r="A7" s="5">
        <v>46000</v>
      </c>
      <c r="B7" s="6">
        <v>234.07</v>
      </c>
      <c r="C7" s="12">
        <f t="shared" si="0"/>
        <v>1.7410480721885509E-2</v>
      </c>
      <c r="E7" s="10" t="s">
        <v>1528</v>
      </c>
      <c r="F7" s="14">
        <f>F2*5</f>
        <v>1.6070639989917144E-3</v>
      </c>
    </row>
    <row r="8" spans="1:7" x14ac:dyDescent="0.2">
      <c r="A8" s="5">
        <v>45970</v>
      </c>
      <c r="B8" s="6">
        <v>230.03</v>
      </c>
      <c r="C8" s="12">
        <f t="shared" si="0"/>
        <v>1.4185256029157005E-2</v>
      </c>
      <c r="E8" s="10" t="s">
        <v>1529</v>
      </c>
      <c r="F8" s="14">
        <f>F3*SQRT(5)</f>
        <v>4.0863727526658483E-2</v>
      </c>
    </row>
    <row r="9" spans="1:7" x14ac:dyDescent="0.2">
      <c r="A9" s="5">
        <v>45939</v>
      </c>
      <c r="B9" s="6">
        <v>226.79</v>
      </c>
      <c r="C9" s="12">
        <f t="shared" si="0"/>
        <v>-3.2791245197944616E-2</v>
      </c>
      <c r="E9" s="10" t="s">
        <v>1530</v>
      </c>
      <c r="F9" s="14">
        <f>F8^2</f>
        <v>1.6698442273729863E-3</v>
      </c>
    </row>
    <row r="10" spans="1:7" x14ac:dyDescent="0.2">
      <c r="A10" s="5">
        <v>45909</v>
      </c>
      <c r="B10" s="6">
        <v>234.35</v>
      </c>
      <c r="C10" s="12">
        <f t="shared" si="0"/>
        <v>-1.4950620469677826E-2</v>
      </c>
    </row>
    <row r="11" spans="1:7" x14ac:dyDescent="0.2">
      <c r="A11" s="5">
        <v>45878</v>
      </c>
      <c r="B11" s="6">
        <v>237.88</v>
      </c>
      <c r="C11" s="12">
        <f t="shared" si="0"/>
        <v>-7.5800769165061304E-3</v>
      </c>
    </row>
    <row r="12" spans="1:7" x14ac:dyDescent="0.2">
      <c r="A12" s="5">
        <v>45786</v>
      </c>
      <c r="B12" s="6">
        <v>239.69</v>
      </c>
      <c r="C12" s="12">
        <f t="shared" si="0"/>
        <v>-3.7541452460853166E-4</v>
      </c>
      <c r="E12" s="59" t="s">
        <v>1547</v>
      </c>
      <c r="F12" s="59"/>
      <c r="G12" s="59"/>
    </row>
    <row r="13" spans="1:7" x14ac:dyDescent="0.2">
      <c r="A13" s="5">
        <v>45756</v>
      </c>
      <c r="B13" s="6">
        <v>239.78</v>
      </c>
      <c r="C13" s="12">
        <f t="shared" si="0"/>
        <v>5.4783200263767082E-3</v>
      </c>
    </row>
    <row r="14" spans="1:7" x14ac:dyDescent="0.2">
      <c r="A14" s="5">
        <v>45725</v>
      </c>
      <c r="B14" s="6">
        <v>238.47</v>
      </c>
      <c r="C14" s="12">
        <f t="shared" si="0"/>
        <v>3.738234025703522E-2</v>
      </c>
    </row>
    <row r="15" spans="1:7" x14ac:dyDescent="0.2">
      <c r="A15" s="5">
        <v>45697</v>
      </c>
      <c r="B15" s="6">
        <v>229.72</v>
      </c>
      <c r="C15" s="12">
        <f t="shared" si="0"/>
        <v>-1.0479461944380755E-2</v>
      </c>
    </row>
    <row r="16" spans="1:7" x14ac:dyDescent="0.2">
      <c r="A16" s="4" t="s">
        <v>11</v>
      </c>
      <c r="B16" s="6">
        <v>232.14</v>
      </c>
      <c r="C16" s="12">
        <f t="shared" si="0"/>
        <v>-1.8076183101439452E-3</v>
      </c>
    </row>
    <row r="17" spans="1:3" x14ac:dyDescent="0.2">
      <c r="A17" s="4" t="s">
        <v>12</v>
      </c>
      <c r="B17" s="6">
        <v>232.56</v>
      </c>
      <c r="C17" s="12">
        <f t="shared" si="0"/>
        <v>8.9407787029671757E-3</v>
      </c>
    </row>
    <row r="18" spans="1:3" x14ac:dyDescent="0.2">
      <c r="A18" s="4" t="s">
        <v>13</v>
      </c>
      <c r="B18" s="6">
        <v>230.49</v>
      </c>
      <c r="C18" s="12">
        <f t="shared" si="0"/>
        <v>5.1326776447566114E-3</v>
      </c>
    </row>
    <row r="19" spans="1:3" x14ac:dyDescent="0.2">
      <c r="A19" s="4" t="s">
        <v>14</v>
      </c>
      <c r="B19" s="6">
        <v>229.31</v>
      </c>
      <c r="C19" s="12">
        <f t="shared" si="0"/>
        <v>9.4201848936647913E-3</v>
      </c>
    </row>
    <row r="20" spans="1:3" x14ac:dyDescent="0.2">
      <c r="A20" s="4" t="s">
        <v>15</v>
      </c>
      <c r="B20" s="6">
        <v>227.16</v>
      </c>
      <c r="C20" s="12">
        <f t="shared" si="0"/>
        <v>-2.6378279605502935E-3</v>
      </c>
    </row>
    <row r="21" spans="1:3" x14ac:dyDescent="0.2">
      <c r="A21" s="4" t="s">
        <v>16</v>
      </c>
      <c r="B21" s="6">
        <v>227.76</v>
      </c>
      <c r="C21" s="12">
        <f t="shared" si="0"/>
        <v>1.2636584004512057E-2</v>
      </c>
    </row>
    <row r="22" spans="1:3" x14ac:dyDescent="0.2">
      <c r="A22" s="4" t="s">
        <v>17</v>
      </c>
      <c r="B22" s="6">
        <v>224.9</v>
      </c>
      <c r="C22" s="12">
        <f t="shared" si="0"/>
        <v>-4.9233871157219602E-3</v>
      </c>
    </row>
    <row r="23" spans="1:3" x14ac:dyDescent="0.2">
      <c r="A23" s="4" t="s">
        <v>18</v>
      </c>
      <c r="B23" s="6">
        <v>226.01</v>
      </c>
      <c r="C23" s="12">
        <f t="shared" si="0"/>
        <v>-1.9931886170219938E-2</v>
      </c>
    </row>
    <row r="24" spans="1:3" x14ac:dyDescent="0.2">
      <c r="A24" s="4" t="s">
        <v>19</v>
      </c>
      <c r="B24" s="6">
        <v>230.56</v>
      </c>
      <c r="C24" s="12">
        <f t="shared" si="0"/>
        <v>-1.430274379700124E-3</v>
      </c>
    </row>
    <row r="25" spans="1:3" x14ac:dyDescent="0.2">
      <c r="A25" s="4" t="s">
        <v>20</v>
      </c>
      <c r="B25" s="6">
        <v>230.89</v>
      </c>
      <c r="C25" s="12">
        <f t="shared" si="0"/>
        <v>-3.0271602428172274E-3</v>
      </c>
    </row>
    <row r="26" spans="1:3" x14ac:dyDescent="0.2">
      <c r="A26" s="4" t="s">
        <v>21</v>
      </c>
      <c r="B26" s="6">
        <v>231.59</v>
      </c>
      <c r="C26" s="12">
        <f t="shared" si="0"/>
        <v>-5.1252346401009499E-3</v>
      </c>
    </row>
    <row r="27" spans="1:3" x14ac:dyDescent="0.2">
      <c r="A27" s="4" t="s">
        <v>22</v>
      </c>
      <c r="B27" s="6">
        <v>232.78</v>
      </c>
      <c r="C27" s="12">
        <f t="shared" si="0"/>
        <v>-2.3599590451372499E-3</v>
      </c>
    </row>
    <row r="28" spans="1:3" x14ac:dyDescent="0.2">
      <c r="A28" s="4" t="s">
        <v>23</v>
      </c>
      <c r="B28" s="6">
        <v>233.33</v>
      </c>
      <c r="C28" s="12">
        <f t="shared" si="0"/>
        <v>1.5897349787165019E-2</v>
      </c>
    </row>
    <row r="29" spans="1:3" x14ac:dyDescent="0.2">
      <c r="A29" s="5">
        <v>45999</v>
      </c>
      <c r="B29" s="6">
        <v>229.65</v>
      </c>
      <c r="C29" s="12">
        <f t="shared" si="0"/>
        <v>1.0813755968526953E-2</v>
      </c>
    </row>
    <row r="30" spans="1:3" x14ac:dyDescent="0.2">
      <c r="A30" s="5">
        <v>45969</v>
      </c>
      <c r="B30" s="6">
        <v>227.18</v>
      </c>
      <c r="C30" s="12">
        <f t="shared" si="0"/>
        <v>-9.506566239905357E-3</v>
      </c>
    </row>
    <row r="31" spans="1:3" x14ac:dyDescent="0.2">
      <c r="A31" s="5">
        <v>45877</v>
      </c>
      <c r="B31" s="6">
        <v>229.35</v>
      </c>
      <c r="C31" s="12">
        <f t="shared" si="0"/>
        <v>4.1485320351131408E-2</v>
      </c>
    </row>
    <row r="32" spans="1:3" x14ac:dyDescent="0.2">
      <c r="A32" s="5">
        <v>45846</v>
      </c>
      <c r="B32" s="6">
        <v>220.03</v>
      </c>
      <c r="C32" s="12">
        <f t="shared" si="0"/>
        <v>3.1298714320261108E-2</v>
      </c>
    </row>
    <row r="33" spans="1:3" x14ac:dyDescent="0.2">
      <c r="A33" s="5">
        <v>45816</v>
      </c>
      <c r="B33" s="6">
        <v>213.25</v>
      </c>
      <c r="C33" s="12">
        <f t="shared" si="0"/>
        <v>4.9653373673299327E-2</v>
      </c>
    </row>
    <row r="34" spans="1:3" x14ac:dyDescent="0.2">
      <c r="A34" s="5">
        <v>45785</v>
      </c>
      <c r="B34" s="6">
        <v>202.92</v>
      </c>
      <c r="C34" s="12">
        <f t="shared" si="0"/>
        <v>-2.1168196547443788E-3</v>
      </c>
    </row>
    <row r="35" spans="1:3" x14ac:dyDescent="0.2">
      <c r="A35" s="5">
        <v>45755</v>
      </c>
      <c r="B35" s="6">
        <v>203.35</v>
      </c>
      <c r="C35" s="12">
        <f t="shared" si="0"/>
        <v>4.7815140516196241E-3</v>
      </c>
    </row>
    <row r="36" spans="1:3" x14ac:dyDescent="0.2">
      <c r="A36" s="5">
        <v>45665</v>
      </c>
      <c r="B36" s="6">
        <v>202.38</v>
      </c>
      <c r="C36" s="12">
        <f t="shared" si="0"/>
        <v>-2.5321513877215478E-2</v>
      </c>
    </row>
    <row r="37" spans="1:3" x14ac:dyDescent="0.2">
      <c r="A37" s="4" t="s">
        <v>24</v>
      </c>
      <c r="B37" s="6">
        <v>207.57</v>
      </c>
      <c r="C37" s="12">
        <f t="shared" si="0"/>
        <v>-7.104825623744683E-3</v>
      </c>
    </row>
    <row r="38" spans="1:3" x14ac:dyDescent="0.2">
      <c r="A38" s="4" t="s">
        <v>25</v>
      </c>
      <c r="B38" s="6">
        <v>209.05</v>
      </c>
      <c r="C38" s="12">
        <f t="shared" si="0"/>
        <v>-1.0563478509569259E-2</v>
      </c>
    </row>
    <row r="39" spans="1:3" x14ac:dyDescent="0.2">
      <c r="A39" s="4" t="s">
        <v>26</v>
      </c>
      <c r="B39" s="6">
        <v>211.27</v>
      </c>
      <c r="C39" s="12">
        <f t="shared" si="0"/>
        <v>-1.3072696278811793E-2</v>
      </c>
    </row>
    <row r="40" spans="1:3" x14ac:dyDescent="0.2">
      <c r="A40" s="4" t="s">
        <v>27</v>
      </c>
      <c r="B40" s="6">
        <v>214.05</v>
      </c>
      <c r="C40" s="12">
        <f t="shared" si="0"/>
        <v>7.9452251042439034E-4</v>
      </c>
    </row>
    <row r="41" spans="1:3" x14ac:dyDescent="0.2">
      <c r="A41" s="4" t="s">
        <v>28</v>
      </c>
      <c r="B41" s="6">
        <v>213.88</v>
      </c>
      <c r="C41" s="12">
        <f t="shared" si="0"/>
        <v>5.6121973225001546E-4</v>
      </c>
    </row>
    <row r="42" spans="1:3" x14ac:dyDescent="0.2">
      <c r="A42" s="4" t="s">
        <v>29</v>
      </c>
      <c r="B42" s="6">
        <v>213.76</v>
      </c>
      <c r="C42" s="12">
        <f t="shared" si="0"/>
        <v>-1.8228137130991598E-3</v>
      </c>
    </row>
    <row r="43" spans="1:3" x14ac:dyDescent="0.2">
      <c r="A43" s="4" t="s">
        <v>30</v>
      </c>
      <c r="B43" s="6">
        <v>214.15</v>
      </c>
      <c r="C43" s="12">
        <f t="shared" si="0"/>
        <v>-1.1667251352669031E-3</v>
      </c>
    </row>
    <row r="44" spans="1:3" x14ac:dyDescent="0.2">
      <c r="A44" s="4" t="s">
        <v>31</v>
      </c>
      <c r="B44" s="6">
        <v>214.4</v>
      </c>
      <c r="C44" s="12">
        <f t="shared" si="0"/>
        <v>8.9955629085780031E-3</v>
      </c>
    </row>
    <row r="45" spans="1:3" x14ac:dyDescent="0.2">
      <c r="A45" s="4" t="s">
        <v>32</v>
      </c>
      <c r="B45" s="6">
        <v>212.48</v>
      </c>
      <c r="C45" s="12">
        <f t="shared" si="0"/>
        <v>6.1370159097006195E-3</v>
      </c>
    </row>
    <row r="46" spans="1:3" x14ac:dyDescent="0.2">
      <c r="A46" s="4" t="s">
        <v>33</v>
      </c>
      <c r="B46" s="6">
        <v>211.18</v>
      </c>
      <c r="C46" s="12">
        <f t="shared" si="0"/>
        <v>5.5080861005209316E-3</v>
      </c>
    </row>
    <row r="47" spans="1:3" x14ac:dyDescent="0.2">
      <c r="A47" s="4" t="s">
        <v>34</v>
      </c>
      <c r="B47" s="6">
        <v>210.02</v>
      </c>
      <c r="C47" s="12">
        <f t="shared" si="0"/>
        <v>-6.6638109943707117E-4</v>
      </c>
    </row>
    <row r="48" spans="1:3" x14ac:dyDescent="0.2">
      <c r="A48" s="4" t="s">
        <v>35</v>
      </c>
      <c r="B48" s="6">
        <v>210.16</v>
      </c>
      <c r="C48" s="12">
        <f t="shared" si="0"/>
        <v>5.0087160785759338E-3</v>
      </c>
    </row>
    <row r="49" spans="1:3" x14ac:dyDescent="0.2">
      <c r="A49" s="4" t="s">
        <v>36</v>
      </c>
      <c r="B49" s="6">
        <v>209.11</v>
      </c>
      <c r="C49" s="12">
        <f t="shared" si="0"/>
        <v>2.3460140508832585E-3</v>
      </c>
    </row>
    <row r="50" spans="1:3" x14ac:dyDescent="0.2">
      <c r="A50" s="4" t="s">
        <v>37</v>
      </c>
      <c r="B50" s="6">
        <v>208.62</v>
      </c>
      <c r="C50" s="12">
        <f t="shared" si="0"/>
        <v>-1.210172470759039E-2</v>
      </c>
    </row>
    <row r="51" spans="1:3" x14ac:dyDescent="0.2">
      <c r="A51" s="5">
        <v>45968</v>
      </c>
      <c r="B51" s="6">
        <v>211.16</v>
      </c>
      <c r="C51" s="12">
        <f t="shared" si="0"/>
        <v>-5.902229283378157E-3</v>
      </c>
    </row>
    <row r="52" spans="1:3" x14ac:dyDescent="0.2">
      <c r="A52" s="5">
        <v>45937</v>
      </c>
      <c r="B52" s="6">
        <v>212.41</v>
      </c>
      <c r="C52" s="12">
        <f t="shared" si="0"/>
        <v>5.9969486772448706E-3</v>
      </c>
    </row>
    <row r="53" spans="1:3" x14ac:dyDescent="0.2">
      <c r="A53" s="5">
        <v>45907</v>
      </c>
      <c r="B53" s="6">
        <v>211.14</v>
      </c>
      <c r="C53" s="12">
        <f t="shared" si="0"/>
        <v>5.3662719302117997E-3</v>
      </c>
    </row>
    <row r="54" spans="1:3" x14ac:dyDescent="0.2">
      <c r="A54" s="5">
        <v>45876</v>
      </c>
      <c r="B54" s="6">
        <v>210.01</v>
      </c>
      <c r="C54" s="12">
        <f t="shared" si="0"/>
        <v>2.8574150113462317E-4</v>
      </c>
    </row>
    <row r="55" spans="1:3" x14ac:dyDescent="0.2">
      <c r="A55" s="5">
        <v>45845</v>
      </c>
      <c r="B55" s="6">
        <v>209.95</v>
      </c>
      <c r="C55" s="12">
        <f t="shared" si="0"/>
        <v>-1.7001590157273334E-2</v>
      </c>
    </row>
    <row r="56" spans="1:3" x14ac:dyDescent="0.2">
      <c r="A56" s="5">
        <v>45723</v>
      </c>
      <c r="B56" s="6">
        <v>213.55</v>
      </c>
      <c r="C56" s="12">
        <f t="shared" si="0"/>
        <v>5.2114017332771934E-3</v>
      </c>
    </row>
    <row r="57" spans="1:3" x14ac:dyDescent="0.2">
      <c r="A57" s="5">
        <v>45695</v>
      </c>
      <c r="B57" s="6">
        <v>212.44</v>
      </c>
      <c r="C57" s="12">
        <f t="shared" si="0"/>
        <v>2.1987275129697868E-2</v>
      </c>
    </row>
    <row r="58" spans="1:3" x14ac:dyDescent="0.2">
      <c r="A58" s="5">
        <v>45664</v>
      </c>
      <c r="B58" s="6">
        <v>207.82</v>
      </c>
      <c r="C58" s="12">
        <f t="shared" si="0"/>
        <v>1.2833416646386379E-2</v>
      </c>
    </row>
    <row r="59" spans="1:3" x14ac:dyDescent="0.2">
      <c r="A59" s="4" t="s">
        <v>38</v>
      </c>
      <c r="B59" s="6">
        <v>205.17</v>
      </c>
      <c r="C59" s="12">
        <f t="shared" si="0"/>
        <v>2.0136064953739752E-2</v>
      </c>
    </row>
    <row r="60" spans="1:3" x14ac:dyDescent="0.2">
      <c r="A60" s="4" t="s">
        <v>39</v>
      </c>
      <c r="B60" s="6">
        <v>201.08</v>
      </c>
      <c r="C60" s="12">
        <f t="shared" si="0"/>
        <v>3.9793076529873232E-4</v>
      </c>
    </row>
    <row r="61" spans="1:3" x14ac:dyDescent="0.2">
      <c r="A61" s="4" t="s">
        <v>40</v>
      </c>
      <c r="B61" s="6">
        <v>201</v>
      </c>
      <c r="C61" s="12">
        <f t="shared" si="0"/>
        <v>-2.782195753321553E-3</v>
      </c>
    </row>
    <row r="62" spans="1:3" x14ac:dyDescent="0.2">
      <c r="A62" s="4" t="s">
        <v>41</v>
      </c>
      <c r="B62" s="6">
        <v>201.56</v>
      </c>
      <c r="C62" s="12">
        <f t="shared" si="0"/>
        <v>6.2708611406248112E-3</v>
      </c>
    </row>
    <row r="63" spans="1:3" x14ac:dyDescent="0.2">
      <c r="A63" s="4" t="s">
        <v>42</v>
      </c>
      <c r="B63" s="6">
        <v>200.3</v>
      </c>
      <c r="C63" s="12">
        <f t="shared" si="0"/>
        <v>-5.9731387149650926E-3</v>
      </c>
    </row>
    <row r="64" spans="1:3" x14ac:dyDescent="0.2">
      <c r="A64" s="4" t="s">
        <v>43</v>
      </c>
      <c r="B64" s="6">
        <v>201.5</v>
      </c>
      <c r="C64" s="12">
        <f t="shared" si="0"/>
        <v>2.4844733276619658E-3</v>
      </c>
    </row>
    <row r="65" spans="1:3" x14ac:dyDescent="0.2">
      <c r="A65" s="4" t="s">
        <v>44</v>
      </c>
      <c r="B65" s="6">
        <v>201</v>
      </c>
      <c r="C65" s="12">
        <f t="shared" si="0"/>
        <v>2.2235434920592347E-2</v>
      </c>
    </row>
    <row r="66" spans="1:3" x14ac:dyDescent="0.2">
      <c r="A66" s="4" t="s">
        <v>45</v>
      </c>
      <c r="B66" s="6">
        <v>196.58</v>
      </c>
      <c r="C66" s="12">
        <f t="shared" si="0"/>
        <v>4.7932374673270439E-3</v>
      </c>
    </row>
    <row r="67" spans="1:3" x14ac:dyDescent="0.2">
      <c r="A67" s="4" t="s">
        <v>46</v>
      </c>
      <c r="B67" s="6">
        <v>195.64</v>
      </c>
      <c r="C67" s="12">
        <f t="shared" ref="C67:C130" si="1">LN(B67/B68)</f>
        <v>-1.4109760550600002E-2</v>
      </c>
    </row>
    <row r="68" spans="1:3" x14ac:dyDescent="0.2">
      <c r="A68" s="4" t="s">
        <v>47</v>
      </c>
      <c r="B68" s="6">
        <v>198.42</v>
      </c>
      <c r="C68" s="12">
        <f t="shared" si="1"/>
        <v>9.9780502172876224E-3</v>
      </c>
    </row>
    <row r="69" spans="1:3" x14ac:dyDescent="0.2">
      <c r="A69" s="4" t="s">
        <v>48</v>
      </c>
      <c r="B69" s="6">
        <v>196.45</v>
      </c>
      <c r="C69" s="12">
        <f t="shared" si="1"/>
        <v>-1.3901399146029038E-2</v>
      </c>
    </row>
    <row r="70" spans="1:3" x14ac:dyDescent="0.2">
      <c r="A70" s="5">
        <v>45997</v>
      </c>
      <c r="B70" s="6">
        <v>199.2</v>
      </c>
      <c r="C70" s="12">
        <f t="shared" si="1"/>
        <v>2.1106596106382439E-3</v>
      </c>
    </row>
    <row r="71" spans="1:3" x14ac:dyDescent="0.2">
      <c r="A71" s="5">
        <v>45967</v>
      </c>
      <c r="B71" s="6">
        <v>198.78</v>
      </c>
      <c r="C71" s="12">
        <f t="shared" si="1"/>
        <v>-1.9380354991362321E-2</v>
      </c>
    </row>
    <row r="72" spans="1:3" x14ac:dyDescent="0.2">
      <c r="A72" s="5">
        <v>45936</v>
      </c>
      <c r="B72" s="6">
        <v>202.67</v>
      </c>
      <c r="C72" s="12">
        <f t="shared" si="1"/>
        <v>6.0378288938655912E-3</v>
      </c>
    </row>
    <row r="73" spans="1:3" x14ac:dyDescent="0.2">
      <c r="A73" s="5">
        <v>45906</v>
      </c>
      <c r="B73" s="6">
        <v>201.45</v>
      </c>
      <c r="C73" s="12">
        <f t="shared" si="1"/>
        <v>-1.2186548430503737E-2</v>
      </c>
    </row>
    <row r="74" spans="1:3" x14ac:dyDescent="0.2">
      <c r="A74" s="5">
        <v>45814</v>
      </c>
      <c r="B74" s="6">
        <v>203.92</v>
      </c>
      <c r="C74" s="12">
        <f t="shared" si="1"/>
        <v>1.6265344375750522E-2</v>
      </c>
    </row>
    <row r="75" spans="1:3" x14ac:dyDescent="0.2">
      <c r="A75" s="5">
        <v>45783</v>
      </c>
      <c r="B75" s="6">
        <v>200.63</v>
      </c>
      <c r="C75" s="12">
        <f t="shared" si="1"/>
        <v>-1.085647049174078E-2</v>
      </c>
    </row>
    <row r="76" spans="1:3" x14ac:dyDescent="0.2">
      <c r="A76" s="5">
        <v>45753</v>
      </c>
      <c r="B76" s="6">
        <v>202.82</v>
      </c>
      <c r="C76" s="12">
        <f t="shared" si="1"/>
        <v>-2.2162583870203399E-3</v>
      </c>
    </row>
    <row r="77" spans="1:3" x14ac:dyDescent="0.2">
      <c r="A77" s="5">
        <v>45722</v>
      </c>
      <c r="B77" s="6">
        <v>203.27</v>
      </c>
      <c r="C77" s="12">
        <f t="shared" si="1"/>
        <v>7.7536996107045722E-3</v>
      </c>
    </row>
    <row r="78" spans="1:3" x14ac:dyDescent="0.2">
      <c r="A78" s="5">
        <v>45694</v>
      </c>
      <c r="B78" s="6">
        <v>201.7</v>
      </c>
      <c r="C78" s="12">
        <f t="shared" si="1"/>
        <v>4.2230841548747573E-3</v>
      </c>
    </row>
    <row r="79" spans="1:3" x14ac:dyDescent="0.2">
      <c r="A79" s="4" t="s">
        <v>49</v>
      </c>
      <c r="B79" s="6">
        <v>200.85</v>
      </c>
      <c r="C79" s="12">
        <f t="shared" si="1"/>
        <v>4.4910255124638023E-3</v>
      </c>
    </row>
    <row r="80" spans="1:3" x14ac:dyDescent="0.2">
      <c r="A80" s="4" t="s">
        <v>50</v>
      </c>
      <c r="B80" s="6">
        <v>199.95</v>
      </c>
      <c r="C80" s="12">
        <f t="shared" si="1"/>
        <v>-2.3478293373554809E-3</v>
      </c>
    </row>
    <row r="81" spans="1:3" x14ac:dyDescent="0.2">
      <c r="A81" s="4" t="s">
        <v>51</v>
      </c>
      <c r="B81" s="6">
        <v>200.42</v>
      </c>
      <c r="C81" s="12">
        <f t="shared" si="1"/>
        <v>1.0483489465745394E-3</v>
      </c>
    </row>
    <row r="82" spans="1:3" x14ac:dyDescent="0.2">
      <c r="A82" s="4" t="s">
        <v>52</v>
      </c>
      <c r="B82" s="6">
        <v>200.21</v>
      </c>
      <c r="C82" s="12">
        <f t="shared" si="1"/>
        <v>2.4983599431202347E-2</v>
      </c>
    </row>
    <row r="83" spans="1:3" x14ac:dyDescent="0.2">
      <c r="A83" s="4" t="s">
        <v>53</v>
      </c>
      <c r="B83" s="6">
        <v>195.27</v>
      </c>
      <c r="C83" s="12">
        <f t="shared" si="1"/>
        <v>-3.0711134574654807E-2</v>
      </c>
    </row>
    <row r="84" spans="1:3" x14ac:dyDescent="0.2">
      <c r="A84" s="4" t="s">
        <v>54</v>
      </c>
      <c r="B84" s="6">
        <v>201.36</v>
      </c>
      <c r="C84" s="12">
        <f t="shared" si="1"/>
        <v>-3.6187919030965495E-3</v>
      </c>
    </row>
    <row r="85" spans="1:3" x14ac:dyDescent="0.2">
      <c r="A85" s="4" t="s">
        <v>55</v>
      </c>
      <c r="B85" s="6">
        <v>202.09</v>
      </c>
      <c r="C85" s="12">
        <f t="shared" si="1"/>
        <v>-2.3329093219500632E-2</v>
      </c>
    </row>
    <row r="86" spans="1:3" x14ac:dyDescent="0.2">
      <c r="A86" s="4" t="s">
        <v>56</v>
      </c>
      <c r="B86" s="6">
        <v>206.86</v>
      </c>
      <c r="C86" s="12">
        <f t="shared" si="1"/>
        <v>-9.2388300304947473E-3</v>
      </c>
    </row>
    <row r="87" spans="1:3" x14ac:dyDescent="0.2">
      <c r="A87" s="4" t="s">
        <v>57</v>
      </c>
      <c r="B87" s="6">
        <v>208.78</v>
      </c>
      <c r="C87" s="12">
        <f t="shared" si="1"/>
        <v>-1.1808536414863721E-2</v>
      </c>
    </row>
    <row r="88" spans="1:3" x14ac:dyDescent="0.2">
      <c r="A88" s="4" t="s">
        <v>58</v>
      </c>
      <c r="B88" s="6">
        <v>211.26</v>
      </c>
      <c r="C88" s="12">
        <f t="shared" si="1"/>
        <v>-8.9896152348143657E-4</v>
      </c>
    </row>
    <row r="89" spans="1:3" x14ac:dyDescent="0.2">
      <c r="A89" s="4" t="s">
        <v>59</v>
      </c>
      <c r="B89" s="6">
        <v>211.45</v>
      </c>
      <c r="C89" s="12">
        <f t="shared" si="1"/>
        <v>-4.1531042752048983E-3</v>
      </c>
    </row>
    <row r="90" spans="1:3" x14ac:dyDescent="0.2">
      <c r="A90" s="4" t="s">
        <v>60</v>
      </c>
      <c r="B90" s="6">
        <v>212.33</v>
      </c>
      <c r="C90" s="12">
        <f t="shared" si="1"/>
        <v>-2.8218050046047607E-3</v>
      </c>
    </row>
    <row r="91" spans="1:3" x14ac:dyDescent="0.2">
      <c r="A91" s="4" t="s">
        <v>61</v>
      </c>
      <c r="B91" s="6">
        <v>212.93</v>
      </c>
      <c r="C91" s="12">
        <f t="shared" si="1"/>
        <v>1.0101095986503919E-2</v>
      </c>
    </row>
    <row r="92" spans="1:3" x14ac:dyDescent="0.2">
      <c r="A92" s="5">
        <v>45996</v>
      </c>
      <c r="B92" s="6">
        <v>210.79</v>
      </c>
      <c r="C92" s="12">
        <f t="shared" si="1"/>
        <v>5.9922155002815725E-2</v>
      </c>
    </row>
    <row r="93" spans="1:3" x14ac:dyDescent="0.2">
      <c r="A93" s="5">
        <v>45905</v>
      </c>
      <c r="B93" s="6">
        <v>198.53</v>
      </c>
      <c r="C93" s="12">
        <f t="shared" si="1"/>
        <v>5.2522720610924155E-3</v>
      </c>
    </row>
    <row r="94" spans="1:3" x14ac:dyDescent="0.2">
      <c r="A94" s="5">
        <v>45874</v>
      </c>
      <c r="B94" s="6">
        <v>197.49</v>
      </c>
      <c r="C94" s="12">
        <f t="shared" si="1"/>
        <v>6.298593485377273E-3</v>
      </c>
    </row>
    <row r="95" spans="1:3" x14ac:dyDescent="0.2">
      <c r="A95" s="5">
        <v>45843</v>
      </c>
      <c r="B95" s="6">
        <v>196.25</v>
      </c>
      <c r="C95" s="12">
        <f t="shared" si="1"/>
        <v>-1.1450120029559962E-2</v>
      </c>
    </row>
    <row r="96" spans="1:3" x14ac:dyDescent="0.2">
      <c r="A96" s="5">
        <v>45813</v>
      </c>
      <c r="B96" s="6">
        <v>198.51</v>
      </c>
      <c r="C96" s="12">
        <f t="shared" si="1"/>
        <v>-1.9124313830772783E-3</v>
      </c>
    </row>
    <row r="97" spans="1:3" x14ac:dyDescent="0.2">
      <c r="A97" s="5">
        <v>45782</v>
      </c>
      <c r="B97" s="6">
        <v>198.89</v>
      </c>
      <c r="C97" s="12">
        <f t="shared" si="1"/>
        <v>-3.19639323274125E-2</v>
      </c>
    </row>
    <row r="98" spans="1:3" x14ac:dyDescent="0.2">
      <c r="A98" s="5">
        <v>45693</v>
      </c>
      <c r="B98" s="6">
        <v>205.35</v>
      </c>
      <c r="C98" s="12">
        <f t="shared" si="1"/>
        <v>-3.8077545329833914E-2</v>
      </c>
    </row>
    <row r="99" spans="1:3" x14ac:dyDescent="0.2">
      <c r="A99" s="5">
        <v>45662</v>
      </c>
      <c r="B99" s="6">
        <v>213.32</v>
      </c>
      <c r="C99" s="12">
        <f t="shared" si="1"/>
        <v>3.8513973679298731E-3</v>
      </c>
    </row>
    <row r="100" spans="1:3" x14ac:dyDescent="0.2">
      <c r="A100" s="4" t="s">
        <v>62</v>
      </c>
      <c r="B100" s="6">
        <v>212.5</v>
      </c>
      <c r="C100" s="12">
        <f t="shared" si="1"/>
        <v>6.0890891684208118E-3</v>
      </c>
    </row>
    <row r="101" spans="1:3" x14ac:dyDescent="0.2">
      <c r="A101" s="4" t="s">
        <v>63</v>
      </c>
      <c r="B101" s="6">
        <v>211.21</v>
      </c>
      <c r="C101" s="12">
        <f t="shared" si="1"/>
        <v>5.0789239354215587E-3</v>
      </c>
    </row>
    <row r="102" spans="1:3" x14ac:dyDescent="0.2">
      <c r="A102" s="4" t="s">
        <v>64</v>
      </c>
      <c r="B102" s="6">
        <v>210.14</v>
      </c>
      <c r="C102" s="12">
        <f t="shared" si="1"/>
        <v>4.1009069917952523E-3</v>
      </c>
    </row>
    <row r="103" spans="1:3" x14ac:dyDescent="0.2">
      <c r="A103" s="4" t="s">
        <v>65</v>
      </c>
      <c r="B103" s="6">
        <v>209.28</v>
      </c>
      <c r="C103" s="12">
        <f t="shared" si="1"/>
        <v>4.3577226867250411E-3</v>
      </c>
    </row>
    <row r="104" spans="1:3" x14ac:dyDescent="0.2">
      <c r="A104" s="4" t="s">
        <v>66</v>
      </c>
      <c r="B104" s="6">
        <v>208.37</v>
      </c>
      <c r="C104" s="12">
        <f t="shared" si="1"/>
        <v>1.8258492064582833E-2</v>
      </c>
    </row>
    <row r="105" spans="1:3" x14ac:dyDescent="0.2">
      <c r="A105" s="4" t="s">
        <v>67</v>
      </c>
      <c r="B105" s="6">
        <v>204.6</v>
      </c>
      <c r="C105" s="12">
        <f t="shared" si="1"/>
        <v>2.4040332702537383E-2</v>
      </c>
    </row>
    <row r="106" spans="1:3" x14ac:dyDescent="0.2">
      <c r="A106" s="4" t="s">
        <v>68</v>
      </c>
      <c r="B106" s="6">
        <v>199.74</v>
      </c>
      <c r="C106" s="12">
        <f t="shared" si="1"/>
        <v>3.3497659809647508E-2</v>
      </c>
    </row>
    <row r="107" spans="1:3" x14ac:dyDescent="0.2">
      <c r="A107" s="4" t="s">
        <v>69</v>
      </c>
      <c r="B107" s="6">
        <v>193.16</v>
      </c>
      <c r="C107" s="12">
        <f t="shared" si="1"/>
        <v>-1.9583339736215177E-2</v>
      </c>
    </row>
    <row r="108" spans="1:3" x14ac:dyDescent="0.2">
      <c r="A108" s="4" t="s">
        <v>70</v>
      </c>
      <c r="B108" s="6">
        <v>196.98</v>
      </c>
      <c r="C108" s="12">
        <f t="shared" si="1"/>
        <v>1.385325669086682E-2</v>
      </c>
    </row>
    <row r="109" spans="1:3" x14ac:dyDescent="0.2">
      <c r="A109" s="4" t="s">
        <v>71</v>
      </c>
      <c r="B109" s="6">
        <v>194.27</v>
      </c>
      <c r="C109" s="12">
        <f t="shared" si="1"/>
        <v>-3.9711582595827098E-2</v>
      </c>
    </row>
    <row r="110" spans="1:3" x14ac:dyDescent="0.2">
      <c r="A110" s="4" t="s">
        <v>72</v>
      </c>
      <c r="B110" s="6">
        <v>202.14</v>
      </c>
      <c r="C110" s="12">
        <f t="shared" si="1"/>
        <v>-1.8781204551920384E-3</v>
      </c>
    </row>
    <row r="111" spans="1:3" x14ac:dyDescent="0.2">
      <c r="A111" s="4" t="s">
        <v>73</v>
      </c>
      <c r="B111" s="6">
        <v>202.52</v>
      </c>
      <c r="C111" s="12">
        <f t="shared" si="1"/>
        <v>2.1814327465264516E-2</v>
      </c>
    </row>
    <row r="112" spans="1:3" x14ac:dyDescent="0.2">
      <c r="A112" s="5">
        <v>45965</v>
      </c>
      <c r="B112" s="6">
        <v>198.15</v>
      </c>
      <c r="C112" s="12">
        <f t="shared" si="1"/>
        <v>3.9792160778898779E-2</v>
      </c>
    </row>
    <row r="113" spans="1:3" x14ac:dyDescent="0.2">
      <c r="A113" s="5">
        <v>45934</v>
      </c>
      <c r="B113" s="6">
        <v>190.42</v>
      </c>
      <c r="C113" s="12">
        <f t="shared" si="1"/>
        <v>-4.3318612796154309E-2</v>
      </c>
    </row>
    <row r="114" spans="1:3" x14ac:dyDescent="0.2">
      <c r="A114" s="5">
        <v>45904</v>
      </c>
      <c r="B114" s="6">
        <v>198.85</v>
      </c>
      <c r="C114" s="12">
        <f t="shared" si="1"/>
        <v>0.14261741087192081</v>
      </c>
    </row>
    <row r="115" spans="1:3" x14ac:dyDescent="0.2">
      <c r="A115" s="5">
        <v>45873</v>
      </c>
      <c r="B115" s="6">
        <v>172.42</v>
      </c>
      <c r="C115" s="12">
        <f t="shared" si="1"/>
        <v>-5.1101882959704026E-2</v>
      </c>
    </row>
    <row r="116" spans="1:3" x14ac:dyDescent="0.2">
      <c r="A116" s="5">
        <v>45842</v>
      </c>
      <c r="B116" s="6">
        <v>181.46</v>
      </c>
      <c r="C116" s="12">
        <f t="shared" si="1"/>
        <v>-3.7425955653188146E-2</v>
      </c>
    </row>
    <row r="117" spans="1:3" x14ac:dyDescent="0.2">
      <c r="A117" s="5">
        <v>45751</v>
      </c>
      <c r="B117" s="6">
        <v>188.38</v>
      </c>
      <c r="C117" s="12">
        <f t="shared" si="1"/>
        <v>-7.5680302500250957E-2</v>
      </c>
    </row>
    <row r="118" spans="1:3" x14ac:dyDescent="0.2">
      <c r="A118" s="5">
        <v>45720</v>
      </c>
      <c r="B118" s="6">
        <v>203.19</v>
      </c>
      <c r="C118" s="12">
        <f t="shared" si="1"/>
        <v>-9.7013357916483689E-2</v>
      </c>
    </row>
    <row r="119" spans="1:3" x14ac:dyDescent="0.2">
      <c r="A119" s="5">
        <v>45692</v>
      </c>
      <c r="B119" s="6">
        <v>223.89</v>
      </c>
      <c r="C119" s="12">
        <f t="shared" si="1"/>
        <v>3.1314331753118378E-3</v>
      </c>
    </row>
    <row r="120" spans="1:3" x14ac:dyDescent="0.2">
      <c r="A120" s="5">
        <v>45661</v>
      </c>
      <c r="B120" s="6">
        <v>223.19</v>
      </c>
      <c r="C120" s="12">
        <f t="shared" si="1"/>
        <v>4.7606305665627204E-3</v>
      </c>
    </row>
    <row r="121" spans="1:3" x14ac:dyDescent="0.2">
      <c r="A121" s="4" t="s">
        <v>74</v>
      </c>
      <c r="B121" s="6">
        <v>222.13</v>
      </c>
      <c r="C121" s="12">
        <f t="shared" si="1"/>
        <v>1.9226554118956955E-2</v>
      </c>
    </row>
    <row r="122" spans="1:3" x14ac:dyDescent="0.2">
      <c r="A122" s="4" t="s">
        <v>75</v>
      </c>
      <c r="B122" s="6">
        <v>217.9</v>
      </c>
      <c r="C122" s="12">
        <f t="shared" si="1"/>
        <v>-2.693994273640031E-2</v>
      </c>
    </row>
    <row r="123" spans="1:3" x14ac:dyDescent="0.2">
      <c r="A123" s="4" t="s">
        <v>76</v>
      </c>
      <c r="B123" s="6">
        <v>223.85</v>
      </c>
      <c r="C123" s="12">
        <f t="shared" si="1"/>
        <v>1.041816419239041E-2</v>
      </c>
    </row>
    <row r="124" spans="1:3" x14ac:dyDescent="0.2">
      <c r="A124" s="4" t="s">
        <v>77</v>
      </c>
      <c r="B124" s="6">
        <v>221.53</v>
      </c>
      <c r="C124" s="12">
        <f t="shared" si="1"/>
        <v>-9.9713366603807335E-3</v>
      </c>
    </row>
    <row r="125" spans="1:3" x14ac:dyDescent="0.2">
      <c r="A125" s="4" t="s">
        <v>78</v>
      </c>
      <c r="B125" s="6">
        <v>223.75</v>
      </c>
      <c r="C125" s="12">
        <f t="shared" si="1"/>
        <v>1.3589122001844327E-2</v>
      </c>
    </row>
    <row r="126" spans="1:3" x14ac:dyDescent="0.2">
      <c r="A126" s="4" t="s">
        <v>79</v>
      </c>
      <c r="B126" s="6">
        <v>220.73</v>
      </c>
      <c r="C126" s="12">
        <f t="shared" si="1"/>
        <v>1.1207406602134005E-2</v>
      </c>
    </row>
    <row r="127" spans="1:3" x14ac:dyDescent="0.2">
      <c r="A127" s="4" t="s">
        <v>80</v>
      </c>
      <c r="B127" s="6">
        <v>218.27</v>
      </c>
      <c r="C127" s="12">
        <f t="shared" si="1"/>
        <v>1.9289632955349155E-2</v>
      </c>
    </row>
    <row r="128" spans="1:3" x14ac:dyDescent="0.2">
      <c r="A128" s="4" t="s">
        <v>81</v>
      </c>
      <c r="B128" s="6">
        <v>214.1</v>
      </c>
      <c r="C128" s="12">
        <f t="shared" si="1"/>
        <v>-5.3104890255818429E-3</v>
      </c>
    </row>
    <row r="129" spans="1:3" x14ac:dyDescent="0.2">
      <c r="A129" s="4" t="s">
        <v>82</v>
      </c>
      <c r="B129" s="6">
        <v>215.24</v>
      </c>
      <c r="C129" s="12">
        <f t="shared" si="1"/>
        <v>1.1917978094765389E-2</v>
      </c>
    </row>
    <row r="130" spans="1:3" x14ac:dyDescent="0.2">
      <c r="A130" s="4" t="s">
        <v>83</v>
      </c>
      <c r="B130" s="6">
        <v>212.69</v>
      </c>
      <c r="C130" s="12">
        <f t="shared" si="1"/>
        <v>-6.1403084953978448E-3</v>
      </c>
    </row>
    <row r="131" spans="1:3" x14ac:dyDescent="0.2">
      <c r="A131" s="4" t="s">
        <v>84</v>
      </c>
      <c r="B131" s="6">
        <v>214</v>
      </c>
      <c r="C131" s="12">
        <f t="shared" ref="C131:C194" si="2">LN(B131/B132)</f>
        <v>2.3860218576188547E-3</v>
      </c>
    </row>
    <row r="132" spans="1:3" x14ac:dyDescent="0.2">
      <c r="A132" s="4" t="s">
        <v>85</v>
      </c>
      <c r="B132" s="6">
        <v>213.49</v>
      </c>
      <c r="C132" s="12">
        <f t="shared" si="2"/>
        <v>1.8007434149081746E-2</v>
      </c>
    </row>
    <row r="133" spans="1:3" x14ac:dyDescent="0.2">
      <c r="A133" s="4" t="s">
        <v>86</v>
      </c>
      <c r="B133" s="6">
        <v>209.68</v>
      </c>
      <c r="C133" s="12">
        <f t="shared" si="2"/>
        <v>-3.4222624379153584E-2</v>
      </c>
    </row>
    <row r="134" spans="1:3" x14ac:dyDescent="0.2">
      <c r="A134" s="5">
        <v>45994</v>
      </c>
      <c r="B134" s="6">
        <v>216.98</v>
      </c>
      <c r="C134" s="12">
        <f t="shared" si="2"/>
        <v>-1.7633274021539299E-2</v>
      </c>
    </row>
    <row r="135" spans="1:3" x14ac:dyDescent="0.2">
      <c r="A135" s="5">
        <v>45964</v>
      </c>
      <c r="B135" s="6">
        <v>220.84</v>
      </c>
      <c r="C135" s="12">
        <f t="shared" si="2"/>
        <v>-2.9623865022754978E-2</v>
      </c>
    </row>
    <row r="136" spans="1:3" x14ac:dyDescent="0.2">
      <c r="A136" s="5">
        <v>45933</v>
      </c>
      <c r="B136" s="6">
        <v>227.48</v>
      </c>
      <c r="C136" s="12">
        <f t="shared" si="2"/>
        <v>-4.9694073639167571E-2</v>
      </c>
    </row>
    <row r="137" spans="1:3" x14ac:dyDescent="0.2">
      <c r="A137" s="5">
        <v>45841</v>
      </c>
      <c r="B137" s="6">
        <v>239.07</v>
      </c>
      <c r="C137" s="12">
        <f t="shared" si="2"/>
        <v>1.5767611658897701E-2</v>
      </c>
    </row>
    <row r="138" spans="1:3" x14ac:dyDescent="0.2">
      <c r="A138" s="5">
        <v>45811</v>
      </c>
      <c r="B138" s="6">
        <v>235.33</v>
      </c>
      <c r="C138" s="12">
        <f t="shared" si="2"/>
        <v>-1.740718379554715E-3</v>
      </c>
    </row>
    <row r="139" spans="1:3" x14ac:dyDescent="0.2">
      <c r="A139" s="5">
        <v>45780</v>
      </c>
      <c r="B139" s="6">
        <v>235.74</v>
      </c>
      <c r="C139" s="12">
        <f t="shared" si="2"/>
        <v>-8.0564806019855866E-4</v>
      </c>
    </row>
    <row r="140" spans="1:3" x14ac:dyDescent="0.2">
      <c r="A140" s="5">
        <v>45750</v>
      </c>
      <c r="B140" s="6">
        <v>235.93</v>
      </c>
      <c r="C140" s="12">
        <f t="shared" si="2"/>
        <v>-8.8615652893341244E-3</v>
      </c>
    </row>
    <row r="141" spans="1:3" x14ac:dyDescent="0.2">
      <c r="A141" s="5">
        <v>45719</v>
      </c>
      <c r="B141" s="6">
        <v>238.03</v>
      </c>
      <c r="C141" s="12">
        <f t="shared" si="2"/>
        <v>-1.5879634323246551E-2</v>
      </c>
    </row>
    <row r="142" spans="1:3" x14ac:dyDescent="0.2">
      <c r="A142" s="4" t="s">
        <v>87</v>
      </c>
      <c r="B142" s="6">
        <v>241.84</v>
      </c>
      <c r="C142" s="12">
        <f t="shared" si="2"/>
        <v>1.8951187029484631E-2</v>
      </c>
    </row>
    <row r="143" spans="1:3" x14ac:dyDescent="0.2">
      <c r="A143" s="4" t="s">
        <v>88</v>
      </c>
      <c r="B143" s="6">
        <v>237.3</v>
      </c>
      <c r="C143" s="12">
        <f t="shared" si="2"/>
        <v>-1.2812636024009335E-2</v>
      </c>
    </row>
    <row r="144" spans="1:3" x14ac:dyDescent="0.2">
      <c r="A144" s="4" t="s">
        <v>89</v>
      </c>
      <c r="B144" s="6">
        <v>240.36</v>
      </c>
      <c r="C144" s="12">
        <f t="shared" si="2"/>
        <v>-2.7412467370684025E-2</v>
      </c>
    </row>
    <row r="145" spans="1:3" x14ac:dyDescent="0.2">
      <c r="A145" s="4" t="s">
        <v>90</v>
      </c>
      <c r="B145" s="6">
        <v>247.04</v>
      </c>
      <c r="C145" s="12">
        <f t="shared" si="2"/>
        <v>-2.4284615815310331E-4</v>
      </c>
    </row>
    <row r="146" spans="1:3" x14ac:dyDescent="0.2">
      <c r="A146" s="4" t="s">
        <v>91</v>
      </c>
      <c r="B146" s="6">
        <v>247.1</v>
      </c>
      <c r="C146" s="12">
        <f t="shared" si="2"/>
        <v>6.2925205093107527E-3</v>
      </c>
    </row>
    <row r="147" spans="1:3" x14ac:dyDescent="0.2">
      <c r="A147" s="4" t="s">
        <v>92</v>
      </c>
      <c r="B147" s="6">
        <v>245.55</v>
      </c>
      <c r="C147" s="12">
        <f t="shared" si="2"/>
        <v>-1.1396476466492649E-3</v>
      </c>
    </row>
    <row r="148" spans="1:3" x14ac:dyDescent="0.2">
      <c r="A148" s="4" t="s">
        <v>93</v>
      </c>
      <c r="B148" s="6">
        <v>245.83</v>
      </c>
      <c r="C148" s="12">
        <f t="shared" si="2"/>
        <v>3.9127826565687213E-3</v>
      </c>
    </row>
    <row r="149" spans="1:3" x14ac:dyDescent="0.2">
      <c r="A149" s="4" t="s">
        <v>94</v>
      </c>
      <c r="B149" s="6">
        <v>244.87</v>
      </c>
      <c r="C149" s="12">
        <f t="shared" si="2"/>
        <v>1.6348554750960618E-3</v>
      </c>
    </row>
    <row r="150" spans="1:3" x14ac:dyDescent="0.2">
      <c r="A150" s="4" t="s">
        <v>95</v>
      </c>
      <c r="B150" s="6">
        <v>244.47</v>
      </c>
      <c r="C150" s="12">
        <f t="shared" si="2"/>
        <v>-5.3162125283384893E-4</v>
      </c>
    </row>
    <row r="151" spans="1:3" x14ac:dyDescent="0.2">
      <c r="A151" s="4" t="s">
        <v>96</v>
      </c>
      <c r="B151" s="6">
        <v>244.6</v>
      </c>
      <c r="C151" s="12">
        <f t="shared" si="2"/>
        <v>1.2630534273072785E-2</v>
      </c>
    </row>
    <row r="152" spans="1:3" x14ac:dyDescent="0.2">
      <c r="A152" s="4" t="s">
        <v>97</v>
      </c>
      <c r="B152" s="6">
        <v>241.53</v>
      </c>
      <c r="C152" s="12">
        <f t="shared" si="2"/>
        <v>1.9482221545508639E-2</v>
      </c>
    </row>
    <row r="153" spans="1:3" x14ac:dyDescent="0.2">
      <c r="A153" s="5">
        <v>45993</v>
      </c>
      <c r="B153" s="6">
        <v>236.87</v>
      </c>
      <c r="C153" s="12">
        <f t="shared" si="2"/>
        <v>1.810524652359782E-2</v>
      </c>
    </row>
    <row r="154" spans="1:3" x14ac:dyDescent="0.2">
      <c r="A154" s="5">
        <v>45963</v>
      </c>
      <c r="B154" s="6">
        <v>232.62</v>
      </c>
      <c r="C154" s="12">
        <f t="shared" si="2"/>
        <v>2.1596859130101596E-2</v>
      </c>
    </row>
    <row r="155" spans="1:3" x14ac:dyDescent="0.2">
      <c r="A155" s="5">
        <v>45932</v>
      </c>
      <c r="B155" s="6">
        <v>227.65</v>
      </c>
      <c r="C155" s="12">
        <f t="shared" si="2"/>
        <v>8.7858021493861051E-5</v>
      </c>
    </row>
    <row r="156" spans="1:3" x14ac:dyDescent="0.2">
      <c r="A156" s="5">
        <v>45840</v>
      </c>
      <c r="B156" s="6">
        <v>227.63</v>
      </c>
      <c r="C156" s="12">
        <f t="shared" si="2"/>
        <v>-2.4260710332889599E-2</v>
      </c>
    </row>
    <row r="157" spans="1:3" x14ac:dyDescent="0.2">
      <c r="A157" s="5">
        <v>45810</v>
      </c>
      <c r="B157" s="6">
        <v>233.22</v>
      </c>
      <c r="C157" s="12">
        <f t="shared" si="2"/>
        <v>3.2210296482183117E-3</v>
      </c>
    </row>
    <row r="158" spans="1:3" x14ac:dyDescent="0.2">
      <c r="A158" s="5">
        <v>45779</v>
      </c>
      <c r="B158" s="6">
        <v>232.47</v>
      </c>
      <c r="C158" s="12">
        <f t="shared" si="2"/>
        <v>-1.4185314133143574E-3</v>
      </c>
    </row>
    <row r="159" spans="1:3" x14ac:dyDescent="0.2">
      <c r="A159" s="5">
        <v>45749</v>
      </c>
      <c r="B159" s="6">
        <v>232.8</v>
      </c>
      <c r="C159" s="12">
        <f t="shared" si="2"/>
        <v>2.0790228215525564E-2</v>
      </c>
    </row>
    <row r="160" spans="1:3" x14ac:dyDescent="0.2">
      <c r="A160" s="5">
        <v>45718</v>
      </c>
      <c r="B160" s="6">
        <v>228.01</v>
      </c>
      <c r="C160" s="12">
        <f t="shared" si="2"/>
        <v>-3.4442317383852845E-2</v>
      </c>
    </row>
    <row r="161" spans="1:3" x14ac:dyDescent="0.2">
      <c r="A161" s="4" t="s">
        <v>98</v>
      </c>
      <c r="B161" s="6">
        <v>236</v>
      </c>
      <c r="C161" s="12">
        <f t="shared" si="2"/>
        <v>-6.714694035086833E-3</v>
      </c>
    </row>
    <row r="162" spans="1:3" x14ac:dyDescent="0.2">
      <c r="A162" s="4" t="s">
        <v>99</v>
      </c>
      <c r="B162" s="6">
        <v>237.59</v>
      </c>
      <c r="C162" s="12">
        <f t="shared" si="2"/>
        <v>-7.4221957254156003E-3</v>
      </c>
    </row>
    <row r="163" spans="1:3" x14ac:dyDescent="0.2">
      <c r="A163" s="4" t="s">
        <v>100</v>
      </c>
      <c r="B163" s="6">
        <v>239.36</v>
      </c>
      <c r="C163" s="12">
        <f t="shared" si="2"/>
        <v>4.6061804148975023E-3</v>
      </c>
    </row>
    <row r="164" spans="1:3" x14ac:dyDescent="0.2">
      <c r="A164" s="4" t="s">
        <v>101</v>
      </c>
      <c r="B164" s="6">
        <v>238.26</v>
      </c>
      <c r="C164" s="12">
        <f t="shared" si="2"/>
        <v>3.5892086430602384E-2</v>
      </c>
    </row>
    <row r="165" spans="1:3" x14ac:dyDescent="0.2">
      <c r="A165" s="4" t="s">
        <v>102</v>
      </c>
      <c r="B165" s="6">
        <v>229.86</v>
      </c>
      <c r="C165" s="12">
        <f t="shared" si="2"/>
        <v>3.1285690523568978E-2</v>
      </c>
    </row>
    <row r="166" spans="1:3" x14ac:dyDescent="0.2">
      <c r="A166" s="4" t="s">
        <v>103</v>
      </c>
      <c r="B166" s="6">
        <v>222.78</v>
      </c>
      <c r="C166" s="12">
        <f t="shared" si="2"/>
        <v>-3.9423041829985839E-3</v>
      </c>
    </row>
    <row r="167" spans="1:3" x14ac:dyDescent="0.2">
      <c r="A167" s="4" t="s">
        <v>104</v>
      </c>
      <c r="B167" s="6">
        <v>223.66</v>
      </c>
      <c r="C167" s="12">
        <f t="shared" si="2"/>
        <v>-7.5979355149053557E-4</v>
      </c>
    </row>
    <row r="168" spans="1:3" x14ac:dyDescent="0.2">
      <c r="A168" s="4" t="s">
        <v>105</v>
      </c>
      <c r="B168" s="6">
        <v>223.83</v>
      </c>
      <c r="C168" s="12">
        <f t="shared" si="2"/>
        <v>5.3307179338975266E-3</v>
      </c>
    </row>
    <row r="169" spans="1:3" x14ac:dyDescent="0.2">
      <c r="A169" s="4" t="s">
        <v>106</v>
      </c>
      <c r="B169" s="6">
        <v>222.64</v>
      </c>
      <c r="C169" s="12">
        <f t="shared" si="2"/>
        <v>-3.2436231402883438E-2</v>
      </c>
    </row>
    <row r="170" spans="1:3" x14ac:dyDescent="0.2">
      <c r="A170" s="4" t="s">
        <v>107</v>
      </c>
      <c r="B170" s="6">
        <v>229.98</v>
      </c>
      <c r="C170" s="12">
        <f t="shared" si="2"/>
        <v>7.5070184950648353E-3</v>
      </c>
    </row>
    <row r="171" spans="1:3" x14ac:dyDescent="0.2">
      <c r="A171" s="4" t="s">
        <v>108</v>
      </c>
      <c r="B171" s="6">
        <v>228.26</v>
      </c>
      <c r="C171" s="12">
        <f t="shared" si="2"/>
        <v>-4.1238975826963314E-2</v>
      </c>
    </row>
    <row r="172" spans="1:3" x14ac:dyDescent="0.2">
      <c r="A172" s="4" t="s">
        <v>109</v>
      </c>
      <c r="B172" s="6">
        <v>237.87</v>
      </c>
      <c r="C172" s="12">
        <f t="shared" si="2"/>
        <v>1.9484857132124001E-2</v>
      </c>
    </row>
    <row r="173" spans="1:3" x14ac:dyDescent="0.2">
      <c r="A173" s="4" t="s">
        <v>110</v>
      </c>
      <c r="B173" s="6">
        <v>233.28</v>
      </c>
      <c r="C173" s="12">
        <f t="shared" si="2"/>
        <v>-4.7896088825642048E-3</v>
      </c>
    </row>
    <row r="174" spans="1:3" x14ac:dyDescent="0.2">
      <c r="A174" s="4" t="s">
        <v>111</v>
      </c>
      <c r="B174" s="6">
        <v>234.4</v>
      </c>
      <c r="C174" s="12">
        <f t="shared" si="2"/>
        <v>-1.0397971666903203E-2</v>
      </c>
    </row>
    <row r="175" spans="1:3" x14ac:dyDescent="0.2">
      <c r="A175" s="5">
        <v>45931</v>
      </c>
      <c r="B175" s="6">
        <v>236.85</v>
      </c>
      <c r="C175" s="12">
        <f t="shared" si="2"/>
        <v>-2.4399083362794845E-2</v>
      </c>
    </row>
    <row r="176" spans="1:3" x14ac:dyDescent="0.2">
      <c r="A176" s="5">
        <v>45870</v>
      </c>
      <c r="B176" s="6">
        <v>242.7</v>
      </c>
      <c r="C176" s="12">
        <f t="shared" si="2"/>
        <v>2.0209942743203797E-3</v>
      </c>
    </row>
    <row r="177" spans="1:3" x14ac:dyDescent="0.2">
      <c r="A177" s="5">
        <v>45839</v>
      </c>
      <c r="B177" s="6">
        <v>242.21</v>
      </c>
      <c r="C177" s="12">
        <f t="shared" si="2"/>
        <v>-1.1453092086491822E-2</v>
      </c>
    </row>
    <row r="178" spans="1:3" x14ac:dyDescent="0.2">
      <c r="A178" s="5">
        <v>45809</v>
      </c>
      <c r="B178" s="6">
        <v>245</v>
      </c>
      <c r="C178" s="12">
        <f t="shared" si="2"/>
        <v>6.7163820337442027E-3</v>
      </c>
    </row>
    <row r="179" spans="1:3" x14ac:dyDescent="0.2">
      <c r="A179" s="5">
        <v>45717</v>
      </c>
      <c r="B179" s="6">
        <v>243.36</v>
      </c>
      <c r="C179" s="12">
        <f t="shared" si="2"/>
        <v>-2.0114536450788353E-3</v>
      </c>
    </row>
    <row r="180" spans="1:3" x14ac:dyDescent="0.2">
      <c r="A180" s="5">
        <v>45689</v>
      </c>
      <c r="B180" s="6">
        <v>243.85</v>
      </c>
      <c r="C180" s="12">
        <f t="shared" si="2"/>
        <v>-2.6586226084739983E-2</v>
      </c>
    </row>
    <row r="181" spans="1:3" x14ac:dyDescent="0.2">
      <c r="A181" s="4" t="s">
        <v>112</v>
      </c>
      <c r="B181" s="6">
        <v>250.42</v>
      </c>
      <c r="C181" s="12">
        <f t="shared" si="2"/>
        <v>-7.0829152900175382E-3</v>
      </c>
    </row>
    <row r="182" spans="1:3" x14ac:dyDescent="0.2">
      <c r="A182" s="4" t="s">
        <v>113</v>
      </c>
      <c r="B182" s="6">
        <v>252.2</v>
      </c>
      <c r="C182" s="12">
        <f t="shared" si="2"/>
        <v>-1.3352174576538492E-2</v>
      </c>
    </row>
    <row r="183" spans="1:3" x14ac:dyDescent="0.2">
      <c r="A183" s="4" t="s">
        <v>114</v>
      </c>
      <c r="B183" s="6">
        <v>255.59</v>
      </c>
      <c r="C183" s="12">
        <f t="shared" si="2"/>
        <v>-1.3330680688083499E-2</v>
      </c>
    </row>
    <row r="184" spans="1:3" x14ac:dyDescent="0.2">
      <c r="A184" s="4" t="s">
        <v>115</v>
      </c>
      <c r="B184" s="6">
        <v>259.02</v>
      </c>
      <c r="C184" s="12">
        <f t="shared" si="2"/>
        <v>3.1708003828989626E-3</v>
      </c>
    </row>
    <row r="185" spans="1:3" x14ac:dyDescent="0.2">
      <c r="A185" s="4" t="s">
        <v>116</v>
      </c>
      <c r="B185" s="6">
        <v>258.2</v>
      </c>
      <c r="C185" s="12">
        <f t="shared" si="2"/>
        <v>1.1412669882966294E-2</v>
      </c>
    </row>
    <row r="186" spans="1:3" x14ac:dyDescent="0.2">
      <c r="A186" s="4" t="s">
        <v>117</v>
      </c>
      <c r="B186" s="6">
        <v>255.27</v>
      </c>
      <c r="C186" s="12">
        <f t="shared" si="2"/>
        <v>3.0602660418225774E-3</v>
      </c>
    </row>
    <row r="187" spans="1:3" x14ac:dyDescent="0.2">
      <c r="A187" s="4" t="s">
        <v>118</v>
      </c>
      <c r="B187" s="6">
        <v>254.49</v>
      </c>
      <c r="C187" s="12">
        <f t="shared" si="2"/>
        <v>1.8640977623199214E-2</v>
      </c>
    </row>
    <row r="188" spans="1:3" x14ac:dyDescent="0.2">
      <c r="A188" s="4" t="s">
        <v>119</v>
      </c>
      <c r="B188" s="6">
        <v>249.79</v>
      </c>
      <c r="C188" s="12">
        <f t="shared" si="2"/>
        <v>6.9902261174959015E-3</v>
      </c>
    </row>
    <row r="189" spans="1:3" x14ac:dyDescent="0.2">
      <c r="A189" s="4" t="s">
        <v>120</v>
      </c>
      <c r="B189" s="6">
        <v>248.05</v>
      </c>
      <c r="C189" s="12">
        <f t="shared" si="2"/>
        <v>-2.1654585708258262E-2</v>
      </c>
    </row>
    <row r="190" spans="1:3" x14ac:dyDescent="0.2">
      <c r="A190" s="4" t="s">
        <v>121</v>
      </c>
      <c r="B190" s="6">
        <v>253.48</v>
      </c>
      <c r="C190" s="12">
        <f t="shared" si="2"/>
        <v>9.6726354705936723E-3</v>
      </c>
    </row>
    <row r="191" spans="1:3" x14ac:dyDescent="0.2">
      <c r="A191" s="4" t="s">
        <v>122</v>
      </c>
      <c r="B191" s="6">
        <v>251.04</v>
      </c>
      <c r="C191" s="12">
        <f t="shared" si="2"/>
        <v>1.1659486612797755E-2</v>
      </c>
    </row>
    <row r="192" spans="1:3" x14ac:dyDescent="0.2">
      <c r="A192" s="4" t="s">
        <v>123</v>
      </c>
      <c r="B192" s="6">
        <v>248.13</v>
      </c>
      <c r="C192" s="12">
        <f t="shared" si="2"/>
        <v>6.8535953820605803E-4</v>
      </c>
    </row>
    <row r="193" spans="1:3" x14ac:dyDescent="0.2">
      <c r="A193" s="5">
        <v>45638</v>
      </c>
      <c r="B193" s="6">
        <v>247.96</v>
      </c>
      <c r="C193" s="12">
        <f t="shared" si="2"/>
        <v>5.9460181251939897E-3</v>
      </c>
    </row>
    <row r="194" spans="1:3" x14ac:dyDescent="0.2">
      <c r="A194" s="5">
        <v>45608</v>
      </c>
      <c r="B194" s="6">
        <v>246.49</v>
      </c>
      <c r="C194" s="12">
        <f t="shared" si="2"/>
        <v>-5.1794717822105452E-3</v>
      </c>
    </row>
    <row r="195" spans="1:3" x14ac:dyDescent="0.2">
      <c r="A195" s="5">
        <v>45577</v>
      </c>
      <c r="B195" s="6">
        <v>247.77</v>
      </c>
      <c r="C195" s="12">
        <f t="shared" ref="C195:C258" si="3">LN(B195/B196)</f>
        <v>4.1252181771443009E-3</v>
      </c>
    </row>
    <row r="196" spans="1:3" x14ac:dyDescent="0.2">
      <c r="A196" s="5">
        <v>45547</v>
      </c>
      <c r="B196" s="6">
        <v>246.75</v>
      </c>
      <c r="C196" s="12">
        <f t="shared" si="3"/>
        <v>1.5972888051357558E-2</v>
      </c>
    </row>
    <row r="197" spans="1:3" x14ac:dyDescent="0.2">
      <c r="A197" s="5">
        <v>45455</v>
      </c>
      <c r="B197" s="6">
        <v>242.84</v>
      </c>
      <c r="C197" s="12">
        <f t="shared" si="3"/>
        <v>-8.2324858522934052E-4</v>
      </c>
    </row>
    <row r="198" spans="1:3" x14ac:dyDescent="0.2">
      <c r="A198" s="5">
        <v>45424</v>
      </c>
      <c r="B198" s="6">
        <v>243.04</v>
      </c>
      <c r="C198" s="12">
        <f t="shared" si="3"/>
        <v>1.2344409027086238E-4</v>
      </c>
    </row>
    <row r="199" spans="1:3" x14ac:dyDescent="0.2">
      <c r="A199" s="5">
        <v>45394</v>
      </c>
      <c r="B199" s="6">
        <v>243.01</v>
      </c>
      <c r="C199" s="12">
        <f t="shared" si="3"/>
        <v>1.4825189059665656E-3</v>
      </c>
    </row>
    <row r="200" spans="1:3" x14ac:dyDescent="0.2">
      <c r="A200" s="5">
        <v>45363</v>
      </c>
      <c r="B200" s="6">
        <v>242.65</v>
      </c>
      <c r="C200" s="12">
        <f t="shared" si="3"/>
        <v>1.269094670795666E-2</v>
      </c>
    </row>
    <row r="201" spans="1:3" x14ac:dyDescent="0.2">
      <c r="A201" s="5">
        <v>45334</v>
      </c>
      <c r="B201" s="6">
        <v>239.59</v>
      </c>
      <c r="C201" s="12">
        <f t="shared" si="3"/>
        <v>9.477551441854002E-3</v>
      </c>
    </row>
    <row r="202" spans="1:3" x14ac:dyDescent="0.2">
      <c r="A202" s="4" t="s">
        <v>124</v>
      </c>
      <c r="B202" s="6">
        <v>237.33</v>
      </c>
      <c r="C202" s="12">
        <f t="shared" si="3"/>
        <v>1.0163980270458799E-2</v>
      </c>
    </row>
    <row r="203" spans="1:3" x14ac:dyDescent="0.2">
      <c r="A203" s="4" t="s">
        <v>125</v>
      </c>
      <c r="B203" s="6">
        <v>234.93</v>
      </c>
      <c r="C203" s="12">
        <f t="shared" si="3"/>
        <v>-5.5320327375206512E-4</v>
      </c>
    </row>
    <row r="204" spans="1:3" x14ac:dyDescent="0.2">
      <c r="A204" s="4" t="s">
        <v>126</v>
      </c>
      <c r="B204" s="6">
        <v>235.06</v>
      </c>
      <c r="C204" s="12">
        <f t="shared" si="3"/>
        <v>9.3604427595636724E-3</v>
      </c>
    </row>
    <row r="205" spans="1:3" x14ac:dyDescent="0.2">
      <c r="A205" s="4" t="s">
        <v>127</v>
      </c>
      <c r="B205" s="6">
        <v>232.87</v>
      </c>
      <c r="C205" s="12">
        <f t="shared" si="3"/>
        <v>1.2966426208818584E-2</v>
      </c>
    </row>
    <row r="206" spans="1:3" x14ac:dyDescent="0.2">
      <c r="A206" s="4" t="s">
        <v>128</v>
      </c>
      <c r="B206" s="6">
        <v>229.87</v>
      </c>
      <c r="C206" s="12">
        <f t="shared" si="3"/>
        <v>5.890197880063815E-3</v>
      </c>
    </row>
    <row r="207" spans="1:3" x14ac:dyDescent="0.2">
      <c r="A207" s="4" t="s">
        <v>129</v>
      </c>
      <c r="B207" s="6">
        <v>228.52</v>
      </c>
      <c r="C207" s="12">
        <f t="shared" si="3"/>
        <v>-2.0982696979778065E-3</v>
      </c>
    </row>
    <row r="208" spans="1:3" x14ac:dyDescent="0.2">
      <c r="A208" s="4" t="s">
        <v>130</v>
      </c>
      <c r="B208" s="6">
        <v>229</v>
      </c>
      <c r="C208" s="12">
        <f t="shared" si="3"/>
        <v>3.1490578857323766E-3</v>
      </c>
    </row>
    <row r="209" spans="1:3" x14ac:dyDescent="0.2">
      <c r="A209" s="4" t="s">
        <v>131</v>
      </c>
      <c r="B209" s="6">
        <v>228.28</v>
      </c>
      <c r="C209" s="12">
        <f t="shared" si="3"/>
        <v>1.1396012629335743E-3</v>
      </c>
    </row>
    <row r="210" spans="1:3" x14ac:dyDescent="0.2">
      <c r="A210" s="4" t="s">
        <v>132</v>
      </c>
      <c r="B210" s="6">
        <v>228.02</v>
      </c>
      <c r="C210" s="12">
        <f t="shared" si="3"/>
        <v>1.3332942201153587E-2</v>
      </c>
    </row>
    <row r="211" spans="1:3" x14ac:dyDescent="0.2">
      <c r="A211" s="4" t="s">
        <v>133</v>
      </c>
      <c r="B211" s="6">
        <v>225</v>
      </c>
      <c r="C211" s="12">
        <f t="shared" si="3"/>
        <v>-1.4209673802113448E-2</v>
      </c>
    </row>
    <row r="212" spans="1:3" x14ac:dyDescent="0.2">
      <c r="A212" s="4" t="s">
        <v>134</v>
      </c>
      <c r="B212" s="6">
        <v>228.22</v>
      </c>
      <c r="C212" s="12">
        <f t="shared" si="3"/>
        <v>1.3676482640454679E-2</v>
      </c>
    </row>
    <row r="213" spans="1:3" x14ac:dyDescent="0.2">
      <c r="A213" s="4" t="s">
        <v>135</v>
      </c>
      <c r="B213" s="6">
        <v>225.12</v>
      </c>
      <c r="C213" s="12">
        <f t="shared" si="3"/>
        <v>3.9612825806397481E-3</v>
      </c>
    </row>
    <row r="214" spans="1:3" x14ac:dyDescent="0.2">
      <c r="A214" s="5">
        <v>45637</v>
      </c>
      <c r="B214" s="6">
        <v>224.23</v>
      </c>
      <c r="C214" s="12">
        <f t="shared" si="3"/>
        <v>0</v>
      </c>
    </row>
    <row r="215" spans="1:3" x14ac:dyDescent="0.2">
      <c r="A215" s="5">
        <v>45607</v>
      </c>
      <c r="B215" s="6">
        <v>224.23</v>
      </c>
      <c r="C215" s="12">
        <f t="shared" si="3"/>
        <v>-1.2101479715156712E-2</v>
      </c>
    </row>
    <row r="216" spans="1:3" x14ac:dyDescent="0.2">
      <c r="A216" s="5">
        <v>45515</v>
      </c>
      <c r="B216" s="6">
        <v>226.96</v>
      </c>
      <c r="C216" s="12">
        <f t="shared" si="3"/>
        <v>-2.2885319380029265E-3</v>
      </c>
    </row>
    <row r="217" spans="1:3" x14ac:dyDescent="0.2">
      <c r="A217" s="5">
        <v>45484</v>
      </c>
      <c r="B217" s="6">
        <v>227.48</v>
      </c>
      <c r="C217" s="12">
        <f t="shared" si="3"/>
        <v>2.1146945292544149E-2</v>
      </c>
    </row>
    <row r="218" spans="1:3" x14ac:dyDescent="0.2">
      <c r="A218" s="5">
        <v>45454</v>
      </c>
      <c r="B218" s="6">
        <v>222.72</v>
      </c>
      <c r="C218" s="12">
        <f t="shared" si="3"/>
        <v>-3.2722982334056835E-3</v>
      </c>
    </row>
    <row r="219" spans="1:3" x14ac:dyDescent="0.2">
      <c r="A219" s="5">
        <v>45423</v>
      </c>
      <c r="B219" s="6">
        <v>223.45</v>
      </c>
      <c r="C219" s="12">
        <f t="shared" si="3"/>
        <v>6.4652494766336294E-3</v>
      </c>
    </row>
    <row r="220" spans="1:3" x14ac:dyDescent="0.2">
      <c r="A220" s="5">
        <v>45393</v>
      </c>
      <c r="B220" s="6">
        <v>222.01</v>
      </c>
      <c r="C220" s="12">
        <f t="shared" si="3"/>
        <v>-4.0456766500141109E-3</v>
      </c>
    </row>
    <row r="221" spans="1:3" x14ac:dyDescent="0.2">
      <c r="A221" s="5">
        <v>45302</v>
      </c>
      <c r="B221" s="6">
        <v>222.91</v>
      </c>
      <c r="C221" s="12">
        <f t="shared" si="3"/>
        <v>-1.3368587316289905E-2</v>
      </c>
    </row>
    <row r="222" spans="1:3" x14ac:dyDescent="0.2">
      <c r="A222" s="4" t="s">
        <v>136</v>
      </c>
      <c r="B222" s="6">
        <v>225.91</v>
      </c>
      <c r="C222" s="12">
        <f t="shared" si="3"/>
        <v>-1.8377307172189244E-2</v>
      </c>
    </row>
    <row r="223" spans="1:3" x14ac:dyDescent="0.2">
      <c r="A223" s="4" t="s">
        <v>137</v>
      </c>
      <c r="B223" s="6">
        <v>230.1</v>
      </c>
      <c r="C223" s="12">
        <f t="shared" si="3"/>
        <v>-1.5395866558646653E-2</v>
      </c>
    </row>
    <row r="224" spans="1:3" x14ac:dyDescent="0.2">
      <c r="A224" s="4" t="s">
        <v>138</v>
      </c>
      <c r="B224" s="6">
        <v>233.67</v>
      </c>
      <c r="C224" s="12">
        <f t="shared" si="3"/>
        <v>1.1561437475111353E-3</v>
      </c>
    </row>
    <row r="225" spans="1:3" x14ac:dyDescent="0.2">
      <c r="A225" s="4" t="s">
        <v>139</v>
      </c>
      <c r="B225" s="6">
        <v>233.4</v>
      </c>
      <c r="C225" s="12">
        <f t="shared" si="3"/>
        <v>8.5626908148752033E-3</v>
      </c>
    </row>
    <row r="226" spans="1:3" x14ac:dyDescent="0.2">
      <c r="A226" s="4" t="s">
        <v>140</v>
      </c>
      <c r="B226" s="6">
        <v>231.41</v>
      </c>
      <c r="C226" s="12">
        <f t="shared" si="3"/>
        <v>3.6365250690583951E-3</v>
      </c>
    </row>
    <row r="227" spans="1:3" x14ac:dyDescent="0.2">
      <c r="A227" s="4" t="s">
        <v>141</v>
      </c>
      <c r="B227" s="6">
        <v>230.57</v>
      </c>
      <c r="C227" s="12">
        <f t="shared" si="3"/>
        <v>-8.2370542016678883E-4</v>
      </c>
    </row>
    <row r="228" spans="1:3" x14ac:dyDescent="0.2">
      <c r="A228" s="4" t="s">
        <v>142</v>
      </c>
      <c r="B228" s="6">
        <v>230.76</v>
      </c>
      <c r="C228" s="12">
        <f t="shared" si="3"/>
        <v>-2.1860199273135369E-2</v>
      </c>
    </row>
    <row r="229" spans="1:3" x14ac:dyDescent="0.2">
      <c r="A229" s="4" t="s">
        <v>143</v>
      </c>
      <c r="B229" s="6">
        <v>235.86</v>
      </c>
      <c r="C229" s="12">
        <f t="shared" si="3"/>
        <v>-2.625229098012868E-3</v>
      </c>
    </row>
    <row r="230" spans="1:3" x14ac:dyDescent="0.2">
      <c r="A230" s="4" t="s">
        <v>144</v>
      </c>
      <c r="B230" s="6">
        <v>236.48</v>
      </c>
      <c r="C230" s="12">
        <f t="shared" si="3"/>
        <v>6.278123615677908E-3</v>
      </c>
    </row>
    <row r="231" spans="1:3" x14ac:dyDescent="0.2">
      <c r="A231" s="4" t="s">
        <v>145</v>
      </c>
      <c r="B231" s="6">
        <v>235</v>
      </c>
      <c r="C231" s="12">
        <f t="shared" si="3"/>
        <v>1.2201799678228265E-2</v>
      </c>
    </row>
    <row r="232" spans="1:3" x14ac:dyDescent="0.2">
      <c r="A232" s="4" t="s">
        <v>146</v>
      </c>
      <c r="B232" s="6">
        <v>232.15</v>
      </c>
      <c r="C232" s="12">
        <f t="shared" si="3"/>
        <v>1.5950685596858294E-3</v>
      </c>
    </row>
    <row r="233" spans="1:3" x14ac:dyDescent="0.2">
      <c r="A233" s="4" t="s">
        <v>147</v>
      </c>
      <c r="B233" s="6">
        <v>231.78</v>
      </c>
      <c r="C233" s="12">
        <f t="shared" si="3"/>
        <v>-8.8912382656501972E-3</v>
      </c>
    </row>
    <row r="234" spans="1:3" x14ac:dyDescent="0.2">
      <c r="A234" s="4" t="s">
        <v>148</v>
      </c>
      <c r="B234" s="6">
        <v>233.85</v>
      </c>
      <c r="C234" s="12">
        <f t="shared" si="3"/>
        <v>1.0964314934501682E-2</v>
      </c>
    </row>
    <row r="235" spans="1:3" x14ac:dyDescent="0.2">
      <c r="A235" s="4" t="s">
        <v>149</v>
      </c>
      <c r="B235" s="6">
        <v>231.3</v>
      </c>
      <c r="C235" s="12">
        <f t="shared" si="3"/>
        <v>1.6345574774742577E-2</v>
      </c>
    </row>
    <row r="236" spans="1:3" x14ac:dyDescent="0.2">
      <c r="A236" s="5">
        <v>45606</v>
      </c>
      <c r="B236" s="6">
        <v>227.55</v>
      </c>
      <c r="C236" s="12">
        <f t="shared" si="3"/>
        <v>-6.5266663272085766E-3</v>
      </c>
    </row>
    <row r="237" spans="1:3" x14ac:dyDescent="0.2">
      <c r="A237" s="5">
        <v>45575</v>
      </c>
      <c r="B237" s="6">
        <v>229.04</v>
      </c>
      <c r="C237" s="12">
        <f t="shared" si="3"/>
        <v>-2.1806454626626935E-3</v>
      </c>
    </row>
    <row r="238" spans="1:3" x14ac:dyDescent="0.2">
      <c r="A238" s="5">
        <v>45545</v>
      </c>
      <c r="B238" s="6">
        <v>229.54</v>
      </c>
      <c r="C238" s="12">
        <f t="shared" si="3"/>
        <v>1.6560524302640989E-2</v>
      </c>
    </row>
    <row r="239" spans="1:3" x14ac:dyDescent="0.2">
      <c r="A239" s="5">
        <v>45514</v>
      </c>
      <c r="B239" s="6">
        <v>225.77</v>
      </c>
      <c r="C239" s="12">
        <f t="shared" si="3"/>
        <v>1.8236772344019592E-2</v>
      </c>
    </row>
    <row r="240" spans="1:3" x14ac:dyDescent="0.2">
      <c r="A240" s="5">
        <v>45483</v>
      </c>
      <c r="B240" s="6">
        <v>221.69</v>
      </c>
      <c r="C240" s="12">
        <f t="shared" si="3"/>
        <v>-2.2788562247735331E-2</v>
      </c>
    </row>
    <row r="241" spans="1:3" x14ac:dyDescent="0.2">
      <c r="A241" s="5">
        <v>45392</v>
      </c>
      <c r="B241" s="6">
        <v>226.8</v>
      </c>
      <c r="C241" s="12">
        <f t="shared" si="3"/>
        <v>4.9948166697781288E-3</v>
      </c>
    </row>
    <row r="242" spans="1:3" x14ac:dyDescent="0.2">
      <c r="A242" s="5">
        <v>45361</v>
      </c>
      <c r="B242" s="6">
        <v>225.67</v>
      </c>
      <c r="C242" s="12">
        <f t="shared" si="3"/>
        <v>-4.9066293598749146E-3</v>
      </c>
    </row>
    <row r="243" spans="1:3" x14ac:dyDescent="0.2">
      <c r="A243" s="5">
        <v>45332</v>
      </c>
      <c r="B243" s="6">
        <v>226.78</v>
      </c>
      <c r="C243" s="12">
        <f t="shared" si="3"/>
        <v>2.5166131739495158E-3</v>
      </c>
    </row>
    <row r="244" spans="1:3" x14ac:dyDescent="0.2">
      <c r="A244" s="5">
        <v>45301</v>
      </c>
      <c r="B244" s="6">
        <v>226.21</v>
      </c>
      <c r="C244" s="12">
        <f t="shared" si="3"/>
        <v>-2.9574682195956357E-2</v>
      </c>
    </row>
    <row r="245" spans="1:3" x14ac:dyDescent="0.2">
      <c r="A245" s="4" t="s">
        <v>150</v>
      </c>
      <c r="B245" s="6">
        <v>233</v>
      </c>
      <c r="C245" s="12">
        <f t="shared" si="3"/>
        <v>2.2614301672448562E-2</v>
      </c>
    </row>
    <row r="246" spans="1:3" x14ac:dyDescent="0.2">
      <c r="A246" s="4" t="s">
        <v>151</v>
      </c>
      <c r="B246" s="6">
        <v>227.79</v>
      </c>
      <c r="C246" s="12">
        <f t="shared" si="3"/>
        <v>1.1860052783758518E-3</v>
      </c>
    </row>
    <row r="247" spans="1:3" x14ac:dyDescent="0.2">
      <c r="A247" s="4" t="s">
        <v>152</v>
      </c>
      <c r="B247" s="6">
        <v>227.52</v>
      </c>
      <c r="C247" s="12">
        <f t="shared" si="3"/>
        <v>5.0673178998415468E-3</v>
      </c>
    </row>
    <row r="248" spans="1:3" x14ac:dyDescent="0.2">
      <c r="A248" s="4" t="s">
        <v>153</v>
      </c>
      <c r="B248" s="6">
        <v>226.37</v>
      </c>
      <c r="C248" s="12">
        <f t="shared" si="3"/>
        <v>-4.407817777012997E-3</v>
      </c>
    </row>
    <row r="249" spans="1:3" x14ac:dyDescent="0.2">
      <c r="A249" s="4" t="s">
        <v>154</v>
      </c>
      <c r="B249" s="6">
        <v>227.37</v>
      </c>
      <c r="C249" s="12">
        <f t="shared" si="3"/>
        <v>3.9661606724042875E-3</v>
      </c>
    </row>
    <row r="250" spans="1:3" x14ac:dyDescent="0.2">
      <c r="A250" s="4" t="s">
        <v>155</v>
      </c>
      <c r="B250" s="6">
        <v>226.47</v>
      </c>
      <c r="C250" s="12">
        <f t="shared" si="3"/>
        <v>-7.6099516083320351E-3</v>
      </c>
    </row>
    <row r="251" spans="1:3" x14ac:dyDescent="0.2">
      <c r="A251" s="4" t="s">
        <v>156</v>
      </c>
      <c r="B251" s="6">
        <v>228.2</v>
      </c>
      <c r="C251" s="12">
        <f t="shared" si="3"/>
        <v>-2.9317193422724623E-3</v>
      </c>
    </row>
    <row r="252" spans="1:3" x14ac:dyDescent="0.2">
      <c r="A252" s="4" t="s">
        <v>157</v>
      </c>
      <c r="B252" s="6">
        <v>228.87</v>
      </c>
      <c r="C252" s="12">
        <f t="shared" si="3"/>
        <v>3.6395154910179209E-2</v>
      </c>
    </row>
    <row r="253" spans="1:3" x14ac:dyDescent="0.2">
      <c r="A253" s="4" t="s">
        <v>158</v>
      </c>
      <c r="B253" s="6">
        <v>220.69</v>
      </c>
      <c r="C253" s="12">
        <f t="shared" si="3"/>
        <v>1.7829858819643829E-2</v>
      </c>
    </row>
    <row r="254" spans="1:3" x14ac:dyDescent="0.2">
      <c r="A254" s="4" t="s">
        <v>159</v>
      </c>
      <c r="B254" s="6">
        <v>216.79</v>
      </c>
      <c r="C254" s="12">
        <f t="shared" si="3"/>
        <v>2.1703501858254429E-3</v>
      </c>
    </row>
    <row r="255" spans="1:3" x14ac:dyDescent="0.2">
      <c r="A255" s="4" t="s">
        <v>160</v>
      </c>
      <c r="B255" s="6">
        <v>216.32</v>
      </c>
      <c r="C255" s="12">
        <f t="shared" si="3"/>
        <v>-2.8168308751695719E-2</v>
      </c>
    </row>
    <row r="256" spans="1:3" x14ac:dyDescent="0.2">
      <c r="A256" s="4" t="s">
        <v>161</v>
      </c>
      <c r="B256" s="6">
        <v>222.5</v>
      </c>
      <c r="C256" s="12">
        <f t="shared" si="3"/>
        <v>-1.2127474704876769E-3</v>
      </c>
    </row>
    <row r="257" spans="1:3" x14ac:dyDescent="0.2">
      <c r="A257" s="5">
        <v>45635</v>
      </c>
      <c r="B257" s="6">
        <v>222.77</v>
      </c>
      <c r="C257" s="12">
        <f t="shared" si="3"/>
        <v>4.9390477622147076E-4</v>
      </c>
    </row>
    <row r="258" spans="1:3" x14ac:dyDescent="0.2">
      <c r="A258" s="5">
        <v>45605</v>
      </c>
      <c r="B258" s="6">
        <v>222.66</v>
      </c>
      <c r="C258" s="12">
        <f t="shared" si="3"/>
        <v>1.1518522906548473E-2</v>
      </c>
    </row>
    <row r="259" spans="1:3" x14ac:dyDescent="0.2">
      <c r="A259" s="5">
        <v>45574</v>
      </c>
      <c r="B259" s="6">
        <v>220.11</v>
      </c>
      <c r="C259" s="12">
        <f t="shared" ref="C259:C322" si="4">LN(B259/B260)</f>
        <v>-3.6279573600808664E-3</v>
      </c>
    </row>
    <row r="260" spans="1:3" x14ac:dyDescent="0.2">
      <c r="A260" s="5">
        <v>45544</v>
      </c>
      <c r="B260" s="6">
        <v>220.91</v>
      </c>
      <c r="C260" s="12">
        <f t="shared" si="4"/>
        <v>4.0748874310253498E-4</v>
      </c>
    </row>
    <row r="261" spans="1:3" x14ac:dyDescent="0.2">
      <c r="A261" s="5">
        <v>45452</v>
      </c>
      <c r="B261" s="6">
        <v>220.82</v>
      </c>
      <c r="C261" s="12">
        <f t="shared" si="4"/>
        <v>-7.0397402641122122E-3</v>
      </c>
    </row>
    <row r="262" spans="1:3" x14ac:dyDescent="0.2">
      <c r="A262" s="5">
        <v>45421</v>
      </c>
      <c r="B262" s="6">
        <v>222.38</v>
      </c>
      <c r="C262" s="12">
        <f t="shared" si="4"/>
        <v>6.9038922325676197E-3</v>
      </c>
    </row>
    <row r="263" spans="1:3" x14ac:dyDescent="0.2">
      <c r="A263" s="5">
        <v>45391</v>
      </c>
      <c r="B263" s="6">
        <v>220.85</v>
      </c>
      <c r="C263" s="12">
        <f t="shared" si="4"/>
        <v>-8.6561110342471426E-3</v>
      </c>
    </row>
    <row r="264" spans="1:3" x14ac:dyDescent="0.2">
      <c r="A264" s="5">
        <v>45360</v>
      </c>
      <c r="B264" s="6">
        <v>222.77</v>
      </c>
      <c r="C264" s="12">
        <f t="shared" si="4"/>
        <v>-2.7582154477457006E-2</v>
      </c>
    </row>
    <row r="265" spans="1:3" x14ac:dyDescent="0.2">
      <c r="A265" s="4" t="s">
        <v>162</v>
      </c>
      <c r="B265" s="6">
        <v>229</v>
      </c>
      <c r="C265" s="12">
        <f t="shared" si="4"/>
        <v>-3.4438448126052909E-3</v>
      </c>
    </row>
    <row r="266" spans="1:3" x14ac:dyDescent="0.2">
      <c r="A266" s="4" t="s">
        <v>163</v>
      </c>
      <c r="B266" s="6">
        <v>229.79</v>
      </c>
      <c r="C266" s="12">
        <f t="shared" si="4"/>
        <v>1.4465054528776243E-2</v>
      </c>
    </row>
    <row r="267" spans="1:3" x14ac:dyDescent="0.2">
      <c r="A267" s="4" t="s">
        <v>164</v>
      </c>
      <c r="B267" s="6">
        <v>226.49</v>
      </c>
      <c r="C267" s="12">
        <f t="shared" si="4"/>
        <v>-6.7764054079900871E-3</v>
      </c>
    </row>
    <row r="268" spans="1:3" x14ac:dyDescent="0.2">
      <c r="A268" s="4" t="s">
        <v>165</v>
      </c>
      <c r="B268" s="6">
        <v>228.03</v>
      </c>
      <c r="C268" s="12">
        <f t="shared" si="4"/>
        <v>3.7345444427833042E-3</v>
      </c>
    </row>
    <row r="269" spans="1:3" x14ac:dyDescent="0.2">
      <c r="A269" s="4" t="s">
        <v>166</v>
      </c>
      <c r="B269" s="6">
        <v>227.18</v>
      </c>
      <c r="C269" s="12">
        <f t="shared" si="4"/>
        <v>1.497731657448228E-3</v>
      </c>
    </row>
    <row r="270" spans="1:3" x14ac:dyDescent="0.2">
      <c r="A270" s="4" t="s">
        <v>167</v>
      </c>
      <c r="B270" s="6">
        <v>226.84</v>
      </c>
      <c r="C270" s="12">
        <f t="shared" si="4"/>
        <v>1.0235594601717834E-2</v>
      </c>
    </row>
    <row r="271" spans="1:3" x14ac:dyDescent="0.2">
      <c r="A271" s="4" t="s">
        <v>168</v>
      </c>
      <c r="B271" s="6">
        <v>224.53</v>
      </c>
      <c r="C271" s="12">
        <f t="shared" si="4"/>
        <v>-8.2940177849183654E-3</v>
      </c>
    </row>
    <row r="272" spans="1:3" x14ac:dyDescent="0.2">
      <c r="A272" s="4" t="s">
        <v>169</v>
      </c>
      <c r="B272" s="6">
        <v>226.4</v>
      </c>
      <c r="C272" s="12">
        <f t="shared" si="4"/>
        <v>-4.8574772984859386E-4</v>
      </c>
    </row>
    <row r="273" spans="1:3" x14ac:dyDescent="0.2">
      <c r="A273" s="4" t="s">
        <v>170</v>
      </c>
      <c r="B273" s="6">
        <v>226.51</v>
      </c>
      <c r="C273" s="12">
        <f t="shared" si="4"/>
        <v>2.7409389396927126E-3</v>
      </c>
    </row>
    <row r="274" spans="1:3" x14ac:dyDescent="0.2">
      <c r="A274" s="4" t="s">
        <v>171</v>
      </c>
      <c r="B274" s="6">
        <v>225.89</v>
      </c>
      <c r="C274" s="12">
        <f t="shared" si="4"/>
        <v>-7.0805862143046461E-4</v>
      </c>
    </row>
    <row r="275" spans="1:3" x14ac:dyDescent="0.2">
      <c r="A275" s="4" t="s">
        <v>172</v>
      </c>
      <c r="B275" s="6">
        <v>226.05</v>
      </c>
      <c r="C275" s="12">
        <f t="shared" si="4"/>
        <v>5.9010309446258903E-3</v>
      </c>
    </row>
    <row r="276" spans="1:3" x14ac:dyDescent="0.2">
      <c r="A276" s="4" t="s">
        <v>173</v>
      </c>
      <c r="B276" s="6">
        <v>224.72</v>
      </c>
      <c r="C276" s="12">
        <f t="shared" si="4"/>
        <v>1.3439858244384291E-2</v>
      </c>
    </row>
    <row r="277" spans="1:3" x14ac:dyDescent="0.2">
      <c r="A277" s="4" t="s">
        <v>174</v>
      </c>
      <c r="B277" s="6">
        <v>221.72</v>
      </c>
      <c r="C277" s="12">
        <f t="shared" si="4"/>
        <v>2.0316492687641797E-3</v>
      </c>
    </row>
    <row r="278" spans="1:3" x14ac:dyDescent="0.2">
      <c r="A278" s="4" t="s">
        <v>175</v>
      </c>
      <c r="B278" s="6">
        <v>221.27</v>
      </c>
      <c r="C278" s="12">
        <f t="shared" si="4"/>
        <v>1.7046903231228767E-2</v>
      </c>
    </row>
    <row r="279" spans="1:3" x14ac:dyDescent="0.2">
      <c r="A279" s="5">
        <v>45634</v>
      </c>
      <c r="B279" s="6">
        <v>217.53</v>
      </c>
      <c r="C279" s="12">
        <f t="shared" si="4"/>
        <v>5.9478700834188188E-3</v>
      </c>
    </row>
    <row r="280" spans="1:3" x14ac:dyDescent="0.2">
      <c r="A280" s="5">
        <v>45543</v>
      </c>
      <c r="B280" s="6">
        <v>216.24</v>
      </c>
      <c r="C280" s="12">
        <f t="shared" si="4"/>
        <v>1.3642395264465933E-2</v>
      </c>
    </row>
    <row r="281" spans="1:3" x14ac:dyDescent="0.2">
      <c r="A281" s="5">
        <v>45512</v>
      </c>
      <c r="B281" s="6">
        <v>213.31</v>
      </c>
      <c r="C281" s="12">
        <f t="shared" si="4"/>
        <v>1.6496486400387027E-2</v>
      </c>
    </row>
    <row r="282" spans="1:3" x14ac:dyDescent="0.2">
      <c r="A282" s="5">
        <v>45481</v>
      </c>
      <c r="B282" s="6">
        <v>209.82</v>
      </c>
      <c r="C282" s="12">
        <f t="shared" si="4"/>
        <v>1.2420732753943361E-2</v>
      </c>
    </row>
    <row r="283" spans="1:3" x14ac:dyDescent="0.2">
      <c r="A283" s="5">
        <v>45451</v>
      </c>
      <c r="B283" s="6">
        <v>207.23</v>
      </c>
      <c r="C283" s="12">
        <f t="shared" si="4"/>
        <v>-9.7959967031821006E-3</v>
      </c>
    </row>
    <row r="284" spans="1:3" x14ac:dyDescent="0.2">
      <c r="A284" s="5">
        <v>45420</v>
      </c>
      <c r="B284" s="6">
        <v>209.27</v>
      </c>
      <c r="C284" s="12">
        <f t="shared" si="4"/>
        <v>-4.9365695898139543E-2</v>
      </c>
    </row>
    <row r="285" spans="1:3" x14ac:dyDescent="0.2">
      <c r="A285" s="5">
        <v>45330</v>
      </c>
      <c r="B285" s="6">
        <v>219.86</v>
      </c>
      <c r="C285" s="12">
        <f t="shared" si="4"/>
        <v>6.8459032371609137E-3</v>
      </c>
    </row>
    <row r="286" spans="1:3" x14ac:dyDescent="0.2">
      <c r="A286" s="5">
        <v>45299</v>
      </c>
      <c r="B286" s="6">
        <v>218.36</v>
      </c>
      <c r="C286" s="12">
        <f t="shared" si="4"/>
        <v>-1.689260040488277E-2</v>
      </c>
    </row>
    <row r="287" spans="1:3" x14ac:dyDescent="0.2">
      <c r="A287" s="4" t="s">
        <v>176</v>
      </c>
      <c r="B287" s="6">
        <v>222.08</v>
      </c>
      <c r="C287" s="12">
        <f t="shared" si="4"/>
        <v>1.4879606770613507E-2</v>
      </c>
    </row>
    <row r="288" spans="1:3" x14ac:dyDescent="0.2">
      <c r="A288" s="4" t="s">
        <v>177</v>
      </c>
      <c r="B288" s="6">
        <v>218.8</v>
      </c>
      <c r="C288" s="12">
        <f t="shared" si="4"/>
        <v>2.5626958927289704E-3</v>
      </c>
    </row>
    <row r="289" spans="1:3" x14ac:dyDescent="0.2">
      <c r="A289" s="4" t="s">
        <v>178</v>
      </c>
      <c r="B289" s="6">
        <v>218.24</v>
      </c>
      <c r="C289" s="12">
        <f t="shared" si="4"/>
        <v>1.2838149401997857E-3</v>
      </c>
    </row>
    <row r="290" spans="1:3" x14ac:dyDescent="0.2">
      <c r="A290" s="4" t="s">
        <v>179</v>
      </c>
      <c r="B290" s="6">
        <v>217.96</v>
      </c>
      <c r="C290" s="12">
        <f t="shared" si="4"/>
        <v>2.1586872546282805E-3</v>
      </c>
    </row>
    <row r="291" spans="1:3" x14ac:dyDescent="0.2">
      <c r="A291" s="4" t="s">
        <v>180</v>
      </c>
      <c r="B291" s="6">
        <v>217.49</v>
      </c>
      <c r="C291" s="12">
        <f t="shared" si="4"/>
        <v>-4.8161916823298888E-3</v>
      </c>
    </row>
    <row r="292" spans="1:3" x14ac:dyDescent="0.2">
      <c r="A292" s="4" t="s">
        <v>181</v>
      </c>
      <c r="B292" s="6">
        <v>218.54</v>
      </c>
      <c r="C292" s="12">
        <f t="shared" si="4"/>
        <v>-2.917578151864024E-2</v>
      </c>
    </row>
    <row r="293" spans="1:3" x14ac:dyDescent="0.2">
      <c r="A293" s="4" t="s">
        <v>182</v>
      </c>
      <c r="B293" s="6">
        <v>225.01</v>
      </c>
      <c r="C293" s="12">
        <f t="shared" si="4"/>
        <v>4.6773811805469389E-3</v>
      </c>
    </row>
    <row r="294" spans="1:3" x14ac:dyDescent="0.2">
      <c r="A294" s="4" t="s">
        <v>183</v>
      </c>
      <c r="B294" s="6">
        <v>223.96</v>
      </c>
      <c r="C294" s="12">
        <f t="shared" si="4"/>
        <v>-1.5615591992412968E-3</v>
      </c>
    </row>
    <row r="295" spans="1:3" x14ac:dyDescent="0.2">
      <c r="A295" s="4" t="s">
        <v>184</v>
      </c>
      <c r="B295" s="6">
        <v>224.31</v>
      </c>
      <c r="C295" s="12">
        <f t="shared" si="4"/>
        <v>5.7972308698451202E-4</v>
      </c>
    </row>
    <row r="296" spans="1:3" x14ac:dyDescent="0.2">
      <c r="A296" s="4" t="s">
        <v>185</v>
      </c>
      <c r="B296" s="6">
        <v>224.18</v>
      </c>
      <c r="C296" s="12">
        <f t="shared" si="4"/>
        <v>-2.0748548148905522E-2</v>
      </c>
    </row>
    <row r="297" spans="1:3" x14ac:dyDescent="0.2">
      <c r="A297" s="4" t="s">
        <v>186</v>
      </c>
      <c r="B297" s="6">
        <v>228.88</v>
      </c>
      <c r="C297" s="12">
        <f t="shared" si="4"/>
        <v>-2.5621414460210976E-2</v>
      </c>
    </row>
    <row r="298" spans="1:3" x14ac:dyDescent="0.2">
      <c r="A298" s="4" t="s">
        <v>187</v>
      </c>
      <c r="B298" s="6">
        <v>234.82</v>
      </c>
      <c r="C298" s="12">
        <f t="shared" si="4"/>
        <v>1.790205499208203E-3</v>
      </c>
    </row>
    <row r="299" spans="1:3" x14ac:dyDescent="0.2">
      <c r="A299" s="4" t="s">
        <v>188</v>
      </c>
      <c r="B299" s="6">
        <v>234.4</v>
      </c>
      <c r="C299" s="12">
        <f t="shared" si="4"/>
        <v>1.6604674529990988E-2</v>
      </c>
    </row>
    <row r="300" spans="1:3" x14ac:dyDescent="0.2">
      <c r="A300" s="5">
        <v>45633</v>
      </c>
      <c r="B300" s="6">
        <v>230.54</v>
      </c>
      <c r="C300" s="12">
        <f t="shared" si="4"/>
        <v>1.2966499801739235E-2</v>
      </c>
    </row>
    <row r="301" spans="1:3" x14ac:dyDescent="0.2">
      <c r="A301" s="5">
        <v>45603</v>
      </c>
      <c r="B301" s="6">
        <v>227.57</v>
      </c>
      <c r="C301" s="12">
        <f t="shared" si="4"/>
        <v>-2.349472960050368E-2</v>
      </c>
    </row>
    <row r="302" spans="1:3" x14ac:dyDescent="0.2">
      <c r="A302" s="5">
        <v>45572</v>
      </c>
      <c r="B302" s="6">
        <v>232.98</v>
      </c>
      <c r="C302" s="12">
        <f t="shared" si="4"/>
        <v>1.8628966575860231E-2</v>
      </c>
    </row>
    <row r="303" spans="1:3" x14ac:dyDescent="0.2">
      <c r="A303" s="5">
        <v>45542</v>
      </c>
      <c r="B303" s="6">
        <v>228.68</v>
      </c>
      <c r="C303" s="12">
        <f t="shared" si="4"/>
        <v>3.7678029240046994E-3</v>
      </c>
    </row>
    <row r="304" spans="1:3" x14ac:dyDescent="0.2">
      <c r="A304" s="5">
        <v>45511</v>
      </c>
      <c r="B304" s="6">
        <v>227.82</v>
      </c>
      <c r="C304" s="12">
        <f t="shared" si="4"/>
        <v>6.5175499339704939E-3</v>
      </c>
    </row>
    <row r="305" spans="1:3" x14ac:dyDescent="0.2">
      <c r="A305" s="5">
        <v>45419</v>
      </c>
      <c r="B305" s="6">
        <v>226.34</v>
      </c>
      <c r="C305" s="12">
        <f t="shared" si="4"/>
        <v>2.1389995892297006E-2</v>
      </c>
    </row>
    <row r="306" spans="1:3" x14ac:dyDescent="0.2">
      <c r="A306" s="5">
        <v>45358</v>
      </c>
      <c r="B306" s="6">
        <v>221.55</v>
      </c>
      <c r="C306" s="12">
        <f t="shared" si="4"/>
        <v>5.7942310494322798E-3</v>
      </c>
    </row>
    <row r="307" spans="1:3" x14ac:dyDescent="0.2">
      <c r="A307" s="5">
        <v>45329</v>
      </c>
      <c r="B307" s="6">
        <v>220.27</v>
      </c>
      <c r="C307" s="12">
        <f t="shared" si="4"/>
        <v>1.6109450935414969E-2</v>
      </c>
    </row>
    <row r="308" spans="1:3" x14ac:dyDescent="0.2">
      <c r="A308" s="5">
        <v>45298</v>
      </c>
      <c r="B308" s="6">
        <v>216.75</v>
      </c>
      <c r="C308" s="12">
        <f t="shared" si="4"/>
        <v>2.868905370820015E-2</v>
      </c>
    </row>
    <row r="309" spans="1:3" x14ac:dyDescent="0.2">
      <c r="A309" s="4" t="s">
        <v>189</v>
      </c>
      <c r="B309" s="6">
        <v>210.62</v>
      </c>
      <c r="C309" s="12">
        <f t="shared" si="4"/>
        <v>-1.6387633643185913E-2</v>
      </c>
    </row>
    <row r="310" spans="1:3" x14ac:dyDescent="0.2">
      <c r="A310" s="4" t="s">
        <v>190</v>
      </c>
      <c r="B310" s="6">
        <v>214.1</v>
      </c>
      <c r="C310" s="12">
        <f t="shared" si="4"/>
        <v>3.9780092238486118E-3</v>
      </c>
    </row>
    <row r="311" spans="1:3" x14ac:dyDescent="0.2">
      <c r="A311" s="4" t="s">
        <v>191</v>
      </c>
      <c r="B311" s="6">
        <v>213.25</v>
      </c>
      <c r="C311" s="12">
        <f t="shared" si="4"/>
        <v>1.9796062253251291E-2</v>
      </c>
    </row>
    <row r="312" spans="1:3" x14ac:dyDescent="0.2">
      <c r="A312" s="4" t="s">
        <v>192</v>
      </c>
      <c r="B312" s="6">
        <v>209.07</v>
      </c>
      <c r="C312" s="12">
        <f t="shared" si="4"/>
        <v>4.4581939088239372E-3</v>
      </c>
    </row>
    <row r="313" spans="1:3" x14ac:dyDescent="0.2">
      <c r="A313" s="4" t="s">
        <v>193</v>
      </c>
      <c r="B313" s="6">
        <v>208.14</v>
      </c>
      <c r="C313" s="12">
        <f t="shared" si="4"/>
        <v>3.1277844713533962E-3</v>
      </c>
    </row>
    <row r="314" spans="1:3" x14ac:dyDescent="0.2">
      <c r="A314" s="4" t="s">
        <v>194</v>
      </c>
      <c r="B314" s="6">
        <v>207.49</v>
      </c>
      <c r="C314" s="12">
        <f t="shared" si="4"/>
        <v>-1.0499413276791171E-2</v>
      </c>
    </row>
    <row r="315" spans="1:3" x14ac:dyDescent="0.2">
      <c r="A315" s="4" t="s">
        <v>195</v>
      </c>
      <c r="B315" s="6">
        <v>209.68</v>
      </c>
      <c r="C315" s="12">
        <f t="shared" si="4"/>
        <v>-2.1747678819839824E-2</v>
      </c>
    </row>
    <row r="316" spans="1:3" x14ac:dyDescent="0.2">
      <c r="A316" s="4" t="s">
        <v>196</v>
      </c>
      <c r="B316" s="6">
        <v>214.29</v>
      </c>
      <c r="C316" s="12">
        <f t="shared" si="4"/>
        <v>-1.1045220883624869E-2</v>
      </c>
    </row>
    <row r="317" spans="1:3" x14ac:dyDescent="0.2">
      <c r="A317" s="4" t="s">
        <v>197</v>
      </c>
      <c r="B317" s="6">
        <v>216.67</v>
      </c>
      <c r="C317" s="12">
        <f t="shared" si="4"/>
        <v>1.9480530284974665E-2</v>
      </c>
    </row>
    <row r="318" spans="1:3" x14ac:dyDescent="0.2">
      <c r="A318" s="4" t="s">
        <v>198</v>
      </c>
      <c r="B318" s="6">
        <v>212.49</v>
      </c>
      <c r="C318" s="12">
        <f t="shared" si="4"/>
        <v>-8.2019535092213904E-3</v>
      </c>
    </row>
    <row r="319" spans="1:3" x14ac:dyDescent="0.2">
      <c r="A319" s="4" t="s">
        <v>199</v>
      </c>
      <c r="B319" s="6">
        <v>214.24</v>
      </c>
      <c r="C319" s="12">
        <f t="shared" si="4"/>
        <v>5.4761317255874456E-3</v>
      </c>
    </row>
    <row r="320" spans="1:3" x14ac:dyDescent="0.2">
      <c r="A320" s="5">
        <v>45632</v>
      </c>
      <c r="B320" s="6">
        <v>213.07</v>
      </c>
      <c r="C320" s="12">
        <f t="shared" si="4"/>
        <v>2.8177581693864077E-2</v>
      </c>
    </row>
    <row r="321" spans="1:3" x14ac:dyDescent="0.2">
      <c r="A321" s="5">
        <v>45602</v>
      </c>
      <c r="B321" s="6">
        <v>207.15</v>
      </c>
      <c r="C321" s="12">
        <f t="shared" si="4"/>
        <v>7.0131411174189487E-2</v>
      </c>
    </row>
    <row r="322" spans="1:3" x14ac:dyDescent="0.2">
      <c r="A322" s="5">
        <v>45571</v>
      </c>
      <c r="B322" s="6">
        <v>193.12</v>
      </c>
      <c r="C322" s="12">
        <f t="shared" si="4"/>
        <v>-1.9333439804519667E-2</v>
      </c>
    </row>
    <row r="323" spans="1:3" x14ac:dyDescent="0.2">
      <c r="A323" s="5">
        <v>45479</v>
      </c>
      <c r="B323" s="6">
        <v>196.89</v>
      </c>
      <c r="C323" s="12">
        <f t="shared" ref="C323:C386" si="5">LN(B323/B324)</f>
        <v>1.231586714587319E-2</v>
      </c>
    </row>
    <row r="324" spans="1:3" x14ac:dyDescent="0.2">
      <c r="A324" s="5">
        <v>45449</v>
      </c>
      <c r="B324" s="6">
        <v>194.48</v>
      </c>
      <c r="C324" s="12">
        <f t="shared" si="5"/>
        <v>-7.1218438587839971E-3</v>
      </c>
    </row>
    <row r="325" spans="1:3" x14ac:dyDescent="0.2">
      <c r="A325" s="5">
        <v>45418</v>
      </c>
      <c r="B325" s="6">
        <v>195.87</v>
      </c>
      <c r="C325" s="12">
        <f t="shared" si="5"/>
        <v>7.7905165684197843E-3</v>
      </c>
    </row>
    <row r="326" spans="1:3" x14ac:dyDescent="0.2">
      <c r="A326" s="5">
        <v>45388</v>
      </c>
      <c r="B326" s="6">
        <v>194.35</v>
      </c>
      <c r="C326" s="12">
        <f t="shared" si="5"/>
        <v>1.6478710150511398E-3</v>
      </c>
    </row>
    <row r="327" spans="1:3" x14ac:dyDescent="0.2">
      <c r="A327" s="5">
        <v>45357</v>
      </c>
      <c r="B327" s="6">
        <v>194.03</v>
      </c>
      <c r="C327" s="12">
        <f t="shared" si="5"/>
        <v>9.2161778974277301E-3</v>
      </c>
    </row>
    <row r="328" spans="1:3" x14ac:dyDescent="0.2">
      <c r="A328" s="4" t="s">
        <v>200</v>
      </c>
      <c r="B328" s="6">
        <v>192.25</v>
      </c>
      <c r="C328" s="12">
        <f t="shared" si="5"/>
        <v>5.0060072211912839E-3</v>
      </c>
    </row>
    <row r="329" spans="1:3" x14ac:dyDescent="0.2">
      <c r="A329" s="4" t="s">
        <v>201</v>
      </c>
      <c r="B329" s="6">
        <v>191.29</v>
      </c>
      <c r="C329" s="12">
        <f t="shared" si="5"/>
        <v>5.2413768506466675E-3</v>
      </c>
    </row>
    <row r="330" spans="1:3" x14ac:dyDescent="0.2">
      <c r="A330" s="4" t="s">
        <v>202</v>
      </c>
      <c r="B330" s="6">
        <v>190.29</v>
      </c>
      <c r="C330" s="12">
        <f t="shared" si="5"/>
        <v>1.5777851174667318E-3</v>
      </c>
    </row>
    <row r="331" spans="1:3" x14ac:dyDescent="0.2">
      <c r="A331" s="4" t="s">
        <v>203</v>
      </c>
      <c r="B331" s="6">
        <v>189.99</v>
      </c>
      <c r="C331" s="12">
        <f t="shared" si="5"/>
        <v>5.2635734412367455E-5</v>
      </c>
    </row>
    <row r="332" spans="1:3" x14ac:dyDescent="0.2">
      <c r="A332" s="4" t="s">
        <v>204</v>
      </c>
      <c r="B332" s="6">
        <v>189.98</v>
      </c>
      <c r="C332" s="12">
        <f t="shared" si="5"/>
        <v>1.6452103822174123E-2</v>
      </c>
    </row>
    <row r="333" spans="1:3" x14ac:dyDescent="0.2">
      <c r="A333" s="4" t="s">
        <v>205</v>
      </c>
      <c r="B333" s="6">
        <v>186.88</v>
      </c>
      <c r="C333" s="12">
        <f t="shared" si="5"/>
        <v>-2.1283031091839801E-2</v>
      </c>
    </row>
    <row r="334" spans="1:3" x14ac:dyDescent="0.2">
      <c r="A334" s="4" t="s">
        <v>206</v>
      </c>
      <c r="B334" s="6">
        <v>190.9</v>
      </c>
      <c r="C334" s="12">
        <f t="shared" si="5"/>
        <v>-7.5668984666021327E-3</v>
      </c>
    </row>
    <row r="335" spans="1:3" x14ac:dyDescent="0.2">
      <c r="A335" s="4" t="s">
        <v>207</v>
      </c>
      <c r="B335" s="6">
        <v>192.35</v>
      </c>
      <c r="C335" s="12">
        <f t="shared" si="5"/>
        <v>6.8337989940669263E-3</v>
      </c>
    </row>
    <row r="336" spans="1:3" x14ac:dyDescent="0.2">
      <c r="A336" s="4" t="s">
        <v>208</v>
      </c>
      <c r="B336" s="6">
        <v>191.04</v>
      </c>
      <c r="C336" s="12">
        <f t="shared" si="5"/>
        <v>6.1432027489136277E-3</v>
      </c>
    </row>
    <row r="337" spans="1:3" x14ac:dyDescent="0.2">
      <c r="A337" s="4" t="s">
        <v>209</v>
      </c>
      <c r="B337" s="6">
        <v>189.87</v>
      </c>
      <c r="C337" s="12">
        <f t="shared" si="5"/>
        <v>1.5801532781546361E-4</v>
      </c>
    </row>
    <row r="338" spans="1:3" x14ac:dyDescent="0.2">
      <c r="A338" s="4" t="s">
        <v>210</v>
      </c>
      <c r="B338" s="6">
        <v>189.84</v>
      </c>
      <c r="C338" s="12">
        <f t="shared" si="5"/>
        <v>6.3231111812725633E-4</v>
      </c>
    </row>
    <row r="339" spans="1:3" x14ac:dyDescent="0.2">
      <c r="A339" s="4" t="s">
        <v>211</v>
      </c>
      <c r="B339" s="6">
        <v>189.72</v>
      </c>
      <c r="C339" s="12">
        <f t="shared" si="5"/>
        <v>1.2143858638487333E-2</v>
      </c>
    </row>
    <row r="340" spans="1:3" x14ac:dyDescent="0.2">
      <c r="A340" s="4" t="s">
        <v>212</v>
      </c>
      <c r="B340" s="6">
        <v>187.43</v>
      </c>
      <c r="C340" s="12">
        <f t="shared" si="5"/>
        <v>6.1545242567172895E-3</v>
      </c>
    </row>
    <row r="341" spans="1:3" x14ac:dyDescent="0.2">
      <c r="A341" s="4" t="s">
        <v>213</v>
      </c>
      <c r="B341" s="6">
        <v>186.28</v>
      </c>
      <c r="C341" s="12">
        <f t="shared" si="5"/>
        <v>1.7491578547931153E-2</v>
      </c>
    </row>
    <row r="342" spans="1:3" x14ac:dyDescent="0.2">
      <c r="A342" s="5">
        <v>45570</v>
      </c>
      <c r="B342" s="6">
        <v>183.05</v>
      </c>
      <c r="C342" s="12">
        <f t="shared" si="5"/>
        <v>-8.2694557529546277E-3</v>
      </c>
    </row>
    <row r="343" spans="1:3" x14ac:dyDescent="0.2">
      <c r="A343" s="5">
        <v>45540</v>
      </c>
      <c r="B343" s="6">
        <v>184.57</v>
      </c>
      <c r="C343" s="12">
        <f t="shared" si="5"/>
        <v>9.9644177487252465E-3</v>
      </c>
    </row>
    <row r="344" spans="1:3" x14ac:dyDescent="0.2">
      <c r="A344" s="5">
        <v>45509</v>
      </c>
      <c r="B344" s="6">
        <v>182.74</v>
      </c>
      <c r="C344" s="12">
        <f t="shared" si="5"/>
        <v>1.8622999302434699E-3</v>
      </c>
    </row>
    <row r="345" spans="1:3" x14ac:dyDescent="0.2">
      <c r="A345" s="5">
        <v>45478</v>
      </c>
      <c r="B345" s="6">
        <v>182.4</v>
      </c>
      <c r="C345" s="12">
        <f t="shared" si="5"/>
        <v>3.7900679792654901E-3</v>
      </c>
    </row>
    <row r="346" spans="1:3" x14ac:dyDescent="0.2">
      <c r="A346" s="5">
        <v>45448</v>
      </c>
      <c r="B346" s="6">
        <v>181.71</v>
      </c>
      <c r="C346" s="12">
        <f t="shared" si="5"/>
        <v>-9.1484929607891334E-3</v>
      </c>
    </row>
    <row r="347" spans="1:3" x14ac:dyDescent="0.2">
      <c r="A347" s="5">
        <v>45356</v>
      </c>
      <c r="B347" s="6">
        <v>183.38</v>
      </c>
      <c r="C347" s="12">
        <f t="shared" si="5"/>
        <v>5.8095512753197624E-2</v>
      </c>
    </row>
    <row r="348" spans="1:3" x14ac:dyDescent="0.2">
      <c r="A348" s="5">
        <v>45327</v>
      </c>
      <c r="B348" s="6">
        <v>173.03</v>
      </c>
      <c r="C348" s="12">
        <f t="shared" si="5"/>
        <v>2.1792700729467398E-2</v>
      </c>
    </row>
    <row r="349" spans="1:3" x14ac:dyDescent="0.2">
      <c r="A349" s="5">
        <v>45296</v>
      </c>
      <c r="B349" s="6">
        <v>169.3</v>
      </c>
      <c r="C349" s="12">
        <f t="shared" si="5"/>
        <v>-6.0654427333962507E-3</v>
      </c>
    </row>
    <row r="350" spans="1:3" x14ac:dyDescent="0.2">
      <c r="A350" s="4" t="s">
        <v>214</v>
      </c>
      <c r="B350" s="6">
        <v>170.33</v>
      </c>
      <c r="C350" s="12">
        <f t="shared" si="5"/>
        <v>-1.8439867514427888E-2</v>
      </c>
    </row>
    <row r="351" spans="1:3" x14ac:dyDescent="0.2">
      <c r="A351" s="4" t="s">
        <v>215</v>
      </c>
      <c r="B351" s="6">
        <v>173.5</v>
      </c>
      <c r="C351" s="12">
        <f t="shared" si="5"/>
        <v>2.450531024782426E-2</v>
      </c>
    </row>
    <row r="352" spans="1:3" x14ac:dyDescent="0.2">
      <c r="A352" s="4" t="s">
        <v>216</v>
      </c>
      <c r="B352" s="6">
        <v>169.3</v>
      </c>
      <c r="C352" s="12">
        <f t="shared" si="5"/>
        <v>-3.4788796547335459E-3</v>
      </c>
    </row>
    <row r="353" spans="1:3" x14ac:dyDescent="0.2">
      <c r="A353" s="4" t="s">
        <v>217</v>
      </c>
      <c r="B353" s="6">
        <v>169.89</v>
      </c>
      <c r="C353" s="12">
        <f t="shared" si="5"/>
        <v>5.1341176774868519E-3</v>
      </c>
    </row>
    <row r="354" spans="1:3" x14ac:dyDescent="0.2">
      <c r="A354" s="4" t="s">
        <v>218</v>
      </c>
      <c r="B354" s="6">
        <v>169.02</v>
      </c>
      <c r="C354" s="12">
        <f t="shared" si="5"/>
        <v>1.2622220448546821E-2</v>
      </c>
    </row>
    <row r="355" spans="1:3" x14ac:dyDescent="0.2">
      <c r="A355" s="4" t="s">
        <v>219</v>
      </c>
      <c r="B355" s="6">
        <v>166.9</v>
      </c>
      <c r="C355" s="12">
        <f t="shared" si="5"/>
        <v>6.3713625402651809E-3</v>
      </c>
    </row>
    <row r="356" spans="1:3" x14ac:dyDescent="0.2">
      <c r="A356" s="4" t="s">
        <v>220</v>
      </c>
      <c r="B356" s="6">
        <v>165.84</v>
      </c>
      <c r="C356" s="12">
        <f t="shared" si="5"/>
        <v>5.0779942269434828E-3</v>
      </c>
    </row>
    <row r="357" spans="1:3" x14ac:dyDescent="0.2">
      <c r="A357" s="4" t="s">
        <v>221</v>
      </c>
      <c r="B357" s="6">
        <v>165</v>
      </c>
      <c r="C357" s="12">
        <f t="shared" si="5"/>
        <v>-1.2287830793693253E-2</v>
      </c>
    </row>
    <row r="358" spans="1:3" x14ac:dyDescent="0.2">
      <c r="A358" s="4" t="s">
        <v>222</v>
      </c>
      <c r="B358" s="6">
        <v>167.04</v>
      </c>
      <c r="C358" s="12">
        <f t="shared" si="5"/>
        <v>-5.7306747089850953E-3</v>
      </c>
    </row>
    <row r="359" spans="1:3" x14ac:dyDescent="0.2">
      <c r="A359" s="4" t="s">
        <v>223</v>
      </c>
      <c r="B359" s="6">
        <v>168</v>
      </c>
      <c r="C359" s="12">
        <f t="shared" si="5"/>
        <v>-8.1807320901940254E-3</v>
      </c>
    </row>
    <row r="360" spans="1:3" x14ac:dyDescent="0.2">
      <c r="A360" s="4" t="s">
        <v>224</v>
      </c>
      <c r="B360" s="6">
        <v>169.38</v>
      </c>
      <c r="C360" s="12">
        <f t="shared" si="5"/>
        <v>-1.935336810312574E-2</v>
      </c>
    </row>
    <row r="361" spans="1:3" x14ac:dyDescent="0.2">
      <c r="A361" s="4" t="s">
        <v>225</v>
      </c>
      <c r="B361" s="6">
        <v>172.69</v>
      </c>
      <c r="C361" s="12">
        <f t="shared" si="5"/>
        <v>-2.2106042777816807E-2</v>
      </c>
    </row>
    <row r="362" spans="1:3" x14ac:dyDescent="0.2">
      <c r="A362" s="5">
        <v>45630</v>
      </c>
      <c r="B362" s="6">
        <v>176.55</v>
      </c>
      <c r="C362" s="12">
        <f t="shared" si="5"/>
        <v>8.5896031407790355E-3</v>
      </c>
    </row>
    <row r="363" spans="1:3" x14ac:dyDescent="0.2">
      <c r="A363" s="5">
        <v>45600</v>
      </c>
      <c r="B363" s="6">
        <v>175.04</v>
      </c>
      <c r="C363" s="12">
        <f t="shared" si="5"/>
        <v>4.2360921815467849E-2</v>
      </c>
    </row>
    <row r="364" spans="1:3" x14ac:dyDescent="0.2">
      <c r="A364" s="5">
        <v>45569</v>
      </c>
      <c r="B364" s="6">
        <v>167.78</v>
      </c>
      <c r="C364" s="12">
        <f t="shared" si="5"/>
        <v>-1.120177663669957E-2</v>
      </c>
    </row>
    <row r="365" spans="1:3" x14ac:dyDescent="0.2">
      <c r="A365" s="5">
        <v>45539</v>
      </c>
      <c r="B365" s="6">
        <v>169.67</v>
      </c>
      <c r="C365" s="12">
        <f t="shared" si="5"/>
        <v>7.216404202286154E-3</v>
      </c>
    </row>
    <row r="366" spans="1:3" x14ac:dyDescent="0.2">
      <c r="A366" s="5">
        <v>45508</v>
      </c>
      <c r="B366" s="6">
        <v>168.45</v>
      </c>
      <c r="C366" s="12">
        <f t="shared" si="5"/>
        <v>-6.6858220232951793E-3</v>
      </c>
    </row>
    <row r="367" spans="1:3" x14ac:dyDescent="0.2">
      <c r="A367" s="5">
        <v>45416</v>
      </c>
      <c r="B367" s="6">
        <v>169.58</v>
      </c>
      <c r="C367" s="12">
        <f t="shared" si="5"/>
        <v>4.4917333202830713E-3</v>
      </c>
    </row>
    <row r="368" spans="1:3" x14ac:dyDescent="0.2">
      <c r="A368" s="5">
        <v>45386</v>
      </c>
      <c r="B368" s="6">
        <v>168.82</v>
      </c>
      <c r="C368" s="12">
        <f t="shared" si="5"/>
        <v>-4.9044326746653004E-3</v>
      </c>
    </row>
    <row r="369" spans="1:3" x14ac:dyDescent="0.2">
      <c r="A369" s="5">
        <v>45355</v>
      </c>
      <c r="B369" s="6">
        <v>169.65</v>
      </c>
      <c r="C369" s="12">
        <f t="shared" si="5"/>
        <v>4.7859703159410811E-3</v>
      </c>
    </row>
    <row r="370" spans="1:3" x14ac:dyDescent="0.2">
      <c r="A370" s="5">
        <v>45326</v>
      </c>
      <c r="B370" s="6">
        <v>168.84</v>
      </c>
      <c r="C370" s="12">
        <f t="shared" si="5"/>
        <v>-7.0233711550964639E-3</v>
      </c>
    </row>
    <row r="371" spans="1:3" x14ac:dyDescent="0.2">
      <c r="A371" s="5">
        <v>45295</v>
      </c>
      <c r="B371" s="6">
        <v>170.03</v>
      </c>
      <c r="C371" s="12">
        <f t="shared" si="5"/>
        <v>-8.4917496603818012E-3</v>
      </c>
    </row>
    <row r="372" spans="1:3" x14ac:dyDescent="0.2">
      <c r="A372" s="4" t="s">
        <v>226</v>
      </c>
      <c r="B372" s="6">
        <v>171.48</v>
      </c>
      <c r="C372" s="12">
        <f t="shared" si="5"/>
        <v>-1.0615256731507589E-2</v>
      </c>
    </row>
    <row r="373" spans="1:3" x14ac:dyDescent="0.2">
      <c r="A373" s="4" t="s">
        <v>227</v>
      </c>
      <c r="B373" s="6">
        <v>173.31</v>
      </c>
      <c r="C373" s="12">
        <f t="shared" si="5"/>
        <v>2.0990800438109806E-2</v>
      </c>
    </row>
    <row r="374" spans="1:3" x14ac:dyDescent="0.2">
      <c r="A374" s="4" t="s">
        <v>228</v>
      </c>
      <c r="B374" s="6">
        <v>169.71</v>
      </c>
      <c r="C374" s="12">
        <f t="shared" si="5"/>
        <v>-6.6948805381267596E-3</v>
      </c>
    </row>
    <row r="375" spans="1:3" x14ac:dyDescent="0.2">
      <c r="A375" s="4" t="s">
        <v>229</v>
      </c>
      <c r="B375" s="6">
        <v>170.85</v>
      </c>
      <c r="C375" s="12">
        <f t="shared" si="5"/>
        <v>-8.3350816246090791E-3</v>
      </c>
    </row>
    <row r="376" spans="1:3" x14ac:dyDescent="0.2">
      <c r="A376" s="4" t="s">
        <v>230</v>
      </c>
      <c r="B376" s="6">
        <v>172.28</v>
      </c>
      <c r="C376" s="12">
        <f t="shared" si="5"/>
        <v>5.2960985131520685E-3</v>
      </c>
    </row>
    <row r="377" spans="1:3" x14ac:dyDescent="0.2">
      <c r="A377" s="4" t="s">
        <v>231</v>
      </c>
      <c r="B377" s="6">
        <v>171.37</v>
      </c>
      <c r="C377" s="12">
        <f t="shared" si="5"/>
        <v>-4.1715567272317969E-2</v>
      </c>
    </row>
    <row r="378" spans="1:3" x14ac:dyDescent="0.2">
      <c r="A378" s="4" t="s">
        <v>232</v>
      </c>
      <c r="B378" s="6">
        <v>178.67</v>
      </c>
      <c r="C378" s="12">
        <f t="shared" si="5"/>
        <v>1.4602091726869399E-2</v>
      </c>
    </row>
    <row r="379" spans="1:3" x14ac:dyDescent="0.2">
      <c r="A379" s="4" t="s">
        <v>233</v>
      </c>
      <c r="B379" s="6">
        <v>176.08</v>
      </c>
      <c r="C379" s="12">
        <f t="shared" si="5"/>
        <v>1.3493629551585165E-2</v>
      </c>
    </row>
    <row r="380" spans="1:3" x14ac:dyDescent="0.2">
      <c r="A380" s="4" t="s">
        <v>234</v>
      </c>
      <c r="B380" s="6">
        <v>173.72</v>
      </c>
      <c r="C380" s="12">
        <f t="shared" si="5"/>
        <v>6.3521608751096097E-3</v>
      </c>
    </row>
    <row r="381" spans="1:3" x14ac:dyDescent="0.2">
      <c r="A381" s="4" t="s">
        <v>235</v>
      </c>
      <c r="B381" s="6">
        <v>172.62</v>
      </c>
      <c r="C381" s="12">
        <f t="shared" si="5"/>
        <v>-2.1989477062673733E-3</v>
      </c>
    </row>
    <row r="382" spans="1:3" x14ac:dyDescent="0.2">
      <c r="A382" s="4" t="s">
        <v>236</v>
      </c>
      <c r="B382" s="6">
        <v>173</v>
      </c>
      <c r="C382" s="12">
        <f t="shared" si="5"/>
        <v>1.0868092908418524E-2</v>
      </c>
    </row>
    <row r="383" spans="1:3" x14ac:dyDescent="0.2">
      <c r="A383" s="4" t="s">
        <v>237</v>
      </c>
      <c r="B383" s="6">
        <v>171.13</v>
      </c>
      <c r="C383" s="12">
        <f t="shared" si="5"/>
        <v>-1.2196689701489101E-2</v>
      </c>
    </row>
    <row r="384" spans="1:3" x14ac:dyDescent="0.2">
      <c r="A384" s="5">
        <v>45629</v>
      </c>
      <c r="B384" s="6">
        <v>173.23</v>
      </c>
      <c r="C384" s="12">
        <f t="shared" si="5"/>
        <v>2.7747286430700939E-3</v>
      </c>
    </row>
    <row r="385" spans="1:3" x14ac:dyDescent="0.2">
      <c r="A385" s="5">
        <v>45599</v>
      </c>
      <c r="B385" s="6">
        <v>172.75</v>
      </c>
      <c r="C385" s="12">
        <f t="shared" si="5"/>
        <v>1.1762101364637088E-2</v>
      </c>
    </row>
    <row r="386" spans="1:3" x14ac:dyDescent="0.2">
      <c r="A386" s="5">
        <v>45507</v>
      </c>
      <c r="B386" s="6">
        <v>170.73</v>
      </c>
      <c r="C386" s="12">
        <f t="shared" si="5"/>
        <v>1.0184646360068749E-2</v>
      </c>
    </row>
    <row r="387" spans="1:3" x14ac:dyDescent="0.2">
      <c r="A387" s="5">
        <v>45476</v>
      </c>
      <c r="B387" s="6">
        <v>169</v>
      </c>
      <c r="C387" s="12">
        <f t="shared" ref="C387:C450" si="6">LN(B387/B388)</f>
        <v>-7.0980719885401129E-4</v>
      </c>
    </row>
    <row r="388" spans="1:3" x14ac:dyDescent="0.2">
      <c r="A388" s="5">
        <v>45446</v>
      </c>
      <c r="B388" s="6">
        <v>169.12</v>
      </c>
      <c r="C388" s="12">
        <f t="shared" si="6"/>
        <v>-5.8955482635053178E-3</v>
      </c>
    </row>
    <row r="389" spans="1:3" x14ac:dyDescent="0.2">
      <c r="A389" s="5">
        <v>45415</v>
      </c>
      <c r="B389" s="6">
        <v>170.12</v>
      </c>
      <c r="C389" s="12">
        <f t="shared" si="6"/>
        <v>-2.8853168906373343E-2</v>
      </c>
    </row>
    <row r="390" spans="1:3" x14ac:dyDescent="0.2">
      <c r="A390" s="5">
        <v>45385</v>
      </c>
      <c r="B390" s="6">
        <v>175.1</v>
      </c>
      <c r="C390" s="12">
        <f t="shared" si="6"/>
        <v>-2.5708936509254418E-2</v>
      </c>
    </row>
    <row r="391" spans="1:3" x14ac:dyDescent="0.2">
      <c r="A391" s="5">
        <v>45294</v>
      </c>
      <c r="B391" s="6">
        <v>179.66</v>
      </c>
      <c r="C391" s="12">
        <f t="shared" si="6"/>
        <v>-6.0486852378135621E-3</v>
      </c>
    </row>
    <row r="392" spans="1:3" x14ac:dyDescent="0.2">
      <c r="A392" s="4" t="s">
        <v>238</v>
      </c>
      <c r="B392" s="6">
        <v>180.75</v>
      </c>
      <c r="C392" s="12">
        <f t="shared" si="6"/>
        <v>-3.6999241479239351E-3</v>
      </c>
    </row>
    <row r="393" spans="1:3" x14ac:dyDescent="0.2">
      <c r="A393" s="4" t="s">
        <v>239</v>
      </c>
      <c r="B393" s="6">
        <v>181.42</v>
      </c>
      <c r="C393" s="12">
        <f t="shared" si="6"/>
        <v>-6.6474630171523214E-3</v>
      </c>
    </row>
    <row r="394" spans="1:3" x14ac:dyDescent="0.2">
      <c r="A394" s="4" t="s">
        <v>240</v>
      </c>
      <c r="B394" s="6">
        <v>182.63</v>
      </c>
      <c r="C394" s="12">
        <f t="shared" si="6"/>
        <v>8.0816295159372147E-3</v>
      </c>
    </row>
    <row r="395" spans="1:3" x14ac:dyDescent="0.2">
      <c r="A395" s="4" t="s">
        <v>241</v>
      </c>
      <c r="B395" s="6">
        <v>181.16</v>
      </c>
      <c r="C395" s="12">
        <f t="shared" si="6"/>
        <v>-7.4791373711888022E-3</v>
      </c>
    </row>
    <row r="396" spans="1:3" x14ac:dyDescent="0.2">
      <c r="A396" s="4" t="s">
        <v>242</v>
      </c>
      <c r="B396" s="6">
        <v>182.52</v>
      </c>
      <c r="C396" s="12">
        <f t="shared" si="6"/>
        <v>-1.0084852023097546E-2</v>
      </c>
    </row>
    <row r="397" spans="1:3" x14ac:dyDescent="0.2">
      <c r="A397" s="4" t="s">
        <v>243</v>
      </c>
      <c r="B397" s="6">
        <v>184.37</v>
      </c>
      <c r="C397" s="12">
        <f t="shared" si="6"/>
        <v>1.1181223144870737E-2</v>
      </c>
    </row>
    <row r="398" spans="1:3" x14ac:dyDescent="0.2">
      <c r="A398" s="4" t="s">
        <v>244</v>
      </c>
      <c r="B398" s="6">
        <v>182.32</v>
      </c>
      <c r="C398" s="12">
        <f t="shared" si="6"/>
        <v>4.1772073491637982E-3</v>
      </c>
    </row>
    <row r="399" spans="1:3" x14ac:dyDescent="0.2">
      <c r="A399" s="4" t="s">
        <v>245</v>
      </c>
      <c r="B399" s="6">
        <v>181.56</v>
      </c>
      <c r="C399" s="12">
        <f t="shared" si="6"/>
        <v>-4.1223572271086705E-3</v>
      </c>
    </row>
    <row r="400" spans="1:3" x14ac:dyDescent="0.2">
      <c r="A400" s="4" t="s">
        <v>246</v>
      </c>
      <c r="B400" s="6">
        <v>182.31</v>
      </c>
      <c r="C400" s="12">
        <f t="shared" si="6"/>
        <v>-8.4660636202350554E-3</v>
      </c>
    </row>
    <row r="401" spans="1:3" x14ac:dyDescent="0.2">
      <c r="A401" s="4" t="s">
        <v>247</v>
      </c>
      <c r="B401" s="6">
        <v>183.86</v>
      </c>
      <c r="C401" s="12">
        <f t="shared" si="6"/>
        <v>-1.5760444554656545E-3</v>
      </c>
    </row>
    <row r="402" spans="1:3" x14ac:dyDescent="0.2">
      <c r="A402" s="4" t="s">
        <v>248</v>
      </c>
      <c r="B402" s="6">
        <v>184.15</v>
      </c>
      <c r="C402" s="12">
        <f t="shared" si="6"/>
        <v>-4.8213750321093058E-3</v>
      </c>
    </row>
    <row r="403" spans="1:3" x14ac:dyDescent="0.2">
      <c r="A403" s="4" t="s">
        <v>249</v>
      </c>
      <c r="B403" s="6">
        <v>185.04</v>
      </c>
      <c r="C403" s="12">
        <f t="shared" si="6"/>
        <v>-1.1338416427254269E-2</v>
      </c>
    </row>
    <row r="404" spans="1:3" x14ac:dyDescent="0.2">
      <c r="A404" s="5">
        <v>45628</v>
      </c>
      <c r="B404" s="6">
        <v>187.15</v>
      </c>
      <c r="C404" s="12">
        <f t="shared" si="6"/>
        <v>-9.0426148080278088E-3</v>
      </c>
    </row>
    <row r="405" spans="1:3" x14ac:dyDescent="0.2">
      <c r="A405" s="5">
        <v>45537</v>
      </c>
      <c r="B405" s="6">
        <v>188.85</v>
      </c>
      <c r="C405" s="12">
        <f t="shared" si="6"/>
        <v>2.8104056464991977E-3</v>
      </c>
    </row>
    <row r="406" spans="1:3" x14ac:dyDescent="0.2">
      <c r="A406" s="5">
        <v>45506</v>
      </c>
      <c r="B406" s="6">
        <v>188.32</v>
      </c>
      <c r="C406" s="12">
        <f t="shared" si="6"/>
        <v>-5.7713341566836846E-3</v>
      </c>
    </row>
    <row r="407" spans="1:3" x14ac:dyDescent="0.2">
      <c r="A407" s="5">
        <v>45475</v>
      </c>
      <c r="B407" s="6">
        <v>189.41</v>
      </c>
      <c r="C407" s="12">
        <f t="shared" si="6"/>
        <v>5.8091945337303437E-4</v>
      </c>
    </row>
    <row r="408" spans="1:3" x14ac:dyDescent="0.2">
      <c r="A408" s="5">
        <v>45445</v>
      </c>
      <c r="B408" s="6">
        <v>189.3</v>
      </c>
      <c r="C408" s="12">
        <f t="shared" si="6"/>
        <v>8.5946733101117737E-3</v>
      </c>
    </row>
    <row r="409" spans="1:3" x14ac:dyDescent="0.2">
      <c r="A409" s="5">
        <v>45414</v>
      </c>
      <c r="B409" s="6">
        <v>187.68</v>
      </c>
      <c r="C409" s="12">
        <f t="shared" si="6"/>
        <v>9.7984881619042011E-3</v>
      </c>
    </row>
    <row r="410" spans="1:3" x14ac:dyDescent="0.2">
      <c r="A410" s="5">
        <v>45324</v>
      </c>
      <c r="B410" s="6">
        <v>185.85</v>
      </c>
      <c r="C410" s="12">
        <f t="shared" si="6"/>
        <v>-5.4197766215485846E-3</v>
      </c>
    </row>
    <row r="411" spans="1:3" x14ac:dyDescent="0.2">
      <c r="A411" s="5">
        <v>45293</v>
      </c>
      <c r="B411" s="6">
        <v>186.86</v>
      </c>
      <c r="C411" s="12">
        <f t="shared" si="6"/>
        <v>1.3252362242316237E-2</v>
      </c>
    </row>
    <row r="412" spans="1:3" x14ac:dyDescent="0.2">
      <c r="A412" s="4" t="s">
        <v>250</v>
      </c>
      <c r="B412" s="6">
        <v>184.4</v>
      </c>
      <c r="C412" s="12">
        <f t="shared" si="6"/>
        <v>-1.9547395033436211E-2</v>
      </c>
    </row>
    <row r="413" spans="1:3" x14ac:dyDescent="0.2">
      <c r="A413" s="4" t="s">
        <v>251</v>
      </c>
      <c r="B413" s="6">
        <v>188.04</v>
      </c>
      <c r="C413" s="12">
        <f t="shared" si="6"/>
        <v>-1.9433426174370286E-2</v>
      </c>
    </row>
    <row r="414" spans="1:3" x14ac:dyDescent="0.2">
      <c r="A414" s="4" t="s">
        <v>252</v>
      </c>
      <c r="B414" s="6">
        <v>191.73</v>
      </c>
      <c r="C414" s="12">
        <f t="shared" si="6"/>
        <v>-3.5923506028184725E-3</v>
      </c>
    </row>
    <row r="415" spans="1:3" x14ac:dyDescent="0.2">
      <c r="A415" s="4" t="s">
        <v>253</v>
      </c>
      <c r="B415" s="6">
        <v>192.42</v>
      </c>
      <c r="C415" s="12">
        <f t="shared" si="6"/>
        <v>-9.0535810732438726E-3</v>
      </c>
    </row>
    <row r="416" spans="1:3" x14ac:dyDescent="0.2">
      <c r="A416" s="4" t="s">
        <v>254</v>
      </c>
      <c r="B416" s="6">
        <v>194.17</v>
      </c>
      <c r="C416" s="12">
        <f t="shared" si="6"/>
        <v>-1.6980990521387232E-3</v>
      </c>
    </row>
    <row r="417" spans="1:3" x14ac:dyDescent="0.2">
      <c r="A417" s="4" t="s">
        <v>255</v>
      </c>
      <c r="B417" s="6">
        <v>194.5</v>
      </c>
      <c r="C417" s="12">
        <f t="shared" si="6"/>
        <v>-3.4900466548141206E-3</v>
      </c>
    </row>
    <row r="418" spans="1:3" x14ac:dyDescent="0.2">
      <c r="A418" s="4" t="s">
        <v>256</v>
      </c>
      <c r="B418" s="6">
        <v>195.18</v>
      </c>
      <c r="C418" s="12">
        <f t="shared" si="6"/>
        <v>6.6312217704013977E-3</v>
      </c>
    </row>
    <row r="419" spans="1:3" x14ac:dyDescent="0.2">
      <c r="A419" s="4" t="s">
        <v>257</v>
      </c>
      <c r="B419" s="6">
        <v>193.89</v>
      </c>
      <c r="C419" s="12">
        <f t="shared" si="6"/>
        <v>1.2089912468505099E-2</v>
      </c>
    </row>
    <row r="420" spans="1:3" x14ac:dyDescent="0.2">
      <c r="A420" s="4" t="s">
        <v>258</v>
      </c>
      <c r="B420" s="6">
        <v>191.56</v>
      </c>
      <c r="C420" s="12">
        <f t="shared" si="6"/>
        <v>1.5413651116775463E-2</v>
      </c>
    </row>
    <row r="421" spans="1:3" x14ac:dyDescent="0.2">
      <c r="A421" s="4" t="s">
        <v>259</v>
      </c>
      <c r="B421" s="6">
        <v>188.63</v>
      </c>
      <c r="C421" s="12">
        <f t="shared" si="6"/>
        <v>3.2051436040834928E-2</v>
      </c>
    </row>
    <row r="422" spans="1:3" x14ac:dyDescent="0.2">
      <c r="A422" s="4" t="s">
        <v>260</v>
      </c>
      <c r="B422" s="6">
        <v>182.68</v>
      </c>
      <c r="C422" s="12">
        <f t="shared" si="6"/>
        <v>-5.186875214289937E-3</v>
      </c>
    </row>
    <row r="423" spans="1:3" x14ac:dyDescent="0.2">
      <c r="A423" s="4" t="s">
        <v>261</v>
      </c>
      <c r="B423" s="6">
        <v>183.63</v>
      </c>
      <c r="C423" s="12">
        <f t="shared" si="6"/>
        <v>-1.2393610132458198E-2</v>
      </c>
    </row>
    <row r="424" spans="1:3" x14ac:dyDescent="0.2">
      <c r="A424" s="5">
        <v>45627</v>
      </c>
      <c r="B424" s="6">
        <v>185.92</v>
      </c>
      <c r="C424" s="12">
        <f t="shared" si="6"/>
        <v>1.7765340733330659E-3</v>
      </c>
    </row>
    <row r="425" spans="1:3" x14ac:dyDescent="0.2">
      <c r="A425" s="5">
        <v>45597</v>
      </c>
      <c r="B425" s="6">
        <v>185.59</v>
      </c>
      <c r="C425" s="12">
        <f t="shared" si="6"/>
        <v>-3.2277181177477222E-3</v>
      </c>
    </row>
    <row r="426" spans="1:3" x14ac:dyDescent="0.2">
      <c r="A426" s="5">
        <v>45566</v>
      </c>
      <c r="B426" s="6">
        <v>186.19</v>
      </c>
      <c r="C426" s="12">
        <f t="shared" si="6"/>
        <v>5.6553620688958323E-3</v>
      </c>
    </row>
    <row r="427" spans="1:3" x14ac:dyDescent="0.2">
      <c r="A427" s="5">
        <v>45536</v>
      </c>
      <c r="B427" s="6">
        <v>185.14</v>
      </c>
      <c r="C427" s="12">
        <f t="shared" si="6"/>
        <v>-2.2659842444777943E-3</v>
      </c>
    </row>
    <row r="428" spans="1:3" x14ac:dyDescent="0.2">
      <c r="A428" s="5">
        <v>45505</v>
      </c>
      <c r="B428" s="6">
        <v>185.56</v>
      </c>
      <c r="C428" s="12">
        <f t="shared" si="6"/>
        <v>2.3887267642401212E-2</v>
      </c>
    </row>
    <row r="429" spans="1:3" x14ac:dyDescent="0.2">
      <c r="A429" s="5">
        <v>45413</v>
      </c>
      <c r="B429" s="6">
        <v>181.18</v>
      </c>
      <c r="C429" s="12">
        <f t="shared" si="6"/>
        <v>-4.0210470329829356E-3</v>
      </c>
    </row>
    <row r="430" spans="1:3" x14ac:dyDescent="0.2">
      <c r="A430" s="5">
        <v>45383</v>
      </c>
      <c r="B430" s="6">
        <v>181.91</v>
      </c>
      <c r="C430" s="12">
        <f t="shared" si="6"/>
        <v>-1.2781471795321235E-2</v>
      </c>
    </row>
    <row r="431" spans="1:3" x14ac:dyDescent="0.2">
      <c r="A431" s="5">
        <v>45352</v>
      </c>
      <c r="B431" s="6">
        <v>184.25</v>
      </c>
      <c r="C431" s="12">
        <f t="shared" si="6"/>
        <v>-7.5157833035290516E-3</v>
      </c>
    </row>
    <row r="432" spans="1:3" x14ac:dyDescent="0.2">
      <c r="A432" s="5">
        <v>45323</v>
      </c>
      <c r="B432" s="6">
        <v>185.64</v>
      </c>
      <c r="C432" s="12">
        <f t="shared" si="6"/>
        <v>-3.6442671368269126E-2</v>
      </c>
    </row>
    <row r="433" spans="1:3" x14ac:dyDescent="0.2">
      <c r="A433" s="4" t="s">
        <v>262</v>
      </c>
      <c r="B433" s="6">
        <v>192.53</v>
      </c>
      <c r="C433" s="12">
        <f t="shared" si="6"/>
        <v>-5.4388779796984039E-3</v>
      </c>
    </row>
    <row r="434" spans="1:3" x14ac:dyDescent="0.2">
      <c r="A434" s="4" t="s">
        <v>263</v>
      </c>
      <c r="B434" s="6">
        <v>193.58</v>
      </c>
      <c r="C434" s="12">
        <f t="shared" si="6"/>
        <v>2.2237746086522891E-3</v>
      </c>
    </row>
    <row r="435" spans="1:3" x14ac:dyDescent="0.2">
      <c r="A435" s="4" t="s">
        <v>264</v>
      </c>
      <c r="B435" s="6">
        <v>193.15</v>
      </c>
      <c r="C435" s="12">
        <f t="shared" si="6"/>
        <v>5.1786640204498299E-4</v>
      </c>
    </row>
    <row r="436" spans="1:3" x14ac:dyDescent="0.2">
      <c r="A436" s="4" t="s">
        <v>265</v>
      </c>
      <c r="B436" s="6">
        <v>193.05</v>
      </c>
      <c r="C436" s="12">
        <f t="shared" si="6"/>
        <v>-2.8449521322311392E-3</v>
      </c>
    </row>
    <row r="437" spans="1:3" x14ac:dyDescent="0.2">
      <c r="A437" s="4" t="s">
        <v>266</v>
      </c>
      <c r="B437" s="6">
        <v>193.6</v>
      </c>
      <c r="C437" s="12">
        <f t="shared" si="6"/>
        <v>-5.5630101227769546E-3</v>
      </c>
    </row>
    <row r="438" spans="1:3" x14ac:dyDescent="0.2">
      <c r="A438" s="4" t="s">
        <v>267</v>
      </c>
      <c r="B438" s="6">
        <v>194.68</v>
      </c>
      <c r="C438" s="12">
        <f t="shared" si="6"/>
        <v>-7.7019849254231416E-4</v>
      </c>
    </row>
    <row r="439" spans="1:3" x14ac:dyDescent="0.2">
      <c r="A439" s="4" t="s">
        <v>268</v>
      </c>
      <c r="B439" s="6">
        <v>194.83</v>
      </c>
      <c r="C439" s="12">
        <f t="shared" si="6"/>
        <v>-1.0771730361860072E-2</v>
      </c>
    </row>
    <row r="440" spans="1:3" x14ac:dyDescent="0.2">
      <c r="A440" s="4" t="s">
        <v>269</v>
      </c>
      <c r="B440" s="6">
        <v>196.94</v>
      </c>
      <c r="C440" s="12">
        <f t="shared" si="6"/>
        <v>5.345836624347039E-3</v>
      </c>
    </row>
    <row r="441" spans="1:3" x14ac:dyDescent="0.2">
      <c r="A441" s="4" t="s">
        <v>270</v>
      </c>
      <c r="B441" s="6">
        <v>195.89</v>
      </c>
      <c r="C441" s="12">
        <f t="shared" si="6"/>
        <v>-8.5396747300047204E-3</v>
      </c>
    </row>
    <row r="442" spans="1:3" x14ac:dyDescent="0.2">
      <c r="A442" s="4" t="s">
        <v>271</v>
      </c>
      <c r="B442" s="6">
        <v>197.57</v>
      </c>
      <c r="C442" s="12">
        <f t="shared" si="6"/>
        <v>-2.7294800609216695E-3</v>
      </c>
    </row>
    <row r="443" spans="1:3" x14ac:dyDescent="0.2">
      <c r="A443" s="4" t="s">
        <v>272</v>
      </c>
      <c r="B443" s="6">
        <v>198.11</v>
      </c>
      <c r="C443" s="12">
        <f t="shared" si="6"/>
        <v>7.5744190254989341E-4</v>
      </c>
    </row>
    <row r="444" spans="1:3" x14ac:dyDescent="0.2">
      <c r="A444" s="4" t="s">
        <v>273</v>
      </c>
      <c r="B444" s="6">
        <v>197.96</v>
      </c>
      <c r="C444" s="12">
        <f t="shared" si="6"/>
        <v>1.6553717956155536E-2</v>
      </c>
    </row>
    <row r="445" spans="1:3" x14ac:dyDescent="0.2">
      <c r="A445" s="5">
        <v>45272</v>
      </c>
      <c r="B445" s="6">
        <v>194.71</v>
      </c>
      <c r="C445" s="12">
        <f t="shared" si="6"/>
        <v>7.8888753763799828E-3</v>
      </c>
    </row>
    <row r="446" spans="1:3" x14ac:dyDescent="0.2">
      <c r="A446" s="5">
        <v>45242</v>
      </c>
      <c r="B446" s="6">
        <v>193.18</v>
      </c>
      <c r="C446" s="12">
        <f t="shared" si="6"/>
        <v>-1.301157496572789E-2</v>
      </c>
    </row>
    <row r="447" spans="1:3" x14ac:dyDescent="0.2">
      <c r="A447" s="5">
        <v>45150</v>
      </c>
      <c r="B447" s="6">
        <v>195.71</v>
      </c>
      <c r="C447" s="12">
        <f t="shared" si="6"/>
        <v>7.3850276661884184E-3</v>
      </c>
    </row>
    <row r="448" spans="1:3" x14ac:dyDescent="0.2">
      <c r="A448" s="5">
        <v>45119</v>
      </c>
      <c r="B448" s="6">
        <v>194.27</v>
      </c>
      <c r="C448" s="12">
        <f t="shared" si="6"/>
        <v>1.0088292703846631E-2</v>
      </c>
    </row>
    <row r="449" spans="1:3" x14ac:dyDescent="0.2">
      <c r="A449" s="5">
        <v>45089</v>
      </c>
      <c r="B449" s="6">
        <v>192.32</v>
      </c>
      <c r="C449" s="12">
        <f t="shared" si="6"/>
        <v>-5.7033389419743862E-3</v>
      </c>
    </row>
    <row r="450" spans="1:3" x14ac:dyDescent="0.2">
      <c r="A450" s="5">
        <v>45058</v>
      </c>
      <c r="B450" s="6">
        <v>193.42</v>
      </c>
      <c r="C450" s="12">
        <f t="shared" si="6"/>
        <v>2.0844427148629722E-2</v>
      </c>
    </row>
    <row r="451" spans="1:3" x14ac:dyDescent="0.2">
      <c r="A451" s="5">
        <v>45028</v>
      </c>
      <c r="B451" s="6">
        <v>189.43</v>
      </c>
      <c r="C451" s="12">
        <f t="shared" ref="C451:C514" si="7">LN(B451/B452)</f>
        <v>-9.5096206177151827E-3</v>
      </c>
    </row>
    <row r="452" spans="1:3" x14ac:dyDescent="0.2">
      <c r="A452" s="5">
        <v>44938</v>
      </c>
      <c r="B452" s="6">
        <v>191.24</v>
      </c>
      <c r="C452" s="12">
        <f t="shared" si="7"/>
        <v>6.7683041242681341E-3</v>
      </c>
    </row>
    <row r="453" spans="1:3" x14ac:dyDescent="0.2">
      <c r="A453" s="4" t="s">
        <v>274</v>
      </c>
      <c r="B453" s="6">
        <v>189.95</v>
      </c>
      <c r="C453" s="12">
        <f t="shared" si="7"/>
        <v>3.0581063588208724E-3</v>
      </c>
    </row>
    <row r="454" spans="1:3" x14ac:dyDescent="0.2">
      <c r="A454" s="4" t="s">
        <v>275</v>
      </c>
      <c r="B454" s="6">
        <v>189.37</v>
      </c>
      <c r="C454" s="12">
        <f t="shared" si="7"/>
        <v>-5.4243490824511988E-3</v>
      </c>
    </row>
    <row r="455" spans="1:3" x14ac:dyDescent="0.2">
      <c r="A455" s="4" t="s">
        <v>276</v>
      </c>
      <c r="B455" s="6">
        <v>190.4</v>
      </c>
      <c r="C455" s="12">
        <f t="shared" si="7"/>
        <v>3.2089246084366536E-3</v>
      </c>
    </row>
    <row r="456" spans="1:3" x14ac:dyDescent="0.2">
      <c r="A456" s="4" t="s">
        <v>277</v>
      </c>
      <c r="B456" s="6">
        <v>189.79</v>
      </c>
      <c r="C456" s="12">
        <f t="shared" si="7"/>
        <v>-9.4796720812947511E-4</v>
      </c>
    </row>
    <row r="457" spans="1:3" x14ac:dyDescent="0.2">
      <c r="A457" s="4" t="s">
        <v>278</v>
      </c>
      <c r="B457" s="6">
        <v>189.97</v>
      </c>
      <c r="C457" s="12">
        <f t="shared" si="7"/>
        <v>-7.0289840383322283E-3</v>
      </c>
    </row>
    <row r="458" spans="1:3" x14ac:dyDescent="0.2">
      <c r="A458" s="4" t="s">
        <v>279</v>
      </c>
      <c r="B458" s="6">
        <v>191.31</v>
      </c>
      <c r="C458" s="12">
        <f t="shared" si="7"/>
        <v>3.5083162048033414E-3</v>
      </c>
    </row>
    <row r="459" spans="1:3" x14ac:dyDescent="0.2">
      <c r="A459" s="4" t="s">
        <v>280</v>
      </c>
      <c r="B459" s="6">
        <v>190.64</v>
      </c>
      <c r="C459" s="12">
        <f t="shared" si="7"/>
        <v>-4.2398451328168225E-3</v>
      </c>
    </row>
    <row r="460" spans="1:3" x14ac:dyDescent="0.2">
      <c r="A460" s="4" t="s">
        <v>281</v>
      </c>
      <c r="B460" s="6">
        <v>191.45</v>
      </c>
      <c r="C460" s="12">
        <f t="shared" si="7"/>
        <v>9.2355171846718407E-3</v>
      </c>
    </row>
    <row r="461" spans="1:3" x14ac:dyDescent="0.2">
      <c r="A461" s="4" t="s">
        <v>282</v>
      </c>
      <c r="B461" s="6">
        <v>189.69</v>
      </c>
      <c r="C461" s="12">
        <f t="shared" si="7"/>
        <v>-1.0542962582250905E-4</v>
      </c>
    </row>
    <row r="462" spans="1:3" x14ac:dyDescent="0.2">
      <c r="A462" s="4" t="s">
        <v>283</v>
      </c>
      <c r="B462" s="6">
        <v>189.71</v>
      </c>
      <c r="C462" s="12">
        <f t="shared" si="7"/>
        <v>9.0014374597603957E-3</v>
      </c>
    </row>
    <row r="463" spans="1:3" x14ac:dyDescent="0.2">
      <c r="A463" s="4" t="s">
        <v>284</v>
      </c>
      <c r="B463" s="6">
        <v>188.01</v>
      </c>
      <c r="C463" s="12">
        <f t="shared" si="7"/>
        <v>3.0363587051535548E-3</v>
      </c>
    </row>
    <row r="464" spans="1:3" x14ac:dyDescent="0.2">
      <c r="A464" s="4" t="s">
        <v>285</v>
      </c>
      <c r="B464" s="6">
        <v>187.44</v>
      </c>
      <c r="C464" s="12">
        <f t="shared" si="7"/>
        <v>1.4184634991956381E-2</v>
      </c>
    </row>
    <row r="465" spans="1:3" x14ac:dyDescent="0.2">
      <c r="A465" s="4" t="s">
        <v>286</v>
      </c>
      <c r="B465" s="6">
        <v>184.8</v>
      </c>
      <c r="C465" s="12">
        <f t="shared" si="7"/>
        <v>-8.6207430439069754E-3</v>
      </c>
    </row>
    <row r="466" spans="1:3" x14ac:dyDescent="0.2">
      <c r="A466" s="5">
        <v>45210</v>
      </c>
      <c r="B466" s="6">
        <v>186.4</v>
      </c>
      <c r="C466" s="12">
        <f t="shared" si="7"/>
        <v>2.1638001552667766E-2</v>
      </c>
    </row>
    <row r="467" spans="1:3" x14ac:dyDescent="0.2">
      <c r="A467" s="5">
        <v>45180</v>
      </c>
      <c r="B467" s="6">
        <v>182.41</v>
      </c>
      <c r="C467" s="12">
        <f t="shared" si="7"/>
        <v>-2.6279785176610655E-3</v>
      </c>
    </row>
    <row r="468" spans="1:3" x14ac:dyDescent="0.2">
      <c r="A468" s="5">
        <v>45149</v>
      </c>
      <c r="B468" s="6">
        <v>182.89</v>
      </c>
      <c r="C468" s="12">
        <f t="shared" si="7"/>
        <v>5.8676925227720564E-3</v>
      </c>
    </row>
    <row r="469" spans="1:3" x14ac:dyDescent="0.2">
      <c r="A469" s="5">
        <v>45118</v>
      </c>
      <c r="B469" s="6">
        <v>181.82</v>
      </c>
      <c r="C469" s="12">
        <f t="shared" si="7"/>
        <v>1.4347289450206285E-2</v>
      </c>
    </row>
    <row r="470" spans="1:3" x14ac:dyDescent="0.2">
      <c r="A470" s="5">
        <v>45088</v>
      </c>
      <c r="B470" s="6">
        <v>179.23</v>
      </c>
      <c r="C470" s="12">
        <f t="shared" si="7"/>
        <v>1.4499523438351727E-2</v>
      </c>
    </row>
    <row r="471" spans="1:3" x14ac:dyDescent="0.2">
      <c r="A471" s="5">
        <v>44996</v>
      </c>
      <c r="B471" s="6">
        <v>176.65</v>
      </c>
      <c r="C471" s="12">
        <f t="shared" si="7"/>
        <v>-5.1945235655890959E-3</v>
      </c>
    </row>
    <row r="472" spans="1:3" x14ac:dyDescent="0.2">
      <c r="A472" s="5">
        <v>44968</v>
      </c>
      <c r="B472" s="6">
        <v>177.57</v>
      </c>
      <c r="C472" s="12">
        <f t="shared" si="7"/>
        <v>2.0482026814284352E-2</v>
      </c>
    </row>
    <row r="473" spans="1:3" x14ac:dyDescent="0.2">
      <c r="A473" s="5">
        <v>44937</v>
      </c>
      <c r="B473" s="6">
        <v>173.97</v>
      </c>
      <c r="C473" s="12">
        <f t="shared" si="7"/>
        <v>1.8565248657311163E-2</v>
      </c>
    </row>
    <row r="474" spans="1:3" x14ac:dyDescent="0.2">
      <c r="A474" s="4" t="s">
        <v>287</v>
      </c>
      <c r="B474" s="6">
        <v>170.77</v>
      </c>
      <c r="C474" s="12">
        <f t="shared" si="7"/>
        <v>2.8147558606344122E-3</v>
      </c>
    </row>
    <row r="475" spans="1:3" x14ac:dyDescent="0.2">
      <c r="A475" s="4" t="s">
        <v>288</v>
      </c>
      <c r="B475" s="6">
        <v>170.29</v>
      </c>
      <c r="C475" s="12">
        <f t="shared" si="7"/>
        <v>1.2230219504221885E-2</v>
      </c>
    </row>
    <row r="476" spans="1:3" x14ac:dyDescent="0.2">
      <c r="A476" s="4" t="s">
        <v>289</v>
      </c>
      <c r="B476" s="6">
        <v>168.22</v>
      </c>
      <c r="C476" s="12">
        <f t="shared" si="7"/>
        <v>7.937733778979876E-3</v>
      </c>
    </row>
    <row r="477" spans="1:3" x14ac:dyDescent="0.2">
      <c r="A477" s="4" t="s">
        <v>290</v>
      </c>
      <c r="B477" s="6">
        <v>166.89</v>
      </c>
      <c r="C477" s="12">
        <f t="shared" si="7"/>
        <v>-2.4913268142836346E-2</v>
      </c>
    </row>
    <row r="478" spans="1:3" x14ac:dyDescent="0.2">
      <c r="A478" s="4" t="s">
        <v>291</v>
      </c>
      <c r="B478" s="6">
        <v>171.1</v>
      </c>
      <c r="C478" s="12">
        <f t="shared" si="7"/>
        <v>-1.3583537353133628E-2</v>
      </c>
    </row>
    <row r="479" spans="1:3" x14ac:dyDescent="0.2">
      <c r="A479" s="4" t="s">
        <v>292</v>
      </c>
      <c r="B479" s="6">
        <v>173.44</v>
      </c>
      <c r="C479" s="12">
        <f t="shared" si="7"/>
        <v>2.5401237535023851E-3</v>
      </c>
    </row>
    <row r="480" spans="1:3" x14ac:dyDescent="0.2">
      <c r="A480" s="4" t="s">
        <v>293</v>
      </c>
      <c r="B480" s="6">
        <v>173</v>
      </c>
      <c r="C480" s="12">
        <f t="shared" si="7"/>
        <v>6.9388229914837116E-4</v>
      </c>
    </row>
    <row r="481" spans="1:3" x14ac:dyDescent="0.2">
      <c r="A481" s="4" t="s">
        <v>294</v>
      </c>
      <c r="B481" s="6">
        <v>172.88</v>
      </c>
      <c r="C481" s="12">
        <f t="shared" si="7"/>
        <v>-1.4813384501607393E-2</v>
      </c>
    </row>
    <row r="482" spans="1:3" x14ac:dyDescent="0.2">
      <c r="A482" s="4" t="s">
        <v>295</v>
      </c>
      <c r="B482" s="6">
        <v>175.46</v>
      </c>
      <c r="C482" s="12">
        <f t="shared" si="7"/>
        <v>-2.1633939550734318E-3</v>
      </c>
    </row>
    <row r="483" spans="1:3" x14ac:dyDescent="0.2">
      <c r="A483" s="4" t="s">
        <v>296</v>
      </c>
      <c r="B483" s="6">
        <v>175.84</v>
      </c>
      <c r="C483" s="12">
        <f t="shared" si="7"/>
        <v>-7.4223406561697352E-3</v>
      </c>
    </row>
    <row r="484" spans="1:3" x14ac:dyDescent="0.2">
      <c r="A484" s="4" t="s">
        <v>297</v>
      </c>
      <c r="B484" s="6">
        <v>177.15</v>
      </c>
      <c r="C484" s="12">
        <f t="shared" si="7"/>
        <v>-8.8235040094095368E-3</v>
      </c>
    </row>
    <row r="485" spans="1:3" x14ac:dyDescent="0.2">
      <c r="A485" s="4" t="s">
        <v>298</v>
      </c>
      <c r="B485" s="6">
        <v>178.72</v>
      </c>
      <c r="C485" s="12">
        <f t="shared" si="7"/>
        <v>-7.2713038413612155E-4</v>
      </c>
    </row>
    <row r="486" spans="1:3" x14ac:dyDescent="0.2">
      <c r="A486" s="4" t="s">
        <v>299</v>
      </c>
      <c r="B486" s="6">
        <v>178.85</v>
      </c>
      <c r="C486" s="12">
        <f t="shared" si="7"/>
        <v>-1.0346070705045956E-2</v>
      </c>
    </row>
    <row r="487" spans="1:3" x14ac:dyDescent="0.2">
      <c r="A487" s="5">
        <v>45270</v>
      </c>
      <c r="B487" s="6">
        <v>180.71</v>
      </c>
      <c r="C487" s="12">
        <f t="shared" si="7"/>
        <v>5.0484143725527258E-3</v>
      </c>
    </row>
    <row r="488" spans="1:3" x14ac:dyDescent="0.2">
      <c r="A488" s="5">
        <v>45240</v>
      </c>
      <c r="B488" s="6">
        <v>179.8</v>
      </c>
      <c r="C488" s="12">
        <f t="shared" si="7"/>
        <v>7.872957274343912E-3</v>
      </c>
    </row>
    <row r="489" spans="1:3" x14ac:dyDescent="0.2">
      <c r="A489" s="5">
        <v>45209</v>
      </c>
      <c r="B489" s="6">
        <v>178.39</v>
      </c>
      <c r="C489" s="12">
        <f t="shared" si="7"/>
        <v>-3.3577735952325274E-3</v>
      </c>
    </row>
    <row r="490" spans="1:3" x14ac:dyDescent="0.2">
      <c r="A490" s="5">
        <v>45179</v>
      </c>
      <c r="B490" s="6">
        <v>178.99</v>
      </c>
      <c r="C490" s="12">
        <f t="shared" si="7"/>
        <v>8.415669058153363E-3</v>
      </c>
    </row>
    <row r="491" spans="1:3" x14ac:dyDescent="0.2">
      <c r="A491" s="5">
        <v>45087</v>
      </c>
      <c r="B491" s="6">
        <v>177.49</v>
      </c>
      <c r="C491" s="12">
        <f t="shared" si="7"/>
        <v>1.4642713381283392E-2</v>
      </c>
    </row>
    <row r="492" spans="1:3" x14ac:dyDescent="0.2">
      <c r="A492" s="5">
        <v>45056</v>
      </c>
      <c r="B492" s="6">
        <v>174.91</v>
      </c>
      <c r="C492" s="12">
        <f t="shared" si="7"/>
        <v>7.1721912864727306E-3</v>
      </c>
    </row>
    <row r="493" spans="1:3" x14ac:dyDescent="0.2">
      <c r="A493" s="5">
        <v>45026</v>
      </c>
      <c r="B493" s="6">
        <v>173.66</v>
      </c>
      <c r="C493" s="12">
        <f t="shared" si="7"/>
        <v>7.2820064029063027E-3</v>
      </c>
    </row>
    <row r="494" spans="1:3" x14ac:dyDescent="0.2">
      <c r="A494" s="5">
        <v>44995</v>
      </c>
      <c r="B494" s="6">
        <v>172.4</v>
      </c>
      <c r="C494" s="12">
        <f t="shared" si="7"/>
        <v>-7.800126215308751E-3</v>
      </c>
    </row>
    <row r="495" spans="1:3" x14ac:dyDescent="0.2">
      <c r="A495" s="5">
        <v>44967</v>
      </c>
      <c r="B495" s="6">
        <v>173.75</v>
      </c>
      <c r="C495" s="12">
        <f t="shared" si="7"/>
        <v>1.472661122817496E-2</v>
      </c>
    </row>
    <row r="496" spans="1:3" x14ac:dyDescent="0.2">
      <c r="A496" s="4" t="s">
        <v>300</v>
      </c>
      <c r="B496" s="6">
        <v>171.21</v>
      </c>
      <c r="C496" s="12">
        <f t="shared" si="7"/>
        <v>3.0418274404849423E-3</v>
      </c>
    </row>
    <row r="497" spans="1:3" x14ac:dyDescent="0.2">
      <c r="A497" s="4" t="s">
        <v>301</v>
      </c>
      <c r="B497" s="6">
        <v>170.69</v>
      </c>
      <c r="C497" s="12">
        <f t="shared" si="7"/>
        <v>1.5243905390963399E-3</v>
      </c>
    </row>
    <row r="498" spans="1:3" x14ac:dyDescent="0.2">
      <c r="A498" s="4" t="s">
        <v>302</v>
      </c>
      <c r="B498" s="6">
        <v>170.43</v>
      </c>
      <c r="C498" s="12">
        <f t="shared" si="7"/>
        <v>-8.9372363909355351E-3</v>
      </c>
    </row>
    <row r="499" spans="1:3" x14ac:dyDescent="0.2">
      <c r="A499" s="4" t="s">
        <v>303</v>
      </c>
      <c r="B499" s="6">
        <v>171.96</v>
      </c>
      <c r="C499" s="12">
        <f t="shared" si="7"/>
        <v>-2.3676545590125463E-2</v>
      </c>
    </row>
    <row r="500" spans="1:3" x14ac:dyDescent="0.2">
      <c r="A500" s="4" t="s">
        <v>304</v>
      </c>
      <c r="B500" s="6">
        <v>176.08</v>
      </c>
      <c r="C500" s="12">
        <f t="shared" si="7"/>
        <v>7.3531838712111624E-3</v>
      </c>
    </row>
    <row r="501" spans="1:3" x14ac:dyDescent="0.2">
      <c r="A501" s="4" t="s">
        <v>305</v>
      </c>
      <c r="B501" s="6">
        <v>174.79</v>
      </c>
      <c r="C501" s="12">
        <f t="shared" si="7"/>
        <v>4.9323339269332096E-3</v>
      </c>
    </row>
    <row r="502" spans="1:3" x14ac:dyDescent="0.2">
      <c r="A502" s="4" t="s">
        <v>306</v>
      </c>
      <c r="B502" s="6">
        <v>173.93</v>
      </c>
      <c r="C502" s="12">
        <f t="shared" si="7"/>
        <v>-8.9291418054534399E-3</v>
      </c>
    </row>
    <row r="503" spans="1:3" x14ac:dyDescent="0.2">
      <c r="A503" s="4" t="s">
        <v>307</v>
      </c>
      <c r="B503" s="6">
        <v>175.49</v>
      </c>
      <c r="C503" s="12">
        <f t="shared" si="7"/>
        <v>-2.0194729623152739E-2</v>
      </c>
    </row>
    <row r="504" spans="1:3" x14ac:dyDescent="0.2">
      <c r="A504" s="4" t="s">
        <v>308</v>
      </c>
      <c r="B504" s="6">
        <v>179.07</v>
      </c>
      <c r="C504" s="12">
        <f t="shared" si="7"/>
        <v>6.1617940867738823E-3</v>
      </c>
    </row>
    <row r="505" spans="1:3" x14ac:dyDescent="0.2">
      <c r="A505" s="4" t="s">
        <v>309</v>
      </c>
      <c r="B505" s="6">
        <v>177.97</v>
      </c>
      <c r="C505" s="12">
        <f t="shared" si="7"/>
        <v>1.6771881613828182E-2</v>
      </c>
    </row>
    <row r="506" spans="1:3" x14ac:dyDescent="0.2">
      <c r="A506" s="4" t="s">
        <v>310</v>
      </c>
      <c r="B506" s="6">
        <v>175.01</v>
      </c>
      <c r="C506" s="12">
        <f t="shared" si="7"/>
        <v>-4.1625149196311386E-3</v>
      </c>
    </row>
    <row r="507" spans="1:3" x14ac:dyDescent="0.2">
      <c r="A507" s="4" t="s">
        <v>311</v>
      </c>
      <c r="B507" s="6">
        <v>175.74</v>
      </c>
      <c r="C507" s="12">
        <f t="shared" si="7"/>
        <v>8.7441620156289389E-3</v>
      </c>
    </row>
    <row r="508" spans="1:3" x14ac:dyDescent="0.2">
      <c r="A508" s="4" t="s">
        <v>312</v>
      </c>
      <c r="B508" s="6">
        <v>174.21</v>
      </c>
      <c r="C508" s="12">
        <f t="shared" si="7"/>
        <v>-1.1925621351756389E-2</v>
      </c>
    </row>
    <row r="509" spans="1:3" x14ac:dyDescent="0.2">
      <c r="A509" s="5">
        <v>45269</v>
      </c>
      <c r="B509" s="6">
        <v>176.3</v>
      </c>
      <c r="C509" s="12">
        <f t="shared" si="7"/>
        <v>-1.7207869920025237E-2</v>
      </c>
    </row>
    <row r="510" spans="1:3" x14ac:dyDescent="0.2">
      <c r="A510" s="5">
        <v>45239</v>
      </c>
      <c r="B510" s="6">
        <v>179.36</v>
      </c>
      <c r="C510" s="12">
        <f t="shared" si="7"/>
        <v>6.6006840313520927E-3</v>
      </c>
    </row>
    <row r="511" spans="1:3" x14ac:dyDescent="0.2">
      <c r="A511" s="5">
        <v>45147</v>
      </c>
      <c r="B511" s="6">
        <v>178.18</v>
      </c>
      <c r="C511" s="12">
        <f t="shared" si="7"/>
        <v>3.4856953266633552E-3</v>
      </c>
    </row>
    <row r="512" spans="1:3" x14ac:dyDescent="0.2">
      <c r="A512" s="5">
        <v>45116</v>
      </c>
      <c r="B512" s="6">
        <v>177.56</v>
      </c>
      <c r="C512" s="12">
        <f t="shared" si="7"/>
        <v>-2.9685648621999895E-2</v>
      </c>
    </row>
    <row r="513" spans="1:3" x14ac:dyDescent="0.2">
      <c r="A513" s="5">
        <v>45086</v>
      </c>
      <c r="B513" s="6">
        <v>182.91</v>
      </c>
      <c r="C513" s="12">
        <f t="shared" si="7"/>
        <v>-3.6449648353134058E-2</v>
      </c>
    </row>
    <row r="514" spans="1:3" x14ac:dyDescent="0.2">
      <c r="A514" s="5">
        <v>45055</v>
      </c>
      <c r="B514" s="6">
        <v>189.7</v>
      </c>
      <c r="C514" s="12">
        <f t="shared" si="7"/>
        <v>1.2659564935798922E-3</v>
      </c>
    </row>
    <row r="515" spans="1:3" x14ac:dyDescent="0.2">
      <c r="A515" s="5">
        <v>44935</v>
      </c>
      <c r="B515" s="6">
        <v>189.46</v>
      </c>
      <c r="C515" s="12">
        <f t="shared" ref="C515:C578" si="8">LN(B515/B516)</f>
        <v>8.427686168180834E-3</v>
      </c>
    </row>
    <row r="516" spans="1:3" x14ac:dyDescent="0.2">
      <c r="A516" s="4" t="s">
        <v>313</v>
      </c>
      <c r="B516" s="6">
        <v>187.87</v>
      </c>
      <c r="C516" s="12">
        <f t="shared" si="8"/>
        <v>1.1717086981777867E-3</v>
      </c>
    </row>
    <row r="517" spans="1:3" x14ac:dyDescent="0.2">
      <c r="A517" s="4" t="s">
        <v>314</v>
      </c>
      <c r="B517" s="6">
        <v>187.65</v>
      </c>
      <c r="C517" s="12">
        <f t="shared" si="8"/>
        <v>1.8990806631989123E-2</v>
      </c>
    </row>
    <row r="518" spans="1:3" x14ac:dyDescent="0.2">
      <c r="A518" s="4" t="s">
        <v>315</v>
      </c>
      <c r="B518" s="6">
        <v>184.12</v>
      </c>
      <c r="C518" s="12">
        <f t="shared" si="8"/>
        <v>2.1575869210317872E-2</v>
      </c>
    </row>
    <row r="519" spans="1:3" x14ac:dyDescent="0.2">
      <c r="A519" s="4" t="s">
        <v>316</v>
      </c>
      <c r="B519" s="6">
        <v>180.19</v>
      </c>
      <c r="C519" s="12">
        <f t="shared" si="8"/>
        <v>8.807191822330614E-3</v>
      </c>
    </row>
    <row r="520" spans="1:3" x14ac:dyDescent="0.2">
      <c r="A520" s="4" t="s">
        <v>317</v>
      </c>
      <c r="B520" s="6">
        <v>178.61</v>
      </c>
      <c r="C520" s="12">
        <f t="shared" si="8"/>
        <v>1.2563899456357483E-2</v>
      </c>
    </row>
    <row r="521" spans="1:3" x14ac:dyDescent="0.2">
      <c r="A521" s="4" t="s">
        <v>318</v>
      </c>
      <c r="B521" s="6">
        <v>176.38</v>
      </c>
      <c r="C521" s="12">
        <f t="shared" si="8"/>
        <v>-2.6519036554783462E-2</v>
      </c>
    </row>
    <row r="522" spans="1:3" x14ac:dyDescent="0.2">
      <c r="A522" s="4" t="s">
        <v>319</v>
      </c>
      <c r="B522" s="6">
        <v>181.12</v>
      </c>
      <c r="C522" s="12">
        <f t="shared" si="8"/>
        <v>2.171147094776997E-2</v>
      </c>
    </row>
    <row r="523" spans="1:3" x14ac:dyDescent="0.2">
      <c r="A523" s="4" t="s">
        <v>320</v>
      </c>
      <c r="B523" s="6">
        <v>177.23</v>
      </c>
      <c r="C523" s="12">
        <f t="shared" si="8"/>
        <v>7.8738334117370596E-3</v>
      </c>
    </row>
    <row r="524" spans="1:3" x14ac:dyDescent="0.2">
      <c r="A524" s="4" t="s">
        <v>321</v>
      </c>
      <c r="B524" s="6">
        <v>175.84</v>
      </c>
      <c r="C524" s="12">
        <f t="shared" si="8"/>
        <v>7.7070572451726866E-3</v>
      </c>
    </row>
    <row r="525" spans="1:3" x14ac:dyDescent="0.2">
      <c r="A525" s="4" t="s">
        <v>322</v>
      </c>
      <c r="B525" s="6">
        <v>174.49</v>
      </c>
      <c r="C525" s="12">
        <f t="shared" si="8"/>
        <v>2.8121341956095711E-3</v>
      </c>
    </row>
    <row r="526" spans="1:3" x14ac:dyDescent="0.2">
      <c r="A526" s="4" t="s">
        <v>323</v>
      </c>
      <c r="B526" s="6">
        <v>174</v>
      </c>
      <c r="C526" s="12">
        <f t="shared" si="8"/>
        <v>-1.4662099100177803E-2</v>
      </c>
    </row>
    <row r="527" spans="1:3" x14ac:dyDescent="0.2">
      <c r="A527" s="4" t="s">
        <v>324</v>
      </c>
      <c r="B527" s="6">
        <v>176.57</v>
      </c>
      <c r="C527" s="12">
        <f t="shared" si="8"/>
        <v>-4.9714807777985716E-3</v>
      </c>
    </row>
    <row r="528" spans="1:3" x14ac:dyDescent="0.2">
      <c r="A528" s="4" t="s">
        <v>325</v>
      </c>
      <c r="B528" s="6">
        <v>177.45</v>
      </c>
      <c r="C528" s="12">
        <f t="shared" si="8"/>
        <v>-1.126346277740628E-2</v>
      </c>
    </row>
    <row r="529" spans="1:3" x14ac:dyDescent="0.2">
      <c r="A529" s="4" t="s">
        <v>326</v>
      </c>
      <c r="B529" s="6">
        <v>179.46</v>
      </c>
      <c r="C529" s="12">
        <f t="shared" si="8"/>
        <v>9.349263341431456E-3</v>
      </c>
    </row>
    <row r="530" spans="1:3" x14ac:dyDescent="0.2">
      <c r="A530" s="5">
        <v>45238</v>
      </c>
      <c r="B530" s="6">
        <v>177.79</v>
      </c>
      <c r="C530" s="12">
        <f t="shared" si="8"/>
        <v>-1.0119182334140055E-3</v>
      </c>
    </row>
    <row r="531" spans="1:3" x14ac:dyDescent="0.2">
      <c r="A531" s="5">
        <v>45207</v>
      </c>
      <c r="B531" s="6">
        <v>177.97</v>
      </c>
      <c r="C531" s="12">
        <f t="shared" si="8"/>
        <v>-1.235399977429129E-3</v>
      </c>
    </row>
    <row r="532" spans="1:3" x14ac:dyDescent="0.2">
      <c r="A532" s="5">
        <v>45177</v>
      </c>
      <c r="B532" s="6">
        <v>178.19</v>
      </c>
      <c r="C532" s="12">
        <f t="shared" si="8"/>
        <v>-8.9947252981966482E-3</v>
      </c>
    </row>
    <row r="533" spans="1:3" x14ac:dyDescent="0.2">
      <c r="A533" s="5">
        <v>45146</v>
      </c>
      <c r="B533" s="6">
        <v>179.8</v>
      </c>
      <c r="C533" s="12">
        <f t="shared" si="8"/>
        <v>5.2976563324931914E-3</v>
      </c>
    </row>
    <row r="534" spans="1:3" x14ac:dyDescent="0.2">
      <c r="A534" s="5">
        <v>45115</v>
      </c>
      <c r="B534" s="6">
        <v>178.85</v>
      </c>
      <c r="C534" s="12">
        <f t="shared" si="8"/>
        <v>-1.7404274807288778E-2</v>
      </c>
    </row>
    <row r="535" spans="1:3" x14ac:dyDescent="0.2">
      <c r="A535" s="5">
        <v>45024</v>
      </c>
      <c r="B535" s="6">
        <v>181.99</v>
      </c>
      <c r="C535" s="12">
        <f t="shared" si="8"/>
        <v>-4.9211344028611312E-2</v>
      </c>
    </row>
    <row r="536" spans="1:3" x14ac:dyDescent="0.2">
      <c r="A536" s="5">
        <v>44993</v>
      </c>
      <c r="B536" s="6">
        <v>191.17</v>
      </c>
      <c r="C536" s="12">
        <f t="shared" si="8"/>
        <v>-7.3485672712110756E-3</v>
      </c>
    </row>
    <row r="537" spans="1:3" x14ac:dyDescent="0.2">
      <c r="A537" s="5">
        <v>44965</v>
      </c>
      <c r="B537" s="6">
        <v>192.58</v>
      </c>
      <c r="C537" s="12">
        <f t="shared" si="8"/>
        <v>-1.5585667834055237E-2</v>
      </c>
    </row>
    <row r="538" spans="1:3" x14ac:dyDescent="0.2">
      <c r="A538" s="5">
        <v>44934</v>
      </c>
      <c r="B538" s="6">
        <v>195.60499999999999</v>
      </c>
      <c r="C538" s="12">
        <f t="shared" si="8"/>
        <v>-4.3106263582755079E-3</v>
      </c>
    </row>
    <row r="539" spans="1:3" x14ac:dyDescent="0.2">
      <c r="A539" s="4" t="s">
        <v>327</v>
      </c>
      <c r="B539" s="6">
        <v>196.45</v>
      </c>
      <c r="C539" s="12">
        <f t="shared" si="8"/>
        <v>3.1610100757235426E-3</v>
      </c>
    </row>
    <row r="540" spans="1:3" x14ac:dyDescent="0.2">
      <c r="A540" s="4" t="s">
        <v>328</v>
      </c>
      <c r="B540" s="6">
        <v>195.83</v>
      </c>
      <c r="C540" s="12">
        <f t="shared" si="8"/>
        <v>1.3417499839381564E-2</v>
      </c>
    </row>
    <row r="541" spans="1:3" x14ac:dyDescent="0.2">
      <c r="A541" s="4" t="s">
        <v>329</v>
      </c>
      <c r="B541" s="6">
        <v>193.22</v>
      </c>
      <c r="C541" s="12">
        <f t="shared" si="8"/>
        <v>-6.6027269691374931E-3</v>
      </c>
    </row>
    <row r="542" spans="1:3" x14ac:dyDescent="0.2">
      <c r="A542" s="4" t="s">
        <v>330</v>
      </c>
      <c r="B542" s="6">
        <v>194.5</v>
      </c>
      <c r="C542" s="12">
        <f t="shared" si="8"/>
        <v>4.5346877665754255E-3</v>
      </c>
    </row>
    <row r="543" spans="1:3" x14ac:dyDescent="0.2">
      <c r="A543" s="4" t="s">
        <v>331</v>
      </c>
      <c r="B543" s="6">
        <v>193.62</v>
      </c>
      <c r="C543" s="12">
        <f t="shared" si="8"/>
        <v>4.5034628484867016E-3</v>
      </c>
    </row>
    <row r="544" spans="1:3" x14ac:dyDescent="0.2">
      <c r="A544" s="4" t="s">
        <v>332</v>
      </c>
      <c r="B544" s="6">
        <v>192.75</v>
      </c>
      <c r="C544" s="12">
        <f t="shared" si="8"/>
        <v>4.2111892539572022E-3</v>
      </c>
    </row>
    <row r="545" spans="1:3" x14ac:dyDescent="0.2">
      <c r="A545" s="4" t="s">
        <v>333</v>
      </c>
      <c r="B545" s="6">
        <v>191.94</v>
      </c>
      <c r="C545" s="12">
        <f t="shared" si="8"/>
        <v>-6.1807140950263561E-3</v>
      </c>
    </row>
    <row r="546" spans="1:3" x14ac:dyDescent="0.2">
      <c r="A546" s="4" t="s">
        <v>334</v>
      </c>
      <c r="B546" s="6">
        <v>193.13</v>
      </c>
      <c r="C546" s="12">
        <f t="shared" si="8"/>
        <v>-1.0148710344557488E-2</v>
      </c>
    </row>
    <row r="547" spans="1:3" x14ac:dyDescent="0.2">
      <c r="A547" s="4" t="s">
        <v>335</v>
      </c>
      <c r="B547" s="6">
        <v>195.1</v>
      </c>
      <c r="C547" s="12">
        <f t="shared" si="8"/>
        <v>7.0468105302110336E-3</v>
      </c>
    </row>
    <row r="548" spans="1:3" x14ac:dyDescent="0.2">
      <c r="A548" s="4" t="s">
        <v>336</v>
      </c>
      <c r="B548" s="6">
        <v>193.73</v>
      </c>
      <c r="C548" s="12">
        <f t="shared" si="8"/>
        <v>-1.3411742441602579E-3</v>
      </c>
    </row>
    <row r="549" spans="1:3" x14ac:dyDescent="0.2">
      <c r="A549" s="4" t="s">
        <v>337</v>
      </c>
      <c r="B549" s="6">
        <v>193.99</v>
      </c>
      <c r="C549" s="12">
        <f t="shared" si="8"/>
        <v>1.7157538496479198E-2</v>
      </c>
    </row>
    <row r="550" spans="1:3" x14ac:dyDescent="0.2">
      <c r="A550" s="4" t="s">
        <v>338</v>
      </c>
      <c r="B550" s="6">
        <v>190.69</v>
      </c>
      <c r="C550" s="12">
        <f t="shared" si="8"/>
        <v>7.8692656790220266E-4</v>
      </c>
    </row>
    <row r="551" spans="1:3" x14ac:dyDescent="0.2">
      <c r="A551" s="4" t="s">
        <v>339</v>
      </c>
      <c r="B551" s="6">
        <v>190.54</v>
      </c>
      <c r="C551" s="12">
        <f t="shared" si="8"/>
        <v>4.0493337127456971E-3</v>
      </c>
    </row>
    <row r="552" spans="1:3" x14ac:dyDescent="0.2">
      <c r="A552" s="5">
        <v>45267</v>
      </c>
      <c r="B552" s="6">
        <v>189.77</v>
      </c>
      <c r="C552" s="12">
        <f t="shared" si="8"/>
        <v>8.9454083340733282E-3</v>
      </c>
    </row>
    <row r="553" spans="1:3" x14ac:dyDescent="0.2">
      <c r="A553" s="5">
        <v>45237</v>
      </c>
      <c r="B553" s="6">
        <v>188.08</v>
      </c>
      <c r="C553" s="12">
        <f t="shared" si="8"/>
        <v>-2.813986831265311E-3</v>
      </c>
    </row>
    <row r="554" spans="1:3" x14ac:dyDescent="0.2">
      <c r="A554" s="5">
        <v>45206</v>
      </c>
      <c r="B554" s="6">
        <v>188.61</v>
      </c>
      <c r="C554" s="12">
        <f t="shared" si="8"/>
        <v>-1.0915239273545508E-2</v>
      </c>
    </row>
    <row r="555" spans="1:3" x14ac:dyDescent="0.2">
      <c r="A555" s="5">
        <v>45114</v>
      </c>
      <c r="B555" s="6">
        <v>190.68</v>
      </c>
      <c r="C555" s="12">
        <f t="shared" si="8"/>
        <v>-5.9086683969717616E-3</v>
      </c>
    </row>
    <row r="556" spans="1:3" x14ac:dyDescent="0.2">
      <c r="A556" s="5">
        <v>45084</v>
      </c>
      <c r="B556" s="6">
        <v>191.81</v>
      </c>
      <c r="C556" s="12">
        <f t="shared" si="8"/>
        <v>2.5056128366851334E-3</v>
      </c>
    </row>
    <row r="557" spans="1:3" x14ac:dyDescent="0.2">
      <c r="A557" s="5">
        <v>45053</v>
      </c>
      <c r="B557" s="6">
        <v>191.33</v>
      </c>
      <c r="C557" s="12">
        <f t="shared" si="8"/>
        <v>-5.8886540313434167E-3</v>
      </c>
    </row>
    <row r="558" spans="1:3" x14ac:dyDescent="0.2">
      <c r="A558" s="5">
        <v>44992</v>
      </c>
      <c r="B558" s="6">
        <v>192.46</v>
      </c>
      <c r="C558" s="12">
        <f t="shared" si="8"/>
        <v>-7.8151680019455765E-3</v>
      </c>
    </row>
    <row r="559" spans="1:3" x14ac:dyDescent="0.2">
      <c r="A559" s="4" t="s">
        <v>340</v>
      </c>
      <c r="B559" s="6">
        <v>193.97</v>
      </c>
      <c r="C559" s="12">
        <f t="shared" si="8"/>
        <v>2.2839662116253382E-2</v>
      </c>
    </row>
    <row r="560" spans="1:3" x14ac:dyDescent="0.2">
      <c r="A560" s="4" t="s">
        <v>341</v>
      </c>
      <c r="B560" s="6">
        <v>189.59</v>
      </c>
      <c r="C560" s="12">
        <f t="shared" si="8"/>
        <v>1.794953496388748E-3</v>
      </c>
    </row>
    <row r="561" spans="1:3" x14ac:dyDescent="0.2">
      <c r="A561" s="4" t="s">
        <v>342</v>
      </c>
      <c r="B561" s="6">
        <v>189.25</v>
      </c>
      <c r="C561" s="12">
        <f t="shared" si="8"/>
        <v>6.3078314686272193E-3</v>
      </c>
    </row>
    <row r="562" spans="1:3" x14ac:dyDescent="0.2">
      <c r="A562" s="4" t="s">
        <v>343</v>
      </c>
      <c r="B562" s="6">
        <v>188.06</v>
      </c>
      <c r="C562" s="12">
        <f t="shared" si="8"/>
        <v>1.4946840287009402E-2</v>
      </c>
    </row>
    <row r="563" spans="1:3" x14ac:dyDescent="0.2">
      <c r="A563" s="4" t="s">
        <v>344</v>
      </c>
      <c r="B563" s="6">
        <v>185.27</v>
      </c>
      <c r="C563" s="12">
        <f t="shared" si="8"/>
        <v>-7.5817005196935298E-3</v>
      </c>
    </row>
    <row r="564" spans="1:3" x14ac:dyDescent="0.2">
      <c r="A564" s="4" t="s">
        <v>345</v>
      </c>
      <c r="B564" s="6">
        <v>186.68</v>
      </c>
      <c r="C564" s="12">
        <f t="shared" si="8"/>
        <v>-1.7126957729717623E-3</v>
      </c>
    </row>
    <row r="565" spans="1:3" x14ac:dyDescent="0.2">
      <c r="A565" s="4" t="s">
        <v>346</v>
      </c>
      <c r="B565" s="6">
        <v>187</v>
      </c>
      <c r="C565" s="12">
        <f t="shared" si="8"/>
        <v>1.6390274182863554E-2</v>
      </c>
    </row>
    <row r="566" spans="1:3" x14ac:dyDescent="0.2">
      <c r="A566" s="4" t="s">
        <v>347</v>
      </c>
      <c r="B566" s="6">
        <v>183.96</v>
      </c>
      <c r="C566" s="12">
        <f t="shared" si="8"/>
        <v>-5.6915349997879849E-3</v>
      </c>
    </row>
    <row r="567" spans="1:3" x14ac:dyDescent="0.2">
      <c r="A567" s="4" t="s">
        <v>348</v>
      </c>
      <c r="B567" s="6">
        <v>185.01</v>
      </c>
      <c r="C567" s="12">
        <f t="shared" si="8"/>
        <v>4.8657855148655894E-4</v>
      </c>
    </row>
    <row r="568" spans="1:3" x14ac:dyDescent="0.2">
      <c r="A568" s="4" t="s">
        <v>349</v>
      </c>
      <c r="B568" s="6">
        <v>184.92</v>
      </c>
      <c r="C568" s="12">
        <f t="shared" si="8"/>
        <v>-5.8771365888347889E-3</v>
      </c>
    </row>
    <row r="569" spans="1:3" x14ac:dyDescent="0.2">
      <c r="A569" s="4" t="s">
        <v>350</v>
      </c>
      <c r="B569" s="6">
        <v>186.01</v>
      </c>
      <c r="C569" s="12">
        <f t="shared" si="8"/>
        <v>1.1136454158076165E-2</v>
      </c>
    </row>
    <row r="570" spans="1:3" x14ac:dyDescent="0.2">
      <c r="A570" s="4" t="s">
        <v>351</v>
      </c>
      <c r="B570" s="6">
        <v>183.95</v>
      </c>
      <c r="C570" s="12">
        <f t="shared" si="8"/>
        <v>3.4852728195099562E-3</v>
      </c>
    </row>
    <row r="571" spans="1:3" x14ac:dyDescent="0.2">
      <c r="A571" s="4" t="s">
        <v>352</v>
      </c>
      <c r="B571" s="6">
        <v>183.31</v>
      </c>
      <c r="C571" s="12">
        <f t="shared" si="8"/>
        <v>-2.615092746109284E-3</v>
      </c>
    </row>
    <row r="572" spans="1:3" x14ac:dyDescent="0.2">
      <c r="A572" s="5">
        <v>45266</v>
      </c>
      <c r="B572" s="6">
        <v>183.79</v>
      </c>
      <c r="C572" s="12">
        <f t="shared" si="8"/>
        <v>1.5517789109572321E-2</v>
      </c>
    </row>
    <row r="573" spans="1:3" x14ac:dyDescent="0.2">
      <c r="A573" s="5">
        <v>45175</v>
      </c>
      <c r="B573" s="6">
        <v>180.96</v>
      </c>
      <c r="C573" s="12">
        <f t="shared" si="8"/>
        <v>2.1574981400213143E-3</v>
      </c>
    </row>
    <row r="574" spans="1:3" x14ac:dyDescent="0.2">
      <c r="A574" s="5">
        <v>45144</v>
      </c>
      <c r="B574" s="6">
        <v>180.57</v>
      </c>
      <c r="C574" s="12">
        <f t="shared" si="8"/>
        <v>1.5346711534796179E-2</v>
      </c>
    </row>
    <row r="575" spans="1:3" x14ac:dyDescent="0.2">
      <c r="A575" s="5">
        <v>45113</v>
      </c>
      <c r="B575" s="6">
        <v>177.82</v>
      </c>
      <c r="C575" s="12">
        <f t="shared" si="8"/>
        <v>-7.7864998623044576E-3</v>
      </c>
    </row>
    <row r="576" spans="1:3" x14ac:dyDescent="0.2">
      <c r="A576" s="5">
        <v>45083</v>
      </c>
      <c r="B576" s="6">
        <v>179.21</v>
      </c>
      <c r="C576" s="12">
        <f t="shared" si="8"/>
        <v>-2.0624885373653236E-3</v>
      </c>
    </row>
    <row r="577" spans="1:3" x14ac:dyDescent="0.2">
      <c r="A577" s="5">
        <v>45052</v>
      </c>
      <c r="B577" s="6">
        <v>179.58</v>
      </c>
      <c r="C577" s="12">
        <f t="shared" si="8"/>
        <v>-7.5999589170887821E-3</v>
      </c>
    </row>
    <row r="578" spans="1:3" x14ac:dyDescent="0.2">
      <c r="A578" s="5">
        <v>44963</v>
      </c>
      <c r="B578" s="6">
        <v>180.95</v>
      </c>
      <c r="C578" s="12">
        <f t="shared" si="8"/>
        <v>4.764024077889918E-3</v>
      </c>
    </row>
    <row r="579" spans="1:3" x14ac:dyDescent="0.2">
      <c r="A579" s="5">
        <v>44932</v>
      </c>
      <c r="B579" s="6">
        <v>180.09</v>
      </c>
      <c r="C579" s="12">
        <f t="shared" ref="C579:C642" si="9">LN(B579/B580)</f>
        <v>1.5895560519624617E-2</v>
      </c>
    </row>
    <row r="580" spans="1:3" x14ac:dyDescent="0.2">
      <c r="A580" s="4" t="s">
        <v>353</v>
      </c>
      <c r="B580" s="6">
        <v>177.25</v>
      </c>
      <c r="C580" s="12">
        <f t="shared" si="9"/>
        <v>-2.820476679253569E-4</v>
      </c>
    </row>
    <row r="581" spans="1:3" x14ac:dyDescent="0.2">
      <c r="A581" s="4" t="s">
        <v>354</v>
      </c>
      <c r="B581" s="6">
        <v>177.3</v>
      </c>
      <c r="C581" s="12">
        <f t="shared" si="9"/>
        <v>1.0603110139068832E-2</v>
      </c>
    </row>
    <row r="582" spans="1:3" x14ac:dyDescent="0.2">
      <c r="A582" s="4" t="s">
        <v>355</v>
      </c>
      <c r="B582" s="6">
        <v>175.43</v>
      </c>
      <c r="C582" s="12">
        <f t="shared" si="9"/>
        <v>1.4006313582207318E-2</v>
      </c>
    </row>
    <row r="583" spans="1:3" x14ac:dyDescent="0.2">
      <c r="A583" s="4" t="s">
        <v>356</v>
      </c>
      <c r="B583" s="6">
        <v>172.99</v>
      </c>
      <c r="C583" s="12">
        <f t="shared" si="9"/>
        <v>6.6699780383861051E-3</v>
      </c>
    </row>
    <row r="584" spans="1:3" x14ac:dyDescent="0.2">
      <c r="A584" s="4" t="s">
        <v>357</v>
      </c>
      <c r="B584" s="6">
        <v>171.84</v>
      </c>
      <c r="C584" s="12">
        <f t="shared" si="9"/>
        <v>1.6307516718202389E-3</v>
      </c>
    </row>
    <row r="585" spans="1:3" x14ac:dyDescent="0.2">
      <c r="A585" s="4" t="s">
        <v>358</v>
      </c>
      <c r="B585" s="6">
        <v>171.56</v>
      </c>
      <c r="C585" s="12">
        <f t="shared" si="9"/>
        <v>-1.5271004769722592E-2</v>
      </c>
    </row>
    <row r="586" spans="1:3" x14ac:dyDescent="0.2">
      <c r="A586" s="4" t="s">
        <v>359</v>
      </c>
      <c r="B586" s="6">
        <v>174.2</v>
      </c>
      <c r="C586" s="12">
        <f t="shared" si="9"/>
        <v>-5.4957775147952293E-3</v>
      </c>
    </row>
    <row r="587" spans="1:3" x14ac:dyDescent="0.2">
      <c r="A587" s="4" t="s">
        <v>360</v>
      </c>
      <c r="B587" s="6">
        <v>175.16</v>
      </c>
      <c r="C587" s="12">
        <f t="shared" si="9"/>
        <v>6.2819453252280992E-4</v>
      </c>
    </row>
    <row r="588" spans="1:3" x14ac:dyDescent="0.2">
      <c r="A588" s="4" t="s">
        <v>361</v>
      </c>
      <c r="B588" s="6">
        <v>175.05</v>
      </c>
      <c r="C588" s="12">
        <f t="shared" si="9"/>
        <v>1.3573567804096048E-2</v>
      </c>
    </row>
    <row r="589" spans="1:3" x14ac:dyDescent="0.2">
      <c r="A589" s="4" t="s">
        <v>362</v>
      </c>
      <c r="B589" s="6">
        <v>172.69</v>
      </c>
      <c r="C589" s="12">
        <f t="shared" si="9"/>
        <v>3.5967088315124198E-3</v>
      </c>
    </row>
    <row r="590" spans="1:3" x14ac:dyDescent="0.2">
      <c r="A590" s="4" t="s">
        <v>363</v>
      </c>
      <c r="B590" s="6">
        <v>172.07</v>
      </c>
      <c r="C590" s="12">
        <f t="shared" si="9"/>
        <v>0</v>
      </c>
    </row>
    <row r="591" spans="1:3" x14ac:dyDescent="0.2">
      <c r="A591" s="4" t="s">
        <v>364</v>
      </c>
      <c r="B591" s="6">
        <v>172.07</v>
      </c>
      <c r="C591" s="12">
        <f t="shared" si="9"/>
        <v>-2.9015804944212843E-3</v>
      </c>
    </row>
    <row r="592" spans="1:3" x14ac:dyDescent="0.2">
      <c r="A592" s="5">
        <v>45265</v>
      </c>
      <c r="B592" s="6">
        <v>172.57</v>
      </c>
      <c r="C592" s="12">
        <f t="shared" si="9"/>
        <v>-6.8145331854140029E-3</v>
      </c>
    </row>
    <row r="593" spans="1:3" x14ac:dyDescent="0.2">
      <c r="A593" s="5">
        <v>45235</v>
      </c>
      <c r="B593" s="6">
        <v>173.75</v>
      </c>
      <c r="C593" s="12">
        <f t="shared" si="9"/>
        <v>1.1229324109407327E-3</v>
      </c>
    </row>
    <row r="594" spans="1:3" x14ac:dyDescent="0.2">
      <c r="A594" s="5">
        <v>45204</v>
      </c>
      <c r="B594" s="6">
        <v>173.55500000000001</v>
      </c>
      <c r="C594" s="12">
        <f t="shared" si="9"/>
        <v>1.0338179385026795E-2</v>
      </c>
    </row>
    <row r="595" spans="1:3" x14ac:dyDescent="0.2">
      <c r="A595" s="5">
        <v>45174</v>
      </c>
      <c r="B595" s="6">
        <v>171.77</v>
      </c>
      <c r="C595" s="12">
        <f t="shared" si="9"/>
        <v>-1.0021226737979814E-2</v>
      </c>
    </row>
    <row r="596" spans="1:3" x14ac:dyDescent="0.2">
      <c r="A596" s="5">
        <v>45143</v>
      </c>
      <c r="B596" s="6">
        <v>173.5</v>
      </c>
      <c r="C596" s="12">
        <f t="shared" si="9"/>
        <v>-4.0337684587633056E-4</v>
      </c>
    </row>
    <row r="597" spans="1:3" x14ac:dyDescent="0.2">
      <c r="A597" s="5">
        <v>45051</v>
      </c>
      <c r="B597" s="6">
        <v>173.57</v>
      </c>
      <c r="C597" s="12">
        <f t="shared" si="9"/>
        <v>4.5859048981416337E-2</v>
      </c>
    </row>
    <row r="598" spans="1:3" x14ac:dyDescent="0.2">
      <c r="A598" s="5">
        <v>45021</v>
      </c>
      <c r="B598" s="6">
        <v>165.79</v>
      </c>
      <c r="C598" s="12">
        <f t="shared" si="9"/>
        <v>-9.9628719888397669E-3</v>
      </c>
    </row>
    <row r="599" spans="1:3" x14ac:dyDescent="0.2">
      <c r="A599" s="5">
        <v>44990</v>
      </c>
      <c r="B599" s="6">
        <v>167.45</v>
      </c>
      <c r="C599" s="12">
        <f t="shared" si="9"/>
        <v>-6.4883111039937416E-3</v>
      </c>
    </row>
    <row r="600" spans="1:3" x14ac:dyDescent="0.2">
      <c r="A600" s="5">
        <v>44962</v>
      </c>
      <c r="B600" s="6">
        <v>168.54</v>
      </c>
      <c r="C600" s="12">
        <f t="shared" si="9"/>
        <v>-6.2106490111019149E-3</v>
      </c>
    </row>
    <row r="601" spans="1:3" x14ac:dyDescent="0.2">
      <c r="A601" s="5">
        <v>44931</v>
      </c>
      <c r="B601" s="6">
        <v>169.59</v>
      </c>
      <c r="C601" s="12">
        <f t="shared" si="9"/>
        <v>-5.305509011179143E-4</v>
      </c>
    </row>
    <row r="602" spans="1:3" x14ac:dyDescent="0.2">
      <c r="A602" s="4" t="s">
        <v>365</v>
      </c>
      <c r="B602" s="6">
        <v>169.68</v>
      </c>
      <c r="C602" s="12">
        <f t="shared" si="9"/>
        <v>7.5128277884640464E-3</v>
      </c>
    </row>
    <row r="603" spans="1:3" x14ac:dyDescent="0.2">
      <c r="A603" s="4" t="s">
        <v>366</v>
      </c>
      <c r="B603" s="6">
        <v>168.41</v>
      </c>
      <c r="C603" s="12">
        <f t="shared" si="9"/>
        <v>2.7999541114928781E-2</v>
      </c>
    </row>
    <row r="604" spans="1:3" x14ac:dyDescent="0.2">
      <c r="A604" s="4" t="s">
        <v>367</v>
      </c>
      <c r="B604" s="6">
        <v>163.76</v>
      </c>
      <c r="C604" s="12">
        <f t="shared" si="9"/>
        <v>-6.10631087419618E-5</v>
      </c>
    </row>
    <row r="605" spans="1:3" x14ac:dyDescent="0.2">
      <c r="A605" s="4" t="s">
        <v>368</v>
      </c>
      <c r="B605" s="6">
        <v>163.77000000000001</v>
      </c>
      <c r="C605" s="12">
        <f t="shared" si="9"/>
        <v>-9.4804721014777864E-3</v>
      </c>
    </row>
    <row r="606" spans="1:3" x14ac:dyDescent="0.2">
      <c r="A606" s="4" t="s">
        <v>369</v>
      </c>
      <c r="B606" s="6">
        <v>165.33</v>
      </c>
      <c r="C606" s="12">
        <f t="shared" si="9"/>
        <v>1.87679788705659E-3</v>
      </c>
    </row>
    <row r="607" spans="1:3" x14ac:dyDescent="0.2">
      <c r="A607" s="4" t="s">
        <v>370</v>
      </c>
      <c r="B607" s="6">
        <v>165.02</v>
      </c>
      <c r="C607" s="12">
        <f t="shared" si="9"/>
        <v>-9.829126077551523E-3</v>
      </c>
    </row>
    <row r="608" spans="1:3" x14ac:dyDescent="0.2">
      <c r="A608" s="4" t="s">
        <v>371</v>
      </c>
      <c r="B608" s="6">
        <v>166.65</v>
      </c>
      <c r="C608" s="12">
        <f t="shared" si="9"/>
        <v>-5.8633648894377199E-3</v>
      </c>
    </row>
    <row r="609" spans="1:3" x14ac:dyDescent="0.2">
      <c r="A609" s="4" t="s">
        <v>372</v>
      </c>
      <c r="B609" s="6">
        <v>167.63</v>
      </c>
      <c r="C609" s="12">
        <f t="shared" si="9"/>
        <v>6.9440566372668067E-3</v>
      </c>
    </row>
    <row r="610" spans="1:3" x14ac:dyDescent="0.2">
      <c r="A610" s="4" t="s">
        <v>373</v>
      </c>
      <c r="B610" s="6">
        <v>166.47</v>
      </c>
      <c r="C610" s="12">
        <f t="shared" si="9"/>
        <v>7.476670343020137E-3</v>
      </c>
    </row>
    <row r="611" spans="1:3" x14ac:dyDescent="0.2">
      <c r="A611" s="4" t="s">
        <v>374</v>
      </c>
      <c r="B611" s="6">
        <v>165.23</v>
      </c>
      <c r="C611" s="12">
        <f t="shared" si="9"/>
        <v>1.2105072039954903E-4</v>
      </c>
    </row>
    <row r="612" spans="1:3" x14ac:dyDescent="0.2">
      <c r="A612" s="4" t="s">
        <v>375</v>
      </c>
      <c r="B612" s="6">
        <v>165.21</v>
      </c>
      <c r="C612" s="12">
        <f t="shared" si="9"/>
        <v>-2.1162749380318254E-3</v>
      </c>
    </row>
    <row r="613" spans="1:3" x14ac:dyDescent="0.2">
      <c r="A613" s="4" t="s">
        <v>376</v>
      </c>
      <c r="B613" s="6">
        <v>165.56</v>
      </c>
      <c r="C613" s="12">
        <f t="shared" si="9"/>
        <v>3.3535046877862622E-2</v>
      </c>
    </row>
    <row r="614" spans="1:3" x14ac:dyDescent="0.2">
      <c r="A614" s="5">
        <v>45264</v>
      </c>
      <c r="B614" s="6">
        <v>160.1</v>
      </c>
      <c r="C614" s="12">
        <f t="shared" si="9"/>
        <v>-4.362736742197071E-3</v>
      </c>
    </row>
    <row r="615" spans="1:3" x14ac:dyDescent="0.2">
      <c r="A615" s="5">
        <v>45234</v>
      </c>
      <c r="B615" s="6">
        <v>160.80000000000001</v>
      </c>
      <c r="C615" s="12">
        <f t="shared" si="9"/>
        <v>-7.6201465280433993E-3</v>
      </c>
    </row>
    <row r="616" spans="1:3" x14ac:dyDescent="0.2">
      <c r="A616" s="5">
        <v>45203</v>
      </c>
      <c r="B616" s="6">
        <v>162.03</v>
      </c>
      <c r="C616" s="12">
        <f t="shared" si="9"/>
        <v>-1.6101238597370535E-2</v>
      </c>
    </row>
    <row r="617" spans="1:3" x14ac:dyDescent="0.2">
      <c r="A617" s="5">
        <v>45081</v>
      </c>
      <c r="B617" s="6">
        <v>164.66</v>
      </c>
      <c r="C617" s="12">
        <f t="shared" si="9"/>
        <v>5.4808005172460074E-3</v>
      </c>
    </row>
    <row r="618" spans="1:3" x14ac:dyDescent="0.2">
      <c r="A618" s="5">
        <v>45050</v>
      </c>
      <c r="B618" s="6">
        <v>163.76</v>
      </c>
      <c r="C618" s="12">
        <f t="shared" si="9"/>
        <v>-1.1354443611028924E-2</v>
      </c>
    </row>
    <row r="619" spans="1:3" x14ac:dyDescent="0.2">
      <c r="A619" s="5">
        <v>45020</v>
      </c>
      <c r="B619" s="6">
        <v>165.63</v>
      </c>
      <c r="C619" s="12">
        <f t="shared" si="9"/>
        <v>-3.2549757490592185E-3</v>
      </c>
    </row>
    <row r="620" spans="1:3" x14ac:dyDescent="0.2">
      <c r="A620" s="5">
        <v>44989</v>
      </c>
      <c r="B620" s="6">
        <v>166.17</v>
      </c>
      <c r="C620" s="12">
        <f t="shared" si="9"/>
        <v>7.6721311475689783E-3</v>
      </c>
    </row>
    <row r="621" spans="1:3" x14ac:dyDescent="0.2">
      <c r="A621" s="4" t="s">
        <v>377</v>
      </c>
      <c r="B621" s="6">
        <v>164.9</v>
      </c>
      <c r="C621" s="12">
        <f t="shared" si="9"/>
        <v>1.5523137594856146E-2</v>
      </c>
    </row>
    <row r="622" spans="1:3" x14ac:dyDescent="0.2">
      <c r="A622" s="4" t="s">
        <v>378</v>
      </c>
      <c r="B622" s="6">
        <v>162.36000000000001</v>
      </c>
      <c r="C622" s="12">
        <f t="shared" si="9"/>
        <v>9.8413197958284095E-3</v>
      </c>
    </row>
    <row r="623" spans="1:3" x14ac:dyDescent="0.2">
      <c r="A623" s="4" t="s">
        <v>379</v>
      </c>
      <c r="B623" s="6">
        <v>160.77000000000001</v>
      </c>
      <c r="C623" s="12">
        <f t="shared" si="9"/>
        <v>1.9597386183798766E-2</v>
      </c>
    </row>
    <row r="624" spans="1:3" x14ac:dyDescent="0.2">
      <c r="A624" s="4" t="s">
        <v>380</v>
      </c>
      <c r="B624" s="6">
        <v>157.65</v>
      </c>
      <c r="C624" s="12">
        <f t="shared" si="9"/>
        <v>-3.988230526153708E-3</v>
      </c>
    </row>
    <row r="625" spans="1:3" x14ac:dyDescent="0.2">
      <c r="A625" s="4" t="s">
        <v>381</v>
      </c>
      <c r="B625" s="6">
        <v>158.28</v>
      </c>
      <c r="C625" s="12">
        <f t="shared" si="9"/>
        <v>-1.2369479283555878E-2</v>
      </c>
    </row>
    <row r="626" spans="1:3" x14ac:dyDescent="0.2">
      <c r="A626" s="4" t="s">
        <v>382</v>
      </c>
      <c r="B626" s="6">
        <v>160.25</v>
      </c>
      <c r="C626" s="12">
        <f t="shared" si="9"/>
        <v>8.2712420920511859E-3</v>
      </c>
    </row>
    <row r="627" spans="1:3" x14ac:dyDescent="0.2">
      <c r="A627" s="4" t="s">
        <v>383</v>
      </c>
      <c r="B627" s="6">
        <v>158.93</v>
      </c>
      <c r="C627" s="12">
        <f t="shared" si="9"/>
        <v>6.9453492979026912E-3</v>
      </c>
    </row>
    <row r="628" spans="1:3" x14ac:dyDescent="0.2">
      <c r="A628" s="4" t="s">
        <v>384</v>
      </c>
      <c r="B628" s="6">
        <v>157.83000000000001</v>
      </c>
      <c r="C628" s="12">
        <f t="shared" si="9"/>
        <v>-9.1451553451152717E-3</v>
      </c>
    </row>
    <row r="629" spans="1:3" x14ac:dyDescent="0.2">
      <c r="A629" s="4" t="s">
        <v>385</v>
      </c>
      <c r="B629" s="6">
        <v>159.28</v>
      </c>
      <c r="C629" s="12">
        <f t="shared" si="9"/>
        <v>1.1873323772638007E-2</v>
      </c>
    </row>
    <row r="630" spans="1:3" x14ac:dyDescent="0.2">
      <c r="A630" s="4" t="s">
        <v>386</v>
      </c>
      <c r="B630" s="6">
        <v>157.4</v>
      </c>
      <c r="C630" s="12">
        <f t="shared" si="9"/>
        <v>1.5365219064056359E-2</v>
      </c>
    </row>
    <row r="631" spans="1:3" x14ac:dyDescent="0.2">
      <c r="A631" s="4" t="s">
        <v>387</v>
      </c>
      <c r="B631" s="6">
        <v>155</v>
      </c>
      <c r="C631" s="12">
        <f t="shared" si="9"/>
        <v>-5.4688892940994126E-3</v>
      </c>
    </row>
    <row r="632" spans="1:3" x14ac:dyDescent="0.2">
      <c r="A632" s="4" t="s">
        <v>388</v>
      </c>
      <c r="B632" s="6">
        <v>155.85</v>
      </c>
      <c r="C632" s="12">
        <f t="shared" si="9"/>
        <v>1.8521446434058394E-2</v>
      </c>
    </row>
    <row r="633" spans="1:3" x14ac:dyDescent="0.2">
      <c r="A633" s="4" t="s">
        <v>389</v>
      </c>
      <c r="B633" s="6">
        <v>152.99</v>
      </c>
      <c r="C633" s="12">
        <f t="shared" si="9"/>
        <v>2.6179738756434445E-3</v>
      </c>
    </row>
    <row r="634" spans="1:3" x14ac:dyDescent="0.2">
      <c r="A634" s="4" t="s">
        <v>390</v>
      </c>
      <c r="B634" s="6">
        <v>152.59</v>
      </c>
      <c r="C634" s="12">
        <f t="shared" si="9"/>
        <v>1.3990857132857637E-2</v>
      </c>
    </row>
    <row r="635" spans="1:3" x14ac:dyDescent="0.2">
      <c r="A635" s="4" t="s">
        <v>391</v>
      </c>
      <c r="B635" s="6">
        <v>150.47</v>
      </c>
      <c r="C635" s="12">
        <f t="shared" si="9"/>
        <v>1.3178770528032447E-2</v>
      </c>
    </row>
    <row r="636" spans="1:3" x14ac:dyDescent="0.2">
      <c r="A636" s="5">
        <v>45202</v>
      </c>
      <c r="B636" s="6">
        <v>148.5</v>
      </c>
      <c r="C636" s="12">
        <f t="shared" si="9"/>
        <v>-1.3975953855973828E-2</v>
      </c>
    </row>
    <row r="637" spans="1:3" x14ac:dyDescent="0.2">
      <c r="A637" s="5">
        <v>45172</v>
      </c>
      <c r="B637" s="6">
        <v>150.59</v>
      </c>
      <c r="C637" s="12">
        <f t="shared" si="9"/>
        <v>-1.5026974914214734E-2</v>
      </c>
    </row>
    <row r="638" spans="1:3" x14ac:dyDescent="0.2">
      <c r="A638" s="5">
        <v>45141</v>
      </c>
      <c r="B638" s="6">
        <v>152.87</v>
      </c>
      <c r="C638" s="12">
        <f t="shared" si="9"/>
        <v>8.3424138046716313E-3</v>
      </c>
    </row>
    <row r="639" spans="1:3" x14ac:dyDescent="0.2">
      <c r="A639" s="5">
        <v>45110</v>
      </c>
      <c r="B639" s="6">
        <v>151.6</v>
      </c>
      <c r="C639" s="12">
        <f t="shared" si="9"/>
        <v>-1.46026233593885E-2</v>
      </c>
    </row>
    <row r="640" spans="1:3" x14ac:dyDescent="0.2">
      <c r="A640" s="5">
        <v>45080</v>
      </c>
      <c r="B640" s="6">
        <v>153.83000000000001</v>
      </c>
      <c r="C640" s="12">
        <f t="shared" si="9"/>
        <v>1.8369603989409514E-2</v>
      </c>
    </row>
    <row r="641" spans="1:3" x14ac:dyDescent="0.2">
      <c r="A641" s="5">
        <v>44988</v>
      </c>
      <c r="B641" s="6">
        <v>151.03</v>
      </c>
      <c r="C641" s="12">
        <f t="shared" si="9"/>
        <v>3.4488499302319141E-2</v>
      </c>
    </row>
    <row r="642" spans="1:3" x14ac:dyDescent="0.2">
      <c r="A642" s="5">
        <v>44960</v>
      </c>
      <c r="B642" s="6">
        <v>145.91</v>
      </c>
      <c r="C642" s="12">
        <f t="shared" si="9"/>
        <v>4.1206019433265642E-3</v>
      </c>
    </row>
    <row r="643" spans="1:3" x14ac:dyDescent="0.2">
      <c r="A643" s="5">
        <v>44929</v>
      </c>
      <c r="B643" s="6">
        <v>145.31</v>
      </c>
      <c r="C643" s="12">
        <f t="shared" ref="C643:C706" si="10">LN(B643/B644)</f>
        <v>-1.4348428726582282E-2</v>
      </c>
    </row>
    <row r="644" spans="1:3" x14ac:dyDescent="0.2">
      <c r="A644" s="4" t="s">
        <v>392</v>
      </c>
      <c r="B644" s="6">
        <v>147.41</v>
      </c>
      <c r="C644" s="12">
        <f t="shared" si="10"/>
        <v>-3.4537670196825134E-3</v>
      </c>
    </row>
    <row r="645" spans="1:3" x14ac:dyDescent="0.2">
      <c r="A645" s="4" t="s">
        <v>393</v>
      </c>
      <c r="B645" s="6">
        <v>147.91999999999999</v>
      </c>
      <c r="C645" s="12">
        <f t="shared" si="10"/>
        <v>8.2137379273166874E-3</v>
      </c>
    </row>
    <row r="646" spans="1:3" x14ac:dyDescent="0.2">
      <c r="A646" s="4" t="s">
        <v>394</v>
      </c>
      <c r="B646" s="6">
        <v>146.71</v>
      </c>
      <c r="C646" s="12">
        <f t="shared" si="10"/>
        <v>-1.8169423547164231E-2</v>
      </c>
    </row>
    <row r="647" spans="1:3" x14ac:dyDescent="0.2">
      <c r="A647" s="4" t="s">
        <v>395</v>
      </c>
      <c r="B647" s="6">
        <v>149.4</v>
      </c>
      <c r="C647" s="12">
        <f t="shared" si="10"/>
        <v>3.285176096603322E-3</v>
      </c>
    </row>
    <row r="648" spans="1:3" x14ac:dyDescent="0.2">
      <c r="A648" s="4" t="s">
        <v>396</v>
      </c>
      <c r="B648" s="6">
        <v>148.91</v>
      </c>
      <c r="C648" s="12">
        <f t="shared" si="10"/>
        <v>2.8918275642232701E-3</v>
      </c>
    </row>
    <row r="649" spans="1:3" x14ac:dyDescent="0.2">
      <c r="A649" s="4" t="s">
        <v>397</v>
      </c>
      <c r="B649" s="6">
        <v>148.47999999999999</v>
      </c>
      <c r="C649" s="12">
        <f t="shared" si="10"/>
        <v>-2.704214212478832E-2</v>
      </c>
    </row>
    <row r="650" spans="1:3" x14ac:dyDescent="0.2">
      <c r="A650" s="4" t="s">
        <v>398</v>
      </c>
      <c r="B650" s="6">
        <v>152.55000000000001</v>
      </c>
      <c r="C650" s="12">
        <f t="shared" si="10"/>
        <v>-7.5752990741620625E-3</v>
      </c>
    </row>
    <row r="651" spans="1:3" x14ac:dyDescent="0.2">
      <c r="A651" s="4" t="s">
        <v>399</v>
      </c>
      <c r="B651" s="6">
        <v>153.71</v>
      </c>
      <c r="C651" s="12">
        <f t="shared" si="10"/>
        <v>-1.0484175762975069E-2</v>
      </c>
    </row>
    <row r="652" spans="1:3" x14ac:dyDescent="0.2">
      <c r="A652" s="4" t="s">
        <v>400</v>
      </c>
      <c r="B652" s="6">
        <v>155.33000000000001</v>
      </c>
      <c r="C652" s="12">
        <f t="shared" si="10"/>
        <v>1.3807628693325091E-2</v>
      </c>
    </row>
    <row r="653" spans="1:3" x14ac:dyDescent="0.2">
      <c r="A653" s="4" t="s">
        <v>401</v>
      </c>
      <c r="B653" s="6">
        <v>153.19999999999999</v>
      </c>
      <c r="C653" s="12">
        <f t="shared" si="10"/>
        <v>-4.2338444615599704E-3</v>
      </c>
    </row>
    <row r="654" spans="1:3" x14ac:dyDescent="0.2">
      <c r="A654" s="4" t="s">
        <v>402</v>
      </c>
      <c r="B654" s="6">
        <v>153.85</v>
      </c>
      <c r="C654" s="12">
        <f t="shared" si="10"/>
        <v>1.8632041980353162E-2</v>
      </c>
    </row>
    <row r="655" spans="1:3" x14ac:dyDescent="0.2">
      <c r="A655" s="5">
        <v>45201</v>
      </c>
      <c r="B655" s="6">
        <v>151.01</v>
      </c>
      <c r="C655" s="12">
        <f t="shared" si="10"/>
        <v>9.2752093571453324E-4</v>
      </c>
    </row>
    <row r="656" spans="1:3" x14ac:dyDescent="0.2">
      <c r="A656" s="5">
        <v>45171</v>
      </c>
      <c r="B656" s="6">
        <v>150.87</v>
      </c>
      <c r="C656" s="12">
        <f t="shared" si="10"/>
        <v>-6.9355276520472551E-3</v>
      </c>
    </row>
    <row r="657" spans="1:3" x14ac:dyDescent="0.2">
      <c r="A657" s="5">
        <v>45140</v>
      </c>
      <c r="B657" s="6">
        <v>151.91999999999999</v>
      </c>
      <c r="C657" s="12">
        <f t="shared" si="10"/>
        <v>-1.7810432627048289E-2</v>
      </c>
    </row>
    <row r="658" spans="1:3" x14ac:dyDescent="0.2">
      <c r="A658" s="5">
        <v>45109</v>
      </c>
      <c r="B658" s="6">
        <v>154.65</v>
      </c>
      <c r="C658" s="12">
        <f t="shared" si="10"/>
        <v>1.9061873593928951E-2</v>
      </c>
    </row>
    <row r="659" spans="1:3" x14ac:dyDescent="0.2">
      <c r="A659" s="5">
        <v>45079</v>
      </c>
      <c r="B659" s="6">
        <v>151.72999999999999</v>
      </c>
      <c r="C659" s="12">
        <f t="shared" si="10"/>
        <v>-1.8091470800650468E-2</v>
      </c>
    </row>
    <row r="660" spans="1:3" x14ac:dyDescent="0.2">
      <c r="A660" s="5">
        <v>44987</v>
      </c>
      <c r="B660" s="6">
        <v>154.5</v>
      </c>
      <c r="C660" s="12">
        <f t="shared" si="10"/>
        <v>2.4107023563299301E-2</v>
      </c>
    </row>
    <row r="661" spans="1:3" x14ac:dyDescent="0.2">
      <c r="A661" s="5">
        <v>44959</v>
      </c>
      <c r="B661" s="6">
        <v>150.82</v>
      </c>
      <c r="C661" s="12">
        <f t="shared" si="10"/>
        <v>3.6392201584881996E-2</v>
      </c>
    </row>
    <row r="662" spans="1:3" x14ac:dyDescent="0.2">
      <c r="A662" s="5">
        <v>44928</v>
      </c>
      <c r="B662" s="6">
        <v>145.43</v>
      </c>
      <c r="C662" s="12">
        <f t="shared" si="10"/>
        <v>7.8697078804544941E-3</v>
      </c>
    </row>
    <row r="663" spans="1:3" x14ac:dyDescent="0.2">
      <c r="A663" s="4" t="s">
        <v>403</v>
      </c>
      <c r="B663" s="6">
        <v>144.29</v>
      </c>
      <c r="C663" s="12">
        <f t="shared" si="10"/>
        <v>8.9805330492570522E-3</v>
      </c>
    </row>
    <row r="664" spans="1:3" x14ac:dyDescent="0.2">
      <c r="A664" s="4" t="s">
        <v>404</v>
      </c>
      <c r="B664" s="6">
        <v>143</v>
      </c>
      <c r="C664" s="12">
        <f t="shared" si="10"/>
        <v>-2.0282424419747112E-2</v>
      </c>
    </row>
    <row r="665" spans="1:3" x14ac:dyDescent="0.2">
      <c r="A665" s="4" t="s">
        <v>405</v>
      </c>
      <c r="B665" s="6">
        <v>145.93</v>
      </c>
      <c r="C665" s="12">
        <f t="shared" si="10"/>
        <v>1.3591571468824453E-2</v>
      </c>
    </row>
    <row r="666" spans="1:3" x14ac:dyDescent="0.2">
      <c r="A666" s="4" t="s">
        <v>406</v>
      </c>
      <c r="B666" s="6">
        <v>143.96</v>
      </c>
      <c r="C666" s="12">
        <f t="shared" si="10"/>
        <v>1.469482743688913E-2</v>
      </c>
    </row>
    <row r="667" spans="1:3" x14ac:dyDescent="0.2">
      <c r="A667" s="4" t="s">
        <v>407</v>
      </c>
      <c r="B667" s="6">
        <v>141.86000000000001</v>
      </c>
      <c r="C667" s="12">
        <f t="shared" si="10"/>
        <v>-4.7118480929988632E-3</v>
      </c>
    </row>
    <row r="668" spans="1:3" x14ac:dyDescent="0.2">
      <c r="A668" s="4" t="s">
        <v>408</v>
      </c>
      <c r="B668" s="6">
        <v>142.53</v>
      </c>
      <c r="C668" s="12">
        <f t="shared" si="10"/>
        <v>1.0012775797270213E-2</v>
      </c>
    </row>
    <row r="669" spans="1:3" x14ac:dyDescent="0.2">
      <c r="A669" s="4" t="s">
        <v>409</v>
      </c>
      <c r="B669" s="6">
        <v>141.11000000000001</v>
      </c>
      <c r="C669" s="12">
        <f t="shared" si="10"/>
        <v>2.3228515886131697E-2</v>
      </c>
    </row>
    <row r="670" spans="1:3" x14ac:dyDescent="0.2">
      <c r="A670" s="4" t="s">
        <v>410</v>
      </c>
      <c r="B670" s="6">
        <v>137.87</v>
      </c>
      <c r="C670" s="12">
        <f t="shared" si="10"/>
        <v>1.9038431082435071E-2</v>
      </c>
    </row>
    <row r="671" spans="1:3" x14ac:dyDescent="0.2">
      <c r="A671" s="4" t="s">
        <v>411</v>
      </c>
      <c r="B671" s="6">
        <v>135.27000000000001</v>
      </c>
      <c r="C671" s="12">
        <f t="shared" si="10"/>
        <v>4.4365573043603028E-4</v>
      </c>
    </row>
    <row r="672" spans="1:3" x14ac:dyDescent="0.2">
      <c r="A672" s="4" t="s">
        <v>412</v>
      </c>
      <c r="B672" s="6">
        <v>135.21</v>
      </c>
      <c r="C672" s="12">
        <f t="shared" si="10"/>
        <v>-5.3844865478254698E-3</v>
      </c>
    </row>
    <row r="673" spans="1:3" x14ac:dyDescent="0.2">
      <c r="A673" s="4" t="s">
        <v>413</v>
      </c>
      <c r="B673" s="6">
        <v>135.94</v>
      </c>
      <c r="C673" s="12">
        <f t="shared" si="10"/>
        <v>8.718193380140099E-3</v>
      </c>
    </row>
    <row r="674" spans="1:3" x14ac:dyDescent="0.2">
      <c r="A674" s="4" t="s">
        <v>414</v>
      </c>
      <c r="B674" s="6">
        <v>134.76</v>
      </c>
      <c r="C674" s="12">
        <f t="shared" si="10"/>
        <v>1.0068325347637248E-2</v>
      </c>
    </row>
    <row r="675" spans="1:3" x14ac:dyDescent="0.2">
      <c r="A675" s="5">
        <v>45261</v>
      </c>
      <c r="B675" s="6">
        <v>133.41</v>
      </c>
      <c r="C675" s="12">
        <f t="shared" si="10"/>
        <v>-5.994754769263538E-4</v>
      </c>
    </row>
    <row r="676" spans="1:3" x14ac:dyDescent="0.2">
      <c r="A676" s="5">
        <v>45231</v>
      </c>
      <c r="B676" s="6">
        <v>133.49</v>
      </c>
      <c r="C676" s="12">
        <f t="shared" si="10"/>
        <v>2.0892441093872414E-2</v>
      </c>
    </row>
    <row r="677" spans="1:3" x14ac:dyDescent="0.2">
      <c r="A677" s="5">
        <v>45200</v>
      </c>
      <c r="B677" s="6">
        <v>130.72999999999999</v>
      </c>
      <c r="C677" s="12">
        <f t="shared" si="10"/>
        <v>4.4464961331942832E-3</v>
      </c>
    </row>
    <row r="678" spans="1:3" x14ac:dyDescent="0.2">
      <c r="A678" s="5">
        <v>45170</v>
      </c>
      <c r="B678" s="6">
        <v>130.15</v>
      </c>
      <c r="C678" s="12">
        <f t="shared" si="10"/>
        <v>4.0805384410044863E-3</v>
      </c>
    </row>
    <row r="679" spans="1:3" x14ac:dyDescent="0.2">
      <c r="A679" s="5">
        <v>45078</v>
      </c>
      <c r="B679" s="6">
        <v>129.62</v>
      </c>
      <c r="C679" s="12">
        <f t="shared" si="10"/>
        <v>3.6133368495903706E-2</v>
      </c>
    </row>
    <row r="680" spans="1:3" x14ac:dyDescent="0.2">
      <c r="A680" s="5">
        <v>45047</v>
      </c>
      <c r="B680" s="6">
        <v>125.02</v>
      </c>
      <c r="C680" s="12">
        <f t="shared" si="10"/>
        <v>-1.0661251430218167E-2</v>
      </c>
    </row>
    <row r="681" spans="1:3" x14ac:dyDescent="0.2">
      <c r="A681" s="5">
        <v>45017</v>
      </c>
      <c r="B681" s="6">
        <v>126.36</v>
      </c>
      <c r="C681" s="12">
        <f t="shared" si="10"/>
        <v>1.0261395373069204E-2</v>
      </c>
    </row>
    <row r="682" spans="1:3" x14ac:dyDescent="0.2">
      <c r="A682" s="5">
        <v>44986</v>
      </c>
      <c r="B682" s="6">
        <v>125.07</v>
      </c>
      <c r="C682" s="12">
        <f t="shared" si="10"/>
        <v>-3.8122263333829891E-2</v>
      </c>
    </row>
    <row r="683" spans="1:3" x14ac:dyDescent="0.2">
      <c r="A683" s="4" t="s">
        <v>415</v>
      </c>
      <c r="B683" s="6">
        <v>129.93</v>
      </c>
      <c r="C683" s="12">
        <f t="shared" si="10"/>
        <v>2.4659024593612329E-3</v>
      </c>
    </row>
    <row r="684" spans="1:3" x14ac:dyDescent="0.2">
      <c r="A684" s="4" t="s">
        <v>416</v>
      </c>
      <c r="B684" s="6">
        <v>129.61000000000001</v>
      </c>
      <c r="C684" s="12">
        <f t="shared" si="10"/>
        <v>2.7930624546209874E-2</v>
      </c>
    </row>
    <row r="685" spans="1:3" x14ac:dyDescent="0.2">
      <c r="A685" s="4" t="s">
        <v>417</v>
      </c>
      <c r="B685" s="6">
        <v>126.04</v>
      </c>
      <c r="C685" s="12">
        <f t="shared" si="10"/>
        <v>-3.1165876174154578E-2</v>
      </c>
    </row>
    <row r="686" spans="1:3" x14ac:dyDescent="0.2">
      <c r="A686" s="4" t="s">
        <v>418</v>
      </c>
      <c r="B686" s="6">
        <v>130.03</v>
      </c>
      <c r="C686" s="12">
        <f t="shared" si="10"/>
        <v>-1.3975560621925202E-2</v>
      </c>
    </row>
    <row r="687" spans="1:3" x14ac:dyDescent="0.2">
      <c r="A687" s="4" t="s">
        <v>419</v>
      </c>
      <c r="B687" s="6">
        <v>131.86000000000001</v>
      </c>
      <c r="C687" s="12">
        <f t="shared" si="10"/>
        <v>-2.8020768835776825E-3</v>
      </c>
    </row>
    <row r="688" spans="1:3" x14ac:dyDescent="0.2">
      <c r="A688" s="4" t="s">
        <v>420</v>
      </c>
      <c r="B688" s="6">
        <v>132.22999999999999</v>
      </c>
      <c r="C688" s="12">
        <f t="shared" si="10"/>
        <v>-2.405973796237262E-2</v>
      </c>
    </row>
    <row r="689" spans="1:3" x14ac:dyDescent="0.2">
      <c r="A689" s="4" t="s">
        <v>421</v>
      </c>
      <c r="B689" s="6">
        <v>135.44999999999999</v>
      </c>
      <c r="C689" s="12">
        <f t="shared" si="10"/>
        <v>2.3530497410194036E-2</v>
      </c>
    </row>
    <row r="690" spans="1:3" x14ac:dyDescent="0.2">
      <c r="A690" s="4" t="s">
        <v>422</v>
      </c>
      <c r="B690" s="6">
        <v>132.30000000000001</v>
      </c>
      <c r="C690" s="12">
        <f t="shared" si="10"/>
        <v>-5.2896060476938537E-4</v>
      </c>
    </row>
    <row r="691" spans="1:3" x14ac:dyDescent="0.2">
      <c r="A691" s="4" t="s">
        <v>423</v>
      </c>
      <c r="B691" s="6">
        <v>132.37</v>
      </c>
      <c r="C691" s="12">
        <f t="shared" si="10"/>
        <v>-1.6037513994810654E-2</v>
      </c>
    </row>
    <row r="692" spans="1:3" x14ac:dyDescent="0.2">
      <c r="A692" s="4" t="s">
        <v>424</v>
      </c>
      <c r="B692" s="6">
        <v>134.51</v>
      </c>
      <c r="C692" s="12">
        <f t="shared" si="10"/>
        <v>-1.4686068904524351E-2</v>
      </c>
    </row>
    <row r="693" spans="1:3" x14ac:dyDescent="0.2">
      <c r="A693" s="4" t="s">
        <v>425</v>
      </c>
      <c r="B693" s="6">
        <v>136.5</v>
      </c>
      <c r="C693" s="12">
        <f t="shared" si="10"/>
        <v>-4.7987469865596828E-2</v>
      </c>
    </row>
    <row r="694" spans="1:3" x14ac:dyDescent="0.2">
      <c r="A694" s="4" t="s">
        <v>426</v>
      </c>
      <c r="B694" s="6">
        <v>143.21</v>
      </c>
      <c r="C694" s="12">
        <f t="shared" si="10"/>
        <v>-1.5657795294759396E-2</v>
      </c>
    </row>
    <row r="695" spans="1:3" x14ac:dyDescent="0.2">
      <c r="A695" s="4" t="s">
        <v>427</v>
      </c>
      <c r="B695" s="6">
        <v>145.47</v>
      </c>
      <c r="C695" s="12">
        <f t="shared" si="10"/>
        <v>6.7595787798507001E-3</v>
      </c>
    </row>
    <row r="696" spans="1:3" x14ac:dyDescent="0.2">
      <c r="A696" s="5">
        <v>44907</v>
      </c>
      <c r="B696" s="6">
        <v>144.49</v>
      </c>
      <c r="C696" s="12">
        <f t="shared" si="10"/>
        <v>1.6257117159124011E-2</v>
      </c>
    </row>
    <row r="697" spans="1:3" x14ac:dyDescent="0.2">
      <c r="A697" s="5">
        <v>44816</v>
      </c>
      <c r="B697" s="6">
        <v>142.16</v>
      </c>
      <c r="C697" s="12">
        <f t="shared" si="10"/>
        <v>-3.4408938131132074E-3</v>
      </c>
    </row>
    <row r="698" spans="1:3" x14ac:dyDescent="0.2">
      <c r="A698" s="5">
        <v>44785</v>
      </c>
      <c r="B698" s="6">
        <v>142.65</v>
      </c>
      <c r="C698" s="12">
        <f t="shared" si="10"/>
        <v>1.2059809760632532E-2</v>
      </c>
    </row>
    <row r="699" spans="1:3" x14ac:dyDescent="0.2">
      <c r="A699" s="5">
        <v>44754</v>
      </c>
      <c r="B699" s="6">
        <v>140.94</v>
      </c>
      <c r="C699" s="12">
        <f t="shared" si="10"/>
        <v>-1.3880793594827006E-2</v>
      </c>
    </row>
    <row r="700" spans="1:3" x14ac:dyDescent="0.2">
      <c r="A700" s="5">
        <v>44724</v>
      </c>
      <c r="B700" s="6">
        <v>142.91</v>
      </c>
      <c r="C700" s="12">
        <f t="shared" si="10"/>
        <v>-2.5697345495284404E-2</v>
      </c>
    </row>
    <row r="701" spans="1:3" x14ac:dyDescent="0.2">
      <c r="A701" s="5">
        <v>44693</v>
      </c>
      <c r="B701" s="6">
        <v>146.63</v>
      </c>
      <c r="C701" s="12">
        <f t="shared" si="10"/>
        <v>-8.0152582349936156E-3</v>
      </c>
    </row>
    <row r="702" spans="1:3" x14ac:dyDescent="0.2">
      <c r="A702" s="5">
        <v>44604</v>
      </c>
      <c r="B702" s="6">
        <v>147.81</v>
      </c>
      <c r="C702" s="12">
        <f t="shared" si="10"/>
        <v>-3.3770125298897519E-3</v>
      </c>
    </row>
    <row r="703" spans="1:3" x14ac:dyDescent="0.2">
      <c r="A703" s="5">
        <v>44573</v>
      </c>
      <c r="B703" s="6">
        <v>148.31</v>
      </c>
      <c r="C703" s="12">
        <f t="shared" si="10"/>
        <v>1.889721828470323E-3</v>
      </c>
    </row>
    <row r="704" spans="1:3" x14ac:dyDescent="0.2">
      <c r="A704" s="4" t="s">
        <v>428</v>
      </c>
      <c r="B704" s="6">
        <v>148.03</v>
      </c>
      <c r="C704" s="12">
        <f t="shared" si="10"/>
        <v>4.7450118029292686E-2</v>
      </c>
    </row>
    <row r="705" spans="1:3" x14ac:dyDescent="0.2">
      <c r="A705" s="4" t="s">
        <v>429</v>
      </c>
      <c r="B705" s="6">
        <v>141.16999999999999</v>
      </c>
      <c r="C705" s="12">
        <f t="shared" si="10"/>
        <v>-2.1375073592505248E-2</v>
      </c>
    </row>
    <row r="706" spans="1:3" x14ac:dyDescent="0.2">
      <c r="A706" s="4" t="s">
        <v>430</v>
      </c>
      <c r="B706" s="6">
        <v>144.22</v>
      </c>
      <c r="C706" s="12">
        <f t="shared" si="10"/>
        <v>-2.6615329450267837E-2</v>
      </c>
    </row>
    <row r="707" spans="1:3" x14ac:dyDescent="0.2">
      <c r="A707" s="4" t="s">
        <v>431</v>
      </c>
      <c r="B707" s="6">
        <v>148.11000000000001</v>
      </c>
      <c r="C707" s="12">
        <f t="shared" ref="C707:C770" si="11">LN(B707/B708)</f>
        <v>-1.978806461675223E-2</v>
      </c>
    </row>
    <row r="708" spans="1:3" x14ac:dyDescent="0.2">
      <c r="A708" s="4" t="s">
        <v>432</v>
      </c>
      <c r="B708" s="6">
        <v>151.07</v>
      </c>
      <c r="C708" s="12">
        <f t="shared" si="11"/>
        <v>5.9087308838956893E-3</v>
      </c>
    </row>
    <row r="709" spans="1:3" x14ac:dyDescent="0.2">
      <c r="A709" s="4" t="s">
        <v>433</v>
      </c>
      <c r="B709" s="6">
        <v>150.18</v>
      </c>
      <c r="C709" s="12">
        <f t="shared" si="11"/>
        <v>1.4554735622640523E-2</v>
      </c>
    </row>
    <row r="710" spans="1:3" x14ac:dyDescent="0.2">
      <c r="A710" s="4" t="s">
        <v>434</v>
      </c>
      <c r="B710" s="6">
        <v>148.01</v>
      </c>
      <c r="C710" s="12">
        <f t="shared" si="11"/>
        <v>-2.1918685707646275E-2</v>
      </c>
    </row>
    <row r="711" spans="1:3" x14ac:dyDescent="0.2">
      <c r="A711" s="4" t="s">
        <v>435</v>
      </c>
      <c r="B711" s="6">
        <v>151.29</v>
      </c>
      <c r="C711" s="12">
        <f t="shared" si="11"/>
        <v>3.7747139286905761E-3</v>
      </c>
    </row>
    <row r="712" spans="1:3" x14ac:dyDescent="0.2">
      <c r="A712" s="4" t="s">
        <v>436</v>
      </c>
      <c r="B712" s="6">
        <v>150.72</v>
      </c>
      <c r="C712" s="12">
        <f t="shared" si="11"/>
        <v>1.2887894988446974E-2</v>
      </c>
    </row>
    <row r="713" spans="1:3" x14ac:dyDescent="0.2">
      <c r="A713" s="4" t="s">
        <v>437</v>
      </c>
      <c r="B713" s="6">
        <v>148.79</v>
      </c>
      <c r="C713" s="12">
        <f t="shared" si="11"/>
        <v>-8.3660093740805866E-3</v>
      </c>
    </row>
    <row r="714" spans="1:3" x14ac:dyDescent="0.2">
      <c r="A714" s="4" t="s">
        <v>438</v>
      </c>
      <c r="B714" s="6">
        <v>150.04</v>
      </c>
      <c r="C714" s="12">
        <f t="shared" si="11"/>
        <v>1.1799546931155031E-2</v>
      </c>
    </row>
    <row r="715" spans="1:3" x14ac:dyDescent="0.2">
      <c r="A715" s="4" t="s">
        <v>439</v>
      </c>
      <c r="B715" s="6">
        <v>148.28</v>
      </c>
      <c r="C715" s="12">
        <f t="shared" si="11"/>
        <v>-9.5309131430510209E-3</v>
      </c>
    </row>
    <row r="716" spans="1:3" x14ac:dyDescent="0.2">
      <c r="A716" s="5">
        <v>44876</v>
      </c>
      <c r="B716" s="6">
        <v>149.69999999999999</v>
      </c>
      <c r="C716" s="12">
        <f t="shared" si="11"/>
        <v>1.908544965981155E-2</v>
      </c>
    </row>
    <row r="717" spans="1:3" x14ac:dyDescent="0.2">
      <c r="A717" s="5">
        <v>44845</v>
      </c>
      <c r="B717" s="6">
        <v>146.87</v>
      </c>
      <c r="C717" s="12">
        <f t="shared" si="11"/>
        <v>8.5236490237004775E-2</v>
      </c>
    </row>
    <row r="718" spans="1:3" x14ac:dyDescent="0.2">
      <c r="A718" s="5">
        <v>44815</v>
      </c>
      <c r="B718" s="6">
        <v>134.87</v>
      </c>
      <c r="C718" s="12">
        <f t="shared" si="11"/>
        <v>-3.3753249732654027E-2</v>
      </c>
    </row>
    <row r="719" spans="1:3" x14ac:dyDescent="0.2">
      <c r="A719" s="5">
        <v>44784</v>
      </c>
      <c r="B719" s="6">
        <v>139.5</v>
      </c>
      <c r="C719" s="12">
        <f t="shared" si="11"/>
        <v>4.166373385547123E-3</v>
      </c>
    </row>
    <row r="720" spans="1:3" x14ac:dyDescent="0.2">
      <c r="A720" s="5">
        <v>44753</v>
      </c>
      <c r="B720" s="6">
        <v>138.91999999999999</v>
      </c>
      <c r="C720" s="12">
        <f t="shared" si="11"/>
        <v>3.8947038052081981E-3</v>
      </c>
    </row>
    <row r="721" spans="1:3" x14ac:dyDescent="0.2">
      <c r="A721" s="5">
        <v>44662</v>
      </c>
      <c r="B721" s="6">
        <v>138.38</v>
      </c>
      <c r="C721" s="12">
        <f t="shared" si="11"/>
        <v>-3.606726841375038E-3</v>
      </c>
    </row>
    <row r="722" spans="1:3" x14ac:dyDescent="0.2">
      <c r="A722" s="5">
        <v>44631</v>
      </c>
      <c r="B722" s="6">
        <v>138.88</v>
      </c>
      <c r="C722" s="12">
        <f t="shared" si="11"/>
        <v>-4.3330366660118622E-2</v>
      </c>
    </row>
    <row r="723" spans="1:3" x14ac:dyDescent="0.2">
      <c r="A723" s="5">
        <v>44603</v>
      </c>
      <c r="B723" s="6">
        <v>145.03</v>
      </c>
      <c r="C723" s="12">
        <f t="shared" si="11"/>
        <v>-3.8018648004151591E-2</v>
      </c>
    </row>
    <row r="724" spans="1:3" x14ac:dyDescent="0.2">
      <c r="A724" s="5">
        <v>44572</v>
      </c>
      <c r="B724" s="6">
        <v>150.65</v>
      </c>
      <c r="C724" s="12">
        <f t="shared" si="11"/>
        <v>-1.7698412554438162E-2</v>
      </c>
    </row>
    <row r="725" spans="1:3" x14ac:dyDescent="0.2">
      <c r="A725" s="4" t="s">
        <v>440</v>
      </c>
      <c r="B725" s="6">
        <v>153.34</v>
      </c>
      <c r="C725" s="12">
        <f t="shared" si="11"/>
        <v>-1.5530272018091698E-2</v>
      </c>
    </row>
    <row r="726" spans="1:3" x14ac:dyDescent="0.2">
      <c r="A726" s="4" t="s">
        <v>441</v>
      </c>
      <c r="B726" s="6">
        <v>155.74</v>
      </c>
      <c r="C726" s="12">
        <f t="shared" si="11"/>
        <v>7.283447019722411E-2</v>
      </c>
    </row>
    <row r="727" spans="1:3" x14ac:dyDescent="0.2">
      <c r="A727" s="4" t="s">
        <v>442</v>
      </c>
      <c r="B727" s="6">
        <v>144.80000000000001</v>
      </c>
      <c r="C727" s="12">
        <f t="shared" si="11"/>
        <v>-3.0939064710502649E-2</v>
      </c>
    </row>
    <row r="728" spans="1:3" x14ac:dyDescent="0.2">
      <c r="A728" s="4" t="s">
        <v>443</v>
      </c>
      <c r="B728" s="6">
        <v>149.35</v>
      </c>
      <c r="C728" s="12">
        <f t="shared" si="11"/>
        <v>-1.9822320282523381E-2</v>
      </c>
    </row>
    <row r="729" spans="1:3" x14ac:dyDescent="0.2">
      <c r="A729" s="4" t="s">
        <v>444</v>
      </c>
      <c r="B729" s="6">
        <v>152.34</v>
      </c>
      <c r="C729" s="12">
        <f t="shared" si="11"/>
        <v>1.9152976214695399E-2</v>
      </c>
    </row>
    <row r="730" spans="1:3" x14ac:dyDescent="0.2">
      <c r="A730" s="4" t="s">
        <v>445</v>
      </c>
      <c r="B730" s="6">
        <v>149.44999999999999</v>
      </c>
      <c r="C730" s="12">
        <f t="shared" si="11"/>
        <v>1.4694251991875818E-2</v>
      </c>
    </row>
    <row r="731" spans="1:3" x14ac:dyDescent="0.2">
      <c r="A731" s="4" t="s">
        <v>446</v>
      </c>
      <c r="B731" s="6">
        <v>147.27000000000001</v>
      </c>
      <c r="C731" s="12">
        <f t="shared" si="11"/>
        <v>2.6699446011123059E-2</v>
      </c>
    </row>
    <row r="732" spans="1:3" x14ac:dyDescent="0.2">
      <c r="A732" s="4" t="s">
        <v>447</v>
      </c>
      <c r="B732" s="6">
        <v>143.38999999999999</v>
      </c>
      <c r="C732" s="12">
        <f t="shared" si="11"/>
        <v>-3.2724137122624765E-3</v>
      </c>
    </row>
    <row r="733" spans="1:3" x14ac:dyDescent="0.2">
      <c r="A733" s="4" t="s">
        <v>448</v>
      </c>
      <c r="B733" s="6">
        <v>143.86000000000001</v>
      </c>
      <c r="C733" s="12">
        <f t="shared" si="11"/>
        <v>7.6492476175040759E-4</v>
      </c>
    </row>
    <row r="734" spans="1:3" x14ac:dyDescent="0.2">
      <c r="A734" s="4" t="s">
        <v>449</v>
      </c>
      <c r="B734" s="6">
        <v>143.75</v>
      </c>
      <c r="C734" s="12">
        <f t="shared" si="11"/>
        <v>9.3654584461234282E-3</v>
      </c>
    </row>
    <row r="735" spans="1:3" x14ac:dyDescent="0.2">
      <c r="A735" s="4" t="s">
        <v>450</v>
      </c>
      <c r="B735" s="6">
        <v>142.41</v>
      </c>
      <c r="C735" s="12">
        <f t="shared" si="11"/>
        <v>2.8706697160671407E-2</v>
      </c>
    </row>
    <row r="736" spans="1:3" x14ac:dyDescent="0.2">
      <c r="A736" s="4" t="s">
        <v>451</v>
      </c>
      <c r="B736" s="6">
        <v>138.38</v>
      </c>
      <c r="C736" s="12">
        <f t="shared" si="11"/>
        <v>-3.2771173674090937E-2</v>
      </c>
    </row>
    <row r="737" spans="1:3" x14ac:dyDescent="0.2">
      <c r="A737" s="4" t="s">
        <v>452</v>
      </c>
      <c r="B737" s="6">
        <v>142.99</v>
      </c>
      <c r="C737" s="12">
        <f t="shared" si="11"/>
        <v>3.3060274572317201E-2</v>
      </c>
    </row>
    <row r="738" spans="1:3" x14ac:dyDescent="0.2">
      <c r="A738" s="5">
        <v>44905</v>
      </c>
      <c r="B738" s="6">
        <v>138.34</v>
      </c>
      <c r="C738" s="12">
        <f t="shared" si="11"/>
        <v>-4.6156147137425101E-3</v>
      </c>
    </row>
    <row r="739" spans="1:3" x14ac:dyDescent="0.2">
      <c r="A739" s="5">
        <v>44875</v>
      </c>
      <c r="B739" s="6">
        <v>138.97999999999999</v>
      </c>
      <c r="C739" s="12">
        <f t="shared" si="11"/>
        <v>-1.0307893702921423E-2</v>
      </c>
    </row>
    <row r="740" spans="1:3" x14ac:dyDescent="0.2">
      <c r="A740" s="5">
        <v>44844</v>
      </c>
      <c r="B740" s="6">
        <v>140.41999999999999</v>
      </c>
      <c r="C740" s="12">
        <f t="shared" si="11"/>
        <v>2.3528583810801403E-3</v>
      </c>
    </row>
    <row r="741" spans="1:3" x14ac:dyDescent="0.2">
      <c r="A741" s="5">
        <v>44752</v>
      </c>
      <c r="B741" s="6">
        <v>140.09</v>
      </c>
      <c r="C741" s="12">
        <f t="shared" si="11"/>
        <v>-3.7409797981596236E-2</v>
      </c>
    </row>
    <row r="742" spans="1:3" x14ac:dyDescent="0.2">
      <c r="A742" s="5">
        <v>44722</v>
      </c>
      <c r="B742" s="6">
        <v>145.43</v>
      </c>
      <c r="C742" s="12">
        <f t="shared" si="11"/>
        <v>-6.6477303375923362E-3</v>
      </c>
    </row>
    <row r="743" spans="1:3" x14ac:dyDescent="0.2">
      <c r="A743" s="5">
        <v>44691</v>
      </c>
      <c r="B743" s="6">
        <v>146.4</v>
      </c>
      <c r="C743" s="12">
        <f t="shared" si="11"/>
        <v>2.0512827705573612E-3</v>
      </c>
    </row>
    <row r="744" spans="1:3" x14ac:dyDescent="0.2">
      <c r="A744" s="5">
        <v>44661</v>
      </c>
      <c r="B744" s="6">
        <v>146.1</v>
      </c>
      <c r="C744" s="12">
        <f t="shared" si="11"/>
        <v>2.5300257812736527E-2</v>
      </c>
    </row>
    <row r="745" spans="1:3" x14ac:dyDescent="0.2">
      <c r="A745" s="5">
        <v>44630</v>
      </c>
      <c r="B745" s="6">
        <v>142.44999999999999</v>
      </c>
      <c r="C745" s="12">
        <f t="shared" si="11"/>
        <v>3.0289149610347722E-2</v>
      </c>
    </row>
    <row r="746" spans="1:3" x14ac:dyDescent="0.2">
      <c r="A746" s="4" t="s">
        <v>453</v>
      </c>
      <c r="B746" s="6">
        <v>138.19999999999999</v>
      </c>
      <c r="C746" s="12">
        <f t="shared" si="11"/>
        <v>-3.0499727647836726E-2</v>
      </c>
    </row>
    <row r="747" spans="1:3" x14ac:dyDescent="0.2">
      <c r="A747" s="4" t="s">
        <v>454</v>
      </c>
      <c r="B747" s="6">
        <v>142.47999999999999</v>
      </c>
      <c r="C747" s="12">
        <f t="shared" si="11"/>
        <v>-5.0366419154426981E-2</v>
      </c>
    </row>
    <row r="748" spans="1:3" x14ac:dyDescent="0.2">
      <c r="A748" s="4" t="s">
        <v>455</v>
      </c>
      <c r="B748" s="6">
        <v>149.84</v>
      </c>
      <c r="C748" s="12">
        <f t="shared" si="11"/>
        <v>-1.2732267490925599E-2</v>
      </c>
    </row>
    <row r="749" spans="1:3" x14ac:dyDescent="0.2">
      <c r="A749" s="4" t="s">
        <v>456</v>
      </c>
      <c r="B749" s="6">
        <v>151.76</v>
      </c>
      <c r="C749" s="12">
        <f t="shared" si="11"/>
        <v>6.5448288359314733E-3</v>
      </c>
    </row>
    <row r="750" spans="1:3" x14ac:dyDescent="0.2">
      <c r="A750" s="4" t="s">
        <v>457</v>
      </c>
      <c r="B750" s="6">
        <v>150.77000000000001</v>
      </c>
      <c r="C750" s="12">
        <f t="shared" si="11"/>
        <v>2.2576370810946929E-3</v>
      </c>
    </row>
    <row r="751" spans="1:3" x14ac:dyDescent="0.2">
      <c r="A751" s="4" t="s">
        <v>458</v>
      </c>
      <c r="B751" s="6">
        <v>150.43</v>
      </c>
      <c r="C751" s="12">
        <f t="shared" si="11"/>
        <v>-1.5239269750505706E-2</v>
      </c>
    </row>
    <row r="752" spans="1:3" x14ac:dyDescent="0.2">
      <c r="A752" s="4" t="s">
        <v>459</v>
      </c>
      <c r="B752" s="6">
        <v>152.74</v>
      </c>
      <c r="C752" s="12">
        <f t="shared" si="11"/>
        <v>-6.3956362364050922E-3</v>
      </c>
    </row>
    <row r="753" spans="1:3" x14ac:dyDescent="0.2">
      <c r="A753" s="4" t="s">
        <v>460</v>
      </c>
      <c r="B753" s="6">
        <v>153.72</v>
      </c>
      <c r="C753" s="12">
        <f t="shared" si="11"/>
        <v>-2.0475894042343717E-2</v>
      </c>
    </row>
    <row r="754" spans="1:3" x14ac:dyDescent="0.2">
      <c r="A754" s="4" t="s">
        <v>461</v>
      </c>
      <c r="B754" s="6">
        <v>156.9</v>
      </c>
      <c r="C754" s="12">
        <f t="shared" si="11"/>
        <v>1.5544021618728036E-2</v>
      </c>
    </row>
    <row r="755" spans="1:3" x14ac:dyDescent="0.2">
      <c r="A755" s="4" t="s">
        <v>462</v>
      </c>
      <c r="B755" s="6">
        <v>154.47999999999999</v>
      </c>
      <c r="C755" s="12">
        <f t="shared" si="11"/>
        <v>2.477353248780928E-2</v>
      </c>
    </row>
    <row r="756" spans="1:3" x14ac:dyDescent="0.2">
      <c r="A756" s="4" t="s">
        <v>463</v>
      </c>
      <c r="B756" s="6">
        <v>150.69999999999999</v>
      </c>
      <c r="C756" s="12">
        <f t="shared" si="11"/>
        <v>-1.1020667848813703E-2</v>
      </c>
    </row>
    <row r="757" spans="1:3" x14ac:dyDescent="0.2">
      <c r="A757" s="4" t="s">
        <v>464</v>
      </c>
      <c r="B757" s="6">
        <v>152.37</v>
      </c>
      <c r="C757" s="12">
        <f t="shared" si="11"/>
        <v>-1.9111346100656311E-2</v>
      </c>
    </row>
    <row r="758" spans="1:3" x14ac:dyDescent="0.2">
      <c r="A758" s="4" t="s">
        <v>465</v>
      </c>
      <c r="B758" s="6">
        <v>155.31</v>
      </c>
      <c r="C758" s="12">
        <f t="shared" si="11"/>
        <v>9.5100183013952858E-3</v>
      </c>
    </row>
    <row r="759" spans="1:3" x14ac:dyDescent="0.2">
      <c r="A759" s="4" t="s">
        <v>466</v>
      </c>
      <c r="B759" s="6">
        <v>153.84</v>
      </c>
      <c r="C759" s="12">
        <f t="shared" si="11"/>
        <v>-6.0471662824442329E-2</v>
      </c>
    </row>
    <row r="760" spans="1:3" x14ac:dyDescent="0.2">
      <c r="A760" s="5">
        <v>44904</v>
      </c>
      <c r="B760" s="6">
        <v>163.43</v>
      </c>
      <c r="C760" s="12">
        <f t="shared" si="11"/>
        <v>3.7785043492193478E-2</v>
      </c>
    </row>
    <row r="761" spans="1:3" x14ac:dyDescent="0.2">
      <c r="A761" s="5">
        <v>44813</v>
      </c>
      <c r="B761" s="6">
        <v>157.37</v>
      </c>
      <c r="C761" s="12">
        <f t="shared" si="11"/>
        <v>1.8664557471655165E-2</v>
      </c>
    </row>
    <row r="762" spans="1:3" x14ac:dyDescent="0.2">
      <c r="A762" s="5">
        <v>44782</v>
      </c>
      <c r="B762" s="6">
        <v>154.46</v>
      </c>
      <c r="C762" s="12">
        <f t="shared" si="11"/>
        <v>-9.6644009732787771E-3</v>
      </c>
    </row>
    <row r="763" spans="1:3" x14ac:dyDescent="0.2">
      <c r="A763" s="5">
        <v>44751</v>
      </c>
      <c r="B763" s="6">
        <v>155.96</v>
      </c>
      <c r="C763" s="12">
        <f t="shared" si="11"/>
        <v>9.2113118687931188E-3</v>
      </c>
    </row>
    <row r="764" spans="1:3" x14ac:dyDescent="0.2">
      <c r="A764" s="5">
        <v>44721</v>
      </c>
      <c r="B764" s="6">
        <v>154.53</v>
      </c>
      <c r="C764" s="12">
        <f t="shared" si="11"/>
        <v>-8.249063983659639E-3</v>
      </c>
    </row>
    <row r="765" spans="1:3" x14ac:dyDescent="0.2">
      <c r="A765" s="5">
        <v>44601</v>
      </c>
      <c r="B765" s="6">
        <v>155.81</v>
      </c>
      <c r="C765" s="12">
        <f t="shared" si="11"/>
        <v>-1.3704520189185528E-2</v>
      </c>
    </row>
    <row r="766" spans="1:3" x14ac:dyDescent="0.2">
      <c r="A766" s="5">
        <v>44570</v>
      </c>
      <c r="B766" s="6">
        <v>157.96</v>
      </c>
      <c r="C766" s="12">
        <f t="shared" si="11"/>
        <v>4.6957380528382456E-3</v>
      </c>
    </row>
    <row r="767" spans="1:3" x14ac:dyDescent="0.2">
      <c r="A767" s="4" t="s">
        <v>467</v>
      </c>
      <c r="B767" s="6">
        <v>157.22</v>
      </c>
      <c r="C767" s="12">
        <f t="shared" si="11"/>
        <v>-1.0691905858934557E-2</v>
      </c>
    </row>
    <row r="768" spans="1:3" x14ac:dyDescent="0.2">
      <c r="A768" s="4" t="s">
        <v>468</v>
      </c>
      <c r="B768" s="6">
        <v>158.91</v>
      </c>
      <c r="C768" s="12">
        <f t="shared" si="11"/>
        <v>-1.5423828195815451E-2</v>
      </c>
    </row>
    <row r="769" spans="1:3" x14ac:dyDescent="0.2">
      <c r="A769" s="4" t="s">
        <v>469</v>
      </c>
      <c r="B769" s="6">
        <v>161.38</v>
      </c>
      <c r="C769" s="12">
        <f t="shared" si="11"/>
        <v>-1.3784833665191665E-2</v>
      </c>
    </row>
    <row r="770" spans="1:3" x14ac:dyDescent="0.2">
      <c r="A770" s="4" t="s">
        <v>470</v>
      </c>
      <c r="B770" s="6">
        <v>163.62</v>
      </c>
      <c r="C770" s="12">
        <f t="shared" si="11"/>
        <v>-3.8428225983842268E-2</v>
      </c>
    </row>
    <row r="771" spans="1:3" x14ac:dyDescent="0.2">
      <c r="A771" s="4" t="s">
        <v>471</v>
      </c>
      <c r="B771" s="6">
        <v>170.03</v>
      </c>
      <c r="C771" s="12">
        <f t="shared" ref="C771:C834" si="12">LN(B771/B772)</f>
        <v>1.4812452363953522E-2</v>
      </c>
    </row>
    <row r="772" spans="1:3" x14ac:dyDescent="0.2">
      <c r="A772" s="4" t="s">
        <v>472</v>
      </c>
      <c r="B772" s="6">
        <v>167.53</v>
      </c>
      <c r="C772" s="12">
        <f t="shared" si="12"/>
        <v>1.7923293124096336E-3</v>
      </c>
    </row>
    <row r="773" spans="1:3" x14ac:dyDescent="0.2">
      <c r="A773" s="4" t="s">
        <v>473</v>
      </c>
      <c r="B773" s="6">
        <v>167.23</v>
      </c>
      <c r="C773" s="12">
        <f t="shared" si="12"/>
        <v>-2.031064019601298E-3</v>
      </c>
    </row>
    <row r="774" spans="1:3" x14ac:dyDescent="0.2">
      <c r="A774" s="4" t="s">
        <v>474</v>
      </c>
      <c r="B774" s="6">
        <v>167.57</v>
      </c>
      <c r="C774" s="12">
        <f t="shared" si="12"/>
        <v>-2.3298703469804533E-2</v>
      </c>
    </row>
    <row r="775" spans="1:3" x14ac:dyDescent="0.2">
      <c r="A775" s="4" t="s">
        <v>475</v>
      </c>
      <c r="B775" s="6">
        <v>171.52</v>
      </c>
      <c r="C775" s="12">
        <f t="shared" si="12"/>
        <v>-1.5217118929572997E-2</v>
      </c>
    </row>
    <row r="776" spans="1:3" x14ac:dyDescent="0.2">
      <c r="A776" s="4" t="s">
        <v>476</v>
      </c>
      <c r="B776" s="6">
        <v>174.15</v>
      </c>
      <c r="C776" s="12">
        <f t="shared" si="12"/>
        <v>-2.294236739034867E-3</v>
      </c>
    </row>
    <row r="777" spans="1:3" x14ac:dyDescent="0.2">
      <c r="A777" s="4" t="s">
        <v>477</v>
      </c>
      <c r="B777" s="6">
        <v>174.55</v>
      </c>
      <c r="C777" s="12">
        <f t="shared" si="12"/>
        <v>8.7462436824881726E-3</v>
      </c>
    </row>
    <row r="778" spans="1:3" x14ac:dyDescent="0.2">
      <c r="A778" s="4" t="s">
        <v>478</v>
      </c>
      <c r="B778" s="6">
        <v>173.03</v>
      </c>
      <c r="C778" s="12">
        <f t="shared" si="12"/>
        <v>-9.2426787239483659E-4</v>
      </c>
    </row>
    <row r="779" spans="1:3" x14ac:dyDescent="0.2">
      <c r="A779" s="4" t="s">
        <v>479</v>
      </c>
      <c r="B779" s="6">
        <v>173.19</v>
      </c>
      <c r="C779" s="12">
        <f t="shared" si="12"/>
        <v>6.3135545234581569E-3</v>
      </c>
    </row>
    <row r="780" spans="1:3" x14ac:dyDescent="0.2">
      <c r="A780" s="5">
        <v>44903</v>
      </c>
      <c r="B780" s="6">
        <v>172.1</v>
      </c>
      <c r="C780" s="12">
        <f t="shared" si="12"/>
        <v>2.1199302367199691E-2</v>
      </c>
    </row>
    <row r="781" spans="1:3" x14ac:dyDescent="0.2">
      <c r="A781" s="5">
        <v>44873</v>
      </c>
      <c r="B781" s="6">
        <v>168.49</v>
      </c>
      <c r="C781" s="12">
        <f t="shared" si="12"/>
        <v>-4.4414250015728943E-3</v>
      </c>
    </row>
    <row r="782" spans="1:3" x14ac:dyDescent="0.2">
      <c r="A782" s="5">
        <v>44842</v>
      </c>
      <c r="B782" s="6">
        <v>169.24</v>
      </c>
      <c r="C782" s="12">
        <f t="shared" si="12"/>
        <v>2.5857318013167582E-2</v>
      </c>
    </row>
    <row r="783" spans="1:3" x14ac:dyDescent="0.2">
      <c r="A783" s="5">
        <v>44812</v>
      </c>
      <c r="B783" s="6">
        <v>164.92</v>
      </c>
      <c r="C783" s="12">
        <f t="shared" si="12"/>
        <v>3.0322326561203414E-4</v>
      </c>
    </row>
    <row r="784" spans="1:3" x14ac:dyDescent="0.2">
      <c r="A784" s="5">
        <v>44781</v>
      </c>
      <c r="B784" s="6">
        <v>164.87</v>
      </c>
      <c r="C784" s="12">
        <f t="shared" si="12"/>
        <v>-2.9071548547145764E-3</v>
      </c>
    </row>
    <row r="785" spans="1:3" x14ac:dyDescent="0.2">
      <c r="A785" s="5">
        <v>44689</v>
      </c>
      <c r="B785" s="6">
        <v>165.35</v>
      </c>
      <c r="C785" s="12">
        <f t="shared" si="12"/>
        <v>-2.7781150854795243E-3</v>
      </c>
    </row>
    <row r="786" spans="1:3" x14ac:dyDescent="0.2">
      <c r="A786" s="5">
        <v>44659</v>
      </c>
      <c r="B786" s="6">
        <v>165.81</v>
      </c>
      <c r="C786" s="12">
        <f t="shared" si="12"/>
        <v>-1.9280598851060776E-3</v>
      </c>
    </row>
    <row r="787" spans="1:3" x14ac:dyDescent="0.2">
      <c r="A787" s="5">
        <v>44628</v>
      </c>
      <c r="B787" s="6">
        <v>166.13</v>
      </c>
      <c r="C787" s="12">
        <f t="shared" si="12"/>
        <v>3.7534301117603995E-2</v>
      </c>
    </row>
    <row r="788" spans="1:3" x14ac:dyDescent="0.2">
      <c r="A788" s="5">
        <v>44600</v>
      </c>
      <c r="B788" s="6">
        <v>160.01</v>
      </c>
      <c r="C788" s="12">
        <f t="shared" si="12"/>
        <v>-9.3307469696385405E-3</v>
      </c>
    </row>
    <row r="789" spans="1:3" x14ac:dyDescent="0.2">
      <c r="A789" s="5">
        <v>44569</v>
      </c>
      <c r="B789" s="6">
        <v>161.51</v>
      </c>
      <c r="C789" s="12">
        <f t="shared" si="12"/>
        <v>-6.1724780874954453E-3</v>
      </c>
    </row>
    <row r="790" spans="1:3" x14ac:dyDescent="0.2">
      <c r="A790" s="4" t="s">
        <v>480</v>
      </c>
      <c r="B790" s="6">
        <v>162.51</v>
      </c>
      <c r="C790" s="12">
        <f t="shared" si="12"/>
        <v>3.2266914827501381E-2</v>
      </c>
    </row>
    <row r="791" spans="1:3" x14ac:dyDescent="0.2">
      <c r="A791" s="4" t="s">
        <v>481</v>
      </c>
      <c r="B791" s="6">
        <v>157.35</v>
      </c>
      <c r="C791" s="12">
        <f t="shared" si="12"/>
        <v>3.5652931380568201E-3</v>
      </c>
    </row>
    <row r="792" spans="1:3" x14ac:dyDescent="0.2">
      <c r="A792" s="4" t="s">
        <v>482</v>
      </c>
      <c r="B792" s="6">
        <v>156.79</v>
      </c>
      <c r="C792" s="12">
        <f t="shared" si="12"/>
        <v>3.3661857164087886E-2</v>
      </c>
    </row>
    <row r="793" spans="1:3" x14ac:dyDescent="0.2">
      <c r="A793" s="4" t="s">
        <v>483</v>
      </c>
      <c r="B793" s="6">
        <v>151.6</v>
      </c>
      <c r="C793" s="12">
        <f t="shared" si="12"/>
        <v>-8.8655973886411672E-3</v>
      </c>
    </row>
    <row r="794" spans="1:3" x14ac:dyDescent="0.2">
      <c r="A794" s="4" t="s">
        <v>484</v>
      </c>
      <c r="B794" s="6">
        <v>152.94999999999999</v>
      </c>
      <c r="C794" s="12">
        <f t="shared" si="12"/>
        <v>-7.4257766968496503E-3</v>
      </c>
    </row>
    <row r="795" spans="1:3" x14ac:dyDescent="0.2">
      <c r="A795" s="4" t="s">
        <v>485</v>
      </c>
      <c r="B795" s="6">
        <v>154.09</v>
      </c>
      <c r="C795" s="12">
        <f t="shared" si="12"/>
        <v>-8.1437885452943191E-3</v>
      </c>
    </row>
    <row r="796" spans="1:3" x14ac:dyDescent="0.2">
      <c r="A796" s="4" t="s">
        <v>486</v>
      </c>
      <c r="B796" s="6">
        <v>155.35</v>
      </c>
      <c r="C796" s="12">
        <f t="shared" si="12"/>
        <v>1.4981310707059077E-2</v>
      </c>
    </row>
    <row r="797" spans="1:3" x14ac:dyDescent="0.2">
      <c r="A797" s="4" t="s">
        <v>487</v>
      </c>
      <c r="B797" s="6">
        <v>153.04</v>
      </c>
      <c r="C797" s="12">
        <f t="shared" si="12"/>
        <v>1.3419488317073009E-2</v>
      </c>
    </row>
    <row r="798" spans="1:3" x14ac:dyDescent="0.2">
      <c r="A798" s="4" t="s">
        <v>488</v>
      </c>
      <c r="B798" s="6">
        <v>151</v>
      </c>
      <c r="C798" s="12">
        <f t="shared" si="12"/>
        <v>2.6371172902702068E-2</v>
      </c>
    </row>
    <row r="799" spans="1:3" x14ac:dyDescent="0.2">
      <c r="A799" s="4" t="s">
        <v>489</v>
      </c>
      <c r="B799" s="6">
        <v>147.07</v>
      </c>
      <c r="C799" s="12">
        <f t="shared" si="12"/>
        <v>-2.0859321779966928E-2</v>
      </c>
    </row>
    <row r="800" spans="1:3" x14ac:dyDescent="0.2">
      <c r="A800" s="4" t="s">
        <v>490</v>
      </c>
      <c r="B800" s="6">
        <v>150.16999999999999</v>
      </c>
      <c r="C800" s="12">
        <f t="shared" si="12"/>
        <v>1.1385068060284869E-2</v>
      </c>
    </row>
    <row r="801" spans="1:3" x14ac:dyDescent="0.2">
      <c r="A801" s="4" t="s">
        <v>491</v>
      </c>
      <c r="B801" s="6">
        <v>148.47</v>
      </c>
      <c r="C801" s="12">
        <f t="shared" si="12"/>
        <v>2.0275561904607046E-2</v>
      </c>
    </row>
    <row r="802" spans="1:3" x14ac:dyDescent="0.2">
      <c r="A802" s="4" t="s">
        <v>492</v>
      </c>
      <c r="B802" s="6">
        <v>145.49</v>
      </c>
      <c r="C802" s="12">
        <f t="shared" si="12"/>
        <v>-2.5399018287897129E-3</v>
      </c>
    </row>
    <row r="803" spans="1:3" x14ac:dyDescent="0.2">
      <c r="A803" s="5">
        <v>44902</v>
      </c>
      <c r="B803" s="6">
        <v>145.86000000000001</v>
      </c>
      <c r="C803" s="12">
        <f t="shared" si="12"/>
        <v>6.8104690025268793E-3</v>
      </c>
    </row>
    <row r="804" spans="1:3" x14ac:dyDescent="0.2">
      <c r="A804" s="5">
        <v>44872</v>
      </c>
      <c r="B804" s="6">
        <v>144.87</v>
      </c>
      <c r="C804" s="12">
        <f t="shared" si="12"/>
        <v>-1.4867870053816581E-2</v>
      </c>
    </row>
    <row r="805" spans="1:3" x14ac:dyDescent="0.2">
      <c r="A805" s="5">
        <v>44780</v>
      </c>
      <c r="B805" s="6">
        <v>147.04</v>
      </c>
      <c r="C805" s="12">
        <f t="shared" si="12"/>
        <v>4.7036454694819856E-3</v>
      </c>
    </row>
    <row r="806" spans="1:3" x14ac:dyDescent="0.2">
      <c r="A806" s="5">
        <v>44749</v>
      </c>
      <c r="B806" s="6">
        <v>146.35</v>
      </c>
      <c r="C806" s="12">
        <f t="shared" si="12"/>
        <v>2.3715979982685924E-2</v>
      </c>
    </row>
    <row r="807" spans="1:3" x14ac:dyDescent="0.2">
      <c r="A807" s="5">
        <v>44719</v>
      </c>
      <c r="B807" s="6">
        <v>142.91999999999999</v>
      </c>
      <c r="C807" s="12">
        <f t="shared" si="12"/>
        <v>9.5613776779463096E-3</v>
      </c>
    </row>
    <row r="808" spans="1:3" x14ac:dyDescent="0.2">
      <c r="A808" s="5">
        <v>44688</v>
      </c>
      <c r="B808" s="6">
        <v>141.56</v>
      </c>
      <c r="C808" s="12">
        <f t="shared" si="12"/>
        <v>1.8753446316492256E-2</v>
      </c>
    </row>
    <row r="809" spans="1:3" x14ac:dyDescent="0.2">
      <c r="A809" s="5">
        <v>44568</v>
      </c>
      <c r="B809" s="6">
        <v>138.93</v>
      </c>
      <c r="C809" s="12">
        <f t="shared" si="12"/>
        <v>1.6035170353434821E-2</v>
      </c>
    </row>
    <row r="810" spans="1:3" x14ac:dyDescent="0.2">
      <c r="A810" s="4" t="s">
        <v>493</v>
      </c>
      <c r="B810" s="6">
        <v>136.72</v>
      </c>
      <c r="C810" s="12">
        <f t="shared" si="12"/>
        <v>-1.8192203113858621E-2</v>
      </c>
    </row>
    <row r="811" spans="1:3" x14ac:dyDescent="0.2">
      <c r="A811" s="4" t="s">
        <v>494</v>
      </c>
      <c r="B811" s="6">
        <v>139.22999999999999</v>
      </c>
      <c r="C811" s="12">
        <f t="shared" si="12"/>
        <v>1.2939783685248842E-2</v>
      </c>
    </row>
    <row r="812" spans="1:3" x14ac:dyDescent="0.2">
      <c r="A812" s="4" t="s">
        <v>495</v>
      </c>
      <c r="B812" s="6">
        <v>137.44</v>
      </c>
      <c r="C812" s="12">
        <f t="shared" si="12"/>
        <v>-3.0242362089531329E-2</v>
      </c>
    </row>
    <row r="813" spans="1:3" x14ac:dyDescent="0.2">
      <c r="A813" s="4" t="s">
        <v>496</v>
      </c>
      <c r="B813" s="6">
        <v>141.66</v>
      </c>
      <c r="C813" s="12">
        <f t="shared" si="12"/>
        <v>0</v>
      </c>
    </row>
    <row r="814" spans="1:3" x14ac:dyDescent="0.2">
      <c r="A814" s="4" t="s">
        <v>497</v>
      </c>
      <c r="B814" s="6">
        <v>141.66</v>
      </c>
      <c r="C814" s="12">
        <f t="shared" si="12"/>
        <v>2.4221524924949889E-2</v>
      </c>
    </row>
    <row r="815" spans="1:3" x14ac:dyDescent="0.2">
      <c r="A815" s="4" t="s">
        <v>498</v>
      </c>
      <c r="B815" s="6">
        <v>138.27000000000001</v>
      </c>
      <c r="C815" s="12">
        <f t="shared" si="12"/>
        <v>2.1344279340216425E-2</v>
      </c>
    </row>
    <row r="816" spans="1:3" x14ac:dyDescent="0.2">
      <c r="A816" s="4" t="s">
        <v>499</v>
      </c>
      <c r="B816" s="6">
        <v>135.35</v>
      </c>
      <c r="C816" s="12">
        <f t="shared" si="12"/>
        <v>-3.8345301759220973E-3</v>
      </c>
    </row>
    <row r="817" spans="1:3" x14ac:dyDescent="0.2">
      <c r="A817" s="4" t="s">
        <v>500</v>
      </c>
      <c r="B817" s="6">
        <v>135.87</v>
      </c>
      <c r="C817" s="12">
        <f t="shared" si="12"/>
        <v>3.2235524915375943E-2</v>
      </c>
    </row>
    <row r="818" spans="1:3" x14ac:dyDescent="0.2">
      <c r="A818" s="4" t="s">
        <v>501</v>
      </c>
      <c r="B818" s="6">
        <v>131.56</v>
      </c>
      <c r="C818" s="12">
        <f t="shared" si="12"/>
        <v>1.1467138879850552E-2</v>
      </c>
    </row>
    <row r="819" spans="1:3" x14ac:dyDescent="0.2">
      <c r="A819" s="4" t="s">
        <v>502</v>
      </c>
      <c r="B819" s="6">
        <v>130.06</v>
      </c>
      <c r="C819" s="12">
        <f t="shared" si="12"/>
        <v>-4.0459019226274213E-2</v>
      </c>
    </row>
    <row r="820" spans="1:3" x14ac:dyDescent="0.2">
      <c r="A820" s="4" t="s">
        <v>503</v>
      </c>
      <c r="B820" s="6">
        <v>135.43</v>
      </c>
      <c r="C820" s="12">
        <f t="shared" si="12"/>
        <v>1.9911914815506283E-2</v>
      </c>
    </row>
    <row r="821" spans="1:3" x14ac:dyDescent="0.2">
      <c r="A821" s="4" t="s">
        <v>504</v>
      </c>
      <c r="B821" s="6">
        <v>132.76</v>
      </c>
      <c r="C821" s="12">
        <f t="shared" si="12"/>
        <v>6.6505686482434302E-3</v>
      </c>
    </row>
    <row r="822" spans="1:3" x14ac:dyDescent="0.2">
      <c r="A822" s="4" t="s">
        <v>505</v>
      </c>
      <c r="B822" s="6">
        <v>131.88</v>
      </c>
      <c r="C822" s="12">
        <f t="shared" si="12"/>
        <v>-3.9036962808232351E-2</v>
      </c>
    </row>
    <row r="823" spans="1:3" x14ac:dyDescent="0.2">
      <c r="A823" s="5">
        <v>44840</v>
      </c>
      <c r="B823" s="6">
        <v>137.13</v>
      </c>
      <c r="C823" s="12">
        <f t="shared" si="12"/>
        <v>-3.9394592543122227E-2</v>
      </c>
    </row>
    <row r="824" spans="1:3" x14ac:dyDescent="0.2">
      <c r="A824" s="5">
        <v>44810</v>
      </c>
      <c r="B824" s="6">
        <v>142.63999999999999</v>
      </c>
      <c r="C824" s="12">
        <f t="shared" si="12"/>
        <v>-3.6617993409368471E-2</v>
      </c>
    </row>
    <row r="825" spans="1:3" x14ac:dyDescent="0.2">
      <c r="A825" s="5">
        <v>44779</v>
      </c>
      <c r="B825" s="6">
        <v>147.96</v>
      </c>
      <c r="C825" s="12">
        <f t="shared" si="12"/>
        <v>-5.0561337363389247E-3</v>
      </c>
    </row>
    <row r="826" spans="1:3" x14ac:dyDescent="0.2">
      <c r="A826" s="5">
        <v>44748</v>
      </c>
      <c r="B826" s="6">
        <v>148.71</v>
      </c>
      <c r="C826" s="12">
        <f t="shared" si="12"/>
        <v>1.7433034337520525E-2</v>
      </c>
    </row>
    <row r="827" spans="1:3" x14ac:dyDescent="0.2">
      <c r="A827" s="5">
        <v>44718</v>
      </c>
      <c r="B827" s="6">
        <v>146.13999999999999</v>
      </c>
      <c r="C827" s="12">
        <f t="shared" si="12"/>
        <v>5.2140623065823188E-3</v>
      </c>
    </row>
    <row r="828" spans="1:3" x14ac:dyDescent="0.2">
      <c r="A828" s="5">
        <v>44626</v>
      </c>
      <c r="B828" s="6">
        <v>145.38</v>
      </c>
      <c r="C828" s="12">
        <f t="shared" si="12"/>
        <v>-3.9318595068088519E-2</v>
      </c>
    </row>
    <row r="829" spans="1:3" x14ac:dyDescent="0.2">
      <c r="A829" s="5">
        <v>44598</v>
      </c>
      <c r="B829" s="6">
        <v>151.21</v>
      </c>
      <c r="C829" s="12">
        <f t="shared" si="12"/>
        <v>1.6671498423985562E-2</v>
      </c>
    </row>
    <row r="830" spans="1:3" x14ac:dyDescent="0.2">
      <c r="A830" s="5">
        <v>44567</v>
      </c>
      <c r="B830" s="6">
        <v>148.71</v>
      </c>
      <c r="C830" s="12">
        <f t="shared" si="12"/>
        <v>-8.7380277782946481E-4</v>
      </c>
    </row>
    <row r="831" spans="1:3" x14ac:dyDescent="0.2">
      <c r="A831" s="4" t="s">
        <v>506</v>
      </c>
      <c r="B831" s="6">
        <v>148.84</v>
      </c>
      <c r="C831" s="12">
        <f t="shared" si="12"/>
        <v>-5.3605060015234768E-3</v>
      </c>
    </row>
    <row r="832" spans="1:3" x14ac:dyDescent="0.2">
      <c r="A832" s="4" t="s">
        <v>507</v>
      </c>
      <c r="B832" s="6">
        <v>149.63999999999999</v>
      </c>
      <c r="C832" s="12">
        <f t="shared" si="12"/>
        <v>3.9948055924219711E-2</v>
      </c>
    </row>
    <row r="833" spans="1:3" x14ac:dyDescent="0.2">
      <c r="A833" s="4" t="s">
        <v>508</v>
      </c>
      <c r="B833" s="6">
        <v>143.78</v>
      </c>
      <c r="C833" s="12">
        <f t="shared" si="12"/>
        <v>2.2934526158099194E-2</v>
      </c>
    </row>
    <row r="834" spans="1:3" x14ac:dyDescent="0.2">
      <c r="A834" s="4" t="s">
        <v>509</v>
      </c>
      <c r="B834" s="6">
        <v>140.52000000000001</v>
      </c>
      <c r="C834" s="12">
        <f t="shared" si="12"/>
        <v>1.1392766826118835E-3</v>
      </c>
    </row>
    <row r="835" spans="1:3" x14ac:dyDescent="0.2">
      <c r="A835" s="4" t="s">
        <v>510</v>
      </c>
      <c r="B835" s="6">
        <v>140.36000000000001</v>
      </c>
      <c r="C835" s="12">
        <f t="shared" ref="C835:C898" si="13">LN(B835/B836)</f>
        <v>-1.9403014607770126E-2</v>
      </c>
    </row>
    <row r="836" spans="1:3" x14ac:dyDescent="0.2">
      <c r="A836" s="4" t="s">
        <v>511</v>
      </c>
      <c r="B836" s="6">
        <v>143.11000000000001</v>
      </c>
      <c r="C836" s="12">
        <f t="shared" si="13"/>
        <v>3.9335316883059419E-2</v>
      </c>
    </row>
    <row r="837" spans="1:3" x14ac:dyDescent="0.2">
      <c r="A837" s="4" t="s">
        <v>512</v>
      </c>
      <c r="B837" s="6">
        <v>137.59</v>
      </c>
      <c r="C837" s="12">
        <f t="shared" si="13"/>
        <v>1.745835898442212E-3</v>
      </c>
    </row>
    <row r="838" spans="1:3" x14ac:dyDescent="0.2">
      <c r="A838" s="4" t="s">
        <v>513</v>
      </c>
      <c r="B838" s="6">
        <v>137.35</v>
      </c>
      <c r="C838" s="12">
        <f t="shared" si="13"/>
        <v>-2.495006654970432E-2</v>
      </c>
    </row>
    <row r="839" spans="1:3" x14ac:dyDescent="0.2">
      <c r="A839" s="4" t="s">
        <v>514</v>
      </c>
      <c r="B839" s="6">
        <v>140.82</v>
      </c>
      <c r="C839" s="12">
        <f t="shared" si="13"/>
        <v>-5.8073269261970054E-2</v>
      </c>
    </row>
    <row r="840" spans="1:3" x14ac:dyDescent="0.2">
      <c r="A840" s="4" t="s">
        <v>515</v>
      </c>
      <c r="B840" s="6">
        <v>149.24</v>
      </c>
      <c r="C840" s="12">
        <f t="shared" si="13"/>
        <v>2.5104785434016844E-2</v>
      </c>
    </row>
    <row r="841" spans="1:3" x14ac:dyDescent="0.2">
      <c r="A841" s="4" t="s">
        <v>516</v>
      </c>
      <c r="B841" s="6">
        <v>145.54</v>
      </c>
      <c r="C841" s="12">
        <f t="shared" si="13"/>
        <v>-1.0729643343180209E-2</v>
      </c>
    </row>
    <row r="842" spans="1:3" x14ac:dyDescent="0.2">
      <c r="A842" s="4" t="s">
        <v>517</v>
      </c>
      <c r="B842" s="6">
        <v>147.11000000000001</v>
      </c>
      <c r="C842" s="12">
        <f t="shared" si="13"/>
        <v>3.141764253962142E-2</v>
      </c>
    </row>
    <row r="843" spans="1:3" x14ac:dyDescent="0.2">
      <c r="A843" s="5">
        <v>44900</v>
      </c>
      <c r="B843" s="6">
        <v>142.56</v>
      </c>
      <c r="C843" s="12">
        <f t="shared" si="13"/>
        <v>-2.7262464734622755E-2</v>
      </c>
    </row>
    <row r="844" spans="1:3" x14ac:dyDescent="0.2">
      <c r="A844" s="5">
        <v>44870</v>
      </c>
      <c r="B844" s="6">
        <v>146.5</v>
      </c>
      <c r="C844" s="12">
        <f t="shared" si="13"/>
        <v>-5.3233390705204775E-2</v>
      </c>
    </row>
    <row r="845" spans="1:3" x14ac:dyDescent="0.2">
      <c r="A845" s="5">
        <v>44839</v>
      </c>
      <c r="B845" s="6">
        <v>154.51</v>
      </c>
      <c r="C845" s="12">
        <f t="shared" si="13"/>
        <v>1.5983639362036096E-2</v>
      </c>
    </row>
    <row r="846" spans="1:3" x14ac:dyDescent="0.2">
      <c r="A846" s="5">
        <v>44809</v>
      </c>
      <c r="B846" s="6">
        <v>152.06</v>
      </c>
      <c r="C846" s="12">
        <f t="shared" si="13"/>
        <v>-3.3752476598565784E-2</v>
      </c>
    </row>
    <row r="847" spans="1:3" x14ac:dyDescent="0.2">
      <c r="A847" s="5">
        <v>44717</v>
      </c>
      <c r="B847" s="6">
        <v>157.28</v>
      </c>
      <c r="C847" s="12">
        <f t="shared" si="13"/>
        <v>3.2478933184167747E-3</v>
      </c>
    </row>
    <row r="848" spans="1:3" x14ac:dyDescent="0.2">
      <c r="A848" s="5">
        <v>44686</v>
      </c>
      <c r="B848" s="6">
        <v>156.77000000000001</v>
      </c>
      <c r="C848" s="12">
        <f t="shared" si="13"/>
        <v>-5.7328499946449896E-2</v>
      </c>
    </row>
    <row r="849" spans="1:3" x14ac:dyDescent="0.2">
      <c r="A849" s="5">
        <v>44656</v>
      </c>
      <c r="B849" s="6">
        <v>166.02</v>
      </c>
      <c r="C849" s="12">
        <f t="shared" si="13"/>
        <v>4.0189740513735431E-2</v>
      </c>
    </row>
    <row r="850" spans="1:3" x14ac:dyDescent="0.2">
      <c r="A850" s="5">
        <v>44625</v>
      </c>
      <c r="B850" s="6">
        <v>159.47999999999999</v>
      </c>
      <c r="C850" s="12">
        <f t="shared" si="13"/>
        <v>9.5766860947054007E-3</v>
      </c>
    </row>
    <row r="851" spans="1:3" x14ac:dyDescent="0.2">
      <c r="A851" s="5">
        <v>44597</v>
      </c>
      <c r="B851" s="6">
        <v>157.96</v>
      </c>
      <c r="C851" s="12">
        <f t="shared" si="13"/>
        <v>1.9644504273789369E-3</v>
      </c>
    </row>
    <row r="852" spans="1:3" x14ac:dyDescent="0.2">
      <c r="A852" s="4" t="s">
        <v>518</v>
      </c>
      <c r="B852" s="6">
        <v>157.65</v>
      </c>
      <c r="C852" s="12">
        <f t="shared" si="13"/>
        <v>-3.7291507070127863E-2</v>
      </c>
    </row>
    <row r="853" spans="1:3" x14ac:dyDescent="0.2">
      <c r="A853" s="4" t="s">
        <v>519</v>
      </c>
      <c r="B853" s="6">
        <v>163.63999999999999</v>
      </c>
      <c r="C853" s="12">
        <f t="shared" si="13"/>
        <v>4.4165698737766164E-2</v>
      </c>
    </row>
    <row r="854" spans="1:3" x14ac:dyDescent="0.2">
      <c r="A854" s="4" t="s">
        <v>520</v>
      </c>
      <c r="B854" s="6">
        <v>156.57</v>
      </c>
      <c r="C854" s="12">
        <f t="shared" si="13"/>
        <v>-1.4679135928759824E-3</v>
      </c>
    </row>
    <row r="855" spans="1:3" x14ac:dyDescent="0.2">
      <c r="A855" s="4" t="s">
        <v>521</v>
      </c>
      <c r="B855" s="6">
        <v>156.80000000000001</v>
      </c>
      <c r="C855" s="12">
        <f t="shared" si="13"/>
        <v>-3.8042625445850319E-2</v>
      </c>
    </row>
    <row r="856" spans="1:3" x14ac:dyDescent="0.2">
      <c r="A856" s="4" t="s">
        <v>522</v>
      </c>
      <c r="B856" s="6">
        <v>162.88</v>
      </c>
      <c r="C856" s="12">
        <f t="shared" si="13"/>
        <v>6.7145353449125896E-3</v>
      </c>
    </row>
    <row r="857" spans="1:3" x14ac:dyDescent="0.2">
      <c r="A857" s="4" t="s">
        <v>523</v>
      </c>
      <c r="B857" s="6">
        <v>161.79</v>
      </c>
      <c r="C857" s="12">
        <f t="shared" si="13"/>
        <v>-2.821551545503849E-2</v>
      </c>
    </row>
    <row r="858" spans="1:3" x14ac:dyDescent="0.2">
      <c r="A858" s="4" t="s">
        <v>524</v>
      </c>
      <c r="B858" s="6">
        <v>166.42</v>
      </c>
      <c r="C858" s="12">
        <f t="shared" si="13"/>
        <v>-4.855396920747667E-3</v>
      </c>
    </row>
    <row r="859" spans="1:3" x14ac:dyDescent="0.2">
      <c r="A859" s="4" t="s">
        <v>525</v>
      </c>
      <c r="B859" s="6">
        <v>167.23</v>
      </c>
      <c r="C859" s="12">
        <f t="shared" si="13"/>
        <v>-1.016047662343538E-3</v>
      </c>
    </row>
    <row r="860" spans="1:3" x14ac:dyDescent="0.2">
      <c r="A860" s="4" t="s">
        <v>526</v>
      </c>
      <c r="B860" s="6">
        <v>167.4</v>
      </c>
      <c r="C860" s="12">
        <f t="shared" si="13"/>
        <v>1.4016531695925443E-2</v>
      </c>
    </row>
    <row r="861" spans="1:3" x14ac:dyDescent="0.2">
      <c r="A861" s="4" t="s">
        <v>527</v>
      </c>
      <c r="B861" s="6">
        <v>165.07</v>
      </c>
      <c r="C861" s="12">
        <f t="shared" si="13"/>
        <v>-1.3318805698123541E-3</v>
      </c>
    </row>
    <row r="862" spans="1:3" x14ac:dyDescent="0.2">
      <c r="A862" s="4" t="s">
        <v>528</v>
      </c>
      <c r="B862" s="6">
        <v>165.29</v>
      </c>
      <c r="C862" s="12">
        <f t="shared" si="13"/>
        <v>-3.0447107465953395E-2</v>
      </c>
    </row>
    <row r="863" spans="1:3" x14ac:dyDescent="0.2">
      <c r="A863" s="4" t="s">
        <v>529</v>
      </c>
      <c r="B863" s="6">
        <v>170.4</v>
      </c>
      <c r="C863" s="12">
        <f t="shared" si="13"/>
        <v>1.6210495185504031E-2</v>
      </c>
    </row>
    <row r="864" spans="1:3" x14ac:dyDescent="0.2">
      <c r="A864" s="5">
        <v>44899</v>
      </c>
      <c r="B864" s="6">
        <v>167.66</v>
      </c>
      <c r="C864" s="12">
        <f t="shared" si="13"/>
        <v>1.1457490143739299E-2</v>
      </c>
    </row>
    <row r="865" spans="1:3" x14ac:dyDescent="0.2">
      <c r="A865" s="5">
        <v>44869</v>
      </c>
      <c r="B865" s="6">
        <v>165.75</v>
      </c>
      <c r="C865" s="12">
        <f t="shared" si="13"/>
        <v>-2.584707966002851E-2</v>
      </c>
    </row>
    <row r="866" spans="1:3" x14ac:dyDescent="0.2">
      <c r="A866" s="5">
        <v>44777</v>
      </c>
      <c r="B866" s="6">
        <v>170.09</v>
      </c>
      <c r="C866" s="12">
        <f t="shared" si="13"/>
        <v>-1.1980390495327974E-2</v>
      </c>
    </row>
    <row r="867" spans="1:3" x14ac:dyDescent="0.2">
      <c r="A867" s="5">
        <v>44746</v>
      </c>
      <c r="B867" s="6">
        <v>172.14</v>
      </c>
      <c r="C867" s="12">
        <f t="shared" si="13"/>
        <v>1.8024832626744912E-3</v>
      </c>
    </row>
    <row r="868" spans="1:3" x14ac:dyDescent="0.2">
      <c r="A868" s="5">
        <v>44716</v>
      </c>
      <c r="B868" s="6">
        <v>171.83</v>
      </c>
      <c r="C868" s="12">
        <f t="shared" si="13"/>
        <v>-1.8623156345638079E-2</v>
      </c>
    </row>
    <row r="869" spans="1:3" x14ac:dyDescent="0.2">
      <c r="A869" s="5">
        <v>44685</v>
      </c>
      <c r="B869" s="6">
        <v>175.06</v>
      </c>
      <c r="C869" s="12">
        <f t="shared" si="13"/>
        <v>-1.9123637955772054E-2</v>
      </c>
    </row>
    <row r="870" spans="1:3" x14ac:dyDescent="0.2">
      <c r="A870" s="5">
        <v>44655</v>
      </c>
      <c r="B870" s="6">
        <v>178.44</v>
      </c>
      <c r="C870" s="12">
        <f t="shared" si="13"/>
        <v>2.341708703328987E-2</v>
      </c>
    </row>
    <row r="871" spans="1:3" x14ac:dyDescent="0.2">
      <c r="A871" s="5">
        <v>44565</v>
      </c>
      <c r="B871" s="6">
        <v>174.31</v>
      </c>
      <c r="C871" s="12">
        <f t="shared" si="13"/>
        <v>-1.7195923072621253E-3</v>
      </c>
    </row>
    <row r="872" spans="1:3" x14ac:dyDescent="0.2">
      <c r="A872" s="4" t="s">
        <v>530</v>
      </c>
      <c r="B872" s="6">
        <v>174.61</v>
      </c>
      <c r="C872" s="12">
        <f t="shared" si="13"/>
        <v>-1.793566440055791E-2</v>
      </c>
    </row>
    <row r="873" spans="1:3" x14ac:dyDescent="0.2">
      <c r="A873" s="4" t="s">
        <v>531</v>
      </c>
      <c r="B873" s="6">
        <v>177.77</v>
      </c>
      <c r="C873" s="12">
        <f t="shared" si="13"/>
        <v>-6.6717372472800667E-3</v>
      </c>
    </row>
    <row r="874" spans="1:3" x14ac:dyDescent="0.2">
      <c r="A874" s="4" t="s">
        <v>532</v>
      </c>
      <c r="B874" s="6">
        <v>178.96</v>
      </c>
      <c r="C874" s="12">
        <f t="shared" si="13"/>
        <v>1.8953635980857995E-2</v>
      </c>
    </row>
    <row r="875" spans="1:3" x14ac:dyDescent="0.2">
      <c r="A875" s="4" t="s">
        <v>533</v>
      </c>
      <c r="B875" s="6">
        <v>175.6</v>
      </c>
      <c r="C875" s="12">
        <f t="shared" si="13"/>
        <v>5.0239886444760464E-3</v>
      </c>
    </row>
    <row r="876" spans="1:3" x14ac:dyDescent="0.2">
      <c r="A876" s="4" t="s">
        <v>534</v>
      </c>
      <c r="B876" s="6">
        <v>174.72</v>
      </c>
      <c r="C876" s="12">
        <f t="shared" si="13"/>
        <v>3.7271753919224295E-3</v>
      </c>
    </row>
    <row r="877" spans="1:3" x14ac:dyDescent="0.2">
      <c r="A877" s="4" t="s">
        <v>535</v>
      </c>
      <c r="B877" s="6">
        <v>174.07</v>
      </c>
      <c r="C877" s="12">
        <f t="shared" si="13"/>
        <v>2.242454834473603E-2</v>
      </c>
    </row>
    <row r="878" spans="1:3" x14ac:dyDescent="0.2">
      <c r="A878" s="4" t="s">
        <v>536</v>
      </c>
      <c r="B878" s="6">
        <v>170.21</v>
      </c>
      <c r="C878" s="12">
        <f t="shared" si="13"/>
        <v>8.1999102643078216E-3</v>
      </c>
    </row>
    <row r="879" spans="1:3" x14ac:dyDescent="0.2">
      <c r="A879" s="4" t="s">
        <v>537</v>
      </c>
      <c r="B879" s="6">
        <v>168.82</v>
      </c>
      <c r="C879" s="12">
        <f t="shared" si="13"/>
        <v>2.0587202261553337E-2</v>
      </c>
    </row>
    <row r="880" spans="1:3" x14ac:dyDescent="0.2">
      <c r="A880" s="4" t="s">
        <v>538</v>
      </c>
      <c r="B880" s="6">
        <v>165.38</v>
      </c>
      <c r="C880" s="12">
        <f t="shared" si="13"/>
        <v>8.5013871259891054E-3</v>
      </c>
    </row>
    <row r="881" spans="1:3" x14ac:dyDescent="0.2">
      <c r="A881" s="4" t="s">
        <v>539</v>
      </c>
      <c r="B881" s="6">
        <v>163.98</v>
      </c>
      <c r="C881" s="12">
        <f t="shared" si="13"/>
        <v>2.0703142407715418E-2</v>
      </c>
    </row>
    <row r="882" spans="1:3" x14ac:dyDescent="0.2">
      <c r="A882" s="4" t="s">
        <v>540</v>
      </c>
      <c r="B882" s="6">
        <v>160.62</v>
      </c>
      <c r="C882" s="12">
        <f t="shared" si="13"/>
        <v>6.4333003492210526E-3</v>
      </c>
    </row>
    <row r="883" spans="1:3" x14ac:dyDescent="0.2">
      <c r="A883" s="4" t="s">
        <v>541</v>
      </c>
      <c r="B883" s="6">
        <v>159.59</v>
      </c>
      <c r="C883" s="12">
        <f t="shared" si="13"/>
        <v>2.8602432839733512E-2</v>
      </c>
    </row>
    <row r="884" spans="1:3" x14ac:dyDescent="0.2">
      <c r="A884" s="4" t="s">
        <v>542</v>
      </c>
      <c r="B884" s="6">
        <v>155.09</v>
      </c>
      <c r="C884" s="12">
        <f t="shared" si="13"/>
        <v>2.9245484898155715E-2</v>
      </c>
    </row>
    <row r="885" spans="1:3" x14ac:dyDescent="0.2">
      <c r="A885" s="4" t="s">
        <v>543</v>
      </c>
      <c r="B885" s="6">
        <v>150.62</v>
      </c>
      <c r="C885" s="12">
        <f t="shared" si="13"/>
        <v>-2.6921553828375529E-2</v>
      </c>
    </row>
    <row r="886" spans="1:3" x14ac:dyDescent="0.2">
      <c r="A886" s="5">
        <v>44868</v>
      </c>
      <c r="B886" s="6">
        <v>154.72999999999999</v>
      </c>
      <c r="C886" s="12">
        <f t="shared" si="13"/>
        <v>-2.4199105820653113E-2</v>
      </c>
    </row>
    <row r="887" spans="1:3" x14ac:dyDescent="0.2">
      <c r="A887" s="5">
        <v>44837</v>
      </c>
      <c r="B887" s="6">
        <v>158.52000000000001</v>
      </c>
      <c r="C887" s="12">
        <f t="shared" si="13"/>
        <v>-2.7562636961336151E-2</v>
      </c>
    </row>
    <row r="888" spans="1:3" x14ac:dyDescent="0.2">
      <c r="A888" s="5">
        <v>44807</v>
      </c>
      <c r="B888" s="6">
        <v>162.94999999999999</v>
      </c>
      <c r="C888" s="12">
        <f t="shared" si="13"/>
        <v>3.4398971979627178E-2</v>
      </c>
    </row>
    <row r="889" spans="1:3" x14ac:dyDescent="0.2">
      <c r="A889" s="5">
        <v>44776</v>
      </c>
      <c r="B889" s="6">
        <v>157.44</v>
      </c>
      <c r="C889" s="12">
        <f t="shared" si="13"/>
        <v>-1.1744783612059648E-2</v>
      </c>
    </row>
    <row r="890" spans="1:3" x14ac:dyDescent="0.2">
      <c r="A890" s="5">
        <v>44745</v>
      </c>
      <c r="B890" s="6">
        <v>159.30000000000001</v>
      </c>
      <c r="C890" s="12">
        <f t="shared" si="13"/>
        <v>-2.40033851869761E-2</v>
      </c>
    </row>
    <row r="891" spans="1:3" x14ac:dyDescent="0.2">
      <c r="A891" s="5">
        <v>44654</v>
      </c>
      <c r="B891" s="6">
        <v>163.16999999999999</v>
      </c>
      <c r="C891" s="12">
        <f t="shared" si="13"/>
        <v>-1.8579769444388956E-2</v>
      </c>
    </row>
    <row r="892" spans="1:3" x14ac:dyDescent="0.2">
      <c r="A892" s="5">
        <v>44623</v>
      </c>
      <c r="B892" s="6">
        <v>166.23</v>
      </c>
      <c r="C892" s="12">
        <f t="shared" si="13"/>
        <v>-1.983233319290826E-3</v>
      </c>
    </row>
    <row r="893" spans="1:3" x14ac:dyDescent="0.2">
      <c r="A893" s="5">
        <v>44595</v>
      </c>
      <c r="B893" s="6">
        <v>166.56</v>
      </c>
      <c r="C893" s="12">
        <f t="shared" si="13"/>
        <v>2.0379162336652264E-2</v>
      </c>
    </row>
    <row r="894" spans="1:3" x14ac:dyDescent="0.2">
      <c r="A894" s="5">
        <v>44564</v>
      </c>
      <c r="B894" s="6">
        <v>163.19999999999999</v>
      </c>
      <c r="C894" s="12">
        <f t="shared" si="13"/>
        <v>-1.1696039763191411E-2</v>
      </c>
    </row>
    <row r="895" spans="1:3" x14ac:dyDescent="0.2">
      <c r="A895" s="4" t="s">
        <v>544</v>
      </c>
      <c r="B895" s="6">
        <v>165.12</v>
      </c>
      <c r="C895" s="12">
        <f t="shared" si="13"/>
        <v>1.6365127754580102E-3</v>
      </c>
    </row>
    <row r="896" spans="1:3" x14ac:dyDescent="0.2">
      <c r="A896" s="4" t="s">
        <v>545</v>
      </c>
      <c r="B896" s="6">
        <v>164.85</v>
      </c>
      <c r="C896" s="12">
        <f t="shared" si="13"/>
        <v>1.2882134249228717E-2</v>
      </c>
    </row>
    <row r="897" spans="1:3" x14ac:dyDescent="0.2">
      <c r="A897" s="4" t="s">
        <v>546</v>
      </c>
      <c r="B897" s="6">
        <v>162.74</v>
      </c>
      <c r="C897" s="12">
        <f t="shared" si="13"/>
        <v>1.6542615709905222E-2</v>
      </c>
    </row>
    <row r="898" spans="1:3" x14ac:dyDescent="0.2">
      <c r="A898" s="4" t="s">
        <v>547</v>
      </c>
      <c r="B898" s="6">
        <v>160.07</v>
      </c>
      <c r="C898" s="12">
        <f t="shared" si="13"/>
        <v>-2.6204526621641896E-2</v>
      </c>
    </row>
    <row r="899" spans="1:3" x14ac:dyDescent="0.2">
      <c r="A899" s="4" t="s">
        <v>548</v>
      </c>
      <c r="B899" s="6">
        <v>164.32</v>
      </c>
      <c r="C899" s="12">
        <f t="shared" ref="C899:C932" si="14">LN(B899/B900)</f>
        <v>-1.7972861812530251E-2</v>
      </c>
    </row>
    <row r="900" spans="1:3" x14ac:dyDescent="0.2">
      <c r="A900" s="4" t="s">
        <v>549</v>
      </c>
      <c r="B900" s="6">
        <v>167.3</v>
      </c>
      <c r="C900" s="12">
        <f t="shared" si="14"/>
        <v>-9.3997955472868242E-3</v>
      </c>
    </row>
    <row r="901" spans="1:3" x14ac:dyDescent="0.2">
      <c r="A901" s="4" t="s">
        <v>550</v>
      </c>
      <c r="B901" s="6">
        <v>168.88</v>
      </c>
      <c r="C901" s="12">
        <f t="shared" si="14"/>
        <v>-2.1498646003947346E-2</v>
      </c>
    </row>
    <row r="902" spans="1:3" x14ac:dyDescent="0.2">
      <c r="A902" s="4" t="s">
        <v>551</v>
      </c>
      <c r="B902" s="6">
        <v>172.55</v>
      </c>
      <c r="C902" s="12">
        <f t="shared" si="14"/>
        <v>-1.3899347810178981E-3</v>
      </c>
    </row>
    <row r="903" spans="1:3" x14ac:dyDescent="0.2">
      <c r="A903" s="4" t="s">
        <v>552</v>
      </c>
      <c r="B903" s="6">
        <v>172.79</v>
      </c>
      <c r="C903" s="12">
        <f t="shared" si="14"/>
        <v>2.2888580784965116E-2</v>
      </c>
    </row>
    <row r="904" spans="1:3" x14ac:dyDescent="0.2">
      <c r="A904" s="4" t="s">
        <v>553</v>
      </c>
      <c r="B904" s="6">
        <v>168.88</v>
      </c>
      <c r="C904" s="12">
        <f t="shared" si="14"/>
        <v>1.4221381870677026E-3</v>
      </c>
    </row>
    <row r="905" spans="1:3" x14ac:dyDescent="0.2">
      <c r="A905" s="5">
        <v>44867</v>
      </c>
      <c r="B905" s="6">
        <v>168.64</v>
      </c>
      <c r="C905" s="12">
        <f t="shared" si="14"/>
        <v>-2.0425642617401488E-2</v>
      </c>
    </row>
    <row r="906" spans="1:3" x14ac:dyDescent="0.2">
      <c r="A906" s="5">
        <v>44836</v>
      </c>
      <c r="B906" s="6">
        <v>172.12</v>
      </c>
      <c r="C906" s="12">
        <f t="shared" si="14"/>
        <v>-2.3881732003387359E-2</v>
      </c>
    </row>
    <row r="907" spans="1:3" x14ac:dyDescent="0.2">
      <c r="A907" s="5">
        <v>44806</v>
      </c>
      <c r="B907" s="6">
        <v>176.28</v>
      </c>
      <c r="C907" s="12">
        <f t="shared" si="14"/>
        <v>8.2595667642286121E-3</v>
      </c>
    </row>
    <row r="908" spans="1:3" x14ac:dyDescent="0.2">
      <c r="A908" s="5">
        <v>44775</v>
      </c>
      <c r="B908" s="6">
        <v>174.83</v>
      </c>
      <c r="C908" s="12">
        <f t="shared" si="14"/>
        <v>1.8298296919483707E-2</v>
      </c>
    </row>
    <row r="909" spans="1:3" x14ac:dyDescent="0.2">
      <c r="A909" s="5">
        <v>44744</v>
      </c>
      <c r="B909" s="6">
        <v>171.66</v>
      </c>
      <c r="C909" s="12">
        <f t="shared" si="14"/>
        <v>-4.2435756168133134E-3</v>
      </c>
    </row>
    <row r="910" spans="1:3" x14ac:dyDescent="0.2">
      <c r="A910" s="5">
        <v>44653</v>
      </c>
      <c r="B910" s="6">
        <v>172.39</v>
      </c>
      <c r="C910" s="12">
        <f t="shared" si="14"/>
        <v>-2.9540407823576858E-3</v>
      </c>
    </row>
    <row r="911" spans="1:3" x14ac:dyDescent="0.2">
      <c r="A911" s="5">
        <v>44622</v>
      </c>
      <c r="B911" s="6">
        <v>172.9</v>
      </c>
      <c r="C911" s="12">
        <f t="shared" si="14"/>
        <v>-1.6861097966066441E-2</v>
      </c>
    </row>
    <row r="912" spans="1:3" x14ac:dyDescent="0.2">
      <c r="A912" s="5">
        <v>44594</v>
      </c>
      <c r="B912" s="6">
        <v>175.84</v>
      </c>
      <c r="C912" s="12">
        <f t="shared" si="14"/>
        <v>7.0195751212751151E-3</v>
      </c>
    </row>
    <row r="913" spans="1:3" x14ac:dyDescent="0.2">
      <c r="A913" s="5">
        <v>44563</v>
      </c>
      <c r="B913" s="6">
        <v>174.61</v>
      </c>
      <c r="C913" s="12">
        <f t="shared" si="14"/>
        <v>-9.7312466536204358E-4</v>
      </c>
    </row>
    <row r="914" spans="1:3" x14ac:dyDescent="0.2">
      <c r="A914" s="4" t="s">
        <v>554</v>
      </c>
      <c r="B914" s="6">
        <v>174.78</v>
      </c>
      <c r="C914" s="12">
        <f t="shared" si="14"/>
        <v>2.5790308326912197E-2</v>
      </c>
    </row>
    <row r="915" spans="1:3" x14ac:dyDescent="0.2">
      <c r="A915" s="4" t="s">
        <v>555</v>
      </c>
      <c r="B915" s="6">
        <v>170.33</v>
      </c>
      <c r="C915" s="12">
        <f t="shared" si="14"/>
        <v>6.7450838212053887E-2</v>
      </c>
    </row>
    <row r="916" spans="1:3" x14ac:dyDescent="0.2">
      <c r="A916" s="4" t="s">
        <v>556</v>
      </c>
      <c r="B916" s="6">
        <v>159.22</v>
      </c>
      <c r="C916" s="12">
        <f t="shared" si="14"/>
        <v>-2.9475421923435903E-3</v>
      </c>
    </row>
    <row r="917" spans="1:3" x14ac:dyDescent="0.2">
      <c r="A917" s="4" t="s">
        <v>557</v>
      </c>
      <c r="B917" s="6">
        <v>159.69</v>
      </c>
      <c r="C917" s="12">
        <f t="shared" si="14"/>
        <v>-5.6343320112016372E-4</v>
      </c>
    </row>
    <row r="918" spans="1:3" x14ac:dyDescent="0.2">
      <c r="A918" s="4" t="s">
        <v>558</v>
      </c>
      <c r="B918" s="6">
        <v>159.78</v>
      </c>
      <c r="C918" s="12">
        <f t="shared" si="14"/>
        <v>-1.1450031751405689E-2</v>
      </c>
    </row>
    <row r="919" spans="1:3" x14ac:dyDescent="0.2">
      <c r="A919" s="4" t="s">
        <v>559</v>
      </c>
      <c r="B919" s="6">
        <v>161.62</v>
      </c>
      <c r="C919" s="12">
        <f t="shared" si="14"/>
        <v>-4.8761013812098361E-3</v>
      </c>
    </row>
    <row r="920" spans="1:3" x14ac:dyDescent="0.2">
      <c r="A920" s="4" t="s">
        <v>560</v>
      </c>
      <c r="B920" s="6">
        <v>162.41</v>
      </c>
      <c r="C920" s="12">
        <f t="shared" si="14"/>
        <v>-1.2847356444817501E-2</v>
      </c>
    </row>
    <row r="921" spans="1:3" x14ac:dyDescent="0.2">
      <c r="A921" s="4" t="s">
        <v>561</v>
      </c>
      <c r="B921" s="6">
        <v>164.51</v>
      </c>
      <c r="C921" s="12">
        <f t="shared" si="14"/>
        <v>-1.0401012916038935E-2</v>
      </c>
    </row>
    <row r="922" spans="1:3" x14ac:dyDescent="0.2">
      <c r="A922" s="4" t="s">
        <v>562</v>
      </c>
      <c r="B922" s="6">
        <v>166.23</v>
      </c>
      <c r="C922" s="12">
        <f t="shared" si="14"/>
        <v>-2.1248902329879072E-2</v>
      </c>
    </row>
    <row r="923" spans="1:3" x14ac:dyDescent="0.2">
      <c r="A923" s="4" t="s">
        <v>563</v>
      </c>
      <c r="B923" s="6">
        <v>169.8</v>
      </c>
      <c r="C923" s="12">
        <f t="shared" si="14"/>
        <v>-1.9074863059660753E-2</v>
      </c>
    </row>
    <row r="924" spans="1:3" x14ac:dyDescent="0.2">
      <c r="A924" s="4" t="s">
        <v>564</v>
      </c>
      <c r="B924" s="6">
        <v>173.07</v>
      </c>
      <c r="C924" s="12">
        <f t="shared" si="14"/>
        <v>5.097618638813136E-3</v>
      </c>
    </row>
    <row r="925" spans="1:3" x14ac:dyDescent="0.2">
      <c r="A925" s="4" t="s">
        <v>565</v>
      </c>
      <c r="B925" s="6">
        <v>172.19</v>
      </c>
      <c r="C925" s="12">
        <f t="shared" si="14"/>
        <v>-1.921145017015996E-2</v>
      </c>
    </row>
    <row r="926" spans="1:3" x14ac:dyDescent="0.2">
      <c r="A926" s="5">
        <v>44896</v>
      </c>
      <c r="B926" s="6">
        <v>175.53</v>
      </c>
      <c r="C926" s="12">
        <f t="shared" si="14"/>
        <v>2.566956145559744E-3</v>
      </c>
    </row>
    <row r="927" spans="1:3" x14ac:dyDescent="0.2">
      <c r="A927" s="5">
        <v>44866</v>
      </c>
      <c r="B927" s="6">
        <v>175.08</v>
      </c>
      <c r="C927" s="12">
        <f t="shared" si="14"/>
        <v>1.6644494024600158E-2</v>
      </c>
    </row>
    <row r="928" spans="1:3" x14ac:dyDescent="0.2">
      <c r="A928" s="5">
        <v>44835</v>
      </c>
      <c r="B928" s="6">
        <v>172.19</v>
      </c>
      <c r="C928" s="12">
        <f t="shared" si="14"/>
        <v>1.1615750971362804E-4</v>
      </c>
    </row>
    <row r="929" spans="1:3" x14ac:dyDescent="0.2">
      <c r="A929" s="5">
        <v>44743</v>
      </c>
      <c r="B929" s="6">
        <v>172.17</v>
      </c>
      <c r="C929" s="12">
        <f t="shared" si="14"/>
        <v>9.87883974927863E-4</v>
      </c>
    </row>
    <row r="930" spans="1:3" x14ac:dyDescent="0.2">
      <c r="A930" s="5">
        <v>44713</v>
      </c>
      <c r="B930" s="6">
        <v>172</v>
      </c>
      <c r="C930" s="12">
        <f t="shared" si="14"/>
        <v>-1.6834249731266782E-2</v>
      </c>
    </row>
    <row r="931" spans="1:3" x14ac:dyDescent="0.2">
      <c r="A931" s="5">
        <v>44682</v>
      </c>
      <c r="B931" s="6">
        <v>174.92</v>
      </c>
      <c r="C931" s="12">
        <f t="shared" si="14"/>
        <v>-2.6960067244793544E-2</v>
      </c>
    </row>
    <row r="932" spans="1:3" x14ac:dyDescent="0.2">
      <c r="A932" s="5">
        <v>44652</v>
      </c>
      <c r="B932" s="6">
        <v>179.7</v>
      </c>
      <c r="C932" s="12">
        <f t="shared" si="14"/>
        <v>-1.277283683280277E-2</v>
      </c>
    </row>
    <row r="933" spans="1:3" x14ac:dyDescent="0.2">
      <c r="A933" s="27">
        <v>44621</v>
      </c>
      <c r="B933" s="8">
        <v>182.01</v>
      </c>
      <c r="C933" s="13"/>
    </row>
    <row r="934" spans="1:3" x14ac:dyDescent="0.2">
      <c r="B934" s="1"/>
    </row>
    <row r="935" spans="1:3" x14ac:dyDescent="0.2">
      <c r="B935" s="1"/>
    </row>
    <row r="936" spans="1:3" x14ac:dyDescent="0.2">
      <c r="B936" s="1"/>
    </row>
    <row r="937" spans="1:3" x14ac:dyDescent="0.2">
      <c r="B937" s="1"/>
    </row>
    <row r="938" spans="1:3" x14ac:dyDescent="0.2">
      <c r="B938" s="1"/>
    </row>
    <row r="939" spans="1:3" x14ac:dyDescent="0.2">
      <c r="B939" s="1"/>
    </row>
    <row r="940" spans="1:3" x14ac:dyDescent="0.2">
      <c r="B940" s="1"/>
    </row>
    <row r="941" spans="1:3" x14ac:dyDescent="0.2">
      <c r="B941" s="1"/>
    </row>
    <row r="942" spans="1:3" x14ac:dyDescent="0.2">
      <c r="B942" s="1"/>
    </row>
    <row r="943" spans="1:3" x14ac:dyDescent="0.2">
      <c r="B943" s="1"/>
    </row>
    <row r="944" spans="1:3" x14ac:dyDescent="0.2">
      <c r="B944" s="1"/>
    </row>
    <row r="945" spans="1:2" x14ac:dyDescent="0.2">
      <c r="B945" s="1"/>
    </row>
    <row r="946" spans="1:2" x14ac:dyDescent="0.2">
      <c r="B946" s="1"/>
    </row>
    <row r="947" spans="1:2" x14ac:dyDescent="0.2">
      <c r="B947" s="1"/>
    </row>
    <row r="948" spans="1:2" x14ac:dyDescent="0.2">
      <c r="A948" s="26"/>
      <c r="B948" s="1"/>
    </row>
    <row r="949" spans="1:2" x14ac:dyDescent="0.2">
      <c r="A949" s="26"/>
      <c r="B949" s="1"/>
    </row>
    <row r="950" spans="1:2" x14ac:dyDescent="0.2">
      <c r="A950" s="26"/>
      <c r="B950" s="1"/>
    </row>
    <row r="951" spans="1:2" x14ac:dyDescent="0.2">
      <c r="A951" s="26"/>
      <c r="B951" s="1"/>
    </row>
    <row r="952" spans="1:2" x14ac:dyDescent="0.2">
      <c r="A952" s="26"/>
      <c r="B952" s="1"/>
    </row>
    <row r="953" spans="1:2" x14ac:dyDescent="0.2">
      <c r="A953" s="26"/>
      <c r="B953" s="1"/>
    </row>
    <row r="954" spans="1:2" x14ac:dyDescent="0.2">
      <c r="A954" s="26"/>
      <c r="B954" s="1"/>
    </row>
    <row r="955" spans="1:2" x14ac:dyDescent="0.2">
      <c r="A955" s="26"/>
      <c r="B955" s="1"/>
    </row>
    <row r="956" spans="1:2" x14ac:dyDescent="0.2">
      <c r="B956" s="1"/>
    </row>
    <row r="957" spans="1:2" x14ac:dyDescent="0.2">
      <c r="B957" s="1"/>
    </row>
    <row r="958" spans="1:2" x14ac:dyDescent="0.2">
      <c r="B958" s="1"/>
    </row>
    <row r="959" spans="1:2" x14ac:dyDescent="0.2">
      <c r="B959" s="1"/>
    </row>
    <row r="960" spans="1:2" x14ac:dyDescent="0.2">
      <c r="B960" s="1"/>
    </row>
    <row r="961" spans="1:2" x14ac:dyDescent="0.2">
      <c r="B961" s="1"/>
    </row>
    <row r="962" spans="1:2" x14ac:dyDescent="0.2">
      <c r="B962" s="1"/>
    </row>
    <row r="963" spans="1:2" x14ac:dyDescent="0.2">
      <c r="B963" s="1"/>
    </row>
    <row r="964" spans="1:2" x14ac:dyDescent="0.2">
      <c r="B964" s="1"/>
    </row>
    <row r="965" spans="1:2" x14ac:dyDescent="0.2">
      <c r="B965" s="1"/>
    </row>
    <row r="966" spans="1:2" x14ac:dyDescent="0.2">
      <c r="B966" s="1"/>
    </row>
    <row r="967" spans="1:2" x14ac:dyDescent="0.2">
      <c r="A967" s="26"/>
      <c r="B967" s="1"/>
    </row>
    <row r="968" spans="1:2" x14ac:dyDescent="0.2">
      <c r="A968" s="26"/>
      <c r="B968" s="1"/>
    </row>
    <row r="969" spans="1:2" x14ac:dyDescent="0.2">
      <c r="A969" s="26"/>
      <c r="B969" s="1"/>
    </row>
    <row r="970" spans="1:2" x14ac:dyDescent="0.2">
      <c r="A970" s="26"/>
      <c r="B970" s="1"/>
    </row>
    <row r="971" spans="1:2" x14ac:dyDescent="0.2">
      <c r="A971" s="26"/>
      <c r="B971" s="1"/>
    </row>
    <row r="972" spans="1:2" x14ac:dyDescent="0.2">
      <c r="A972" s="26"/>
      <c r="B972" s="1"/>
    </row>
    <row r="973" spans="1:2" x14ac:dyDescent="0.2">
      <c r="A973" s="26"/>
      <c r="B973" s="1"/>
    </row>
    <row r="974" spans="1:2" x14ac:dyDescent="0.2">
      <c r="A974" s="26"/>
      <c r="B974" s="1"/>
    </row>
    <row r="975" spans="1:2" x14ac:dyDescent="0.2">
      <c r="A975" s="26"/>
      <c r="B975" s="1"/>
    </row>
    <row r="976" spans="1:2" x14ac:dyDescent="0.2">
      <c r="A976" s="26"/>
      <c r="B976" s="1"/>
    </row>
    <row r="977" spans="1:2" x14ac:dyDescent="0.2">
      <c r="B977" s="1"/>
    </row>
    <row r="978" spans="1:2" x14ac:dyDescent="0.2">
      <c r="B978" s="1"/>
    </row>
    <row r="979" spans="1:2" x14ac:dyDescent="0.2">
      <c r="B979" s="1"/>
    </row>
    <row r="980" spans="1:2" x14ac:dyDescent="0.2">
      <c r="B980" s="1"/>
    </row>
    <row r="981" spans="1:2" x14ac:dyDescent="0.2">
      <c r="B981" s="1"/>
    </row>
    <row r="982" spans="1:2" x14ac:dyDescent="0.2">
      <c r="B982" s="1"/>
    </row>
    <row r="983" spans="1:2" x14ac:dyDescent="0.2">
      <c r="B983" s="1"/>
    </row>
    <row r="984" spans="1:2" x14ac:dyDescent="0.2">
      <c r="B984" s="1"/>
    </row>
    <row r="985" spans="1:2" x14ac:dyDescent="0.2">
      <c r="B985" s="1"/>
    </row>
    <row r="986" spans="1:2" x14ac:dyDescent="0.2">
      <c r="B986" s="1"/>
    </row>
    <row r="987" spans="1:2" x14ac:dyDescent="0.2">
      <c r="B987" s="1"/>
    </row>
    <row r="988" spans="1:2" x14ac:dyDescent="0.2">
      <c r="B988" s="1"/>
    </row>
    <row r="989" spans="1:2" x14ac:dyDescent="0.2">
      <c r="B989" s="1"/>
    </row>
    <row r="990" spans="1:2" x14ac:dyDescent="0.2">
      <c r="A990" s="26"/>
      <c r="B990" s="1"/>
    </row>
    <row r="991" spans="1:2" x14ac:dyDescent="0.2">
      <c r="A991" s="26"/>
      <c r="B991" s="1"/>
    </row>
    <row r="992" spans="1:2" x14ac:dyDescent="0.2">
      <c r="A992" s="26"/>
      <c r="B992" s="1"/>
    </row>
    <row r="993" spans="1:2" x14ac:dyDescent="0.2">
      <c r="A993" s="26"/>
      <c r="B993" s="1"/>
    </row>
    <row r="994" spans="1:2" x14ac:dyDescent="0.2">
      <c r="A994" s="26"/>
      <c r="B994" s="1"/>
    </row>
    <row r="995" spans="1:2" x14ac:dyDescent="0.2">
      <c r="A995" s="26"/>
      <c r="B995" s="1"/>
    </row>
    <row r="996" spans="1:2" x14ac:dyDescent="0.2">
      <c r="A996" s="26"/>
      <c r="B996" s="1"/>
    </row>
    <row r="997" spans="1:2" x14ac:dyDescent="0.2">
      <c r="A997" s="26"/>
      <c r="B997" s="1"/>
    </row>
    <row r="998" spans="1:2" x14ac:dyDescent="0.2">
      <c r="B998" s="1"/>
    </row>
    <row r="999" spans="1:2" x14ac:dyDescent="0.2">
      <c r="B999" s="1"/>
    </row>
    <row r="1000" spans="1:2" x14ac:dyDescent="0.2">
      <c r="B1000" s="1"/>
    </row>
    <row r="1001" spans="1:2" x14ac:dyDescent="0.2">
      <c r="B1001" s="1"/>
    </row>
    <row r="1002" spans="1:2" x14ac:dyDescent="0.2">
      <c r="B1002" s="1"/>
    </row>
    <row r="1003" spans="1:2" x14ac:dyDescent="0.2">
      <c r="B1003" s="1"/>
    </row>
    <row r="1004" spans="1:2" x14ac:dyDescent="0.2">
      <c r="B1004" s="1"/>
    </row>
    <row r="1005" spans="1:2" x14ac:dyDescent="0.2">
      <c r="B1005" s="1"/>
    </row>
    <row r="1006" spans="1:2" x14ac:dyDescent="0.2">
      <c r="B1006" s="1"/>
    </row>
    <row r="1007" spans="1:2" x14ac:dyDescent="0.2">
      <c r="B1007" s="1"/>
    </row>
    <row r="1008" spans="1:2" x14ac:dyDescent="0.2">
      <c r="B1008" s="1"/>
    </row>
    <row r="1009" spans="1:2" x14ac:dyDescent="0.2">
      <c r="B1009" s="1"/>
    </row>
    <row r="1010" spans="1:2" x14ac:dyDescent="0.2">
      <c r="B1010" s="1"/>
    </row>
    <row r="1011" spans="1:2" x14ac:dyDescent="0.2">
      <c r="B1011" s="1"/>
    </row>
    <row r="1012" spans="1:2" x14ac:dyDescent="0.2">
      <c r="A1012" s="26"/>
      <c r="B1012" s="1"/>
    </row>
    <row r="1013" spans="1:2" x14ac:dyDescent="0.2">
      <c r="A1013" s="26"/>
      <c r="B1013" s="1"/>
    </row>
    <row r="1014" spans="1:2" x14ac:dyDescent="0.2">
      <c r="A1014" s="26"/>
      <c r="B1014" s="1"/>
    </row>
    <row r="1015" spans="1:2" x14ac:dyDescent="0.2">
      <c r="A1015" s="26"/>
      <c r="B1015" s="1"/>
    </row>
    <row r="1016" spans="1:2" x14ac:dyDescent="0.2">
      <c r="A1016" s="26"/>
      <c r="B1016" s="1"/>
    </row>
    <row r="1017" spans="1:2" x14ac:dyDescent="0.2">
      <c r="A1017" s="26"/>
      <c r="B1017" s="1"/>
    </row>
    <row r="1018" spans="1:2" x14ac:dyDescent="0.2">
      <c r="A1018" s="26"/>
      <c r="B1018" s="1"/>
    </row>
    <row r="1019" spans="1:2" x14ac:dyDescent="0.2">
      <c r="B1019" s="1"/>
    </row>
    <row r="1020" spans="1:2" x14ac:dyDescent="0.2">
      <c r="B1020" s="1"/>
    </row>
    <row r="1021" spans="1:2" x14ac:dyDescent="0.2">
      <c r="B1021" s="1"/>
    </row>
    <row r="1022" spans="1:2" x14ac:dyDescent="0.2">
      <c r="B1022" s="1"/>
    </row>
    <row r="1023" spans="1:2" x14ac:dyDescent="0.2">
      <c r="B1023" s="1"/>
    </row>
    <row r="1024" spans="1:2" x14ac:dyDescent="0.2">
      <c r="B1024" s="1"/>
    </row>
    <row r="1025" spans="1:2" x14ac:dyDescent="0.2">
      <c r="B1025" s="1"/>
    </row>
    <row r="1026" spans="1:2" x14ac:dyDescent="0.2">
      <c r="B1026" s="1"/>
    </row>
    <row r="1027" spans="1:2" x14ac:dyDescent="0.2">
      <c r="B1027" s="1"/>
    </row>
    <row r="1028" spans="1:2" x14ac:dyDescent="0.2">
      <c r="B1028" s="1"/>
    </row>
    <row r="1029" spans="1:2" x14ac:dyDescent="0.2">
      <c r="B1029" s="1"/>
    </row>
    <row r="1030" spans="1:2" x14ac:dyDescent="0.2">
      <c r="B1030" s="1"/>
    </row>
    <row r="1031" spans="1:2" x14ac:dyDescent="0.2">
      <c r="B1031" s="1"/>
    </row>
    <row r="1032" spans="1:2" x14ac:dyDescent="0.2">
      <c r="A1032" s="26"/>
      <c r="B1032" s="1"/>
    </row>
    <row r="1033" spans="1:2" x14ac:dyDescent="0.2">
      <c r="A1033" s="26"/>
      <c r="B1033" s="1"/>
    </row>
    <row r="1034" spans="1:2" x14ac:dyDescent="0.2">
      <c r="A1034" s="26"/>
      <c r="B1034" s="1"/>
    </row>
    <row r="1035" spans="1:2" x14ac:dyDescent="0.2">
      <c r="A1035" s="26"/>
      <c r="B1035" s="1"/>
    </row>
    <row r="1036" spans="1:2" x14ac:dyDescent="0.2">
      <c r="A1036" s="26"/>
      <c r="B1036" s="1"/>
    </row>
    <row r="1037" spans="1:2" x14ac:dyDescent="0.2">
      <c r="A1037" s="26"/>
      <c r="B1037" s="1"/>
    </row>
    <row r="1038" spans="1:2" x14ac:dyDescent="0.2">
      <c r="A1038" s="26"/>
      <c r="B1038" s="1"/>
    </row>
    <row r="1039" spans="1:2" x14ac:dyDescent="0.2">
      <c r="A1039" s="26"/>
      <c r="B1039" s="1"/>
    </row>
    <row r="1040" spans="1:2" x14ac:dyDescent="0.2">
      <c r="A1040" s="26"/>
      <c r="B1040" s="1"/>
    </row>
    <row r="1041" spans="1:2" x14ac:dyDescent="0.2">
      <c r="B1041" s="1"/>
    </row>
    <row r="1042" spans="1:2" x14ac:dyDescent="0.2">
      <c r="B1042" s="1"/>
    </row>
    <row r="1043" spans="1:2" x14ac:dyDescent="0.2">
      <c r="B1043" s="1"/>
    </row>
    <row r="1044" spans="1:2" x14ac:dyDescent="0.2">
      <c r="B1044" s="1"/>
    </row>
    <row r="1045" spans="1:2" x14ac:dyDescent="0.2">
      <c r="B1045" s="1"/>
    </row>
    <row r="1046" spans="1:2" x14ac:dyDescent="0.2">
      <c r="B1046" s="1"/>
    </row>
    <row r="1047" spans="1:2" x14ac:dyDescent="0.2">
      <c r="B1047" s="1"/>
    </row>
    <row r="1048" spans="1:2" x14ac:dyDescent="0.2">
      <c r="B1048" s="1"/>
    </row>
    <row r="1049" spans="1:2" x14ac:dyDescent="0.2">
      <c r="B1049" s="1"/>
    </row>
    <row r="1050" spans="1:2" x14ac:dyDescent="0.2">
      <c r="B1050" s="1"/>
    </row>
    <row r="1051" spans="1:2" x14ac:dyDescent="0.2">
      <c r="B1051" s="1"/>
    </row>
    <row r="1052" spans="1:2" x14ac:dyDescent="0.2">
      <c r="B1052" s="1"/>
    </row>
    <row r="1053" spans="1:2" x14ac:dyDescent="0.2">
      <c r="B1053" s="1"/>
    </row>
    <row r="1054" spans="1:2" x14ac:dyDescent="0.2">
      <c r="B1054" s="1"/>
    </row>
    <row r="1055" spans="1:2" x14ac:dyDescent="0.2">
      <c r="A1055" s="26"/>
      <c r="B1055" s="1"/>
    </row>
    <row r="1056" spans="1:2" x14ac:dyDescent="0.2">
      <c r="A1056" s="26"/>
      <c r="B1056" s="1"/>
    </row>
    <row r="1057" spans="1:2" x14ac:dyDescent="0.2">
      <c r="A1057" s="26"/>
      <c r="B1057" s="1"/>
    </row>
    <row r="1058" spans="1:2" x14ac:dyDescent="0.2">
      <c r="A1058" s="26"/>
      <c r="B1058" s="1"/>
    </row>
    <row r="1059" spans="1:2" x14ac:dyDescent="0.2">
      <c r="A1059" s="26"/>
      <c r="B1059" s="1"/>
    </row>
    <row r="1060" spans="1:2" x14ac:dyDescent="0.2">
      <c r="A1060" s="26"/>
      <c r="B1060" s="1"/>
    </row>
    <row r="1061" spans="1:2" x14ac:dyDescent="0.2">
      <c r="A1061" s="26"/>
      <c r="B1061" s="1"/>
    </row>
    <row r="1062" spans="1:2" x14ac:dyDescent="0.2">
      <c r="B1062" s="1"/>
    </row>
    <row r="1063" spans="1:2" x14ac:dyDescent="0.2">
      <c r="B1063" s="1"/>
    </row>
    <row r="1064" spans="1:2" x14ac:dyDescent="0.2">
      <c r="B1064" s="1"/>
    </row>
    <row r="1065" spans="1:2" x14ac:dyDescent="0.2">
      <c r="B1065" s="1"/>
    </row>
    <row r="1066" spans="1:2" x14ac:dyDescent="0.2">
      <c r="B1066" s="1"/>
    </row>
    <row r="1067" spans="1:2" x14ac:dyDescent="0.2">
      <c r="B1067" s="1"/>
    </row>
    <row r="1068" spans="1:2" x14ac:dyDescent="0.2">
      <c r="B1068" s="1"/>
    </row>
    <row r="1069" spans="1:2" x14ac:dyDescent="0.2">
      <c r="B1069" s="1"/>
    </row>
    <row r="1070" spans="1:2" x14ac:dyDescent="0.2">
      <c r="B1070" s="1"/>
    </row>
    <row r="1071" spans="1:2" x14ac:dyDescent="0.2">
      <c r="B1071" s="1"/>
    </row>
    <row r="1072" spans="1:2" x14ac:dyDescent="0.2">
      <c r="B1072" s="1"/>
    </row>
    <row r="1073" spans="1:2" x14ac:dyDescent="0.2">
      <c r="B1073" s="1"/>
    </row>
    <row r="1074" spans="1:2" x14ac:dyDescent="0.2">
      <c r="B1074" s="1"/>
    </row>
    <row r="1075" spans="1:2" x14ac:dyDescent="0.2">
      <c r="A1075" s="26"/>
      <c r="B1075" s="1"/>
    </row>
    <row r="1076" spans="1:2" x14ac:dyDescent="0.2">
      <c r="A1076" s="26"/>
      <c r="B1076" s="1"/>
    </row>
    <row r="1077" spans="1:2" x14ac:dyDescent="0.2">
      <c r="A1077" s="26"/>
      <c r="B1077" s="1"/>
    </row>
    <row r="1078" spans="1:2" x14ac:dyDescent="0.2">
      <c r="A1078" s="26"/>
      <c r="B1078" s="1"/>
    </row>
    <row r="1079" spans="1:2" x14ac:dyDescent="0.2">
      <c r="A1079" s="26"/>
      <c r="B1079" s="1"/>
    </row>
    <row r="1080" spans="1:2" x14ac:dyDescent="0.2">
      <c r="A1080" s="26"/>
      <c r="B1080" s="1"/>
    </row>
    <row r="1081" spans="1:2" x14ac:dyDescent="0.2">
      <c r="A1081" s="26"/>
      <c r="B1081" s="1"/>
    </row>
    <row r="1082" spans="1:2" x14ac:dyDescent="0.2">
      <c r="A1082" s="26"/>
      <c r="B1082" s="1"/>
    </row>
    <row r="1083" spans="1:2" x14ac:dyDescent="0.2">
      <c r="A1083" s="26"/>
      <c r="B1083" s="1"/>
    </row>
    <row r="1084" spans="1:2" x14ac:dyDescent="0.2">
      <c r="B1084" s="1"/>
    </row>
    <row r="1085" spans="1:2" x14ac:dyDescent="0.2">
      <c r="B1085" s="1"/>
    </row>
    <row r="1086" spans="1:2" x14ac:dyDescent="0.2">
      <c r="B1086" s="1"/>
    </row>
    <row r="1087" spans="1:2" x14ac:dyDescent="0.2">
      <c r="B1087" s="1"/>
    </row>
    <row r="1088" spans="1:2" x14ac:dyDescent="0.2">
      <c r="B1088" s="1"/>
    </row>
    <row r="1089" spans="1:2" x14ac:dyDescent="0.2">
      <c r="B1089" s="1"/>
    </row>
    <row r="1090" spans="1:2" x14ac:dyDescent="0.2">
      <c r="B1090" s="1"/>
    </row>
    <row r="1091" spans="1:2" x14ac:dyDescent="0.2">
      <c r="B1091" s="1"/>
    </row>
    <row r="1092" spans="1:2" x14ac:dyDescent="0.2">
      <c r="B1092" s="1"/>
    </row>
    <row r="1093" spans="1:2" x14ac:dyDescent="0.2">
      <c r="B1093" s="1"/>
    </row>
    <row r="1094" spans="1:2" x14ac:dyDescent="0.2">
      <c r="B1094" s="1"/>
    </row>
    <row r="1095" spans="1:2" x14ac:dyDescent="0.2">
      <c r="B1095" s="1"/>
    </row>
    <row r="1096" spans="1:2" x14ac:dyDescent="0.2">
      <c r="A1096" s="26"/>
      <c r="B1096" s="1"/>
    </row>
    <row r="1097" spans="1:2" x14ac:dyDescent="0.2">
      <c r="A1097" s="26"/>
      <c r="B1097" s="1"/>
    </row>
    <row r="1098" spans="1:2" x14ac:dyDescent="0.2">
      <c r="A1098" s="26"/>
      <c r="B1098" s="1"/>
    </row>
    <row r="1099" spans="1:2" x14ac:dyDescent="0.2">
      <c r="A1099" s="26"/>
      <c r="B1099" s="1"/>
    </row>
    <row r="1100" spans="1:2" x14ac:dyDescent="0.2">
      <c r="A1100" s="26"/>
      <c r="B1100" s="1"/>
    </row>
    <row r="1101" spans="1:2" x14ac:dyDescent="0.2">
      <c r="A1101" s="26"/>
      <c r="B1101" s="1"/>
    </row>
    <row r="1102" spans="1:2" x14ac:dyDescent="0.2">
      <c r="A1102" s="26"/>
      <c r="B1102" s="1"/>
    </row>
    <row r="1103" spans="1:2" x14ac:dyDescent="0.2">
      <c r="A1103" s="26"/>
      <c r="B1103" s="1"/>
    </row>
    <row r="1104" spans="1:2" x14ac:dyDescent="0.2">
      <c r="B1104" s="1"/>
    </row>
    <row r="1105" spans="1:2" x14ac:dyDescent="0.2">
      <c r="B1105" s="1"/>
    </row>
    <row r="1106" spans="1:2" x14ac:dyDescent="0.2">
      <c r="B1106" s="1"/>
    </row>
    <row r="1107" spans="1:2" x14ac:dyDescent="0.2">
      <c r="B1107" s="1"/>
    </row>
    <row r="1108" spans="1:2" x14ac:dyDescent="0.2">
      <c r="B1108" s="1"/>
    </row>
    <row r="1109" spans="1:2" x14ac:dyDescent="0.2">
      <c r="B1109" s="1"/>
    </row>
    <row r="1110" spans="1:2" x14ac:dyDescent="0.2">
      <c r="B1110" s="1"/>
    </row>
    <row r="1111" spans="1:2" x14ac:dyDescent="0.2">
      <c r="B1111" s="1"/>
    </row>
    <row r="1112" spans="1:2" x14ac:dyDescent="0.2">
      <c r="B1112" s="1"/>
    </row>
    <row r="1113" spans="1:2" x14ac:dyDescent="0.2">
      <c r="B1113" s="1"/>
    </row>
    <row r="1114" spans="1:2" x14ac:dyDescent="0.2">
      <c r="B1114" s="1"/>
    </row>
    <row r="1115" spans="1:2" x14ac:dyDescent="0.2">
      <c r="B1115" s="1"/>
    </row>
    <row r="1116" spans="1:2" x14ac:dyDescent="0.2">
      <c r="B1116" s="1"/>
    </row>
    <row r="1117" spans="1:2" x14ac:dyDescent="0.2">
      <c r="B1117" s="1"/>
    </row>
    <row r="1118" spans="1:2" x14ac:dyDescent="0.2">
      <c r="A1118" s="26"/>
      <c r="B1118" s="1"/>
    </row>
    <row r="1119" spans="1:2" x14ac:dyDescent="0.2">
      <c r="A1119" s="26"/>
      <c r="B1119" s="1"/>
    </row>
    <row r="1120" spans="1:2" x14ac:dyDescent="0.2">
      <c r="A1120" s="26"/>
      <c r="B1120" s="1"/>
    </row>
    <row r="1121" spans="1:2" x14ac:dyDescent="0.2">
      <c r="A1121" s="26"/>
      <c r="B1121" s="1"/>
    </row>
    <row r="1122" spans="1:2" x14ac:dyDescent="0.2">
      <c r="A1122" s="26"/>
      <c r="B1122" s="1"/>
    </row>
    <row r="1123" spans="1:2" x14ac:dyDescent="0.2">
      <c r="A1123" s="26"/>
      <c r="B1123" s="1"/>
    </row>
    <row r="1124" spans="1:2" x14ac:dyDescent="0.2">
      <c r="A1124" s="26"/>
      <c r="B1124" s="1"/>
    </row>
    <row r="1125" spans="1:2" x14ac:dyDescent="0.2">
      <c r="B1125" s="1"/>
    </row>
    <row r="1126" spans="1:2" x14ac:dyDescent="0.2">
      <c r="B1126" s="1"/>
    </row>
    <row r="1127" spans="1:2" x14ac:dyDescent="0.2">
      <c r="B1127" s="1"/>
    </row>
    <row r="1128" spans="1:2" x14ac:dyDescent="0.2">
      <c r="B1128" s="1"/>
    </row>
    <row r="1129" spans="1:2" x14ac:dyDescent="0.2">
      <c r="B1129" s="1"/>
    </row>
    <row r="1130" spans="1:2" x14ac:dyDescent="0.2">
      <c r="B1130" s="1"/>
    </row>
    <row r="1131" spans="1:2" x14ac:dyDescent="0.2">
      <c r="B1131" s="1"/>
    </row>
    <row r="1132" spans="1:2" x14ac:dyDescent="0.2">
      <c r="B1132" s="1"/>
    </row>
    <row r="1133" spans="1:2" x14ac:dyDescent="0.2">
      <c r="B1133" s="1"/>
    </row>
    <row r="1134" spans="1:2" x14ac:dyDescent="0.2">
      <c r="B1134" s="1"/>
    </row>
    <row r="1135" spans="1:2" x14ac:dyDescent="0.2">
      <c r="B1135" s="1"/>
    </row>
    <row r="1136" spans="1:2" x14ac:dyDescent="0.2">
      <c r="B1136" s="1"/>
    </row>
    <row r="1137" spans="1:2" x14ac:dyDescent="0.2">
      <c r="B1137" s="1"/>
    </row>
    <row r="1138" spans="1:2" x14ac:dyDescent="0.2">
      <c r="A1138" s="26"/>
      <c r="B1138" s="1"/>
    </row>
    <row r="1139" spans="1:2" x14ac:dyDescent="0.2">
      <c r="A1139" s="26"/>
      <c r="B1139" s="1"/>
    </row>
    <row r="1140" spans="1:2" x14ac:dyDescent="0.2">
      <c r="A1140" s="26"/>
      <c r="B1140" s="1"/>
    </row>
    <row r="1141" spans="1:2" x14ac:dyDescent="0.2">
      <c r="A1141" s="26"/>
      <c r="B1141" s="1"/>
    </row>
    <row r="1142" spans="1:2" x14ac:dyDescent="0.2">
      <c r="A1142" s="26"/>
      <c r="B1142" s="1"/>
    </row>
    <row r="1143" spans="1:2" x14ac:dyDescent="0.2">
      <c r="A1143" s="26"/>
      <c r="B1143" s="1"/>
    </row>
    <row r="1144" spans="1:2" x14ac:dyDescent="0.2">
      <c r="A1144" s="26"/>
      <c r="B1144" s="1"/>
    </row>
    <row r="1145" spans="1:2" x14ac:dyDescent="0.2">
      <c r="A1145" s="26"/>
      <c r="B1145" s="1"/>
    </row>
    <row r="1146" spans="1:2" x14ac:dyDescent="0.2">
      <c r="A1146" s="26"/>
      <c r="B1146" s="1"/>
    </row>
    <row r="1147" spans="1:2" x14ac:dyDescent="0.2">
      <c r="A1147" s="26"/>
      <c r="B1147" s="1"/>
    </row>
    <row r="1148" spans="1:2" x14ac:dyDescent="0.2">
      <c r="B1148" s="1"/>
    </row>
    <row r="1149" spans="1:2" x14ac:dyDescent="0.2">
      <c r="B1149" s="1"/>
    </row>
    <row r="1150" spans="1:2" x14ac:dyDescent="0.2">
      <c r="B1150" s="1"/>
    </row>
    <row r="1151" spans="1:2" x14ac:dyDescent="0.2">
      <c r="B1151" s="1"/>
    </row>
    <row r="1152" spans="1:2" x14ac:dyDescent="0.2">
      <c r="B1152" s="1"/>
    </row>
    <row r="1153" spans="1:2" x14ac:dyDescent="0.2">
      <c r="B1153" s="1"/>
    </row>
    <row r="1154" spans="1:2" x14ac:dyDescent="0.2">
      <c r="B1154" s="1"/>
    </row>
    <row r="1155" spans="1:2" x14ac:dyDescent="0.2">
      <c r="B1155" s="1"/>
    </row>
    <row r="1156" spans="1:2" x14ac:dyDescent="0.2">
      <c r="B1156" s="1"/>
    </row>
    <row r="1157" spans="1:2" x14ac:dyDescent="0.2">
      <c r="A1157" s="26"/>
      <c r="B1157" s="1"/>
    </row>
    <row r="1158" spans="1:2" x14ac:dyDescent="0.2">
      <c r="A1158" s="26"/>
      <c r="B1158" s="1"/>
    </row>
    <row r="1159" spans="1:2" x14ac:dyDescent="0.2">
      <c r="A1159" s="26"/>
      <c r="B1159" s="1"/>
    </row>
    <row r="1160" spans="1:2" x14ac:dyDescent="0.2">
      <c r="A1160" s="26"/>
      <c r="B1160" s="1"/>
    </row>
    <row r="1161" spans="1:2" x14ac:dyDescent="0.2">
      <c r="A1161" s="26"/>
      <c r="B1161" s="1"/>
    </row>
    <row r="1162" spans="1:2" x14ac:dyDescent="0.2">
      <c r="A1162" s="26"/>
      <c r="B1162" s="1"/>
    </row>
    <row r="1163" spans="1:2" x14ac:dyDescent="0.2">
      <c r="A1163" s="26"/>
      <c r="B1163" s="1"/>
    </row>
    <row r="1164" spans="1:2" x14ac:dyDescent="0.2">
      <c r="A1164" s="26"/>
      <c r="B1164" s="1"/>
    </row>
    <row r="1165" spans="1:2" x14ac:dyDescent="0.2">
      <c r="A1165" s="26"/>
      <c r="B1165" s="1"/>
    </row>
    <row r="1166" spans="1:2" x14ac:dyDescent="0.2">
      <c r="A1166" s="26"/>
      <c r="B1166" s="1"/>
    </row>
    <row r="1167" spans="1:2" x14ac:dyDescent="0.2">
      <c r="B1167" s="1"/>
    </row>
    <row r="1168" spans="1:2" x14ac:dyDescent="0.2">
      <c r="B1168" s="1"/>
    </row>
    <row r="1169" spans="1:2" x14ac:dyDescent="0.2">
      <c r="B1169" s="1"/>
    </row>
    <row r="1170" spans="1:2" x14ac:dyDescent="0.2">
      <c r="B1170" s="1"/>
    </row>
    <row r="1171" spans="1:2" x14ac:dyDescent="0.2">
      <c r="B1171" s="1"/>
    </row>
    <row r="1172" spans="1:2" x14ac:dyDescent="0.2">
      <c r="B1172" s="1"/>
    </row>
    <row r="1173" spans="1:2" x14ac:dyDescent="0.2">
      <c r="B1173" s="1"/>
    </row>
    <row r="1174" spans="1:2" x14ac:dyDescent="0.2">
      <c r="B1174" s="1"/>
    </row>
    <row r="1175" spans="1:2" x14ac:dyDescent="0.2">
      <c r="B1175" s="1"/>
    </row>
    <row r="1176" spans="1:2" x14ac:dyDescent="0.2">
      <c r="B1176" s="1"/>
    </row>
    <row r="1177" spans="1:2" x14ac:dyDescent="0.2">
      <c r="B1177" s="1"/>
    </row>
    <row r="1178" spans="1:2" x14ac:dyDescent="0.2">
      <c r="B1178" s="1"/>
    </row>
    <row r="1179" spans="1:2" x14ac:dyDescent="0.2">
      <c r="A1179" s="26"/>
      <c r="B1179" s="1"/>
    </row>
    <row r="1180" spans="1:2" x14ac:dyDescent="0.2">
      <c r="A1180" s="26"/>
      <c r="B1180" s="1"/>
    </row>
    <row r="1181" spans="1:2" x14ac:dyDescent="0.2">
      <c r="A1181" s="26"/>
      <c r="B1181" s="1"/>
    </row>
    <row r="1182" spans="1:2" x14ac:dyDescent="0.2">
      <c r="A1182" s="26"/>
      <c r="B1182" s="1"/>
    </row>
    <row r="1183" spans="1:2" x14ac:dyDescent="0.2">
      <c r="A1183" s="26"/>
      <c r="B1183" s="1"/>
    </row>
    <row r="1184" spans="1:2" x14ac:dyDescent="0.2">
      <c r="A1184" s="26"/>
      <c r="B1184" s="1"/>
    </row>
    <row r="1185" spans="1:2" x14ac:dyDescent="0.2">
      <c r="A1185" s="26"/>
      <c r="B1185" s="1"/>
    </row>
    <row r="1186" spans="1:2" x14ac:dyDescent="0.2">
      <c r="B1186" s="1"/>
    </row>
    <row r="1187" spans="1:2" x14ac:dyDescent="0.2">
      <c r="B1187" s="1"/>
    </row>
    <row r="1188" spans="1:2" x14ac:dyDescent="0.2">
      <c r="B1188" s="1"/>
    </row>
    <row r="1189" spans="1:2" x14ac:dyDescent="0.2">
      <c r="B1189" s="1"/>
    </row>
    <row r="1190" spans="1:2" x14ac:dyDescent="0.2">
      <c r="B1190" s="1"/>
    </row>
    <row r="1191" spans="1:2" x14ac:dyDescent="0.2">
      <c r="B1191" s="1"/>
    </row>
    <row r="1192" spans="1:2" x14ac:dyDescent="0.2">
      <c r="B1192" s="1"/>
    </row>
    <row r="1193" spans="1:2" x14ac:dyDescent="0.2">
      <c r="B1193" s="1"/>
    </row>
    <row r="1194" spans="1:2" x14ac:dyDescent="0.2">
      <c r="B1194" s="1"/>
    </row>
    <row r="1195" spans="1:2" x14ac:dyDescent="0.2">
      <c r="B1195" s="1"/>
    </row>
    <row r="1196" spans="1:2" x14ac:dyDescent="0.2">
      <c r="B1196" s="1"/>
    </row>
    <row r="1197" spans="1:2" x14ac:dyDescent="0.2">
      <c r="B1197" s="1"/>
    </row>
    <row r="1198" spans="1:2" x14ac:dyDescent="0.2">
      <c r="B1198" s="1"/>
    </row>
    <row r="1199" spans="1:2" x14ac:dyDescent="0.2">
      <c r="A1199" s="26"/>
      <c r="B1199" s="1"/>
    </row>
    <row r="1200" spans="1:2" x14ac:dyDescent="0.2">
      <c r="A1200" s="26"/>
      <c r="B1200" s="1"/>
    </row>
    <row r="1201" spans="1:2" x14ac:dyDescent="0.2">
      <c r="A1201" s="26"/>
      <c r="B1201" s="1"/>
    </row>
    <row r="1202" spans="1:2" x14ac:dyDescent="0.2">
      <c r="A1202" s="26"/>
      <c r="B1202" s="1"/>
    </row>
    <row r="1203" spans="1:2" x14ac:dyDescent="0.2">
      <c r="A1203" s="26"/>
      <c r="B1203" s="1"/>
    </row>
    <row r="1204" spans="1:2" x14ac:dyDescent="0.2">
      <c r="A1204" s="26"/>
      <c r="B1204" s="1"/>
    </row>
    <row r="1205" spans="1:2" x14ac:dyDescent="0.2">
      <c r="A1205" s="26"/>
      <c r="B1205" s="1"/>
    </row>
    <row r="1206" spans="1:2" x14ac:dyDescent="0.2">
      <c r="A1206" s="26"/>
      <c r="B1206" s="1"/>
    </row>
    <row r="1207" spans="1:2" x14ac:dyDescent="0.2">
      <c r="A1207" s="26"/>
      <c r="B1207" s="1"/>
    </row>
    <row r="1208" spans="1:2" x14ac:dyDescent="0.2">
      <c r="B1208" s="1"/>
    </row>
    <row r="1209" spans="1:2" x14ac:dyDescent="0.2">
      <c r="B1209" s="1"/>
    </row>
    <row r="1210" spans="1:2" x14ac:dyDescent="0.2">
      <c r="B1210" s="1"/>
    </row>
    <row r="1211" spans="1:2" x14ac:dyDescent="0.2">
      <c r="B1211" s="1"/>
    </row>
    <row r="1212" spans="1:2" x14ac:dyDescent="0.2">
      <c r="B1212" s="1"/>
    </row>
    <row r="1213" spans="1:2" x14ac:dyDescent="0.2">
      <c r="B1213" s="1"/>
    </row>
    <row r="1214" spans="1:2" x14ac:dyDescent="0.2">
      <c r="B1214" s="1"/>
    </row>
    <row r="1215" spans="1:2" x14ac:dyDescent="0.2">
      <c r="B1215" s="1"/>
    </row>
    <row r="1216" spans="1:2" x14ac:dyDescent="0.2">
      <c r="B1216" s="1"/>
    </row>
    <row r="1217" spans="1:2" x14ac:dyDescent="0.2">
      <c r="B1217" s="1"/>
    </row>
    <row r="1218" spans="1:2" x14ac:dyDescent="0.2">
      <c r="B1218" s="1"/>
    </row>
    <row r="1219" spans="1:2" x14ac:dyDescent="0.2">
      <c r="A1219" s="26"/>
      <c r="B1219" s="1"/>
    </row>
    <row r="1220" spans="1:2" x14ac:dyDescent="0.2">
      <c r="A1220" s="26"/>
      <c r="B1220" s="1"/>
    </row>
    <row r="1221" spans="1:2" x14ac:dyDescent="0.2">
      <c r="A1221" s="26"/>
      <c r="B1221" s="1"/>
    </row>
    <row r="1222" spans="1:2" x14ac:dyDescent="0.2">
      <c r="A1222" s="26"/>
      <c r="B1222" s="1"/>
    </row>
    <row r="1223" spans="1:2" x14ac:dyDescent="0.2">
      <c r="A1223" s="26"/>
      <c r="B1223" s="1"/>
    </row>
    <row r="1224" spans="1:2" x14ac:dyDescent="0.2">
      <c r="A1224" s="26"/>
      <c r="B1224" s="1"/>
    </row>
    <row r="1225" spans="1:2" x14ac:dyDescent="0.2">
      <c r="A1225" s="26"/>
      <c r="B1225" s="1"/>
    </row>
    <row r="1226" spans="1:2" x14ac:dyDescent="0.2">
      <c r="A1226" s="26"/>
      <c r="B1226" s="1"/>
    </row>
    <row r="1227" spans="1:2" x14ac:dyDescent="0.2">
      <c r="A1227" s="26"/>
      <c r="B1227" s="1"/>
    </row>
    <row r="1228" spans="1:2" x14ac:dyDescent="0.2">
      <c r="B1228" s="1"/>
    </row>
    <row r="1229" spans="1:2" x14ac:dyDescent="0.2">
      <c r="B1229" s="1"/>
    </row>
    <row r="1230" spans="1:2" x14ac:dyDescent="0.2">
      <c r="B1230" s="1"/>
    </row>
    <row r="1231" spans="1:2" x14ac:dyDescent="0.2">
      <c r="B1231" s="1"/>
    </row>
    <row r="1232" spans="1:2" x14ac:dyDescent="0.2">
      <c r="B1232" s="1"/>
    </row>
    <row r="1233" spans="1:2" x14ac:dyDescent="0.2">
      <c r="B1233" s="1"/>
    </row>
    <row r="1234" spans="1:2" x14ac:dyDescent="0.2">
      <c r="B1234" s="1"/>
    </row>
    <row r="1235" spans="1:2" x14ac:dyDescent="0.2">
      <c r="B1235" s="1"/>
    </row>
    <row r="1236" spans="1:2" x14ac:dyDescent="0.2">
      <c r="B1236" s="1"/>
    </row>
    <row r="1237" spans="1:2" x14ac:dyDescent="0.2">
      <c r="B1237" s="1"/>
    </row>
    <row r="1238" spans="1:2" x14ac:dyDescent="0.2">
      <c r="B1238" s="1"/>
    </row>
    <row r="1239" spans="1:2" x14ac:dyDescent="0.2">
      <c r="B1239" s="1"/>
    </row>
    <row r="1240" spans="1:2" x14ac:dyDescent="0.2">
      <c r="B1240" s="1"/>
    </row>
    <row r="1241" spans="1:2" x14ac:dyDescent="0.2">
      <c r="B1241" s="1"/>
    </row>
    <row r="1242" spans="1:2" x14ac:dyDescent="0.2">
      <c r="A1242" s="26"/>
      <c r="B1242" s="1"/>
    </row>
    <row r="1243" spans="1:2" x14ac:dyDescent="0.2">
      <c r="A1243" s="26"/>
      <c r="B1243" s="1"/>
    </row>
    <row r="1244" spans="1:2" x14ac:dyDescent="0.2">
      <c r="A1244" s="26"/>
      <c r="B1244" s="1"/>
    </row>
    <row r="1245" spans="1:2" x14ac:dyDescent="0.2">
      <c r="A1245" s="26"/>
      <c r="B1245" s="1"/>
    </row>
    <row r="1246" spans="1:2" x14ac:dyDescent="0.2">
      <c r="A1246" s="26"/>
      <c r="B1246" s="1"/>
    </row>
    <row r="1247" spans="1:2" x14ac:dyDescent="0.2">
      <c r="A1247" s="26"/>
      <c r="B1247" s="1"/>
    </row>
    <row r="1248" spans="1:2" x14ac:dyDescent="0.2">
      <c r="A1248" s="26"/>
      <c r="B1248" s="1"/>
    </row>
    <row r="1249" spans="1:2" x14ac:dyDescent="0.2">
      <c r="A1249" s="26"/>
      <c r="B1249" s="1"/>
    </row>
    <row r="1250" spans="1:2" x14ac:dyDescent="0.2">
      <c r="B1250" s="1"/>
    </row>
    <row r="1251" spans="1:2" x14ac:dyDescent="0.2">
      <c r="B1251" s="1"/>
    </row>
    <row r="1252" spans="1:2" x14ac:dyDescent="0.2">
      <c r="B1252" s="1"/>
    </row>
    <row r="1253" spans="1:2" x14ac:dyDescent="0.2">
      <c r="B1253" s="1"/>
    </row>
    <row r="1254" spans="1:2" x14ac:dyDescent="0.2">
      <c r="B1254" s="1"/>
    </row>
    <row r="1255" spans="1:2" x14ac:dyDescent="0.2">
      <c r="B1255" s="1"/>
    </row>
    <row r="1256" spans="1:2" x14ac:dyDescent="0.2">
      <c r="B1256" s="1"/>
    </row>
    <row r="1257" spans="1:2" x14ac:dyDescent="0.2">
      <c r="B1257" s="1"/>
    </row>
    <row r="1258" spans="1:2" x14ac:dyDescent="0.2">
      <c r="B1258" s="1"/>
    </row>
    <row r="1259" spans="1:2" x14ac:dyDescent="0.2">
      <c r="B1259" s="1"/>
    </row>
    <row r="1260" spans="1:2" x14ac:dyDescent="0.2">
      <c r="B1260" s="1"/>
    </row>
    <row r="1261" spans="1:2" x14ac:dyDescent="0.2">
      <c r="B1261" s="1"/>
    </row>
    <row r="1262" spans="1:2" x14ac:dyDescent="0.2">
      <c r="B1262" s="1"/>
    </row>
    <row r="1263" spans="1:2" x14ac:dyDescent="0.2">
      <c r="A1263" s="26"/>
      <c r="B1263" s="1"/>
    </row>
    <row r="1264" spans="1:2" x14ac:dyDescent="0.2">
      <c r="A1264" s="26"/>
      <c r="B1264" s="1"/>
    </row>
    <row r="1265" spans="1:2" x14ac:dyDescent="0.2">
      <c r="A1265" s="26"/>
      <c r="B1265" s="1"/>
    </row>
    <row r="1266" spans="1:2" x14ac:dyDescent="0.2">
      <c r="A1266" s="26"/>
      <c r="B1266" s="1"/>
    </row>
    <row r="1267" spans="1:2" x14ac:dyDescent="0.2">
      <c r="A1267" s="26"/>
      <c r="B1267" s="1"/>
    </row>
    <row r="1268" spans="1:2" x14ac:dyDescent="0.2">
      <c r="A1268" s="26"/>
      <c r="B1268" s="1"/>
    </row>
    <row r="1269" spans="1:2" x14ac:dyDescent="0.2">
      <c r="A1269" s="26"/>
      <c r="B1269" s="1"/>
    </row>
    <row r="1270" spans="1:2" x14ac:dyDescent="0.2">
      <c r="A1270" s="26"/>
      <c r="B1270" s="1"/>
    </row>
    <row r="1271" spans="1:2" x14ac:dyDescent="0.2">
      <c r="B1271" s="1"/>
    </row>
    <row r="1272" spans="1:2" x14ac:dyDescent="0.2">
      <c r="B1272" s="1"/>
    </row>
    <row r="1273" spans="1:2" x14ac:dyDescent="0.2">
      <c r="B1273" s="1"/>
    </row>
    <row r="1274" spans="1:2" x14ac:dyDescent="0.2">
      <c r="B1274" s="1"/>
    </row>
    <row r="1275" spans="1:2" x14ac:dyDescent="0.2">
      <c r="B1275" s="1"/>
    </row>
    <row r="1276" spans="1:2" x14ac:dyDescent="0.2">
      <c r="B1276" s="1"/>
    </row>
    <row r="1277" spans="1:2" x14ac:dyDescent="0.2">
      <c r="B1277" s="1"/>
    </row>
    <row r="1278" spans="1:2" x14ac:dyDescent="0.2">
      <c r="B1278" s="1"/>
    </row>
    <row r="1279" spans="1:2" x14ac:dyDescent="0.2">
      <c r="B1279" s="1"/>
    </row>
    <row r="1280" spans="1:2" x14ac:dyDescent="0.2">
      <c r="B1280" s="1"/>
    </row>
    <row r="1281" spans="1:2" x14ac:dyDescent="0.2">
      <c r="B1281" s="1"/>
    </row>
    <row r="1282" spans="1:2" x14ac:dyDescent="0.2">
      <c r="B1282" s="1"/>
    </row>
    <row r="1283" spans="1:2" x14ac:dyDescent="0.2">
      <c r="B1283" s="1"/>
    </row>
    <row r="1284" spans="1:2" x14ac:dyDescent="0.2">
      <c r="A1284" s="26"/>
      <c r="B1284" s="1"/>
    </row>
    <row r="1285" spans="1:2" x14ac:dyDescent="0.2">
      <c r="A1285" s="26"/>
      <c r="B1285" s="1"/>
    </row>
    <row r="1286" spans="1:2" x14ac:dyDescent="0.2">
      <c r="A1286" s="26"/>
      <c r="B1286" s="1"/>
    </row>
    <row r="1287" spans="1:2" x14ac:dyDescent="0.2">
      <c r="A1287" s="26"/>
      <c r="B1287" s="1"/>
    </row>
    <row r="1288" spans="1:2" x14ac:dyDescent="0.2">
      <c r="A1288" s="26"/>
      <c r="B1288" s="1"/>
    </row>
    <row r="1289" spans="1:2" x14ac:dyDescent="0.2">
      <c r="A1289" s="26"/>
      <c r="B1289" s="1"/>
    </row>
    <row r="1290" spans="1:2" x14ac:dyDescent="0.2">
      <c r="A1290" s="26"/>
      <c r="B1290" s="1"/>
    </row>
    <row r="1291" spans="1:2" x14ac:dyDescent="0.2">
      <c r="A1291" s="26"/>
      <c r="B1291" s="1"/>
    </row>
    <row r="1292" spans="1:2" x14ac:dyDescent="0.2">
      <c r="B1292" s="1"/>
    </row>
    <row r="1293" spans="1:2" x14ac:dyDescent="0.2">
      <c r="B1293" s="1"/>
    </row>
    <row r="1294" spans="1:2" x14ac:dyDescent="0.2">
      <c r="B1294" s="1"/>
    </row>
    <row r="1295" spans="1:2" x14ac:dyDescent="0.2">
      <c r="B1295" s="1"/>
    </row>
    <row r="1296" spans="1:2" x14ac:dyDescent="0.2">
      <c r="B1296" s="1"/>
    </row>
    <row r="1297" spans="1:2" x14ac:dyDescent="0.2">
      <c r="B1297" s="1"/>
    </row>
    <row r="1298" spans="1:2" x14ac:dyDescent="0.2">
      <c r="B1298" s="1"/>
    </row>
    <row r="1299" spans="1:2" x14ac:dyDescent="0.2">
      <c r="B1299" s="1"/>
    </row>
    <row r="1300" spans="1:2" x14ac:dyDescent="0.2">
      <c r="B1300" s="1"/>
    </row>
    <row r="1301" spans="1:2" x14ac:dyDescent="0.2">
      <c r="B1301" s="1"/>
    </row>
    <row r="1302" spans="1:2" x14ac:dyDescent="0.2">
      <c r="B1302" s="1"/>
    </row>
    <row r="1303" spans="1:2" x14ac:dyDescent="0.2">
      <c r="B1303" s="1"/>
    </row>
    <row r="1304" spans="1:2" x14ac:dyDescent="0.2">
      <c r="B1304" s="1"/>
    </row>
    <row r="1305" spans="1:2" x14ac:dyDescent="0.2">
      <c r="B1305" s="1"/>
    </row>
    <row r="1306" spans="1:2" x14ac:dyDescent="0.2">
      <c r="B1306" s="1"/>
    </row>
    <row r="1307" spans="1:2" x14ac:dyDescent="0.2">
      <c r="A1307" s="26"/>
      <c r="B1307" s="1"/>
    </row>
    <row r="1308" spans="1:2" x14ac:dyDescent="0.2">
      <c r="A1308" s="26"/>
      <c r="B1308" s="1"/>
    </row>
    <row r="1309" spans="1:2" x14ac:dyDescent="0.2">
      <c r="A1309" s="26"/>
      <c r="B1309" s="1"/>
    </row>
    <row r="1310" spans="1:2" x14ac:dyDescent="0.2">
      <c r="A1310" s="26"/>
      <c r="B1310" s="1"/>
    </row>
    <row r="1311" spans="1:2" x14ac:dyDescent="0.2">
      <c r="A1311" s="26"/>
      <c r="B1311" s="1"/>
    </row>
    <row r="1312" spans="1:2" x14ac:dyDescent="0.2">
      <c r="A1312" s="26"/>
      <c r="B1312" s="1"/>
    </row>
    <row r="1313" spans="1:2" x14ac:dyDescent="0.2">
      <c r="A1313" s="26"/>
      <c r="B1313" s="1"/>
    </row>
    <row r="1314" spans="1:2" x14ac:dyDescent="0.2">
      <c r="B1314" s="1"/>
    </row>
    <row r="1315" spans="1:2" x14ac:dyDescent="0.2">
      <c r="B1315" s="1"/>
    </row>
    <row r="1316" spans="1:2" x14ac:dyDescent="0.2">
      <c r="B1316" s="1"/>
    </row>
    <row r="1317" spans="1:2" x14ac:dyDescent="0.2">
      <c r="B1317" s="1"/>
    </row>
    <row r="1318" spans="1:2" x14ac:dyDescent="0.2">
      <c r="B1318" s="1"/>
    </row>
    <row r="1319" spans="1:2" x14ac:dyDescent="0.2">
      <c r="B1319" s="1"/>
    </row>
    <row r="1320" spans="1:2" x14ac:dyDescent="0.2">
      <c r="B1320" s="1"/>
    </row>
    <row r="1321" spans="1:2" x14ac:dyDescent="0.2">
      <c r="B1321" s="1"/>
    </row>
    <row r="1322" spans="1:2" x14ac:dyDescent="0.2">
      <c r="B1322" s="1"/>
    </row>
    <row r="1323" spans="1:2" x14ac:dyDescent="0.2">
      <c r="B1323" s="1"/>
    </row>
    <row r="1324" spans="1:2" x14ac:dyDescent="0.2">
      <c r="B1324" s="1"/>
    </row>
    <row r="1325" spans="1:2" x14ac:dyDescent="0.2">
      <c r="B1325" s="1"/>
    </row>
    <row r="1326" spans="1:2" x14ac:dyDescent="0.2">
      <c r="A1326" s="26"/>
      <c r="B1326" s="1"/>
    </row>
    <row r="1327" spans="1:2" x14ac:dyDescent="0.2">
      <c r="A1327" s="26"/>
      <c r="B1327" s="1"/>
    </row>
    <row r="1328" spans="1:2" x14ac:dyDescent="0.2">
      <c r="A1328" s="26"/>
      <c r="B1328" s="1"/>
    </row>
    <row r="1329" spans="1:2" x14ac:dyDescent="0.2">
      <c r="A1329" s="26"/>
      <c r="B1329" s="1"/>
    </row>
    <row r="1330" spans="1:2" x14ac:dyDescent="0.2">
      <c r="A1330" s="26"/>
      <c r="B1330" s="1"/>
    </row>
    <row r="1331" spans="1:2" x14ac:dyDescent="0.2">
      <c r="A1331" s="26"/>
      <c r="B1331" s="1"/>
    </row>
    <row r="1332" spans="1:2" x14ac:dyDescent="0.2">
      <c r="A1332" s="26"/>
      <c r="B1332" s="1"/>
    </row>
    <row r="1333" spans="1:2" x14ac:dyDescent="0.2">
      <c r="A1333" s="26"/>
      <c r="B1333" s="1"/>
    </row>
    <row r="1334" spans="1:2" x14ac:dyDescent="0.2">
      <c r="A1334" s="26"/>
      <c r="B1334" s="1"/>
    </row>
    <row r="1335" spans="1:2" x14ac:dyDescent="0.2">
      <c r="A1335" s="26"/>
      <c r="B1335" s="1"/>
    </row>
    <row r="1336" spans="1:2" x14ac:dyDescent="0.2">
      <c r="B1336" s="1"/>
    </row>
    <row r="1337" spans="1:2" x14ac:dyDescent="0.2">
      <c r="B1337" s="1"/>
    </row>
    <row r="1338" spans="1:2" x14ac:dyDescent="0.2">
      <c r="B1338" s="1"/>
    </row>
    <row r="1339" spans="1:2" x14ac:dyDescent="0.2">
      <c r="B1339" s="1"/>
    </row>
    <row r="1340" spans="1:2" x14ac:dyDescent="0.2">
      <c r="B1340" s="1"/>
    </row>
    <row r="1341" spans="1:2" x14ac:dyDescent="0.2">
      <c r="B1341" s="1"/>
    </row>
    <row r="1342" spans="1:2" x14ac:dyDescent="0.2">
      <c r="B1342" s="1"/>
    </row>
    <row r="1343" spans="1:2" x14ac:dyDescent="0.2">
      <c r="B1343" s="1"/>
    </row>
    <row r="1344" spans="1:2" x14ac:dyDescent="0.2">
      <c r="B1344" s="1"/>
    </row>
    <row r="1345" spans="1:2" x14ac:dyDescent="0.2">
      <c r="B1345" s="1"/>
    </row>
    <row r="1346" spans="1:2" x14ac:dyDescent="0.2">
      <c r="B1346" s="1"/>
    </row>
    <row r="1347" spans="1:2" x14ac:dyDescent="0.2">
      <c r="B1347" s="1"/>
    </row>
    <row r="1348" spans="1:2" x14ac:dyDescent="0.2">
      <c r="A1348" s="26"/>
      <c r="B1348" s="1"/>
    </row>
    <row r="1349" spans="1:2" x14ac:dyDescent="0.2">
      <c r="A1349" s="26"/>
      <c r="B1349" s="1"/>
    </row>
    <row r="1350" spans="1:2" x14ac:dyDescent="0.2">
      <c r="A1350" s="26"/>
      <c r="B1350" s="1"/>
    </row>
    <row r="1351" spans="1:2" x14ac:dyDescent="0.2">
      <c r="A1351" s="26"/>
      <c r="B1351" s="1"/>
    </row>
    <row r="1352" spans="1:2" x14ac:dyDescent="0.2">
      <c r="A1352" s="26"/>
      <c r="B1352" s="1"/>
    </row>
    <row r="1353" spans="1:2" x14ac:dyDescent="0.2">
      <c r="A1353" s="26"/>
      <c r="B1353" s="1"/>
    </row>
    <row r="1354" spans="1:2" x14ac:dyDescent="0.2">
      <c r="A1354" s="26"/>
      <c r="B1354" s="1"/>
    </row>
    <row r="1355" spans="1:2" x14ac:dyDescent="0.2">
      <c r="A1355" s="26"/>
      <c r="B1355" s="1"/>
    </row>
    <row r="1356" spans="1:2" x14ac:dyDescent="0.2">
      <c r="B1356" s="1"/>
    </row>
    <row r="1357" spans="1:2" x14ac:dyDescent="0.2">
      <c r="B1357" s="1"/>
    </row>
    <row r="1358" spans="1:2" x14ac:dyDescent="0.2">
      <c r="B1358" s="1"/>
    </row>
    <row r="1359" spans="1:2" x14ac:dyDescent="0.2">
      <c r="B1359" s="1"/>
    </row>
    <row r="1360" spans="1:2" x14ac:dyDescent="0.2">
      <c r="B1360" s="1"/>
    </row>
    <row r="1361" spans="1:2" x14ac:dyDescent="0.2">
      <c r="B1361" s="1"/>
    </row>
    <row r="1362" spans="1:2" x14ac:dyDescent="0.2">
      <c r="B1362" s="1"/>
    </row>
    <row r="1363" spans="1:2" x14ac:dyDescent="0.2">
      <c r="B1363" s="1"/>
    </row>
    <row r="1364" spans="1:2" x14ac:dyDescent="0.2">
      <c r="B1364" s="1"/>
    </row>
    <row r="1365" spans="1:2" x14ac:dyDescent="0.2">
      <c r="B1365" s="1"/>
    </row>
    <row r="1366" spans="1:2" x14ac:dyDescent="0.2">
      <c r="B1366" s="1"/>
    </row>
    <row r="1367" spans="1:2" x14ac:dyDescent="0.2">
      <c r="B1367" s="1"/>
    </row>
    <row r="1368" spans="1:2" x14ac:dyDescent="0.2">
      <c r="B1368" s="1"/>
    </row>
    <row r="1369" spans="1:2" x14ac:dyDescent="0.2">
      <c r="B1369" s="1"/>
    </row>
    <row r="1370" spans="1:2" x14ac:dyDescent="0.2">
      <c r="A1370" s="26"/>
      <c r="B1370" s="1"/>
    </row>
    <row r="1371" spans="1:2" x14ac:dyDescent="0.2">
      <c r="A1371" s="26"/>
      <c r="B1371" s="1"/>
    </row>
    <row r="1372" spans="1:2" x14ac:dyDescent="0.2">
      <c r="A1372" s="26"/>
      <c r="B1372" s="1"/>
    </row>
    <row r="1373" spans="1:2" x14ac:dyDescent="0.2">
      <c r="A1373" s="26"/>
      <c r="B1373" s="1"/>
    </row>
    <row r="1374" spans="1:2" x14ac:dyDescent="0.2">
      <c r="A1374" s="26"/>
      <c r="B1374" s="1"/>
    </row>
    <row r="1375" spans="1:2" x14ac:dyDescent="0.2">
      <c r="A1375" s="26"/>
      <c r="B1375" s="1"/>
    </row>
    <row r="1376" spans="1:2" x14ac:dyDescent="0.2">
      <c r="A1376" s="26"/>
      <c r="B1376" s="1"/>
    </row>
    <row r="1377" spans="1:2" x14ac:dyDescent="0.2">
      <c r="B1377" s="1"/>
    </row>
    <row r="1378" spans="1:2" x14ac:dyDescent="0.2">
      <c r="B1378" s="1"/>
    </row>
    <row r="1379" spans="1:2" x14ac:dyDescent="0.2">
      <c r="B1379" s="1"/>
    </row>
    <row r="1380" spans="1:2" x14ac:dyDescent="0.2">
      <c r="B1380" s="1"/>
    </row>
    <row r="1381" spans="1:2" x14ac:dyDescent="0.2">
      <c r="B1381" s="1"/>
    </row>
    <row r="1382" spans="1:2" x14ac:dyDescent="0.2">
      <c r="B1382" s="1"/>
    </row>
    <row r="1383" spans="1:2" x14ac:dyDescent="0.2">
      <c r="B1383" s="1"/>
    </row>
    <row r="1384" spans="1:2" x14ac:dyDescent="0.2">
      <c r="B1384" s="1"/>
    </row>
    <row r="1385" spans="1:2" x14ac:dyDescent="0.2">
      <c r="B1385" s="1"/>
    </row>
    <row r="1386" spans="1:2" x14ac:dyDescent="0.2">
      <c r="B1386" s="1"/>
    </row>
    <row r="1387" spans="1:2" x14ac:dyDescent="0.2">
      <c r="B1387" s="1"/>
    </row>
    <row r="1388" spans="1:2" x14ac:dyDescent="0.2">
      <c r="B1388" s="1"/>
    </row>
    <row r="1389" spans="1:2" x14ac:dyDescent="0.2">
      <c r="B1389" s="1"/>
    </row>
    <row r="1390" spans="1:2" x14ac:dyDescent="0.2">
      <c r="A1390" s="26"/>
      <c r="B1390" s="1"/>
    </row>
    <row r="1391" spans="1:2" x14ac:dyDescent="0.2">
      <c r="A1391" s="26"/>
      <c r="B1391" s="1"/>
    </row>
    <row r="1392" spans="1:2" x14ac:dyDescent="0.2">
      <c r="A1392" s="26"/>
      <c r="B1392" s="1"/>
    </row>
    <row r="1393" spans="1:2" x14ac:dyDescent="0.2">
      <c r="A1393" s="26"/>
      <c r="B1393" s="1"/>
    </row>
    <row r="1394" spans="1:2" x14ac:dyDescent="0.2">
      <c r="A1394" s="26"/>
      <c r="B1394" s="1"/>
    </row>
    <row r="1395" spans="1:2" x14ac:dyDescent="0.2">
      <c r="A1395" s="26"/>
      <c r="B1395" s="1"/>
    </row>
    <row r="1396" spans="1:2" x14ac:dyDescent="0.2">
      <c r="A1396" s="26"/>
      <c r="B1396" s="1"/>
    </row>
    <row r="1397" spans="1:2" x14ac:dyDescent="0.2">
      <c r="A1397" s="26"/>
      <c r="B1397" s="1"/>
    </row>
    <row r="1398" spans="1:2" x14ac:dyDescent="0.2">
      <c r="A1398" s="26"/>
      <c r="B1398" s="1"/>
    </row>
    <row r="1399" spans="1:2" x14ac:dyDescent="0.2">
      <c r="B1399" s="1"/>
    </row>
    <row r="1400" spans="1:2" x14ac:dyDescent="0.2">
      <c r="B1400" s="1"/>
    </row>
    <row r="1401" spans="1:2" x14ac:dyDescent="0.2">
      <c r="B1401" s="1"/>
    </row>
    <row r="1402" spans="1:2" x14ac:dyDescent="0.2">
      <c r="B1402" s="1"/>
    </row>
    <row r="1403" spans="1:2" x14ac:dyDescent="0.2">
      <c r="B1403" s="1"/>
    </row>
    <row r="1404" spans="1:2" x14ac:dyDescent="0.2">
      <c r="B1404" s="1"/>
    </row>
    <row r="1405" spans="1:2" x14ac:dyDescent="0.2">
      <c r="B1405" s="1"/>
    </row>
    <row r="1406" spans="1:2" x14ac:dyDescent="0.2">
      <c r="B1406" s="1"/>
    </row>
    <row r="1407" spans="1:2" x14ac:dyDescent="0.2">
      <c r="B1407" s="1"/>
    </row>
    <row r="1408" spans="1:2" x14ac:dyDescent="0.2">
      <c r="B1408" s="1"/>
    </row>
    <row r="1409" spans="1:2" x14ac:dyDescent="0.2">
      <c r="B1409" s="1"/>
    </row>
    <row r="1410" spans="1:2" x14ac:dyDescent="0.2">
      <c r="A1410" s="26"/>
      <c r="B1410" s="1"/>
    </row>
    <row r="1411" spans="1:2" x14ac:dyDescent="0.2">
      <c r="A1411" s="26"/>
      <c r="B1411" s="1"/>
    </row>
    <row r="1412" spans="1:2" x14ac:dyDescent="0.2">
      <c r="A1412" s="26"/>
      <c r="B1412" s="1"/>
    </row>
    <row r="1413" spans="1:2" x14ac:dyDescent="0.2">
      <c r="A1413" s="26"/>
      <c r="B1413" s="1"/>
    </row>
    <row r="1414" spans="1:2" x14ac:dyDescent="0.2">
      <c r="A1414" s="26"/>
      <c r="B1414" s="1"/>
    </row>
    <row r="1415" spans="1:2" x14ac:dyDescent="0.2">
      <c r="A1415" s="26"/>
      <c r="B1415" s="1"/>
    </row>
    <row r="1416" spans="1:2" x14ac:dyDescent="0.2">
      <c r="A1416" s="26"/>
      <c r="B1416" s="1"/>
    </row>
    <row r="1417" spans="1:2" x14ac:dyDescent="0.2">
      <c r="A1417" s="26"/>
      <c r="B1417" s="1"/>
    </row>
    <row r="1418" spans="1:2" x14ac:dyDescent="0.2">
      <c r="B1418" s="1"/>
    </row>
    <row r="1419" spans="1:2" x14ac:dyDescent="0.2">
      <c r="B1419" s="1"/>
    </row>
    <row r="1420" spans="1:2" x14ac:dyDescent="0.2">
      <c r="B1420" s="1"/>
    </row>
    <row r="1421" spans="1:2" x14ac:dyDescent="0.2">
      <c r="B1421" s="1"/>
    </row>
    <row r="1422" spans="1:2" x14ac:dyDescent="0.2">
      <c r="B1422" s="1"/>
    </row>
    <row r="1423" spans="1:2" x14ac:dyDescent="0.2">
      <c r="B1423" s="1"/>
    </row>
    <row r="1424" spans="1:2" x14ac:dyDescent="0.2">
      <c r="B1424" s="1"/>
    </row>
    <row r="1425" spans="1:2" x14ac:dyDescent="0.2">
      <c r="B1425" s="1"/>
    </row>
    <row r="1426" spans="1:2" x14ac:dyDescent="0.2">
      <c r="B1426" s="1"/>
    </row>
    <row r="1427" spans="1:2" x14ac:dyDescent="0.2">
      <c r="B1427" s="1"/>
    </row>
    <row r="1428" spans="1:2" x14ac:dyDescent="0.2">
      <c r="B1428" s="1"/>
    </row>
    <row r="1429" spans="1:2" x14ac:dyDescent="0.2">
      <c r="B1429" s="1"/>
    </row>
    <row r="1430" spans="1:2" x14ac:dyDescent="0.2">
      <c r="B1430" s="1"/>
    </row>
    <row r="1431" spans="1:2" x14ac:dyDescent="0.2">
      <c r="B1431" s="1"/>
    </row>
    <row r="1432" spans="1:2" x14ac:dyDescent="0.2">
      <c r="A1432" s="26"/>
      <c r="B1432" s="1"/>
    </row>
    <row r="1433" spans="1:2" x14ac:dyDescent="0.2">
      <c r="A1433" s="26"/>
      <c r="B1433" s="1"/>
    </row>
    <row r="1434" spans="1:2" x14ac:dyDescent="0.2">
      <c r="A1434" s="26"/>
      <c r="B1434" s="1"/>
    </row>
    <row r="1435" spans="1:2" x14ac:dyDescent="0.2">
      <c r="A1435" s="26"/>
      <c r="B1435" s="1"/>
    </row>
    <row r="1436" spans="1:2" x14ac:dyDescent="0.2">
      <c r="A1436" s="26"/>
      <c r="B1436" s="1"/>
    </row>
    <row r="1437" spans="1:2" x14ac:dyDescent="0.2">
      <c r="A1437" s="26"/>
      <c r="B1437" s="1"/>
    </row>
    <row r="1438" spans="1:2" x14ac:dyDescent="0.2">
      <c r="A1438" s="26"/>
      <c r="B1438" s="1"/>
    </row>
    <row r="1439" spans="1:2" x14ac:dyDescent="0.2">
      <c r="B1439" s="1"/>
    </row>
    <row r="1440" spans="1:2" x14ac:dyDescent="0.2">
      <c r="B1440" s="1"/>
    </row>
    <row r="1441" spans="1:2" x14ac:dyDescent="0.2">
      <c r="B1441" s="1"/>
    </row>
    <row r="1442" spans="1:2" x14ac:dyDescent="0.2">
      <c r="B1442" s="1"/>
    </row>
    <row r="1443" spans="1:2" x14ac:dyDescent="0.2">
      <c r="B1443" s="1"/>
    </row>
    <row r="1444" spans="1:2" x14ac:dyDescent="0.2">
      <c r="B1444" s="1"/>
    </row>
    <row r="1445" spans="1:2" x14ac:dyDescent="0.2">
      <c r="B1445" s="1"/>
    </row>
    <row r="1446" spans="1:2" x14ac:dyDescent="0.2">
      <c r="B1446" s="1"/>
    </row>
    <row r="1447" spans="1:2" x14ac:dyDescent="0.2">
      <c r="B1447" s="1"/>
    </row>
    <row r="1448" spans="1:2" x14ac:dyDescent="0.2">
      <c r="B1448" s="1"/>
    </row>
    <row r="1449" spans="1:2" x14ac:dyDescent="0.2">
      <c r="B1449" s="1"/>
    </row>
    <row r="1450" spans="1:2" x14ac:dyDescent="0.2">
      <c r="B1450" s="1"/>
    </row>
    <row r="1451" spans="1:2" x14ac:dyDescent="0.2">
      <c r="A1451" s="26"/>
      <c r="B1451" s="1"/>
    </row>
    <row r="1452" spans="1:2" x14ac:dyDescent="0.2">
      <c r="A1452" s="26"/>
      <c r="B1452" s="1"/>
    </row>
    <row r="1453" spans="1:2" x14ac:dyDescent="0.2">
      <c r="A1453" s="26"/>
      <c r="B1453" s="1"/>
    </row>
    <row r="1454" spans="1:2" x14ac:dyDescent="0.2">
      <c r="A1454" s="26"/>
      <c r="B1454" s="1"/>
    </row>
    <row r="1455" spans="1:2" x14ac:dyDescent="0.2">
      <c r="A1455" s="26"/>
      <c r="B1455" s="1"/>
    </row>
    <row r="1456" spans="1:2" x14ac:dyDescent="0.2">
      <c r="A1456" s="26"/>
      <c r="B1456" s="1"/>
    </row>
    <row r="1457" spans="1:2" x14ac:dyDescent="0.2">
      <c r="A1457" s="26"/>
      <c r="B1457" s="1"/>
    </row>
    <row r="1458" spans="1:2" x14ac:dyDescent="0.2">
      <c r="A1458" s="26"/>
      <c r="B1458" s="1"/>
    </row>
    <row r="1459" spans="1:2" x14ac:dyDescent="0.2">
      <c r="A1459" s="26"/>
      <c r="B1459" s="1"/>
    </row>
    <row r="1460" spans="1:2" x14ac:dyDescent="0.2">
      <c r="B1460" s="1"/>
    </row>
    <row r="1461" spans="1:2" x14ac:dyDescent="0.2">
      <c r="B1461" s="1"/>
    </row>
    <row r="1462" spans="1:2" x14ac:dyDescent="0.2">
      <c r="B1462" s="1"/>
    </row>
    <row r="1463" spans="1:2" x14ac:dyDescent="0.2">
      <c r="B1463" s="1"/>
    </row>
    <row r="1464" spans="1:2" x14ac:dyDescent="0.2">
      <c r="B1464" s="1"/>
    </row>
    <row r="1465" spans="1:2" x14ac:dyDescent="0.2">
      <c r="B1465" s="1"/>
    </row>
    <row r="1466" spans="1:2" x14ac:dyDescent="0.2">
      <c r="B1466" s="1"/>
    </row>
    <row r="1467" spans="1:2" x14ac:dyDescent="0.2">
      <c r="B1467" s="1"/>
    </row>
    <row r="1468" spans="1:2" x14ac:dyDescent="0.2">
      <c r="B1468" s="1"/>
    </row>
    <row r="1469" spans="1:2" x14ac:dyDescent="0.2">
      <c r="B1469" s="1"/>
    </row>
    <row r="1470" spans="1:2" x14ac:dyDescent="0.2">
      <c r="B1470" s="1"/>
    </row>
    <row r="1471" spans="1:2" x14ac:dyDescent="0.2">
      <c r="B1471" s="1"/>
    </row>
    <row r="1472" spans="1:2" x14ac:dyDescent="0.2">
      <c r="A1472" s="26"/>
      <c r="B1472" s="1"/>
    </row>
    <row r="1473" spans="1:2" x14ac:dyDescent="0.2">
      <c r="A1473" s="26"/>
      <c r="B1473" s="1"/>
    </row>
    <row r="1474" spans="1:2" x14ac:dyDescent="0.2">
      <c r="A1474" s="26"/>
      <c r="B1474" s="1"/>
    </row>
    <row r="1475" spans="1:2" x14ac:dyDescent="0.2">
      <c r="A1475" s="26"/>
      <c r="B1475" s="1"/>
    </row>
    <row r="1476" spans="1:2" x14ac:dyDescent="0.2">
      <c r="A1476" s="26"/>
      <c r="B1476" s="1"/>
    </row>
    <row r="1477" spans="1:2" x14ac:dyDescent="0.2">
      <c r="A1477" s="26"/>
      <c r="B1477" s="1"/>
    </row>
    <row r="1478" spans="1:2" x14ac:dyDescent="0.2">
      <c r="A1478" s="26"/>
      <c r="B1478" s="1"/>
    </row>
    <row r="1479" spans="1:2" x14ac:dyDescent="0.2">
      <c r="A1479" s="26"/>
      <c r="B1479" s="1"/>
    </row>
    <row r="1480" spans="1:2" x14ac:dyDescent="0.2">
      <c r="B1480" s="1"/>
    </row>
    <row r="1481" spans="1:2" x14ac:dyDescent="0.2">
      <c r="B1481" s="1"/>
    </row>
    <row r="1482" spans="1:2" x14ac:dyDescent="0.2">
      <c r="B1482" s="1"/>
    </row>
    <row r="1483" spans="1:2" x14ac:dyDescent="0.2">
      <c r="B1483" s="1"/>
    </row>
    <row r="1484" spans="1:2" x14ac:dyDescent="0.2">
      <c r="B1484" s="1"/>
    </row>
    <row r="1485" spans="1:2" x14ac:dyDescent="0.2">
      <c r="B1485" s="1"/>
    </row>
    <row r="1486" spans="1:2" x14ac:dyDescent="0.2">
      <c r="B1486" s="1"/>
    </row>
    <row r="1487" spans="1:2" x14ac:dyDescent="0.2">
      <c r="B1487" s="1"/>
    </row>
    <row r="1488" spans="1:2" x14ac:dyDescent="0.2">
      <c r="B1488" s="1"/>
    </row>
    <row r="1489" spans="1:2" x14ac:dyDescent="0.2">
      <c r="B1489" s="1"/>
    </row>
    <row r="1490" spans="1:2" x14ac:dyDescent="0.2">
      <c r="B1490" s="1"/>
    </row>
    <row r="1491" spans="1:2" x14ac:dyDescent="0.2">
      <c r="B1491" s="1"/>
    </row>
    <row r="1492" spans="1:2" x14ac:dyDescent="0.2">
      <c r="B1492" s="1"/>
    </row>
    <row r="1493" spans="1:2" x14ac:dyDescent="0.2">
      <c r="B1493" s="1"/>
    </row>
    <row r="1494" spans="1:2" x14ac:dyDescent="0.2">
      <c r="A1494" s="26"/>
      <c r="B1494" s="1"/>
    </row>
    <row r="1495" spans="1:2" x14ac:dyDescent="0.2">
      <c r="A1495" s="26"/>
      <c r="B1495" s="1"/>
    </row>
    <row r="1496" spans="1:2" x14ac:dyDescent="0.2">
      <c r="A1496" s="26"/>
      <c r="B1496" s="1"/>
    </row>
    <row r="1497" spans="1:2" x14ac:dyDescent="0.2">
      <c r="A1497" s="26"/>
      <c r="B1497" s="1"/>
    </row>
    <row r="1498" spans="1:2" x14ac:dyDescent="0.2">
      <c r="A1498" s="26"/>
      <c r="B1498" s="1"/>
    </row>
    <row r="1499" spans="1:2" x14ac:dyDescent="0.2">
      <c r="A1499" s="26"/>
      <c r="B1499" s="1"/>
    </row>
    <row r="1500" spans="1:2" x14ac:dyDescent="0.2">
      <c r="A1500" s="26"/>
      <c r="B1500" s="1"/>
    </row>
    <row r="1501" spans="1:2" x14ac:dyDescent="0.2">
      <c r="A1501" s="26"/>
      <c r="B1501" s="1"/>
    </row>
    <row r="1502" spans="1:2" x14ac:dyDescent="0.2">
      <c r="A1502" s="26"/>
      <c r="B1502" s="1"/>
    </row>
    <row r="1503" spans="1:2" x14ac:dyDescent="0.2">
      <c r="B1503" s="1"/>
    </row>
    <row r="1504" spans="1:2" x14ac:dyDescent="0.2">
      <c r="B1504" s="1"/>
    </row>
    <row r="1505" spans="1:2" x14ac:dyDescent="0.2">
      <c r="B1505" s="1"/>
    </row>
    <row r="1506" spans="1:2" x14ac:dyDescent="0.2">
      <c r="B1506" s="1"/>
    </row>
    <row r="1507" spans="1:2" x14ac:dyDescent="0.2">
      <c r="B1507" s="1"/>
    </row>
    <row r="1508" spans="1:2" x14ac:dyDescent="0.2">
      <c r="B1508" s="1"/>
    </row>
    <row r="1509" spans="1:2" x14ac:dyDescent="0.2">
      <c r="B1509" s="1"/>
    </row>
    <row r="1510" spans="1:2" x14ac:dyDescent="0.2">
      <c r="B1510" s="1"/>
    </row>
    <row r="1511" spans="1:2" x14ac:dyDescent="0.2">
      <c r="B1511" s="1"/>
    </row>
    <row r="1512" spans="1:2" x14ac:dyDescent="0.2">
      <c r="B1512" s="1"/>
    </row>
    <row r="1513" spans="1:2" x14ac:dyDescent="0.2">
      <c r="B1513" s="1"/>
    </row>
    <row r="1514" spans="1:2" x14ac:dyDescent="0.2">
      <c r="B1514" s="1"/>
    </row>
    <row r="1515" spans="1:2" x14ac:dyDescent="0.2">
      <c r="A1515" s="26"/>
      <c r="B1515" s="1"/>
    </row>
    <row r="1516" spans="1:2" x14ac:dyDescent="0.2">
      <c r="A1516" s="26"/>
      <c r="B1516" s="1"/>
    </row>
    <row r="1517" spans="1:2" x14ac:dyDescent="0.2">
      <c r="A1517" s="26"/>
      <c r="B1517" s="1"/>
    </row>
    <row r="1518" spans="1:2" x14ac:dyDescent="0.2">
      <c r="A1518" s="26"/>
      <c r="B1518" s="1"/>
    </row>
    <row r="1519" spans="1:2" x14ac:dyDescent="0.2">
      <c r="A1519" s="26"/>
      <c r="B1519" s="1"/>
    </row>
    <row r="1520" spans="1:2" x14ac:dyDescent="0.2">
      <c r="A1520" s="26"/>
      <c r="B1520" s="1"/>
    </row>
    <row r="1521" spans="1:2" x14ac:dyDescent="0.2">
      <c r="A1521" s="26"/>
      <c r="B1521" s="1"/>
    </row>
    <row r="1522" spans="1:2" x14ac:dyDescent="0.2">
      <c r="A1522" s="26"/>
      <c r="B1522" s="1"/>
    </row>
    <row r="1523" spans="1:2" x14ac:dyDescent="0.2">
      <c r="B1523" s="1"/>
    </row>
    <row r="1524" spans="1:2" x14ac:dyDescent="0.2">
      <c r="B1524" s="1"/>
    </row>
    <row r="1525" spans="1:2" x14ac:dyDescent="0.2">
      <c r="B1525" s="1"/>
    </row>
    <row r="1526" spans="1:2" x14ac:dyDescent="0.2">
      <c r="B1526" s="1"/>
    </row>
    <row r="1527" spans="1:2" x14ac:dyDescent="0.2">
      <c r="B1527" s="1"/>
    </row>
    <row r="1528" spans="1:2" x14ac:dyDescent="0.2">
      <c r="B1528" s="1"/>
    </row>
    <row r="1529" spans="1:2" x14ac:dyDescent="0.2">
      <c r="B1529" s="1"/>
    </row>
    <row r="1530" spans="1:2" x14ac:dyDescent="0.2">
      <c r="B1530" s="1"/>
    </row>
    <row r="1531" spans="1:2" x14ac:dyDescent="0.2">
      <c r="B1531" s="1"/>
    </row>
    <row r="1532" spans="1:2" x14ac:dyDescent="0.2">
      <c r="B1532" s="1"/>
    </row>
    <row r="1533" spans="1:2" x14ac:dyDescent="0.2">
      <c r="B1533" s="1"/>
    </row>
    <row r="1534" spans="1:2" x14ac:dyDescent="0.2">
      <c r="B1534" s="1"/>
    </row>
    <row r="1535" spans="1:2" x14ac:dyDescent="0.2">
      <c r="B1535" s="1"/>
    </row>
    <row r="1536" spans="1:2" x14ac:dyDescent="0.2">
      <c r="B1536" s="1"/>
    </row>
    <row r="1537" spans="1:2" x14ac:dyDescent="0.2">
      <c r="A1537" s="26"/>
      <c r="B1537" s="1"/>
    </row>
    <row r="1538" spans="1:2" x14ac:dyDescent="0.2">
      <c r="A1538" s="26"/>
      <c r="B1538" s="1"/>
    </row>
    <row r="1539" spans="1:2" x14ac:dyDescent="0.2">
      <c r="A1539" s="26"/>
      <c r="B1539" s="1"/>
    </row>
    <row r="1540" spans="1:2" x14ac:dyDescent="0.2">
      <c r="A1540" s="26"/>
      <c r="B1540" s="1"/>
    </row>
    <row r="1541" spans="1:2" x14ac:dyDescent="0.2">
      <c r="A1541" s="26"/>
      <c r="B1541" s="1"/>
    </row>
    <row r="1542" spans="1:2" x14ac:dyDescent="0.2">
      <c r="A1542" s="26"/>
      <c r="B1542" s="1"/>
    </row>
    <row r="1543" spans="1:2" x14ac:dyDescent="0.2">
      <c r="A1543" s="26"/>
      <c r="B1543" s="1"/>
    </row>
    <row r="1544" spans="1:2" x14ac:dyDescent="0.2">
      <c r="A1544" s="26"/>
      <c r="B1544" s="1"/>
    </row>
    <row r="1545" spans="1:2" x14ac:dyDescent="0.2">
      <c r="B1545" s="1"/>
    </row>
    <row r="1546" spans="1:2" x14ac:dyDescent="0.2">
      <c r="B1546" s="1"/>
    </row>
    <row r="1547" spans="1:2" x14ac:dyDescent="0.2">
      <c r="B1547" s="1"/>
    </row>
    <row r="1548" spans="1:2" x14ac:dyDescent="0.2">
      <c r="B1548" s="1"/>
    </row>
    <row r="1549" spans="1:2" x14ac:dyDescent="0.2">
      <c r="B1549" s="1"/>
    </row>
    <row r="1550" spans="1:2" x14ac:dyDescent="0.2">
      <c r="B1550" s="1"/>
    </row>
    <row r="1551" spans="1:2" x14ac:dyDescent="0.2">
      <c r="B1551" s="1"/>
    </row>
    <row r="1552" spans="1:2" x14ac:dyDescent="0.2">
      <c r="B1552" s="1"/>
    </row>
    <row r="1553" spans="1:2" x14ac:dyDescent="0.2">
      <c r="B1553" s="1"/>
    </row>
    <row r="1554" spans="1:2" x14ac:dyDescent="0.2">
      <c r="B1554" s="1"/>
    </row>
    <row r="1555" spans="1:2" x14ac:dyDescent="0.2">
      <c r="B1555" s="1"/>
    </row>
    <row r="1556" spans="1:2" x14ac:dyDescent="0.2">
      <c r="B1556" s="1"/>
    </row>
    <row r="1557" spans="1:2" x14ac:dyDescent="0.2">
      <c r="B1557" s="1"/>
    </row>
    <row r="1558" spans="1:2" x14ac:dyDescent="0.2">
      <c r="A1558" s="26"/>
      <c r="B1558" s="1"/>
    </row>
    <row r="1559" spans="1:2" x14ac:dyDescent="0.2">
      <c r="A1559" s="26"/>
      <c r="B1559" s="1"/>
    </row>
    <row r="1560" spans="1:2" x14ac:dyDescent="0.2">
      <c r="A1560" s="26"/>
      <c r="B1560" s="1"/>
    </row>
    <row r="1561" spans="1:2" x14ac:dyDescent="0.2">
      <c r="A1561" s="26"/>
      <c r="B1561" s="1"/>
    </row>
    <row r="1562" spans="1:2" x14ac:dyDescent="0.2">
      <c r="A1562" s="26"/>
      <c r="B1562" s="1"/>
    </row>
    <row r="1563" spans="1:2" x14ac:dyDescent="0.2">
      <c r="A1563" s="26"/>
      <c r="B1563" s="1"/>
    </row>
    <row r="1564" spans="1:2" x14ac:dyDescent="0.2">
      <c r="A1564" s="26"/>
      <c r="B1564" s="1"/>
    </row>
    <row r="1565" spans="1:2" x14ac:dyDescent="0.2">
      <c r="A1565" s="26"/>
      <c r="B1565" s="1"/>
    </row>
    <row r="1566" spans="1:2" x14ac:dyDescent="0.2">
      <c r="A1566" s="26"/>
      <c r="B1566" s="1"/>
    </row>
    <row r="1567" spans="1:2" x14ac:dyDescent="0.2">
      <c r="B1567" s="1"/>
    </row>
    <row r="1568" spans="1:2" x14ac:dyDescent="0.2">
      <c r="B1568" s="1"/>
    </row>
    <row r="1569" spans="1:2" x14ac:dyDescent="0.2">
      <c r="B1569" s="1"/>
    </row>
    <row r="1570" spans="1:2" x14ac:dyDescent="0.2">
      <c r="B1570" s="1"/>
    </row>
    <row r="1571" spans="1:2" x14ac:dyDescent="0.2">
      <c r="B1571" s="1"/>
    </row>
    <row r="1572" spans="1:2" x14ac:dyDescent="0.2">
      <c r="B1572" s="1"/>
    </row>
    <row r="1573" spans="1:2" x14ac:dyDescent="0.2">
      <c r="B1573" s="1"/>
    </row>
    <row r="1574" spans="1:2" x14ac:dyDescent="0.2">
      <c r="B1574" s="1"/>
    </row>
    <row r="1575" spans="1:2" x14ac:dyDescent="0.2">
      <c r="B1575" s="1"/>
    </row>
    <row r="1576" spans="1:2" x14ac:dyDescent="0.2">
      <c r="B1576" s="1"/>
    </row>
    <row r="1577" spans="1:2" x14ac:dyDescent="0.2">
      <c r="B1577" s="1"/>
    </row>
    <row r="1578" spans="1:2" x14ac:dyDescent="0.2">
      <c r="B1578" s="1"/>
    </row>
    <row r="1579" spans="1:2" x14ac:dyDescent="0.2">
      <c r="A1579" s="26"/>
      <c r="B1579" s="1"/>
    </row>
    <row r="1580" spans="1:2" x14ac:dyDescent="0.2">
      <c r="A1580" s="26"/>
      <c r="B1580" s="1"/>
    </row>
    <row r="1581" spans="1:2" x14ac:dyDescent="0.2">
      <c r="A1581" s="26"/>
      <c r="B1581" s="1"/>
    </row>
    <row r="1582" spans="1:2" x14ac:dyDescent="0.2">
      <c r="A1582" s="26"/>
      <c r="B1582" s="1"/>
    </row>
    <row r="1583" spans="1:2" x14ac:dyDescent="0.2">
      <c r="A1583" s="26"/>
      <c r="B1583" s="1"/>
    </row>
    <row r="1584" spans="1:2" x14ac:dyDescent="0.2">
      <c r="A1584" s="26"/>
      <c r="B1584" s="1"/>
    </row>
    <row r="1585" spans="1:2" x14ac:dyDescent="0.2">
      <c r="A1585" s="26"/>
      <c r="B1585" s="1"/>
    </row>
    <row r="1586" spans="1:2" x14ac:dyDescent="0.2">
      <c r="A1586" s="26"/>
      <c r="B1586" s="1"/>
    </row>
    <row r="1587" spans="1:2" x14ac:dyDescent="0.2">
      <c r="B1587" s="1"/>
    </row>
    <row r="1588" spans="1:2" x14ac:dyDescent="0.2">
      <c r="B1588" s="1"/>
    </row>
    <row r="1589" spans="1:2" x14ac:dyDescent="0.2">
      <c r="B1589" s="1"/>
    </row>
    <row r="1590" spans="1:2" x14ac:dyDescent="0.2">
      <c r="B1590" s="1"/>
    </row>
    <row r="1591" spans="1:2" x14ac:dyDescent="0.2">
      <c r="B1591" s="1"/>
    </row>
    <row r="1592" spans="1:2" x14ac:dyDescent="0.2">
      <c r="B1592" s="1"/>
    </row>
    <row r="1593" spans="1:2" x14ac:dyDescent="0.2">
      <c r="B1593" s="1"/>
    </row>
    <row r="1594" spans="1:2" x14ac:dyDescent="0.2">
      <c r="B1594" s="1"/>
    </row>
    <row r="1595" spans="1:2" x14ac:dyDescent="0.2">
      <c r="B1595" s="1"/>
    </row>
    <row r="1596" spans="1:2" x14ac:dyDescent="0.2">
      <c r="B1596" s="1"/>
    </row>
    <row r="1597" spans="1:2" x14ac:dyDescent="0.2">
      <c r="B1597" s="1"/>
    </row>
    <row r="1598" spans="1:2" x14ac:dyDescent="0.2">
      <c r="B1598" s="1"/>
    </row>
    <row r="1599" spans="1:2" x14ac:dyDescent="0.2">
      <c r="B1599" s="1"/>
    </row>
    <row r="1600" spans="1:2" x14ac:dyDescent="0.2">
      <c r="B1600" s="1"/>
    </row>
    <row r="1601" spans="1:2" x14ac:dyDescent="0.2">
      <c r="A1601" s="26"/>
      <c r="B1601" s="1"/>
    </row>
    <row r="1602" spans="1:2" x14ac:dyDescent="0.2">
      <c r="A1602" s="26"/>
      <c r="B1602" s="1"/>
    </row>
    <row r="1603" spans="1:2" x14ac:dyDescent="0.2">
      <c r="A1603" s="26"/>
      <c r="B1603" s="1"/>
    </row>
    <row r="1604" spans="1:2" x14ac:dyDescent="0.2">
      <c r="A1604" s="26"/>
      <c r="B1604" s="1"/>
    </row>
    <row r="1605" spans="1:2" x14ac:dyDescent="0.2">
      <c r="A1605" s="26"/>
      <c r="B1605" s="1"/>
    </row>
    <row r="1606" spans="1:2" x14ac:dyDescent="0.2">
      <c r="A1606" s="26"/>
      <c r="B1606" s="1"/>
    </row>
    <row r="1607" spans="1:2" x14ac:dyDescent="0.2">
      <c r="A1607" s="26"/>
      <c r="B1607" s="1"/>
    </row>
    <row r="1608" spans="1:2" x14ac:dyDescent="0.2">
      <c r="A1608" s="26"/>
      <c r="B1608" s="1"/>
    </row>
    <row r="1609" spans="1:2" x14ac:dyDescent="0.2">
      <c r="B1609" s="1"/>
    </row>
    <row r="1610" spans="1:2" x14ac:dyDescent="0.2">
      <c r="B1610" s="1"/>
    </row>
    <row r="1611" spans="1:2" x14ac:dyDescent="0.2">
      <c r="B1611" s="1"/>
    </row>
    <row r="1612" spans="1:2" x14ac:dyDescent="0.2">
      <c r="B1612" s="1"/>
    </row>
    <row r="1613" spans="1:2" x14ac:dyDescent="0.2">
      <c r="B1613" s="1"/>
    </row>
    <row r="1614" spans="1:2" x14ac:dyDescent="0.2">
      <c r="B1614" s="1"/>
    </row>
    <row r="1615" spans="1:2" x14ac:dyDescent="0.2">
      <c r="B1615" s="1"/>
    </row>
    <row r="1616" spans="1:2" x14ac:dyDescent="0.2">
      <c r="B1616" s="1"/>
    </row>
    <row r="1617" spans="1:2" x14ac:dyDescent="0.2">
      <c r="B1617" s="1"/>
    </row>
    <row r="1618" spans="1:2" x14ac:dyDescent="0.2">
      <c r="B1618" s="1"/>
    </row>
    <row r="1619" spans="1:2" x14ac:dyDescent="0.2">
      <c r="B1619" s="1"/>
    </row>
    <row r="1620" spans="1:2" x14ac:dyDescent="0.2">
      <c r="A1620" s="26"/>
      <c r="B1620" s="1"/>
    </row>
    <row r="1621" spans="1:2" x14ac:dyDescent="0.2">
      <c r="A1621" s="26"/>
      <c r="B1621" s="1"/>
    </row>
    <row r="1622" spans="1:2" x14ac:dyDescent="0.2">
      <c r="A1622" s="26"/>
      <c r="B1622" s="1"/>
    </row>
    <row r="1623" spans="1:2" x14ac:dyDescent="0.2">
      <c r="A1623" s="26"/>
      <c r="B1623" s="1"/>
    </row>
    <row r="1624" spans="1:2" x14ac:dyDescent="0.2">
      <c r="A1624" s="26"/>
      <c r="B1624" s="1"/>
    </row>
    <row r="1625" spans="1:2" x14ac:dyDescent="0.2">
      <c r="A1625" s="26"/>
      <c r="B1625" s="1"/>
    </row>
    <row r="1626" spans="1:2" x14ac:dyDescent="0.2">
      <c r="A1626" s="26"/>
      <c r="B1626" s="1"/>
    </row>
    <row r="1627" spans="1:2" x14ac:dyDescent="0.2">
      <c r="A1627" s="26"/>
      <c r="B1627" s="1"/>
    </row>
    <row r="1628" spans="1:2" x14ac:dyDescent="0.2">
      <c r="A1628" s="26"/>
      <c r="B1628" s="1"/>
    </row>
    <row r="1629" spans="1:2" x14ac:dyDescent="0.2">
      <c r="A1629" s="26"/>
      <c r="B1629" s="1"/>
    </row>
    <row r="1630" spans="1:2" x14ac:dyDescent="0.2">
      <c r="B1630" s="1"/>
    </row>
    <row r="1631" spans="1:2" x14ac:dyDescent="0.2">
      <c r="B1631" s="1"/>
    </row>
    <row r="1632" spans="1:2" x14ac:dyDescent="0.2">
      <c r="B1632" s="1"/>
    </row>
    <row r="1633" spans="1:2" x14ac:dyDescent="0.2">
      <c r="B1633" s="1"/>
    </row>
    <row r="1634" spans="1:2" x14ac:dyDescent="0.2">
      <c r="B1634" s="1"/>
    </row>
    <row r="1635" spans="1:2" x14ac:dyDescent="0.2">
      <c r="B1635" s="1"/>
    </row>
    <row r="1636" spans="1:2" x14ac:dyDescent="0.2">
      <c r="B1636" s="1"/>
    </row>
    <row r="1637" spans="1:2" x14ac:dyDescent="0.2">
      <c r="B1637" s="1"/>
    </row>
    <row r="1638" spans="1:2" x14ac:dyDescent="0.2">
      <c r="B1638" s="1"/>
    </row>
    <row r="1639" spans="1:2" x14ac:dyDescent="0.2">
      <c r="B1639" s="1"/>
    </row>
    <row r="1640" spans="1:2" x14ac:dyDescent="0.2">
      <c r="B1640" s="1"/>
    </row>
    <row r="1641" spans="1:2" x14ac:dyDescent="0.2">
      <c r="B1641" s="1"/>
    </row>
    <row r="1642" spans="1:2" x14ac:dyDescent="0.2">
      <c r="B1642" s="1"/>
    </row>
    <row r="1643" spans="1:2" x14ac:dyDescent="0.2">
      <c r="A1643" s="26"/>
      <c r="B1643" s="1"/>
    </row>
    <row r="1644" spans="1:2" x14ac:dyDescent="0.2">
      <c r="A1644" s="26"/>
      <c r="B1644" s="1"/>
    </row>
    <row r="1645" spans="1:2" x14ac:dyDescent="0.2">
      <c r="A1645" s="26"/>
      <c r="B1645" s="1"/>
    </row>
    <row r="1646" spans="1:2" x14ac:dyDescent="0.2">
      <c r="A1646" s="26"/>
      <c r="B1646" s="1"/>
    </row>
    <row r="1647" spans="1:2" x14ac:dyDescent="0.2">
      <c r="A1647" s="26"/>
      <c r="B1647" s="1"/>
    </row>
    <row r="1648" spans="1:2" x14ac:dyDescent="0.2">
      <c r="A1648" s="26"/>
      <c r="B1648" s="1"/>
    </row>
    <row r="1649" spans="1:2" x14ac:dyDescent="0.2">
      <c r="A1649" s="26"/>
      <c r="B1649" s="1"/>
    </row>
    <row r="1650" spans="1:2" x14ac:dyDescent="0.2">
      <c r="A1650" s="26"/>
      <c r="B1650" s="1"/>
    </row>
    <row r="1651" spans="1:2" x14ac:dyDescent="0.2">
      <c r="B1651" s="1"/>
    </row>
    <row r="1652" spans="1:2" x14ac:dyDescent="0.2">
      <c r="B1652" s="1"/>
    </row>
    <row r="1653" spans="1:2" x14ac:dyDescent="0.2">
      <c r="B1653" s="1"/>
    </row>
    <row r="1654" spans="1:2" x14ac:dyDescent="0.2">
      <c r="B1654" s="1"/>
    </row>
    <row r="1655" spans="1:2" x14ac:dyDescent="0.2">
      <c r="B1655" s="1"/>
    </row>
    <row r="1656" spans="1:2" x14ac:dyDescent="0.2">
      <c r="B1656" s="1"/>
    </row>
    <row r="1657" spans="1:2" x14ac:dyDescent="0.2">
      <c r="B1657" s="1"/>
    </row>
    <row r="1658" spans="1:2" x14ac:dyDescent="0.2">
      <c r="B1658" s="1"/>
    </row>
    <row r="1659" spans="1:2" x14ac:dyDescent="0.2">
      <c r="B1659" s="1"/>
    </row>
    <row r="1660" spans="1:2" x14ac:dyDescent="0.2">
      <c r="B1660" s="1"/>
    </row>
    <row r="1661" spans="1:2" x14ac:dyDescent="0.2">
      <c r="B1661" s="1"/>
    </row>
    <row r="1662" spans="1:2" x14ac:dyDescent="0.2">
      <c r="A1662" s="26"/>
      <c r="B1662" s="1"/>
    </row>
    <row r="1663" spans="1:2" x14ac:dyDescent="0.2">
      <c r="A1663" s="26"/>
      <c r="B1663" s="1"/>
    </row>
    <row r="1664" spans="1:2" x14ac:dyDescent="0.2">
      <c r="A1664" s="26"/>
      <c r="B1664" s="1"/>
    </row>
    <row r="1665" spans="1:2" x14ac:dyDescent="0.2">
      <c r="A1665" s="26"/>
      <c r="B1665" s="1"/>
    </row>
    <row r="1666" spans="1:2" x14ac:dyDescent="0.2">
      <c r="A1666" s="26"/>
      <c r="B1666" s="1"/>
    </row>
    <row r="1667" spans="1:2" x14ac:dyDescent="0.2">
      <c r="A1667" s="26"/>
      <c r="B1667" s="1"/>
    </row>
    <row r="1668" spans="1:2" x14ac:dyDescent="0.2">
      <c r="A1668" s="26"/>
      <c r="B1668" s="1"/>
    </row>
    <row r="1669" spans="1:2" x14ac:dyDescent="0.2">
      <c r="A1669" s="26"/>
      <c r="B1669" s="1"/>
    </row>
    <row r="1670" spans="1:2" x14ac:dyDescent="0.2">
      <c r="B1670" s="1"/>
    </row>
    <row r="1671" spans="1:2" x14ac:dyDescent="0.2">
      <c r="B1671" s="1"/>
    </row>
    <row r="1672" spans="1:2" x14ac:dyDescent="0.2">
      <c r="B1672" s="1"/>
    </row>
    <row r="1673" spans="1:2" x14ac:dyDescent="0.2">
      <c r="B1673" s="1"/>
    </row>
    <row r="1674" spans="1:2" x14ac:dyDescent="0.2">
      <c r="B1674" s="1"/>
    </row>
    <row r="1675" spans="1:2" x14ac:dyDescent="0.2">
      <c r="B1675" s="1"/>
    </row>
    <row r="1676" spans="1:2" x14ac:dyDescent="0.2">
      <c r="B1676" s="1"/>
    </row>
    <row r="1677" spans="1:2" x14ac:dyDescent="0.2">
      <c r="B1677" s="1"/>
    </row>
    <row r="1678" spans="1:2" x14ac:dyDescent="0.2">
      <c r="B1678" s="1"/>
    </row>
    <row r="1679" spans="1:2" x14ac:dyDescent="0.2">
      <c r="B1679" s="1"/>
    </row>
    <row r="1680" spans="1:2" x14ac:dyDescent="0.2">
      <c r="B1680" s="1"/>
    </row>
    <row r="1681" spans="1:2" x14ac:dyDescent="0.2">
      <c r="B1681" s="1"/>
    </row>
    <row r="1682" spans="1:2" x14ac:dyDescent="0.2">
      <c r="B1682" s="1"/>
    </row>
    <row r="1683" spans="1:2" x14ac:dyDescent="0.2">
      <c r="A1683" s="26"/>
      <c r="B1683" s="1"/>
    </row>
    <row r="1684" spans="1:2" x14ac:dyDescent="0.2">
      <c r="A1684" s="26"/>
      <c r="B1684" s="1"/>
    </row>
    <row r="1685" spans="1:2" x14ac:dyDescent="0.2">
      <c r="A1685" s="26"/>
      <c r="B1685" s="1"/>
    </row>
    <row r="1686" spans="1:2" x14ac:dyDescent="0.2">
      <c r="A1686" s="26"/>
      <c r="B1686" s="1"/>
    </row>
    <row r="1687" spans="1:2" x14ac:dyDescent="0.2">
      <c r="A1687" s="26"/>
      <c r="B1687" s="1"/>
    </row>
    <row r="1688" spans="1:2" x14ac:dyDescent="0.2">
      <c r="A1688" s="26"/>
      <c r="B1688" s="1"/>
    </row>
    <row r="1689" spans="1:2" x14ac:dyDescent="0.2">
      <c r="A1689" s="26"/>
      <c r="B1689" s="1"/>
    </row>
    <row r="1690" spans="1:2" x14ac:dyDescent="0.2">
      <c r="A1690" s="26"/>
      <c r="B1690" s="1"/>
    </row>
    <row r="1691" spans="1:2" x14ac:dyDescent="0.2">
      <c r="B1691" s="1"/>
    </row>
    <row r="1692" spans="1:2" x14ac:dyDescent="0.2">
      <c r="B1692" s="1"/>
    </row>
    <row r="1693" spans="1:2" x14ac:dyDescent="0.2">
      <c r="B1693" s="1"/>
    </row>
    <row r="1694" spans="1:2" x14ac:dyDescent="0.2">
      <c r="B1694" s="1"/>
    </row>
    <row r="1695" spans="1:2" x14ac:dyDescent="0.2">
      <c r="B1695" s="1"/>
    </row>
    <row r="1696" spans="1:2" x14ac:dyDescent="0.2">
      <c r="B1696" s="1"/>
    </row>
    <row r="1697" spans="1:2" x14ac:dyDescent="0.2">
      <c r="B1697" s="1"/>
    </row>
    <row r="1698" spans="1:2" x14ac:dyDescent="0.2">
      <c r="B1698" s="1"/>
    </row>
    <row r="1699" spans="1:2" x14ac:dyDescent="0.2">
      <c r="B1699" s="1"/>
    </row>
    <row r="1700" spans="1:2" x14ac:dyDescent="0.2">
      <c r="B1700" s="1"/>
    </row>
    <row r="1701" spans="1:2" x14ac:dyDescent="0.2">
      <c r="B1701" s="1"/>
    </row>
    <row r="1702" spans="1:2" x14ac:dyDescent="0.2">
      <c r="B1702" s="1"/>
    </row>
    <row r="1703" spans="1:2" x14ac:dyDescent="0.2">
      <c r="A1703" s="26"/>
      <c r="B1703" s="1"/>
    </row>
    <row r="1704" spans="1:2" x14ac:dyDescent="0.2">
      <c r="A1704" s="26"/>
      <c r="B1704" s="1"/>
    </row>
    <row r="1705" spans="1:2" x14ac:dyDescent="0.2">
      <c r="A1705" s="26"/>
      <c r="B1705" s="1"/>
    </row>
    <row r="1706" spans="1:2" x14ac:dyDescent="0.2">
      <c r="A1706" s="26"/>
      <c r="B1706" s="1"/>
    </row>
    <row r="1707" spans="1:2" x14ac:dyDescent="0.2">
      <c r="A1707" s="26"/>
      <c r="B1707" s="1"/>
    </row>
    <row r="1708" spans="1:2" x14ac:dyDescent="0.2">
      <c r="A1708" s="26"/>
      <c r="B1708" s="1"/>
    </row>
    <row r="1709" spans="1:2" x14ac:dyDescent="0.2">
      <c r="A1709" s="26"/>
      <c r="B1709" s="1"/>
    </row>
    <row r="1710" spans="1:2" x14ac:dyDescent="0.2">
      <c r="B1710" s="1"/>
    </row>
    <row r="1711" spans="1:2" x14ac:dyDescent="0.2">
      <c r="B1711" s="1"/>
    </row>
    <row r="1712" spans="1:2" x14ac:dyDescent="0.2">
      <c r="B1712" s="1"/>
    </row>
    <row r="1713" spans="1:2" x14ac:dyDescent="0.2">
      <c r="B1713" s="1"/>
    </row>
    <row r="1714" spans="1:2" x14ac:dyDescent="0.2">
      <c r="B1714" s="1"/>
    </row>
    <row r="1715" spans="1:2" x14ac:dyDescent="0.2">
      <c r="B1715" s="1"/>
    </row>
    <row r="1716" spans="1:2" x14ac:dyDescent="0.2">
      <c r="B1716" s="1"/>
    </row>
    <row r="1717" spans="1:2" x14ac:dyDescent="0.2">
      <c r="B1717" s="1"/>
    </row>
    <row r="1718" spans="1:2" x14ac:dyDescent="0.2">
      <c r="B1718" s="1"/>
    </row>
    <row r="1719" spans="1:2" x14ac:dyDescent="0.2">
      <c r="B1719" s="1"/>
    </row>
    <row r="1720" spans="1:2" x14ac:dyDescent="0.2">
      <c r="B1720" s="1"/>
    </row>
    <row r="1721" spans="1:2" x14ac:dyDescent="0.2">
      <c r="B1721" s="1"/>
    </row>
    <row r="1722" spans="1:2" x14ac:dyDescent="0.2">
      <c r="B1722" s="1"/>
    </row>
    <row r="1723" spans="1:2" x14ac:dyDescent="0.2">
      <c r="A1723" s="26"/>
      <c r="B1723" s="1"/>
    </row>
    <row r="1724" spans="1:2" x14ac:dyDescent="0.2">
      <c r="A1724" s="26"/>
      <c r="B1724" s="1"/>
    </row>
    <row r="1725" spans="1:2" x14ac:dyDescent="0.2">
      <c r="A1725" s="26"/>
      <c r="B1725" s="1"/>
    </row>
    <row r="1726" spans="1:2" x14ac:dyDescent="0.2">
      <c r="A1726" s="26"/>
      <c r="B1726" s="1"/>
    </row>
    <row r="1727" spans="1:2" x14ac:dyDescent="0.2">
      <c r="A1727" s="26"/>
      <c r="B1727" s="1"/>
    </row>
    <row r="1728" spans="1:2" x14ac:dyDescent="0.2">
      <c r="A1728" s="26"/>
      <c r="B1728" s="1"/>
    </row>
    <row r="1729" spans="1:2" x14ac:dyDescent="0.2">
      <c r="A1729" s="26"/>
      <c r="B1729" s="1"/>
    </row>
    <row r="1730" spans="1:2" x14ac:dyDescent="0.2">
      <c r="A1730" s="26"/>
      <c r="B1730" s="1"/>
    </row>
    <row r="1731" spans="1:2" x14ac:dyDescent="0.2">
      <c r="B1731" s="1"/>
    </row>
    <row r="1732" spans="1:2" x14ac:dyDescent="0.2">
      <c r="B1732" s="1"/>
    </row>
    <row r="1733" spans="1:2" x14ac:dyDescent="0.2">
      <c r="B1733" s="1"/>
    </row>
    <row r="1734" spans="1:2" x14ac:dyDescent="0.2">
      <c r="B1734" s="1"/>
    </row>
    <row r="1735" spans="1:2" x14ac:dyDescent="0.2">
      <c r="B1735" s="1"/>
    </row>
    <row r="1736" spans="1:2" x14ac:dyDescent="0.2">
      <c r="B1736" s="1"/>
    </row>
    <row r="1737" spans="1:2" x14ac:dyDescent="0.2">
      <c r="B1737" s="1"/>
    </row>
    <row r="1738" spans="1:2" x14ac:dyDescent="0.2">
      <c r="B1738" s="1"/>
    </row>
    <row r="1739" spans="1:2" x14ac:dyDescent="0.2">
      <c r="B1739" s="1"/>
    </row>
    <row r="1740" spans="1:2" x14ac:dyDescent="0.2">
      <c r="B1740" s="1"/>
    </row>
    <row r="1741" spans="1:2" x14ac:dyDescent="0.2">
      <c r="B1741" s="1"/>
    </row>
    <row r="1742" spans="1:2" x14ac:dyDescent="0.2">
      <c r="B1742" s="1"/>
    </row>
    <row r="1743" spans="1:2" x14ac:dyDescent="0.2">
      <c r="B1743" s="1"/>
    </row>
    <row r="1744" spans="1:2" x14ac:dyDescent="0.2">
      <c r="A1744" s="26"/>
      <c r="B1744" s="1"/>
    </row>
    <row r="1745" spans="1:2" x14ac:dyDescent="0.2">
      <c r="A1745" s="26"/>
      <c r="B1745" s="1"/>
    </row>
    <row r="1746" spans="1:2" x14ac:dyDescent="0.2">
      <c r="A1746" s="26"/>
      <c r="B1746" s="1"/>
    </row>
    <row r="1747" spans="1:2" x14ac:dyDescent="0.2">
      <c r="A1747" s="26"/>
      <c r="B1747" s="1"/>
    </row>
    <row r="1748" spans="1:2" x14ac:dyDescent="0.2">
      <c r="A1748" s="26"/>
      <c r="B1748" s="1"/>
    </row>
    <row r="1749" spans="1:2" x14ac:dyDescent="0.2">
      <c r="A1749" s="26"/>
      <c r="B1749" s="1"/>
    </row>
    <row r="1750" spans="1:2" x14ac:dyDescent="0.2">
      <c r="A1750" s="26"/>
      <c r="B1750" s="1"/>
    </row>
    <row r="1751" spans="1:2" x14ac:dyDescent="0.2">
      <c r="A1751" s="26"/>
      <c r="B1751" s="1"/>
    </row>
    <row r="1752" spans="1:2" x14ac:dyDescent="0.2">
      <c r="A1752" s="26"/>
      <c r="B1752" s="1"/>
    </row>
    <row r="1753" spans="1:2" x14ac:dyDescent="0.2">
      <c r="A1753" s="26"/>
      <c r="B1753" s="1"/>
    </row>
    <row r="1754" spans="1:2" x14ac:dyDescent="0.2">
      <c r="B1754" s="1"/>
    </row>
    <row r="1755" spans="1:2" x14ac:dyDescent="0.2">
      <c r="B1755" s="1"/>
    </row>
    <row r="1756" spans="1:2" x14ac:dyDescent="0.2">
      <c r="B1756" s="1"/>
    </row>
    <row r="1757" spans="1:2" x14ac:dyDescent="0.2">
      <c r="B1757" s="1"/>
    </row>
    <row r="1758" spans="1:2" x14ac:dyDescent="0.2">
      <c r="B1758" s="1"/>
    </row>
    <row r="1759" spans="1:2" x14ac:dyDescent="0.2">
      <c r="B1759" s="1"/>
    </row>
    <row r="1760" spans="1:2" x14ac:dyDescent="0.2">
      <c r="B1760" s="1"/>
    </row>
    <row r="1761" spans="1:2" x14ac:dyDescent="0.2">
      <c r="B1761" s="1"/>
    </row>
    <row r="1762" spans="1:2" x14ac:dyDescent="0.2">
      <c r="B1762" s="1"/>
    </row>
    <row r="1763" spans="1:2" x14ac:dyDescent="0.2">
      <c r="B1763" s="1"/>
    </row>
    <row r="1764" spans="1:2" x14ac:dyDescent="0.2">
      <c r="B1764" s="1"/>
    </row>
    <row r="1765" spans="1:2" x14ac:dyDescent="0.2">
      <c r="B1765" s="1"/>
    </row>
    <row r="1766" spans="1:2" x14ac:dyDescent="0.2">
      <c r="A1766" s="26"/>
      <c r="B1766" s="1"/>
    </row>
    <row r="1767" spans="1:2" x14ac:dyDescent="0.2">
      <c r="A1767" s="26"/>
      <c r="B1767" s="1"/>
    </row>
    <row r="1768" spans="1:2" x14ac:dyDescent="0.2">
      <c r="A1768" s="26"/>
      <c r="B1768" s="1"/>
    </row>
    <row r="1769" spans="1:2" x14ac:dyDescent="0.2">
      <c r="A1769" s="26"/>
      <c r="B1769" s="1"/>
    </row>
    <row r="1770" spans="1:2" x14ac:dyDescent="0.2">
      <c r="A1770" s="26"/>
      <c r="B1770" s="1"/>
    </row>
    <row r="1771" spans="1:2" x14ac:dyDescent="0.2">
      <c r="A1771" s="26"/>
      <c r="B1771" s="1"/>
    </row>
    <row r="1772" spans="1:2" x14ac:dyDescent="0.2">
      <c r="A1772" s="26"/>
      <c r="B1772" s="1"/>
    </row>
    <row r="1773" spans="1:2" x14ac:dyDescent="0.2">
      <c r="B1773" s="1"/>
    </row>
    <row r="1774" spans="1:2" x14ac:dyDescent="0.2">
      <c r="B1774" s="1"/>
    </row>
    <row r="1775" spans="1:2" x14ac:dyDescent="0.2">
      <c r="B1775" s="1"/>
    </row>
    <row r="1776" spans="1:2" x14ac:dyDescent="0.2">
      <c r="B1776" s="1"/>
    </row>
    <row r="1777" spans="1:2" x14ac:dyDescent="0.2">
      <c r="B1777" s="1"/>
    </row>
    <row r="1778" spans="1:2" x14ac:dyDescent="0.2">
      <c r="B1778" s="1"/>
    </row>
    <row r="1779" spans="1:2" x14ac:dyDescent="0.2">
      <c r="B1779" s="1"/>
    </row>
    <row r="1780" spans="1:2" x14ac:dyDescent="0.2">
      <c r="B1780" s="1"/>
    </row>
    <row r="1781" spans="1:2" x14ac:dyDescent="0.2">
      <c r="B1781" s="1"/>
    </row>
    <row r="1782" spans="1:2" x14ac:dyDescent="0.2">
      <c r="B1782" s="1"/>
    </row>
    <row r="1783" spans="1:2" x14ac:dyDescent="0.2">
      <c r="B1783" s="1"/>
    </row>
    <row r="1784" spans="1:2" x14ac:dyDescent="0.2">
      <c r="B1784" s="1"/>
    </row>
    <row r="1785" spans="1:2" x14ac:dyDescent="0.2">
      <c r="B1785" s="1"/>
    </row>
    <row r="1786" spans="1:2" x14ac:dyDescent="0.2">
      <c r="B1786" s="1"/>
    </row>
    <row r="1787" spans="1:2" x14ac:dyDescent="0.2">
      <c r="B1787" s="1"/>
    </row>
    <row r="1788" spans="1:2" x14ac:dyDescent="0.2">
      <c r="A1788" s="26"/>
      <c r="B1788" s="1"/>
    </row>
    <row r="1789" spans="1:2" x14ac:dyDescent="0.2">
      <c r="A1789" s="26"/>
      <c r="B1789" s="1"/>
    </row>
    <row r="1790" spans="1:2" x14ac:dyDescent="0.2">
      <c r="A1790" s="26"/>
      <c r="B1790" s="1"/>
    </row>
    <row r="1791" spans="1:2" x14ac:dyDescent="0.2">
      <c r="A1791" s="26"/>
      <c r="B1791" s="1"/>
    </row>
    <row r="1792" spans="1:2" x14ac:dyDescent="0.2">
      <c r="A1792" s="26"/>
      <c r="B1792" s="1"/>
    </row>
    <row r="1793" spans="1:2" x14ac:dyDescent="0.2">
      <c r="A1793" s="26"/>
      <c r="B1793" s="1"/>
    </row>
    <row r="1794" spans="1:2" x14ac:dyDescent="0.2">
      <c r="A1794" s="26"/>
      <c r="B1794" s="1"/>
    </row>
    <row r="1795" spans="1:2" x14ac:dyDescent="0.2">
      <c r="A1795" s="26"/>
      <c r="B1795" s="1"/>
    </row>
    <row r="1796" spans="1:2" x14ac:dyDescent="0.2">
      <c r="B1796" s="1"/>
    </row>
    <row r="1797" spans="1:2" x14ac:dyDescent="0.2">
      <c r="B1797" s="1"/>
    </row>
    <row r="1798" spans="1:2" x14ac:dyDescent="0.2">
      <c r="B1798" s="1"/>
    </row>
    <row r="1799" spans="1:2" x14ac:dyDescent="0.2">
      <c r="B1799" s="1"/>
    </row>
    <row r="1800" spans="1:2" x14ac:dyDescent="0.2">
      <c r="B1800" s="1"/>
    </row>
    <row r="1801" spans="1:2" x14ac:dyDescent="0.2">
      <c r="B1801" s="1"/>
    </row>
    <row r="1802" spans="1:2" x14ac:dyDescent="0.2">
      <c r="B1802" s="1"/>
    </row>
    <row r="1803" spans="1:2" x14ac:dyDescent="0.2">
      <c r="B1803" s="1"/>
    </row>
    <row r="1804" spans="1:2" x14ac:dyDescent="0.2">
      <c r="B1804" s="1"/>
    </row>
    <row r="1805" spans="1:2" x14ac:dyDescent="0.2">
      <c r="B1805" s="1"/>
    </row>
    <row r="1806" spans="1:2" x14ac:dyDescent="0.2">
      <c r="B1806" s="1"/>
    </row>
    <row r="1807" spans="1:2" x14ac:dyDescent="0.2">
      <c r="B1807" s="1"/>
    </row>
    <row r="1808" spans="1:2" x14ac:dyDescent="0.2">
      <c r="B1808" s="1"/>
    </row>
    <row r="1809" spans="1:2" x14ac:dyDescent="0.2">
      <c r="A1809" s="26"/>
      <c r="B1809" s="1"/>
    </row>
    <row r="1810" spans="1:2" x14ac:dyDescent="0.2">
      <c r="A1810" s="26"/>
      <c r="B1810" s="1"/>
    </row>
    <row r="1811" spans="1:2" x14ac:dyDescent="0.2">
      <c r="A1811" s="26"/>
      <c r="B1811" s="1"/>
    </row>
    <row r="1812" spans="1:2" x14ac:dyDescent="0.2">
      <c r="A1812" s="26"/>
      <c r="B1812" s="1"/>
    </row>
    <row r="1813" spans="1:2" x14ac:dyDescent="0.2">
      <c r="A1813" s="26"/>
      <c r="B1813" s="1"/>
    </row>
    <row r="1814" spans="1:2" x14ac:dyDescent="0.2">
      <c r="A1814" s="26"/>
      <c r="B1814" s="1"/>
    </row>
    <row r="1815" spans="1:2" x14ac:dyDescent="0.2">
      <c r="A1815" s="26"/>
      <c r="B1815" s="1"/>
    </row>
    <row r="1816" spans="1:2" x14ac:dyDescent="0.2">
      <c r="A1816" s="26"/>
      <c r="B1816" s="1"/>
    </row>
    <row r="1817" spans="1:2" x14ac:dyDescent="0.2">
      <c r="B1817" s="1"/>
    </row>
    <row r="1818" spans="1:2" x14ac:dyDescent="0.2">
      <c r="B1818" s="1"/>
    </row>
    <row r="1819" spans="1:2" x14ac:dyDescent="0.2">
      <c r="B1819" s="1"/>
    </row>
    <row r="1820" spans="1:2" x14ac:dyDescent="0.2">
      <c r="B1820" s="1"/>
    </row>
    <row r="1821" spans="1:2" x14ac:dyDescent="0.2">
      <c r="B1821" s="1"/>
    </row>
    <row r="1822" spans="1:2" x14ac:dyDescent="0.2">
      <c r="B1822" s="1"/>
    </row>
    <row r="1823" spans="1:2" x14ac:dyDescent="0.2">
      <c r="B1823" s="1"/>
    </row>
    <row r="1824" spans="1:2" x14ac:dyDescent="0.2">
      <c r="B1824" s="1"/>
    </row>
    <row r="1825" spans="1:2" x14ac:dyDescent="0.2">
      <c r="B1825" s="1"/>
    </row>
    <row r="1826" spans="1:2" x14ac:dyDescent="0.2">
      <c r="B1826" s="1"/>
    </row>
    <row r="1827" spans="1:2" x14ac:dyDescent="0.2">
      <c r="B1827" s="1"/>
    </row>
    <row r="1828" spans="1:2" x14ac:dyDescent="0.2">
      <c r="B1828" s="1"/>
    </row>
    <row r="1829" spans="1:2" x14ac:dyDescent="0.2">
      <c r="B1829" s="1"/>
    </row>
    <row r="1830" spans="1:2" x14ac:dyDescent="0.2">
      <c r="A1830" s="26"/>
      <c r="B1830" s="1"/>
    </row>
    <row r="1831" spans="1:2" x14ac:dyDescent="0.2">
      <c r="A1831" s="26"/>
      <c r="B1831" s="1"/>
    </row>
    <row r="1832" spans="1:2" x14ac:dyDescent="0.2">
      <c r="A1832" s="26"/>
      <c r="B1832" s="1"/>
    </row>
    <row r="1833" spans="1:2" x14ac:dyDescent="0.2">
      <c r="A1833" s="26"/>
      <c r="B1833" s="1"/>
    </row>
    <row r="1834" spans="1:2" x14ac:dyDescent="0.2">
      <c r="A1834" s="26"/>
      <c r="B1834" s="1"/>
    </row>
    <row r="1835" spans="1:2" x14ac:dyDescent="0.2">
      <c r="A1835" s="26"/>
      <c r="B1835" s="1"/>
    </row>
    <row r="1836" spans="1:2" x14ac:dyDescent="0.2">
      <c r="A1836" s="26"/>
      <c r="B1836" s="1"/>
    </row>
    <row r="1837" spans="1:2" x14ac:dyDescent="0.2">
      <c r="A1837" s="26"/>
      <c r="B1837" s="1"/>
    </row>
    <row r="1838" spans="1:2" x14ac:dyDescent="0.2">
      <c r="B1838" s="1"/>
    </row>
    <row r="1839" spans="1:2" x14ac:dyDescent="0.2">
      <c r="B1839" s="1"/>
    </row>
    <row r="1840" spans="1:2" x14ac:dyDescent="0.2">
      <c r="B1840" s="1"/>
    </row>
    <row r="1841" spans="1:2" x14ac:dyDescent="0.2">
      <c r="B1841" s="1"/>
    </row>
    <row r="1842" spans="1:2" x14ac:dyDescent="0.2">
      <c r="B1842" s="1"/>
    </row>
    <row r="1843" spans="1:2" x14ac:dyDescent="0.2">
      <c r="B1843" s="1"/>
    </row>
    <row r="1844" spans="1:2" x14ac:dyDescent="0.2">
      <c r="B1844" s="1"/>
    </row>
    <row r="1845" spans="1:2" x14ac:dyDescent="0.2">
      <c r="B1845" s="1"/>
    </row>
    <row r="1846" spans="1:2" x14ac:dyDescent="0.2">
      <c r="B1846" s="1"/>
    </row>
    <row r="1847" spans="1:2" x14ac:dyDescent="0.2">
      <c r="B1847" s="1"/>
    </row>
    <row r="1848" spans="1:2" x14ac:dyDescent="0.2">
      <c r="B1848" s="1"/>
    </row>
    <row r="1849" spans="1:2" x14ac:dyDescent="0.2">
      <c r="B1849" s="1"/>
    </row>
    <row r="1850" spans="1:2" x14ac:dyDescent="0.2">
      <c r="B1850" s="1"/>
    </row>
    <row r="1851" spans="1:2" x14ac:dyDescent="0.2">
      <c r="A1851" s="26"/>
      <c r="B1851" s="1"/>
    </row>
    <row r="1852" spans="1:2" x14ac:dyDescent="0.2">
      <c r="A1852" s="26"/>
      <c r="B1852" s="1"/>
    </row>
    <row r="1853" spans="1:2" x14ac:dyDescent="0.2">
      <c r="A1853" s="26"/>
      <c r="B1853" s="1"/>
    </row>
    <row r="1854" spans="1:2" x14ac:dyDescent="0.2">
      <c r="A1854" s="26"/>
      <c r="B1854" s="1"/>
    </row>
    <row r="1855" spans="1:2" x14ac:dyDescent="0.2">
      <c r="A1855" s="26"/>
      <c r="B1855" s="1"/>
    </row>
    <row r="1856" spans="1:2" x14ac:dyDescent="0.2">
      <c r="A1856" s="26"/>
      <c r="B1856" s="1"/>
    </row>
    <row r="1857" spans="1:2" x14ac:dyDescent="0.2">
      <c r="A1857" s="26"/>
      <c r="B1857" s="1"/>
    </row>
    <row r="1858" spans="1:2" x14ac:dyDescent="0.2">
      <c r="A1858" s="26"/>
      <c r="B1858" s="1"/>
    </row>
    <row r="1859" spans="1:2" x14ac:dyDescent="0.2">
      <c r="A1859" s="26"/>
      <c r="B1859" s="1"/>
    </row>
    <row r="1860" spans="1:2" x14ac:dyDescent="0.2">
      <c r="B1860" s="1"/>
    </row>
    <row r="1861" spans="1:2" x14ac:dyDescent="0.2">
      <c r="B1861" s="1"/>
    </row>
    <row r="1862" spans="1:2" x14ac:dyDescent="0.2">
      <c r="B1862" s="1"/>
    </row>
    <row r="1863" spans="1:2" x14ac:dyDescent="0.2">
      <c r="B1863" s="1"/>
    </row>
    <row r="1864" spans="1:2" x14ac:dyDescent="0.2">
      <c r="B1864" s="1"/>
    </row>
    <row r="1865" spans="1:2" x14ac:dyDescent="0.2">
      <c r="B1865" s="1"/>
    </row>
    <row r="1866" spans="1:2" x14ac:dyDescent="0.2">
      <c r="B1866" s="1"/>
    </row>
    <row r="1867" spans="1:2" x14ac:dyDescent="0.2">
      <c r="B1867" s="1"/>
    </row>
    <row r="1868" spans="1:2" x14ac:dyDescent="0.2">
      <c r="B1868" s="1"/>
    </row>
    <row r="1869" spans="1:2" x14ac:dyDescent="0.2">
      <c r="B1869" s="1"/>
    </row>
    <row r="1870" spans="1:2" x14ac:dyDescent="0.2">
      <c r="B1870" s="1"/>
    </row>
    <row r="1871" spans="1:2" x14ac:dyDescent="0.2">
      <c r="B1871" s="1"/>
    </row>
    <row r="1872" spans="1:2" x14ac:dyDescent="0.2">
      <c r="A1872" s="26"/>
      <c r="B1872" s="1"/>
    </row>
    <row r="1873" spans="1:2" x14ac:dyDescent="0.2">
      <c r="A1873" s="26"/>
      <c r="B1873" s="1"/>
    </row>
    <row r="1874" spans="1:2" x14ac:dyDescent="0.2">
      <c r="A1874" s="26"/>
      <c r="B1874" s="1"/>
    </row>
    <row r="1875" spans="1:2" x14ac:dyDescent="0.2">
      <c r="A1875" s="26"/>
      <c r="B1875" s="1"/>
    </row>
    <row r="1876" spans="1:2" x14ac:dyDescent="0.2">
      <c r="A1876" s="26"/>
      <c r="B1876" s="1"/>
    </row>
    <row r="1877" spans="1:2" x14ac:dyDescent="0.2">
      <c r="A1877" s="26"/>
      <c r="B1877" s="1"/>
    </row>
    <row r="1878" spans="1:2" x14ac:dyDescent="0.2">
      <c r="A1878" s="26"/>
      <c r="B1878" s="1"/>
    </row>
    <row r="1879" spans="1:2" x14ac:dyDescent="0.2">
      <c r="A1879" s="26"/>
      <c r="B1879" s="1"/>
    </row>
    <row r="1880" spans="1:2" x14ac:dyDescent="0.2">
      <c r="A1880" s="26"/>
      <c r="B1880" s="1"/>
    </row>
    <row r="1881" spans="1:2" x14ac:dyDescent="0.2">
      <c r="B1881" s="1"/>
    </row>
    <row r="1882" spans="1:2" x14ac:dyDescent="0.2">
      <c r="B1882" s="1"/>
    </row>
    <row r="1883" spans="1:2" x14ac:dyDescent="0.2">
      <c r="B1883" s="1"/>
    </row>
    <row r="1884" spans="1:2" x14ac:dyDescent="0.2">
      <c r="B1884" s="1"/>
    </row>
    <row r="1885" spans="1:2" x14ac:dyDescent="0.2">
      <c r="B1885" s="1"/>
    </row>
    <row r="1886" spans="1:2" x14ac:dyDescent="0.2">
      <c r="B1886" s="1"/>
    </row>
    <row r="1887" spans="1:2" x14ac:dyDescent="0.2">
      <c r="B1887" s="1"/>
    </row>
    <row r="1888" spans="1:2" x14ac:dyDescent="0.2">
      <c r="B1888" s="1"/>
    </row>
    <row r="1889" spans="1:2" x14ac:dyDescent="0.2">
      <c r="B1889" s="1"/>
    </row>
    <row r="1890" spans="1:2" x14ac:dyDescent="0.2">
      <c r="B1890" s="1"/>
    </row>
    <row r="1891" spans="1:2" x14ac:dyDescent="0.2">
      <c r="B1891" s="1"/>
    </row>
    <row r="1892" spans="1:2" x14ac:dyDescent="0.2">
      <c r="B1892" s="1"/>
    </row>
    <row r="1893" spans="1:2" x14ac:dyDescent="0.2">
      <c r="B1893" s="1"/>
    </row>
    <row r="1894" spans="1:2" x14ac:dyDescent="0.2">
      <c r="A1894" s="26"/>
      <c r="B1894" s="1"/>
    </row>
    <row r="1895" spans="1:2" x14ac:dyDescent="0.2">
      <c r="A1895" s="26"/>
      <c r="B1895" s="1"/>
    </row>
    <row r="1896" spans="1:2" x14ac:dyDescent="0.2">
      <c r="A1896" s="26"/>
      <c r="B1896" s="1"/>
    </row>
    <row r="1897" spans="1:2" x14ac:dyDescent="0.2">
      <c r="A1897" s="26"/>
      <c r="B1897" s="1"/>
    </row>
    <row r="1898" spans="1:2" x14ac:dyDescent="0.2">
      <c r="A1898" s="26"/>
      <c r="B1898" s="1"/>
    </row>
    <row r="1899" spans="1:2" x14ac:dyDescent="0.2">
      <c r="A1899" s="26"/>
      <c r="B1899" s="1"/>
    </row>
    <row r="1900" spans="1:2" x14ac:dyDescent="0.2">
      <c r="A1900" s="26"/>
      <c r="B1900" s="1"/>
    </row>
    <row r="1901" spans="1:2" x14ac:dyDescent="0.2">
      <c r="A1901" s="26"/>
      <c r="B1901" s="1"/>
    </row>
    <row r="1902" spans="1:2" x14ac:dyDescent="0.2">
      <c r="B1902" s="1"/>
    </row>
    <row r="1903" spans="1:2" x14ac:dyDescent="0.2">
      <c r="B1903" s="1"/>
    </row>
    <row r="1904" spans="1:2" x14ac:dyDescent="0.2">
      <c r="B1904" s="1"/>
    </row>
    <row r="1905" spans="1:2" x14ac:dyDescent="0.2">
      <c r="B1905" s="1"/>
    </row>
    <row r="1906" spans="1:2" x14ac:dyDescent="0.2">
      <c r="B1906" s="1"/>
    </row>
    <row r="1907" spans="1:2" x14ac:dyDescent="0.2">
      <c r="B1907" s="1"/>
    </row>
    <row r="1908" spans="1:2" x14ac:dyDescent="0.2">
      <c r="B1908" s="1"/>
    </row>
    <row r="1909" spans="1:2" x14ac:dyDescent="0.2">
      <c r="B1909" s="1"/>
    </row>
    <row r="1910" spans="1:2" x14ac:dyDescent="0.2">
      <c r="B1910" s="1"/>
    </row>
    <row r="1911" spans="1:2" x14ac:dyDescent="0.2">
      <c r="B1911" s="1"/>
    </row>
    <row r="1912" spans="1:2" x14ac:dyDescent="0.2">
      <c r="B1912" s="1"/>
    </row>
    <row r="1913" spans="1:2" x14ac:dyDescent="0.2">
      <c r="A1913" s="26"/>
      <c r="B1913" s="1"/>
    </row>
    <row r="1914" spans="1:2" x14ac:dyDescent="0.2">
      <c r="A1914" s="26"/>
      <c r="B1914" s="1"/>
    </row>
    <row r="1915" spans="1:2" x14ac:dyDescent="0.2">
      <c r="A1915" s="26"/>
      <c r="B1915" s="1"/>
    </row>
    <row r="1916" spans="1:2" x14ac:dyDescent="0.2">
      <c r="A1916" s="26"/>
      <c r="B1916" s="1"/>
    </row>
    <row r="1917" spans="1:2" x14ac:dyDescent="0.2">
      <c r="A1917" s="26"/>
      <c r="B1917" s="1"/>
    </row>
    <row r="1918" spans="1:2" x14ac:dyDescent="0.2">
      <c r="A1918" s="26"/>
      <c r="B1918" s="1"/>
    </row>
    <row r="1919" spans="1:2" x14ac:dyDescent="0.2">
      <c r="A1919" s="26"/>
      <c r="B1919" s="1"/>
    </row>
    <row r="1920" spans="1:2" x14ac:dyDescent="0.2">
      <c r="A1920" s="26"/>
      <c r="B1920" s="1"/>
    </row>
    <row r="1921" spans="1:2" x14ac:dyDescent="0.2">
      <c r="B1921" s="1"/>
    </row>
    <row r="1922" spans="1:2" x14ac:dyDescent="0.2">
      <c r="B1922" s="1"/>
    </row>
    <row r="1923" spans="1:2" x14ac:dyDescent="0.2">
      <c r="B1923" s="1"/>
    </row>
    <row r="1924" spans="1:2" x14ac:dyDescent="0.2">
      <c r="B1924" s="1"/>
    </row>
    <row r="1925" spans="1:2" x14ac:dyDescent="0.2">
      <c r="B1925" s="1"/>
    </row>
    <row r="1926" spans="1:2" x14ac:dyDescent="0.2">
      <c r="B1926" s="1"/>
    </row>
    <row r="1927" spans="1:2" x14ac:dyDescent="0.2">
      <c r="B1927" s="1"/>
    </row>
    <row r="1928" spans="1:2" x14ac:dyDescent="0.2">
      <c r="B1928" s="1"/>
    </row>
    <row r="1929" spans="1:2" x14ac:dyDescent="0.2">
      <c r="B1929" s="1"/>
    </row>
    <row r="1930" spans="1:2" x14ac:dyDescent="0.2">
      <c r="B1930" s="1"/>
    </row>
    <row r="1931" spans="1:2" x14ac:dyDescent="0.2">
      <c r="B1931" s="1"/>
    </row>
    <row r="1932" spans="1:2" x14ac:dyDescent="0.2">
      <c r="B1932" s="1"/>
    </row>
    <row r="1933" spans="1:2" x14ac:dyDescent="0.2">
      <c r="A1933" s="26"/>
      <c r="B1933" s="1"/>
    </row>
    <row r="1934" spans="1:2" x14ac:dyDescent="0.2">
      <c r="A1934" s="26"/>
      <c r="B1934" s="1"/>
    </row>
    <row r="1935" spans="1:2" x14ac:dyDescent="0.2">
      <c r="A1935" s="26"/>
      <c r="B1935" s="1"/>
    </row>
    <row r="1936" spans="1:2" x14ac:dyDescent="0.2">
      <c r="A1936" s="26"/>
      <c r="B1936" s="1"/>
    </row>
    <row r="1937" spans="1:2" x14ac:dyDescent="0.2">
      <c r="A1937" s="26"/>
      <c r="B1937" s="1"/>
    </row>
    <row r="1938" spans="1:2" x14ac:dyDescent="0.2">
      <c r="A1938" s="26"/>
      <c r="B1938" s="1"/>
    </row>
    <row r="1939" spans="1:2" x14ac:dyDescent="0.2">
      <c r="A1939" s="26"/>
      <c r="B1939" s="1"/>
    </row>
    <row r="1940" spans="1:2" x14ac:dyDescent="0.2">
      <c r="A1940" s="26"/>
      <c r="B1940" s="1"/>
    </row>
    <row r="1941" spans="1:2" x14ac:dyDescent="0.2">
      <c r="A1941" s="26"/>
      <c r="B1941" s="1"/>
    </row>
    <row r="1942" spans="1:2" x14ac:dyDescent="0.2">
      <c r="B1942" s="1"/>
    </row>
    <row r="1943" spans="1:2" x14ac:dyDescent="0.2">
      <c r="B1943" s="1"/>
    </row>
    <row r="1944" spans="1:2" x14ac:dyDescent="0.2">
      <c r="B1944" s="1"/>
    </row>
    <row r="1945" spans="1:2" x14ac:dyDescent="0.2">
      <c r="B1945" s="1"/>
    </row>
    <row r="1946" spans="1:2" x14ac:dyDescent="0.2">
      <c r="B1946" s="1"/>
    </row>
    <row r="1947" spans="1:2" x14ac:dyDescent="0.2">
      <c r="B1947" s="1"/>
    </row>
    <row r="1948" spans="1:2" x14ac:dyDescent="0.2">
      <c r="B1948" s="1"/>
    </row>
    <row r="1949" spans="1:2" x14ac:dyDescent="0.2">
      <c r="B1949" s="1"/>
    </row>
    <row r="1950" spans="1:2" x14ac:dyDescent="0.2">
      <c r="B1950" s="1"/>
    </row>
    <row r="1951" spans="1:2" x14ac:dyDescent="0.2">
      <c r="B1951" s="1"/>
    </row>
    <row r="1952" spans="1:2" x14ac:dyDescent="0.2">
      <c r="B1952" s="1"/>
    </row>
    <row r="1953" spans="1:2" x14ac:dyDescent="0.2">
      <c r="B1953" s="1"/>
    </row>
    <row r="1954" spans="1:2" x14ac:dyDescent="0.2">
      <c r="A1954" s="26"/>
      <c r="B1954" s="1"/>
    </row>
    <row r="1955" spans="1:2" x14ac:dyDescent="0.2">
      <c r="A1955" s="26"/>
      <c r="B1955" s="1"/>
    </row>
    <row r="1956" spans="1:2" x14ac:dyDescent="0.2">
      <c r="A1956" s="26"/>
      <c r="B1956" s="1"/>
    </row>
    <row r="1957" spans="1:2" x14ac:dyDescent="0.2">
      <c r="A1957" s="26"/>
      <c r="B1957" s="1"/>
    </row>
    <row r="1958" spans="1:2" x14ac:dyDescent="0.2">
      <c r="A1958" s="26"/>
      <c r="B1958" s="1"/>
    </row>
    <row r="1959" spans="1:2" x14ac:dyDescent="0.2">
      <c r="A1959" s="26"/>
      <c r="B1959" s="1"/>
    </row>
    <row r="1960" spans="1:2" x14ac:dyDescent="0.2">
      <c r="A1960" s="26"/>
      <c r="B1960" s="1"/>
    </row>
    <row r="1961" spans="1:2" x14ac:dyDescent="0.2">
      <c r="A1961" s="26"/>
      <c r="B1961" s="1"/>
    </row>
    <row r="1962" spans="1:2" x14ac:dyDescent="0.2">
      <c r="B1962" s="1"/>
    </row>
    <row r="1963" spans="1:2" x14ac:dyDescent="0.2">
      <c r="B1963" s="1"/>
    </row>
    <row r="1964" spans="1:2" x14ac:dyDescent="0.2">
      <c r="B1964" s="1"/>
    </row>
    <row r="1965" spans="1:2" x14ac:dyDescent="0.2">
      <c r="B1965" s="1"/>
    </row>
    <row r="1966" spans="1:2" x14ac:dyDescent="0.2">
      <c r="B1966" s="1"/>
    </row>
    <row r="1967" spans="1:2" x14ac:dyDescent="0.2">
      <c r="B1967" s="1"/>
    </row>
    <row r="1968" spans="1:2" x14ac:dyDescent="0.2">
      <c r="B1968" s="1"/>
    </row>
    <row r="1969" spans="1:2" x14ac:dyDescent="0.2">
      <c r="B1969" s="1"/>
    </row>
    <row r="1970" spans="1:2" x14ac:dyDescent="0.2">
      <c r="B1970" s="1"/>
    </row>
    <row r="1971" spans="1:2" x14ac:dyDescent="0.2">
      <c r="B1971" s="1"/>
    </row>
    <row r="1972" spans="1:2" x14ac:dyDescent="0.2">
      <c r="B1972" s="1"/>
    </row>
    <row r="1973" spans="1:2" x14ac:dyDescent="0.2">
      <c r="B1973" s="1"/>
    </row>
    <row r="1974" spans="1:2" x14ac:dyDescent="0.2">
      <c r="B1974" s="1"/>
    </row>
    <row r="1975" spans="1:2" x14ac:dyDescent="0.2">
      <c r="A1975" s="26"/>
      <c r="B1975" s="1"/>
    </row>
    <row r="1976" spans="1:2" x14ac:dyDescent="0.2">
      <c r="A1976" s="26"/>
      <c r="B1976" s="1"/>
    </row>
    <row r="1977" spans="1:2" x14ac:dyDescent="0.2">
      <c r="A1977" s="26"/>
      <c r="B1977" s="1"/>
    </row>
    <row r="1978" spans="1:2" x14ac:dyDescent="0.2">
      <c r="A1978" s="26"/>
      <c r="B1978" s="1"/>
    </row>
    <row r="1979" spans="1:2" x14ac:dyDescent="0.2">
      <c r="A1979" s="26"/>
      <c r="B1979" s="1"/>
    </row>
    <row r="1980" spans="1:2" x14ac:dyDescent="0.2">
      <c r="A1980" s="26"/>
      <c r="B1980" s="1"/>
    </row>
    <row r="1981" spans="1:2" x14ac:dyDescent="0.2">
      <c r="A1981" s="26"/>
      <c r="B1981" s="1"/>
    </row>
    <row r="1982" spans="1:2" x14ac:dyDescent="0.2">
      <c r="A1982" s="26"/>
      <c r="B1982" s="1"/>
    </row>
    <row r="1983" spans="1:2" x14ac:dyDescent="0.2">
      <c r="B1983" s="1"/>
    </row>
    <row r="1984" spans="1:2" x14ac:dyDescent="0.2">
      <c r="B1984" s="1"/>
    </row>
    <row r="1985" spans="1:2" x14ac:dyDescent="0.2">
      <c r="B1985" s="1"/>
    </row>
    <row r="1986" spans="1:2" x14ac:dyDescent="0.2">
      <c r="B1986" s="1"/>
    </row>
    <row r="1987" spans="1:2" x14ac:dyDescent="0.2">
      <c r="B1987" s="1"/>
    </row>
    <row r="1988" spans="1:2" x14ac:dyDescent="0.2">
      <c r="B1988" s="1"/>
    </row>
    <row r="1989" spans="1:2" x14ac:dyDescent="0.2">
      <c r="B1989" s="1"/>
    </row>
    <row r="1990" spans="1:2" x14ac:dyDescent="0.2">
      <c r="B1990" s="1"/>
    </row>
    <row r="1991" spans="1:2" x14ac:dyDescent="0.2">
      <c r="B1991" s="1"/>
    </row>
    <row r="1992" spans="1:2" x14ac:dyDescent="0.2">
      <c r="B1992" s="1"/>
    </row>
    <row r="1993" spans="1:2" x14ac:dyDescent="0.2">
      <c r="B1993" s="1"/>
    </row>
    <row r="1994" spans="1:2" x14ac:dyDescent="0.2">
      <c r="B1994" s="1"/>
    </row>
    <row r="1995" spans="1:2" x14ac:dyDescent="0.2">
      <c r="B1995" s="1"/>
    </row>
    <row r="1996" spans="1:2" x14ac:dyDescent="0.2">
      <c r="A1996" s="26"/>
      <c r="B1996" s="1"/>
    </row>
    <row r="1997" spans="1:2" x14ac:dyDescent="0.2">
      <c r="A1997" s="26"/>
      <c r="B1997" s="1"/>
    </row>
    <row r="1998" spans="1:2" x14ac:dyDescent="0.2">
      <c r="A1998" s="26"/>
      <c r="B1998" s="1"/>
    </row>
    <row r="1999" spans="1:2" x14ac:dyDescent="0.2">
      <c r="A1999" s="26"/>
      <c r="B1999" s="1"/>
    </row>
    <row r="2000" spans="1:2" x14ac:dyDescent="0.2">
      <c r="A2000" s="26"/>
      <c r="B2000" s="1"/>
    </row>
    <row r="2001" spans="1:2" x14ac:dyDescent="0.2">
      <c r="A2001" s="26"/>
      <c r="B2001" s="1"/>
    </row>
    <row r="2002" spans="1:2" x14ac:dyDescent="0.2">
      <c r="A2002" s="26"/>
      <c r="B2002" s="1"/>
    </row>
    <row r="2003" spans="1:2" x14ac:dyDescent="0.2">
      <c r="A2003" s="26"/>
      <c r="B2003" s="1"/>
    </row>
    <row r="2004" spans="1:2" x14ac:dyDescent="0.2">
      <c r="A2004" s="26"/>
      <c r="B2004" s="1"/>
    </row>
    <row r="2005" spans="1:2" x14ac:dyDescent="0.2">
      <c r="B2005" s="1"/>
    </row>
    <row r="2006" spans="1:2" x14ac:dyDescent="0.2">
      <c r="B2006" s="1"/>
    </row>
    <row r="2007" spans="1:2" x14ac:dyDescent="0.2">
      <c r="B2007" s="1"/>
    </row>
    <row r="2008" spans="1:2" x14ac:dyDescent="0.2">
      <c r="B2008" s="1"/>
    </row>
    <row r="2009" spans="1:2" x14ac:dyDescent="0.2">
      <c r="B2009" s="1"/>
    </row>
    <row r="2010" spans="1:2" x14ac:dyDescent="0.2">
      <c r="B2010" s="1"/>
    </row>
    <row r="2011" spans="1:2" x14ac:dyDescent="0.2">
      <c r="B2011" s="1"/>
    </row>
    <row r="2012" spans="1:2" x14ac:dyDescent="0.2">
      <c r="B2012" s="1"/>
    </row>
    <row r="2013" spans="1:2" x14ac:dyDescent="0.2">
      <c r="B2013" s="1"/>
    </row>
    <row r="2014" spans="1:2" x14ac:dyDescent="0.2">
      <c r="B2014" s="1"/>
    </row>
    <row r="2015" spans="1:2" x14ac:dyDescent="0.2">
      <c r="B2015" s="1"/>
    </row>
    <row r="2016" spans="1:2" x14ac:dyDescent="0.2">
      <c r="B2016" s="1"/>
    </row>
    <row r="2017" spans="1:2" x14ac:dyDescent="0.2">
      <c r="B2017" s="1"/>
    </row>
    <row r="2018" spans="1:2" x14ac:dyDescent="0.2">
      <c r="A2018" s="26"/>
      <c r="B2018" s="1"/>
    </row>
    <row r="2019" spans="1:2" x14ac:dyDescent="0.2">
      <c r="A2019" s="26"/>
      <c r="B2019" s="1"/>
    </row>
    <row r="2020" spans="1:2" x14ac:dyDescent="0.2">
      <c r="A2020" s="26"/>
      <c r="B2020" s="1"/>
    </row>
    <row r="2021" spans="1:2" x14ac:dyDescent="0.2">
      <c r="A2021" s="26"/>
      <c r="B2021" s="1"/>
    </row>
    <row r="2022" spans="1:2" x14ac:dyDescent="0.2">
      <c r="A2022" s="26"/>
      <c r="B2022" s="1"/>
    </row>
    <row r="2023" spans="1:2" x14ac:dyDescent="0.2">
      <c r="A2023" s="26"/>
      <c r="B2023" s="1"/>
    </row>
    <row r="2024" spans="1:2" x14ac:dyDescent="0.2">
      <c r="A2024" s="26"/>
      <c r="B2024" s="1"/>
    </row>
    <row r="2025" spans="1:2" x14ac:dyDescent="0.2">
      <c r="B2025" s="1"/>
    </row>
    <row r="2026" spans="1:2" x14ac:dyDescent="0.2">
      <c r="B2026" s="1"/>
    </row>
    <row r="2027" spans="1:2" x14ac:dyDescent="0.2">
      <c r="B2027" s="1"/>
    </row>
    <row r="2028" spans="1:2" x14ac:dyDescent="0.2">
      <c r="B2028" s="1"/>
    </row>
    <row r="2029" spans="1:2" x14ac:dyDescent="0.2">
      <c r="B2029" s="1"/>
    </row>
    <row r="2030" spans="1:2" x14ac:dyDescent="0.2">
      <c r="B2030" s="1"/>
    </row>
    <row r="2031" spans="1:2" x14ac:dyDescent="0.2">
      <c r="B2031" s="1"/>
    </row>
    <row r="2032" spans="1:2" x14ac:dyDescent="0.2">
      <c r="B2032" s="1"/>
    </row>
    <row r="2033" spans="1:2" x14ac:dyDescent="0.2">
      <c r="B2033" s="1"/>
    </row>
    <row r="2034" spans="1:2" x14ac:dyDescent="0.2">
      <c r="B2034" s="1"/>
    </row>
    <row r="2035" spans="1:2" x14ac:dyDescent="0.2">
      <c r="B2035" s="1"/>
    </row>
    <row r="2036" spans="1:2" x14ac:dyDescent="0.2">
      <c r="B2036" s="1"/>
    </row>
    <row r="2037" spans="1:2" x14ac:dyDescent="0.2">
      <c r="B2037" s="1"/>
    </row>
    <row r="2038" spans="1:2" x14ac:dyDescent="0.2">
      <c r="B2038" s="1"/>
    </row>
    <row r="2039" spans="1:2" x14ac:dyDescent="0.2">
      <c r="A2039" s="26"/>
      <c r="B2039" s="1"/>
    </row>
    <row r="2040" spans="1:2" x14ac:dyDescent="0.2">
      <c r="A2040" s="26"/>
      <c r="B2040" s="1"/>
    </row>
    <row r="2041" spans="1:2" x14ac:dyDescent="0.2">
      <c r="A2041" s="26"/>
      <c r="B2041" s="1"/>
    </row>
    <row r="2042" spans="1:2" x14ac:dyDescent="0.2">
      <c r="A2042" s="26"/>
      <c r="B2042" s="1"/>
    </row>
    <row r="2043" spans="1:2" x14ac:dyDescent="0.2">
      <c r="A2043" s="26"/>
      <c r="B2043" s="1"/>
    </row>
    <row r="2044" spans="1:2" x14ac:dyDescent="0.2">
      <c r="A2044" s="26"/>
      <c r="B2044" s="1"/>
    </row>
    <row r="2045" spans="1:2" x14ac:dyDescent="0.2">
      <c r="A2045" s="26"/>
      <c r="B2045" s="1"/>
    </row>
    <row r="2046" spans="1:2" x14ac:dyDescent="0.2">
      <c r="A2046" s="26"/>
      <c r="B2046" s="1"/>
    </row>
    <row r="2047" spans="1:2" x14ac:dyDescent="0.2">
      <c r="A2047" s="26"/>
      <c r="B2047" s="1"/>
    </row>
    <row r="2048" spans="1:2" x14ac:dyDescent="0.2">
      <c r="B2048" s="1"/>
    </row>
    <row r="2049" spans="1:2" x14ac:dyDescent="0.2">
      <c r="B2049" s="1"/>
    </row>
    <row r="2050" spans="1:2" x14ac:dyDescent="0.2">
      <c r="B2050" s="1"/>
    </row>
    <row r="2051" spans="1:2" x14ac:dyDescent="0.2">
      <c r="B2051" s="1"/>
    </row>
    <row r="2052" spans="1:2" x14ac:dyDescent="0.2">
      <c r="B2052" s="1"/>
    </row>
    <row r="2053" spans="1:2" x14ac:dyDescent="0.2">
      <c r="B2053" s="1"/>
    </row>
    <row r="2054" spans="1:2" x14ac:dyDescent="0.2">
      <c r="B2054" s="1"/>
    </row>
    <row r="2055" spans="1:2" x14ac:dyDescent="0.2">
      <c r="B2055" s="1"/>
    </row>
    <row r="2056" spans="1:2" x14ac:dyDescent="0.2">
      <c r="B2056" s="1"/>
    </row>
    <row r="2057" spans="1:2" x14ac:dyDescent="0.2">
      <c r="B2057" s="1"/>
    </row>
    <row r="2058" spans="1:2" x14ac:dyDescent="0.2">
      <c r="B2058" s="1"/>
    </row>
    <row r="2059" spans="1:2" x14ac:dyDescent="0.2">
      <c r="B2059" s="1"/>
    </row>
    <row r="2060" spans="1:2" x14ac:dyDescent="0.2">
      <c r="B2060" s="1"/>
    </row>
    <row r="2061" spans="1:2" x14ac:dyDescent="0.2">
      <c r="A2061" s="26"/>
      <c r="B2061" s="1"/>
    </row>
    <row r="2062" spans="1:2" x14ac:dyDescent="0.2">
      <c r="A2062" s="26"/>
      <c r="B2062" s="1"/>
    </row>
    <row r="2063" spans="1:2" x14ac:dyDescent="0.2">
      <c r="A2063" s="26"/>
      <c r="B2063" s="1"/>
    </row>
    <row r="2064" spans="1:2" x14ac:dyDescent="0.2">
      <c r="A2064" s="26"/>
      <c r="B2064" s="1"/>
    </row>
    <row r="2065" spans="1:2" x14ac:dyDescent="0.2">
      <c r="A2065" s="26"/>
      <c r="B2065" s="1"/>
    </row>
    <row r="2066" spans="1:2" x14ac:dyDescent="0.2">
      <c r="A2066" s="26"/>
      <c r="B2066" s="1"/>
    </row>
    <row r="2067" spans="1:2" x14ac:dyDescent="0.2">
      <c r="A2067" s="26"/>
      <c r="B2067" s="1"/>
    </row>
    <row r="2068" spans="1:2" x14ac:dyDescent="0.2">
      <c r="B2068" s="1"/>
    </row>
    <row r="2069" spans="1:2" x14ac:dyDescent="0.2">
      <c r="B2069" s="1"/>
    </row>
    <row r="2070" spans="1:2" x14ac:dyDescent="0.2">
      <c r="B2070" s="1"/>
    </row>
    <row r="2071" spans="1:2" x14ac:dyDescent="0.2">
      <c r="B2071" s="1"/>
    </row>
    <row r="2072" spans="1:2" x14ac:dyDescent="0.2">
      <c r="B2072" s="1"/>
    </row>
    <row r="2073" spans="1:2" x14ac:dyDescent="0.2">
      <c r="B2073" s="1"/>
    </row>
    <row r="2074" spans="1:2" x14ac:dyDescent="0.2">
      <c r="B2074" s="1"/>
    </row>
    <row r="2075" spans="1:2" x14ac:dyDescent="0.2">
      <c r="B2075" s="1"/>
    </row>
    <row r="2076" spans="1:2" x14ac:dyDescent="0.2">
      <c r="B2076" s="1"/>
    </row>
    <row r="2077" spans="1:2" x14ac:dyDescent="0.2">
      <c r="B2077" s="1"/>
    </row>
    <row r="2078" spans="1:2" x14ac:dyDescent="0.2">
      <c r="B2078" s="1"/>
    </row>
    <row r="2079" spans="1:2" x14ac:dyDescent="0.2">
      <c r="B2079" s="1"/>
    </row>
    <row r="2080" spans="1:2" x14ac:dyDescent="0.2">
      <c r="B2080" s="1"/>
    </row>
    <row r="2081" spans="1:2" x14ac:dyDescent="0.2">
      <c r="B2081" s="1"/>
    </row>
    <row r="2082" spans="1:2" x14ac:dyDescent="0.2">
      <c r="A2082" s="26"/>
      <c r="B2082" s="1"/>
    </row>
    <row r="2083" spans="1:2" x14ac:dyDescent="0.2">
      <c r="A2083" s="26"/>
      <c r="B2083" s="1"/>
    </row>
    <row r="2084" spans="1:2" x14ac:dyDescent="0.2">
      <c r="A2084" s="26"/>
      <c r="B2084" s="1"/>
    </row>
    <row r="2085" spans="1:2" x14ac:dyDescent="0.2">
      <c r="A2085" s="26"/>
      <c r="B2085" s="1"/>
    </row>
    <row r="2086" spans="1:2" x14ac:dyDescent="0.2">
      <c r="A2086" s="26"/>
      <c r="B2086" s="1"/>
    </row>
    <row r="2087" spans="1:2" x14ac:dyDescent="0.2">
      <c r="A2087" s="26"/>
      <c r="B2087" s="1"/>
    </row>
    <row r="2088" spans="1:2" x14ac:dyDescent="0.2">
      <c r="A2088" s="26"/>
      <c r="B2088" s="1"/>
    </row>
    <row r="2089" spans="1:2" x14ac:dyDescent="0.2">
      <c r="A2089" s="26"/>
      <c r="B2089" s="1"/>
    </row>
    <row r="2090" spans="1:2" x14ac:dyDescent="0.2">
      <c r="B2090" s="1"/>
    </row>
    <row r="2091" spans="1:2" x14ac:dyDescent="0.2">
      <c r="B2091" s="1"/>
    </row>
    <row r="2092" spans="1:2" x14ac:dyDescent="0.2">
      <c r="B2092" s="1"/>
    </row>
    <row r="2093" spans="1:2" x14ac:dyDescent="0.2">
      <c r="B2093" s="1"/>
    </row>
    <row r="2094" spans="1:2" x14ac:dyDescent="0.2">
      <c r="B2094" s="1"/>
    </row>
    <row r="2095" spans="1:2" x14ac:dyDescent="0.2">
      <c r="B2095" s="1"/>
    </row>
    <row r="2096" spans="1:2" x14ac:dyDescent="0.2">
      <c r="B2096" s="1"/>
    </row>
    <row r="2097" spans="1:2" x14ac:dyDescent="0.2">
      <c r="B2097" s="1"/>
    </row>
    <row r="2098" spans="1:2" x14ac:dyDescent="0.2">
      <c r="B2098" s="1"/>
    </row>
    <row r="2099" spans="1:2" x14ac:dyDescent="0.2">
      <c r="B2099" s="1"/>
    </row>
    <row r="2100" spans="1:2" x14ac:dyDescent="0.2">
      <c r="B2100" s="1"/>
    </row>
    <row r="2101" spans="1:2" x14ac:dyDescent="0.2">
      <c r="B2101" s="1"/>
    </row>
    <row r="2102" spans="1:2" x14ac:dyDescent="0.2">
      <c r="A2102" s="26"/>
      <c r="B2102" s="1"/>
    </row>
    <row r="2103" spans="1:2" x14ac:dyDescent="0.2">
      <c r="A2103" s="26"/>
      <c r="B2103" s="1"/>
    </row>
    <row r="2104" spans="1:2" x14ac:dyDescent="0.2">
      <c r="A2104" s="26"/>
      <c r="B2104" s="1"/>
    </row>
    <row r="2105" spans="1:2" x14ac:dyDescent="0.2">
      <c r="A2105" s="26"/>
      <c r="B2105" s="1"/>
    </row>
    <row r="2106" spans="1:2" x14ac:dyDescent="0.2">
      <c r="A2106" s="26"/>
      <c r="B2106" s="1"/>
    </row>
    <row r="2107" spans="1:2" x14ac:dyDescent="0.2">
      <c r="A2107" s="26"/>
      <c r="B2107" s="1"/>
    </row>
    <row r="2108" spans="1:2" x14ac:dyDescent="0.2">
      <c r="A2108" s="26"/>
      <c r="B2108" s="1"/>
    </row>
    <row r="2109" spans="1:2" x14ac:dyDescent="0.2">
      <c r="A2109" s="26"/>
      <c r="B2109" s="1"/>
    </row>
    <row r="2110" spans="1:2" x14ac:dyDescent="0.2">
      <c r="A2110" s="26"/>
      <c r="B2110" s="1"/>
    </row>
    <row r="2111" spans="1:2" x14ac:dyDescent="0.2">
      <c r="A2111" s="26"/>
      <c r="B2111" s="1"/>
    </row>
    <row r="2112" spans="1:2" x14ac:dyDescent="0.2">
      <c r="B2112" s="1"/>
    </row>
    <row r="2113" spans="1:2" x14ac:dyDescent="0.2">
      <c r="B2113" s="1"/>
    </row>
    <row r="2114" spans="1:2" x14ac:dyDescent="0.2">
      <c r="B2114" s="1"/>
    </row>
    <row r="2115" spans="1:2" x14ac:dyDescent="0.2">
      <c r="B2115" s="1"/>
    </row>
    <row r="2116" spans="1:2" x14ac:dyDescent="0.2">
      <c r="B2116" s="1"/>
    </row>
    <row r="2117" spans="1:2" x14ac:dyDescent="0.2">
      <c r="B2117" s="1"/>
    </row>
    <row r="2118" spans="1:2" x14ac:dyDescent="0.2">
      <c r="B2118" s="1"/>
    </row>
    <row r="2119" spans="1:2" x14ac:dyDescent="0.2">
      <c r="B2119" s="1"/>
    </row>
    <row r="2120" spans="1:2" x14ac:dyDescent="0.2">
      <c r="B2120" s="1"/>
    </row>
    <row r="2121" spans="1:2" x14ac:dyDescent="0.2">
      <c r="B2121" s="1"/>
    </row>
    <row r="2122" spans="1:2" x14ac:dyDescent="0.2">
      <c r="B2122" s="1"/>
    </row>
    <row r="2123" spans="1:2" x14ac:dyDescent="0.2">
      <c r="A2123" s="26"/>
      <c r="B2123" s="1"/>
    </row>
    <row r="2124" spans="1:2" x14ac:dyDescent="0.2">
      <c r="A2124" s="26"/>
      <c r="B2124" s="1"/>
    </row>
    <row r="2125" spans="1:2" x14ac:dyDescent="0.2">
      <c r="A2125" s="26"/>
      <c r="B2125" s="1"/>
    </row>
    <row r="2126" spans="1:2" x14ac:dyDescent="0.2">
      <c r="A2126" s="26"/>
      <c r="B2126" s="1"/>
    </row>
    <row r="2127" spans="1:2" x14ac:dyDescent="0.2">
      <c r="A2127" s="26"/>
      <c r="B2127" s="1"/>
    </row>
    <row r="2128" spans="1:2" x14ac:dyDescent="0.2">
      <c r="A2128" s="26"/>
      <c r="B2128" s="1"/>
    </row>
    <row r="2129" spans="1:2" x14ac:dyDescent="0.2">
      <c r="A2129" s="26"/>
      <c r="B2129" s="1"/>
    </row>
    <row r="2130" spans="1:2" x14ac:dyDescent="0.2">
      <c r="A2130" s="26"/>
      <c r="B2130" s="1"/>
    </row>
    <row r="2131" spans="1:2" x14ac:dyDescent="0.2">
      <c r="B2131" s="1"/>
    </row>
    <row r="2132" spans="1:2" x14ac:dyDescent="0.2">
      <c r="B2132" s="1"/>
    </row>
    <row r="2133" spans="1:2" x14ac:dyDescent="0.2">
      <c r="B2133" s="1"/>
    </row>
    <row r="2134" spans="1:2" x14ac:dyDescent="0.2">
      <c r="B2134" s="1"/>
    </row>
    <row r="2135" spans="1:2" x14ac:dyDescent="0.2">
      <c r="B2135" s="1"/>
    </row>
    <row r="2136" spans="1:2" x14ac:dyDescent="0.2">
      <c r="B2136" s="1"/>
    </row>
    <row r="2137" spans="1:2" x14ac:dyDescent="0.2">
      <c r="B2137" s="1"/>
    </row>
    <row r="2138" spans="1:2" x14ac:dyDescent="0.2">
      <c r="B2138" s="1"/>
    </row>
    <row r="2139" spans="1:2" x14ac:dyDescent="0.2">
      <c r="B2139" s="1"/>
    </row>
    <row r="2140" spans="1:2" x14ac:dyDescent="0.2">
      <c r="B2140" s="1"/>
    </row>
    <row r="2141" spans="1:2" x14ac:dyDescent="0.2">
      <c r="B2141" s="1"/>
    </row>
    <row r="2142" spans="1:2" x14ac:dyDescent="0.2">
      <c r="B2142" s="1"/>
    </row>
    <row r="2143" spans="1:2" x14ac:dyDescent="0.2">
      <c r="B2143" s="1"/>
    </row>
    <row r="2144" spans="1:2" x14ac:dyDescent="0.2">
      <c r="B2144" s="1"/>
    </row>
    <row r="2145" spans="1:2" x14ac:dyDescent="0.2">
      <c r="B2145" s="1"/>
    </row>
    <row r="2146" spans="1:2" x14ac:dyDescent="0.2">
      <c r="A2146" s="26"/>
      <c r="B2146" s="1"/>
    </row>
    <row r="2147" spans="1:2" x14ac:dyDescent="0.2">
      <c r="A2147" s="26"/>
      <c r="B2147" s="1"/>
    </row>
    <row r="2148" spans="1:2" x14ac:dyDescent="0.2">
      <c r="A2148" s="26"/>
      <c r="B2148" s="1"/>
    </row>
    <row r="2149" spans="1:2" x14ac:dyDescent="0.2">
      <c r="A2149" s="26"/>
      <c r="B2149" s="1"/>
    </row>
    <row r="2150" spans="1:2" x14ac:dyDescent="0.2">
      <c r="A2150" s="26"/>
      <c r="B2150" s="1"/>
    </row>
    <row r="2151" spans="1:2" x14ac:dyDescent="0.2">
      <c r="A2151" s="26"/>
      <c r="B2151" s="1"/>
    </row>
    <row r="2152" spans="1:2" x14ac:dyDescent="0.2">
      <c r="A2152" s="26"/>
      <c r="B2152" s="1"/>
    </row>
    <row r="2153" spans="1:2" x14ac:dyDescent="0.2">
      <c r="A2153" s="26"/>
      <c r="B2153" s="1"/>
    </row>
    <row r="2154" spans="1:2" x14ac:dyDescent="0.2">
      <c r="B2154" s="1"/>
    </row>
    <row r="2155" spans="1:2" x14ac:dyDescent="0.2">
      <c r="B2155" s="1"/>
    </row>
    <row r="2156" spans="1:2" x14ac:dyDescent="0.2">
      <c r="B2156" s="1"/>
    </row>
    <row r="2157" spans="1:2" x14ac:dyDescent="0.2">
      <c r="B2157" s="1"/>
    </row>
    <row r="2158" spans="1:2" x14ac:dyDescent="0.2">
      <c r="B2158" s="1"/>
    </row>
    <row r="2159" spans="1:2" x14ac:dyDescent="0.2">
      <c r="B2159" s="1"/>
    </row>
    <row r="2160" spans="1:2" x14ac:dyDescent="0.2">
      <c r="B2160" s="1"/>
    </row>
    <row r="2161" spans="1:2" x14ac:dyDescent="0.2">
      <c r="B2161" s="1"/>
    </row>
    <row r="2162" spans="1:2" x14ac:dyDescent="0.2">
      <c r="B2162" s="1"/>
    </row>
    <row r="2163" spans="1:2" x14ac:dyDescent="0.2">
      <c r="B2163" s="1"/>
    </row>
    <row r="2164" spans="1:2" x14ac:dyDescent="0.2">
      <c r="B2164" s="1"/>
    </row>
    <row r="2165" spans="1:2" x14ac:dyDescent="0.2">
      <c r="A2165" s="26"/>
      <c r="B2165" s="1"/>
    </row>
    <row r="2166" spans="1:2" x14ac:dyDescent="0.2">
      <c r="A2166" s="26"/>
      <c r="B2166" s="1"/>
    </row>
    <row r="2167" spans="1:2" x14ac:dyDescent="0.2">
      <c r="A2167" s="26"/>
      <c r="B2167" s="1"/>
    </row>
    <row r="2168" spans="1:2" x14ac:dyDescent="0.2">
      <c r="A2168" s="26"/>
      <c r="B2168" s="1"/>
    </row>
    <row r="2169" spans="1:2" x14ac:dyDescent="0.2">
      <c r="A2169" s="26"/>
      <c r="B2169" s="1"/>
    </row>
    <row r="2170" spans="1:2" x14ac:dyDescent="0.2">
      <c r="A2170" s="26"/>
      <c r="B2170" s="1"/>
    </row>
    <row r="2171" spans="1:2" x14ac:dyDescent="0.2">
      <c r="A2171" s="26"/>
      <c r="B2171" s="1"/>
    </row>
    <row r="2172" spans="1:2" x14ac:dyDescent="0.2">
      <c r="A2172" s="26"/>
      <c r="B2172" s="1"/>
    </row>
    <row r="2173" spans="1:2" x14ac:dyDescent="0.2">
      <c r="B2173" s="1"/>
    </row>
    <row r="2174" spans="1:2" x14ac:dyDescent="0.2">
      <c r="B2174" s="1"/>
    </row>
    <row r="2175" spans="1:2" x14ac:dyDescent="0.2">
      <c r="B2175" s="1"/>
    </row>
    <row r="2176" spans="1:2" x14ac:dyDescent="0.2">
      <c r="B2176" s="1"/>
    </row>
    <row r="2177" spans="1:2" x14ac:dyDescent="0.2">
      <c r="B2177" s="1"/>
    </row>
    <row r="2178" spans="1:2" x14ac:dyDescent="0.2">
      <c r="B2178" s="1"/>
    </row>
    <row r="2179" spans="1:2" x14ac:dyDescent="0.2">
      <c r="B2179" s="1"/>
    </row>
    <row r="2180" spans="1:2" x14ac:dyDescent="0.2">
      <c r="B2180" s="1"/>
    </row>
    <row r="2181" spans="1:2" x14ac:dyDescent="0.2">
      <c r="B2181" s="1"/>
    </row>
    <row r="2182" spans="1:2" x14ac:dyDescent="0.2">
      <c r="B2182" s="1"/>
    </row>
    <row r="2183" spans="1:2" x14ac:dyDescent="0.2">
      <c r="B2183" s="1"/>
    </row>
    <row r="2184" spans="1:2" x14ac:dyDescent="0.2">
      <c r="B2184" s="1"/>
    </row>
    <row r="2185" spans="1:2" x14ac:dyDescent="0.2">
      <c r="A2185" s="26"/>
      <c r="B2185" s="1"/>
    </row>
    <row r="2186" spans="1:2" x14ac:dyDescent="0.2">
      <c r="A2186" s="26"/>
      <c r="B2186" s="1"/>
    </row>
    <row r="2187" spans="1:2" x14ac:dyDescent="0.2">
      <c r="A2187" s="26"/>
      <c r="B2187" s="1"/>
    </row>
    <row r="2188" spans="1:2" x14ac:dyDescent="0.2">
      <c r="A2188" s="26"/>
      <c r="B2188" s="1"/>
    </row>
    <row r="2189" spans="1:2" x14ac:dyDescent="0.2">
      <c r="A2189" s="26"/>
      <c r="B2189" s="1"/>
    </row>
    <row r="2190" spans="1:2" x14ac:dyDescent="0.2">
      <c r="A2190" s="26"/>
      <c r="B2190" s="1"/>
    </row>
    <row r="2191" spans="1:2" x14ac:dyDescent="0.2">
      <c r="A2191" s="26"/>
      <c r="B2191" s="1"/>
    </row>
    <row r="2192" spans="1:2" x14ac:dyDescent="0.2">
      <c r="A2192" s="26"/>
      <c r="B2192" s="1"/>
    </row>
    <row r="2193" spans="1:2" x14ac:dyDescent="0.2">
      <c r="B2193" s="1"/>
    </row>
    <row r="2194" spans="1:2" x14ac:dyDescent="0.2">
      <c r="B2194" s="1"/>
    </row>
    <row r="2195" spans="1:2" x14ac:dyDescent="0.2">
      <c r="B2195" s="1"/>
    </row>
    <row r="2196" spans="1:2" x14ac:dyDescent="0.2">
      <c r="B2196" s="1"/>
    </row>
    <row r="2197" spans="1:2" x14ac:dyDescent="0.2">
      <c r="B2197" s="1"/>
    </row>
    <row r="2198" spans="1:2" x14ac:dyDescent="0.2">
      <c r="B2198" s="1"/>
    </row>
    <row r="2199" spans="1:2" x14ac:dyDescent="0.2">
      <c r="B2199" s="1"/>
    </row>
    <row r="2200" spans="1:2" x14ac:dyDescent="0.2">
      <c r="B2200" s="1"/>
    </row>
    <row r="2201" spans="1:2" x14ac:dyDescent="0.2">
      <c r="B2201" s="1"/>
    </row>
    <row r="2202" spans="1:2" x14ac:dyDescent="0.2">
      <c r="B2202" s="1"/>
    </row>
    <row r="2203" spans="1:2" x14ac:dyDescent="0.2">
      <c r="B2203" s="1"/>
    </row>
    <row r="2204" spans="1:2" x14ac:dyDescent="0.2">
      <c r="B2204" s="1"/>
    </row>
    <row r="2205" spans="1:2" x14ac:dyDescent="0.2">
      <c r="B2205" s="1"/>
    </row>
    <row r="2206" spans="1:2" x14ac:dyDescent="0.2">
      <c r="A2206" s="26"/>
      <c r="B2206" s="1"/>
    </row>
    <row r="2207" spans="1:2" x14ac:dyDescent="0.2">
      <c r="A2207" s="26"/>
      <c r="B2207" s="1"/>
    </row>
    <row r="2208" spans="1:2" x14ac:dyDescent="0.2">
      <c r="A2208" s="26"/>
      <c r="B2208" s="1"/>
    </row>
    <row r="2209" spans="1:2" x14ac:dyDescent="0.2">
      <c r="A2209" s="26"/>
      <c r="B2209" s="1"/>
    </row>
    <row r="2210" spans="1:2" x14ac:dyDescent="0.2">
      <c r="A2210" s="26"/>
      <c r="B2210" s="1"/>
    </row>
    <row r="2211" spans="1:2" x14ac:dyDescent="0.2">
      <c r="A2211" s="26"/>
      <c r="B2211" s="1"/>
    </row>
    <row r="2212" spans="1:2" x14ac:dyDescent="0.2">
      <c r="A2212" s="26"/>
      <c r="B2212" s="1"/>
    </row>
    <row r="2213" spans="1:2" x14ac:dyDescent="0.2">
      <c r="A2213" s="26"/>
      <c r="B2213" s="1"/>
    </row>
    <row r="2214" spans="1:2" x14ac:dyDescent="0.2">
      <c r="B2214" s="1"/>
    </row>
    <row r="2215" spans="1:2" x14ac:dyDescent="0.2">
      <c r="B2215" s="1"/>
    </row>
    <row r="2216" spans="1:2" x14ac:dyDescent="0.2">
      <c r="B2216" s="1"/>
    </row>
    <row r="2217" spans="1:2" x14ac:dyDescent="0.2">
      <c r="B2217" s="1"/>
    </row>
    <row r="2218" spans="1:2" x14ac:dyDescent="0.2">
      <c r="B2218" s="1"/>
    </row>
    <row r="2219" spans="1:2" x14ac:dyDescent="0.2">
      <c r="B2219" s="1"/>
    </row>
    <row r="2220" spans="1:2" x14ac:dyDescent="0.2">
      <c r="B2220" s="1"/>
    </row>
    <row r="2221" spans="1:2" x14ac:dyDescent="0.2">
      <c r="B2221" s="1"/>
    </row>
    <row r="2222" spans="1:2" x14ac:dyDescent="0.2">
      <c r="B2222" s="1"/>
    </row>
    <row r="2223" spans="1:2" x14ac:dyDescent="0.2">
      <c r="B2223" s="1"/>
    </row>
    <row r="2224" spans="1:2" x14ac:dyDescent="0.2">
      <c r="B2224" s="1"/>
    </row>
    <row r="2225" spans="1:2" x14ac:dyDescent="0.2">
      <c r="B2225" s="1"/>
    </row>
    <row r="2226" spans="1:2" x14ac:dyDescent="0.2">
      <c r="A2226" s="26"/>
      <c r="B2226" s="1"/>
    </row>
    <row r="2227" spans="1:2" x14ac:dyDescent="0.2">
      <c r="A2227" s="26"/>
      <c r="B2227" s="1"/>
    </row>
    <row r="2228" spans="1:2" x14ac:dyDescent="0.2">
      <c r="A2228" s="26"/>
      <c r="B2228" s="1"/>
    </row>
    <row r="2229" spans="1:2" x14ac:dyDescent="0.2">
      <c r="A2229" s="26"/>
      <c r="B2229" s="1"/>
    </row>
    <row r="2230" spans="1:2" x14ac:dyDescent="0.2">
      <c r="A2230" s="26"/>
      <c r="B2230" s="1"/>
    </row>
    <row r="2231" spans="1:2" x14ac:dyDescent="0.2">
      <c r="A2231" s="26"/>
      <c r="B2231" s="1"/>
    </row>
    <row r="2232" spans="1:2" x14ac:dyDescent="0.2">
      <c r="A2232" s="26"/>
      <c r="B2232" s="1"/>
    </row>
    <row r="2233" spans="1:2" x14ac:dyDescent="0.2">
      <c r="A2233" s="26"/>
      <c r="B2233" s="1"/>
    </row>
    <row r="2234" spans="1:2" x14ac:dyDescent="0.2">
      <c r="A2234" s="26"/>
      <c r="B2234" s="1"/>
    </row>
    <row r="2235" spans="1:2" x14ac:dyDescent="0.2">
      <c r="B2235" s="1"/>
    </row>
    <row r="2236" spans="1:2" x14ac:dyDescent="0.2">
      <c r="B2236" s="1"/>
    </row>
    <row r="2237" spans="1:2" x14ac:dyDescent="0.2">
      <c r="B2237" s="1"/>
    </row>
    <row r="2238" spans="1:2" x14ac:dyDescent="0.2">
      <c r="B2238" s="1"/>
    </row>
    <row r="2239" spans="1:2" x14ac:dyDescent="0.2">
      <c r="B2239" s="1"/>
    </row>
    <row r="2240" spans="1:2" x14ac:dyDescent="0.2">
      <c r="B2240" s="1"/>
    </row>
    <row r="2241" spans="1:2" x14ac:dyDescent="0.2">
      <c r="B2241" s="1"/>
    </row>
    <row r="2242" spans="1:2" x14ac:dyDescent="0.2">
      <c r="B2242" s="1"/>
    </row>
    <row r="2243" spans="1:2" x14ac:dyDescent="0.2">
      <c r="B2243" s="1"/>
    </row>
    <row r="2244" spans="1:2" x14ac:dyDescent="0.2">
      <c r="B2244" s="1"/>
    </row>
    <row r="2245" spans="1:2" x14ac:dyDescent="0.2">
      <c r="B2245" s="1"/>
    </row>
    <row r="2246" spans="1:2" x14ac:dyDescent="0.2">
      <c r="B2246" s="1"/>
    </row>
    <row r="2247" spans="1:2" x14ac:dyDescent="0.2">
      <c r="B2247" s="1"/>
    </row>
    <row r="2248" spans="1:2" x14ac:dyDescent="0.2">
      <c r="A2248" s="26"/>
      <c r="B2248" s="1"/>
    </row>
    <row r="2249" spans="1:2" x14ac:dyDescent="0.2">
      <c r="A2249" s="26"/>
      <c r="B2249" s="1"/>
    </row>
    <row r="2250" spans="1:2" x14ac:dyDescent="0.2">
      <c r="A2250" s="26"/>
      <c r="B2250" s="1"/>
    </row>
    <row r="2251" spans="1:2" x14ac:dyDescent="0.2">
      <c r="A2251" s="26"/>
      <c r="B2251" s="1"/>
    </row>
    <row r="2252" spans="1:2" x14ac:dyDescent="0.2">
      <c r="A2252" s="26"/>
      <c r="B2252" s="1"/>
    </row>
    <row r="2253" spans="1:2" x14ac:dyDescent="0.2">
      <c r="A2253" s="26"/>
      <c r="B2253" s="1"/>
    </row>
    <row r="2254" spans="1:2" x14ac:dyDescent="0.2">
      <c r="A2254" s="26"/>
      <c r="B2254" s="1"/>
    </row>
    <row r="2255" spans="1:2" x14ac:dyDescent="0.2">
      <c r="A2255" s="26"/>
      <c r="B2255" s="1"/>
    </row>
    <row r="2256" spans="1:2" x14ac:dyDescent="0.2">
      <c r="B2256" s="1"/>
    </row>
    <row r="2257" spans="1:2" x14ac:dyDescent="0.2">
      <c r="B2257" s="1"/>
    </row>
    <row r="2258" spans="1:2" x14ac:dyDescent="0.2">
      <c r="B2258" s="1"/>
    </row>
    <row r="2259" spans="1:2" x14ac:dyDescent="0.2">
      <c r="B2259" s="1"/>
    </row>
    <row r="2260" spans="1:2" x14ac:dyDescent="0.2">
      <c r="B2260" s="1"/>
    </row>
    <row r="2261" spans="1:2" x14ac:dyDescent="0.2">
      <c r="B2261" s="1"/>
    </row>
    <row r="2262" spans="1:2" x14ac:dyDescent="0.2">
      <c r="B2262" s="1"/>
    </row>
    <row r="2263" spans="1:2" x14ac:dyDescent="0.2">
      <c r="B2263" s="1"/>
    </row>
    <row r="2264" spans="1:2" x14ac:dyDescent="0.2">
      <c r="B2264" s="1"/>
    </row>
    <row r="2265" spans="1:2" x14ac:dyDescent="0.2">
      <c r="B2265" s="1"/>
    </row>
    <row r="2266" spans="1:2" x14ac:dyDescent="0.2">
      <c r="B2266" s="1"/>
    </row>
    <row r="2267" spans="1:2" x14ac:dyDescent="0.2">
      <c r="B2267" s="1"/>
    </row>
    <row r="2268" spans="1:2" x14ac:dyDescent="0.2">
      <c r="B2268" s="1"/>
    </row>
    <row r="2269" spans="1:2" x14ac:dyDescent="0.2">
      <c r="B2269" s="1"/>
    </row>
    <row r="2270" spans="1:2" x14ac:dyDescent="0.2">
      <c r="A2270" s="26"/>
      <c r="B2270" s="1"/>
    </row>
    <row r="2271" spans="1:2" x14ac:dyDescent="0.2">
      <c r="A2271" s="26"/>
      <c r="B2271" s="1"/>
    </row>
    <row r="2272" spans="1:2" x14ac:dyDescent="0.2">
      <c r="A2272" s="26"/>
      <c r="B2272" s="1"/>
    </row>
    <row r="2273" spans="1:2" x14ac:dyDescent="0.2">
      <c r="A2273" s="26"/>
      <c r="B2273" s="1"/>
    </row>
    <row r="2274" spans="1:2" x14ac:dyDescent="0.2">
      <c r="A2274" s="26"/>
      <c r="B2274" s="1"/>
    </row>
    <row r="2275" spans="1:2" x14ac:dyDescent="0.2">
      <c r="A2275" s="26"/>
      <c r="B2275" s="1"/>
    </row>
    <row r="2276" spans="1:2" x14ac:dyDescent="0.2">
      <c r="A2276" s="26"/>
      <c r="B2276" s="1"/>
    </row>
    <row r="2277" spans="1:2" x14ac:dyDescent="0.2">
      <c r="B2277" s="1"/>
    </row>
    <row r="2278" spans="1:2" x14ac:dyDescent="0.2">
      <c r="B2278" s="1"/>
    </row>
    <row r="2279" spans="1:2" x14ac:dyDescent="0.2">
      <c r="B2279" s="1"/>
    </row>
    <row r="2280" spans="1:2" x14ac:dyDescent="0.2">
      <c r="B2280" s="1"/>
    </row>
    <row r="2281" spans="1:2" x14ac:dyDescent="0.2">
      <c r="B2281" s="1"/>
    </row>
    <row r="2282" spans="1:2" x14ac:dyDescent="0.2">
      <c r="B2282" s="1"/>
    </row>
    <row r="2283" spans="1:2" x14ac:dyDescent="0.2">
      <c r="B2283" s="1"/>
    </row>
    <row r="2284" spans="1:2" x14ac:dyDescent="0.2">
      <c r="B2284" s="1"/>
    </row>
    <row r="2285" spans="1:2" x14ac:dyDescent="0.2">
      <c r="B2285" s="1"/>
    </row>
    <row r="2286" spans="1:2" x14ac:dyDescent="0.2">
      <c r="B2286" s="1"/>
    </row>
    <row r="2287" spans="1:2" x14ac:dyDescent="0.2">
      <c r="B2287" s="1"/>
    </row>
    <row r="2288" spans="1:2" x14ac:dyDescent="0.2">
      <c r="B2288" s="1"/>
    </row>
    <row r="2289" spans="1:2" x14ac:dyDescent="0.2">
      <c r="B2289" s="1"/>
    </row>
    <row r="2290" spans="1:2" x14ac:dyDescent="0.2">
      <c r="A2290" s="26"/>
      <c r="B2290" s="1"/>
    </row>
    <row r="2291" spans="1:2" x14ac:dyDescent="0.2">
      <c r="A2291" s="26"/>
      <c r="B2291" s="1"/>
    </row>
    <row r="2292" spans="1:2" x14ac:dyDescent="0.2">
      <c r="A2292" s="26"/>
      <c r="B2292" s="1"/>
    </row>
    <row r="2293" spans="1:2" x14ac:dyDescent="0.2">
      <c r="A2293" s="26"/>
      <c r="B2293" s="1"/>
    </row>
    <row r="2294" spans="1:2" x14ac:dyDescent="0.2">
      <c r="A2294" s="26"/>
      <c r="B2294" s="1"/>
    </row>
    <row r="2295" spans="1:2" x14ac:dyDescent="0.2">
      <c r="A2295" s="26"/>
      <c r="B2295" s="1"/>
    </row>
    <row r="2296" spans="1:2" x14ac:dyDescent="0.2">
      <c r="A2296" s="26"/>
      <c r="B2296" s="1"/>
    </row>
    <row r="2297" spans="1:2" x14ac:dyDescent="0.2">
      <c r="A2297" s="26"/>
      <c r="B2297" s="1"/>
    </row>
    <row r="2298" spans="1:2" x14ac:dyDescent="0.2">
      <c r="A2298" s="26"/>
      <c r="B2298" s="1"/>
    </row>
    <row r="2299" spans="1:2" x14ac:dyDescent="0.2">
      <c r="A2299" s="26"/>
      <c r="B2299" s="1"/>
    </row>
    <row r="2300" spans="1:2" x14ac:dyDescent="0.2">
      <c r="B2300" s="1"/>
    </row>
    <row r="2301" spans="1:2" x14ac:dyDescent="0.2">
      <c r="B2301" s="1"/>
    </row>
    <row r="2302" spans="1:2" x14ac:dyDescent="0.2">
      <c r="B2302" s="1"/>
    </row>
    <row r="2303" spans="1:2" x14ac:dyDescent="0.2">
      <c r="B2303" s="1"/>
    </row>
    <row r="2304" spans="1:2" x14ac:dyDescent="0.2">
      <c r="B2304" s="1"/>
    </row>
    <row r="2305" spans="1:2" x14ac:dyDescent="0.2">
      <c r="B2305" s="1"/>
    </row>
    <row r="2306" spans="1:2" x14ac:dyDescent="0.2">
      <c r="B2306" s="1"/>
    </row>
    <row r="2307" spans="1:2" x14ac:dyDescent="0.2">
      <c r="B2307" s="1"/>
    </row>
    <row r="2308" spans="1:2" x14ac:dyDescent="0.2">
      <c r="B2308" s="1"/>
    </row>
    <row r="2309" spans="1:2" x14ac:dyDescent="0.2">
      <c r="B2309" s="1"/>
    </row>
    <row r="2310" spans="1:2" x14ac:dyDescent="0.2">
      <c r="B2310" s="1"/>
    </row>
    <row r="2311" spans="1:2" x14ac:dyDescent="0.2">
      <c r="B2311" s="1"/>
    </row>
    <row r="2312" spans="1:2" x14ac:dyDescent="0.2">
      <c r="B2312" s="1"/>
    </row>
    <row r="2313" spans="1:2" x14ac:dyDescent="0.2">
      <c r="A2313" s="26"/>
      <c r="B2313" s="1"/>
    </row>
    <row r="2314" spans="1:2" x14ac:dyDescent="0.2">
      <c r="A2314" s="26"/>
      <c r="B2314" s="1"/>
    </row>
    <row r="2315" spans="1:2" x14ac:dyDescent="0.2">
      <c r="A2315" s="26"/>
      <c r="B2315" s="1"/>
    </row>
    <row r="2316" spans="1:2" x14ac:dyDescent="0.2">
      <c r="A2316" s="26"/>
      <c r="B2316" s="1"/>
    </row>
    <row r="2317" spans="1:2" x14ac:dyDescent="0.2">
      <c r="A2317" s="26"/>
      <c r="B2317" s="1"/>
    </row>
    <row r="2318" spans="1:2" x14ac:dyDescent="0.2">
      <c r="A2318" s="26"/>
      <c r="B2318" s="1"/>
    </row>
    <row r="2319" spans="1:2" x14ac:dyDescent="0.2">
      <c r="A2319" s="26"/>
      <c r="B2319" s="1"/>
    </row>
    <row r="2320" spans="1:2" x14ac:dyDescent="0.2">
      <c r="B2320" s="1"/>
    </row>
    <row r="2321" spans="1:2" x14ac:dyDescent="0.2">
      <c r="B2321" s="1"/>
    </row>
    <row r="2322" spans="1:2" x14ac:dyDescent="0.2">
      <c r="B2322" s="1"/>
    </row>
    <row r="2323" spans="1:2" x14ac:dyDescent="0.2">
      <c r="B2323" s="1"/>
    </row>
    <row r="2324" spans="1:2" x14ac:dyDescent="0.2">
      <c r="B2324" s="1"/>
    </row>
    <row r="2325" spans="1:2" x14ac:dyDescent="0.2">
      <c r="B2325" s="1"/>
    </row>
    <row r="2326" spans="1:2" x14ac:dyDescent="0.2">
      <c r="B2326" s="1"/>
    </row>
    <row r="2327" spans="1:2" x14ac:dyDescent="0.2">
      <c r="B2327" s="1"/>
    </row>
    <row r="2328" spans="1:2" x14ac:dyDescent="0.2">
      <c r="B2328" s="1"/>
    </row>
    <row r="2329" spans="1:2" x14ac:dyDescent="0.2">
      <c r="B2329" s="1"/>
    </row>
    <row r="2330" spans="1:2" x14ac:dyDescent="0.2">
      <c r="B2330" s="1"/>
    </row>
    <row r="2331" spans="1:2" x14ac:dyDescent="0.2">
      <c r="B2331" s="1"/>
    </row>
    <row r="2332" spans="1:2" x14ac:dyDescent="0.2">
      <c r="B2332" s="1"/>
    </row>
    <row r="2333" spans="1:2" x14ac:dyDescent="0.2">
      <c r="B2333" s="1"/>
    </row>
    <row r="2334" spans="1:2" x14ac:dyDescent="0.2">
      <c r="A2334" s="26"/>
      <c r="B2334" s="1"/>
    </row>
    <row r="2335" spans="1:2" x14ac:dyDescent="0.2">
      <c r="A2335" s="26"/>
      <c r="B2335" s="1"/>
    </row>
    <row r="2336" spans="1:2" x14ac:dyDescent="0.2">
      <c r="A2336" s="26"/>
      <c r="B2336" s="1"/>
    </row>
    <row r="2337" spans="1:2" x14ac:dyDescent="0.2">
      <c r="A2337" s="26"/>
      <c r="B2337" s="1"/>
    </row>
    <row r="2338" spans="1:2" x14ac:dyDescent="0.2">
      <c r="A2338" s="26"/>
      <c r="B2338" s="1"/>
    </row>
    <row r="2339" spans="1:2" x14ac:dyDescent="0.2">
      <c r="A2339" s="26"/>
      <c r="B2339" s="1"/>
    </row>
    <row r="2340" spans="1:2" x14ac:dyDescent="0.2">
      <c r="A2340" s="26"/>
      <c r="B2340" s="1"/>
    </row>
    <row r="2341" spans="1:2" x14ac:dyDescent="0.2">
      <c r="A2341" s="26"/>
      <c r="B2341" s="1"/>
    </row>
    <row r="2342" spans="1:2" x14ac:dyDescent="0.2">
      <c r="B2342" s="1"/>
    </row>
    <row r="2343" spans="1:2" x14ac:dyDescent="0.2">
      <c r="B2343" s="1"/>
    </row>
    <row r="2344" spans="1:2" x14ac:dyDescent="0.2">
      <c r="B2344" s="1"/>
    </row>
    <row r="2345" spans="1:2" x14ac:dyDescent="0.2">
      <c r="B2345" s="1"/>
    </row>
    <row r="2346" spans="1:2" x14ac:dyDescent="0.2">
      <c r="B2346" s="1"/>
    </row>
    <row r="2347" spans="1:2" x14ac:dyDescent="0.2">
      <c r="B2347" s="1"/>
    </row>
    <row r="2348" spans="1:2" x14ac:dyDescent="0.2">
      <c r="B2348" s="1"/>
    </row>
    <row r="2349" spans="1:2" x14ac:dyDescent="0.2">
      <c r="B2349" s="1"/>
    </row>
    <row r="2350" spans="1:2" x14ac:dyDescent="0.2">
      <c r="B2350" s="1"/>
    </row>
    <row r="2351" spans="1:2" x14ac:dyDescent="0.2">
      <c r="B2351" s="1"/>
    </row>
    <row r="2352" spans="1:2" x14ac:dyDescent="0.2">
      <c r="B2352" s="1"/>
    </row>
    <row r="2353" spans="1:2" x14ac:dyDescent="0.2">
      <c r="B2353" s="1"/>
    </row>
    <row r="2354" spans="1:2" x14ac:dyDescent="0.2">
      <c r="A2354" s="26"/>
      <c r="B2354" s="1"/>
    </row>
    <row r="2355" spans="1:2" x14ac:dyDescent="0.2">
      <c r="A2355" s="26"/>
      <c r="B2355" s="1"/>
    </row>
    <row r="2356" spans="1:2" x14ac:dyDescent="0.2">
      <c r="A2356" s="26"/>
      <c r="B2356" s="1"/>
    </row>
    <row r="2357" spans="1:2" x14ac:dyDescent="0.2">
      <c r="A2357" s="26"/>
      <c r="B2357" s="1"/>
    </row>
    <row r="2358" spans="1:2" x14ac:dyDescent="0.2">
      <c r="A2358" s="26"/>
      <c r="B2358" s="1"/>
    </row>
    <row r="2359" spans="1:2" x14ac:dyDescent="0.2">
      <c r="A2359" s="26"/>
      <c r="B2359" s="1"/>
    </row>
    <row r="2360" spans="1:2" x14ac:dyDescent="0.2">
      <c r="A2360" s="26"/>
      <c r="B2360" s="1"/>
    </row>
    <row r="2361" spans="1:2" x14ac:dyDescent="0.2">
      <c r="A2361" s="26"/>
      <c r="B2361" s="1"/>
    </row>
    <row r="2362" spans="1:2" x14ac:dyDescent="0.2">
      <c r="A2362" s="26"/>
      <c r="B2362" s="1"/>
    </row>
    <row r="2363" spans="1:2" x14ac:dyDescent="0.2">
      <c r="B2363" s="1"/>
    </row>
    <row r="2364" spans="1:2" x14ac:dyDescent="0.2">
      <c r="B2364" s="1"/>
    </row>
    <row r="2365" spans="1:2" x14ac:dyDescent="0.2">
      <c r="B2365" s="1"/>
    </row>
    <row r="2366" spans="1:2" x14ac:dyDescent="0.2">
      <c r="B2366" s="1"/>
    </row>
    <row r="2367" spans="1:2" x14ac:dyDescent="0.2">
      <c r="B2367" s="1"/>
    </row>
    <row r="2368" spans="1:2" x14ac:dyDescent="0.2">
      <c r="B2368" s="1"/>
    </row>
    <row r="2369" spans="1:2" x14ac:dyDescent="0.2">
      <c r="B2369" s="1"/>
    </row>
    <row r="2370" spans="1:2" x14ac:dyDescent="0.2">
      <c r="B2370" s="1"/>
    </row>
    <row r="2371" spans="1:2" x14ac:dyDescent="0.2">
      <c r="B2371" s="1"/>
    </row>
    <row r="2372" spans="1:2" x14ac:dyDescent="0.2">
      <c r="B2372" s="1"/>
    </row>
    <row r="2373" spans="1:2" x14ac:dyDescent="0.2">
      <c r="B2373" s="1"/>
    </row>
    <row r="2374" spans="1:2" x14ac:dyDescent="0.2">
      <c r="B2374" s="1"/>
    </row>
    <row r="2375" spans="1:2" x14ac:dyDescent="0.2">
      <c r="B2375" s="1"/>
    </row>
    <row r="2376" spans="1:2" x14ac:dyDescent="0.2">
      <c r="A2376" s="26"/>
      <c r="B2376" s="1"/>
    </row>
    <row r="2377" spans="1:2" x14ac:dyDescent="0.2">
      <c r="A2377" s="26"/>
      <c r="B2377" s="1"/>
    </row>
    <row r="2378" spans="1:2" x14ac:dyDescent="0.2">
      <c r="A2378" s="26"/>
      <c r="B2378" s="1"/>
    </row>
    <row r="2379" spans="1:2" x14ac:dyDescent="0.2">
      <c r="A2379" s="26"/>
      <c r="B2379" s="1"/>
    </row>
    <row r="2380" spans="1:2" x14ac:dyDescent="0.2">
      <c r="A2380" s="26"/>
      <c r="B2380" s="1"/>
    </row>
    <row r="2381" spans="1:2" x14ac:dyDescent="0.2">
      <c r="A2381" s="26"/>
      <c r="B2381" s="1"/>
    </row>
    <row r="2382" spans="1:2" x14ac:dyDescent="0.2">
      <c r="A2382" s="26"/>
      <c r="B2382" s="1"/>
    </row>
    <row r="2383" spans="1:2" x14ac:dyDescent="0.2">
      <c r="A2383" s="26"/>
      <c r="B2383" s="1"/>
    </row>
    <row r="2384" spans="1:2" x14ac:dyDescent="0.2">
      <c r="B2384" s="1"/>
    </row>
    <row r="2385" spans="1:2" x14ac:dyDescent="0.2">
      <c r="B2385" s="1"/>
    </row>
    <row r="2386" spans="1:2" x14ac:dyDescent="0.2">
      <c r="B2386" s="1"/>
    </row>
    <row r="2387" spans="1:2" x14ac:dyDescent="0.2">
      <c r="B2387" s="1"/>
    </row>
    <row r="2388" spans="1:2" x14ac:dyDescent="0.2">
      <c r="B2388" s="1"/>
    </row>
    <row r="2389" spans="1:2" x14ac:dyDescent="0.2">
      <c r="B2389" s="1"/>
    </row>
    <row r="2390" spans="1:2" x14ac:dyDescent="0.2">
      <c r="B2390" s="1"/>
    </row>
    <row r="2391" spans="1:2" x14ac:dyDescent="0.2">
      <c r="B2391" s="1"/>
    </row>
    <row r="2392" spans="1:2" x14ac:dyDescent="0.2">
      <c r="B2392" s="1"/>
    </row>
    <row r="2393" spans="1:2" x14ac:dyDescent="0.2">
      <c r="B2393" s="1"/>
    </row>
    <row r="2394" spans="1:2" x14ac:dyDescent="0.2">
      <c r="B2394" s="1"/>
    </row>
    <row r="2395" spans="1:2" x14ac:dyDescent="0.2">
      <c r="B2395" s="1"/>
    </row>
    <row r="2396" spans="1:2" x14ac:dyDescent="0.2">
      <c r="B2396" s="1"/>
    </row>
    <row r="2397" spans="1:2" x14ac:dyDescent="0.2">
      <c r="A2397" s="26"/>
      <c r="B2397" s="1"/>
    </row>
    <row r="2398" spans="1:2" x14ac:dyDescent="0.2">
      <c r="A2398" s="26"/>
      <c r="B2398" s="1"/>
    </row>
    <row r="2399" spans="1:2" x14ac:dyDescent="0.2">
      <c r="A2399" s="26"/>
      <c r="B2399" s="1"/>
    </row>
    <row r="2400" spans="1:2" x14ac:dyDescent="0.2">
      <c r="A2400" s="26"/>
      <c r="B2400" s="1"/>
    </row>
    <row r="2401" spans="1:2" x14ac:dyDescent="0.2">
      <c r="A2401" s="26"/>
      <c r="B2401" s="1"/>
    </row>
    <row r="2402" spans="1:2" x14ac:dyDescent="0.2">
      <c r="A2402" s="26"/>
      <c r="B2402" s="1"/>
    </row>
    <row r="2403" spans="1:2" x14ac:dyDescent="0.2">
      <c r="A2403" s="26"/>
      <c r="B2403" s="1"/>
    </row>
    <row r="2404" spans="1:2" x14ac:dyDescent="0.2">
      <c r="A2404" s="26"/>
      <c r="B2404" s="1"/>
    </row>
    <row r="2405" spans="1:2" x14ac:dyDescent="0.2">
      <c r="A2405" s="26"/>
      <c r="B2405" s="1"/>
    </row>
    <row r="2406" spans="1:2" x14ac:dyDescent="0.2">
      <c r="B2406" s="1"/>
    </row>
    <row r="2407" spans="1:2" x14ac:dyDescent="0.2">
      <c r="B2407" s="1"/>
    </row>
    <row r="2408" spans="1:2" x14ac:dyDescent="0.2">
      <c r="B2408" s="1"/>
    </row>
    <row r="2409" spans="1:2" x14ac:dyDescent="0.2">
      <c r="B2409" s="1"/>
    </row>
    <row r="2410" spans="1:2" x14ac:dyDescent="0.2">
      <c r="B2410" s="1"/>
    </row>
    <row r="2411" spans="1:2" x14ac:dyDescent="0.2">
      <c r="B2411" s="1"/>
    </row>
    <row r="2412" spans="1:2" x14ac:dyDescent="0.2">
      <c r="B2412" s="1"/>
    </row>
    <row r="2413" spans="1:2" x14ac:dyDescent="0.2">
      <c r="B2413" s="1"/>
    </row>
    <row r="2414" spans="1:2" x14ac:dyDescent="0.2">
      <c r="B2414" s="1"/>
    </row>
    <row r="2415" spans="1:2" x14ac:dyDescent="0.2">
      <c r="B2415" s="1"/>
    </row>
    <row r="2416" spans="1:2" x14ac:dyDescent="0.2">
      <c r="A2416" s="26"/>
      <c r="B2416" s="1"/>
    </row>
    <row r="2417" spans="1:2" x14ac:dyDescent="0.2">
      <c r="A2417" s="26"/>
      <c r="B2417" s="1"/>
    </row>
    <row r="2418" spans="1:2" x14ac:dyDescent="0.2">
      <c r="A2418" s="26"/>
      <c r="B2418" s="1"/>
    </row>
    <row r="2419" spans="1:2" x14ac:dyDescent="0.2">
      <c r="A2419" s="26"/>
      <c r="B2419" s="1"/>
    </row>
    <row r="2420" spans="1:2" x14ac:dyDescent="0.2">
      <c r="A2420" s="26"/>
      <c r="B2420" s="1"/>
    </row>
    <row r="2421" spans="1:2" x14ac:dyDescent="0.2">
      <c r="A2421" s="26"/>
      <c r="B2421" s="1"/>
    </row>
    <row r="2422" spans="1:2" x14ac:dyDescent="0.2">
      <c r="A2422" s="26"/>
      <c r="B2422" s="1"/>
    </row>
    <row r="2423" spans="1:2" x14ac:dyDescent="0.2">
      <c r="A2423" s="26"/>
      <c r="B2423" s="1"/>
    </row>
    <row r="2424" spans="1:2" x14ac:dyDescent="0.2">
      <c r="A2424" s="26"/>
      <c r="B2424" s="1"/>
    </row>
    <row r="2425" spans="1:2" x14ac:dyDescent="0.2">
      <c r="A2425" s="26"/>
      <c r="B2425" s="1"/>
    </row>
    <row r="2426" spans="1:2" x14ac:dyDescent="0.2">
      <c r="B2426" s="1"/>
    </row>
    <row r="2427" spans="1:2" x14ac:dyDescent="0.2">
      <c r="B2427" s="1"/>
    </row>
    <row r="2428" spans="1:2" x14ac:dyDescent="0.2">
      <c r="B2428" s="1"/>
    </row>
    <row r="2429" spans="1:2" x14ac:dyDescent="0.2">
      <c r="B2429" s="1"/>
    </row>
    <row r="2430" spans="1:2" x14ac:dyDescent="0.2">
      <c r="B2430" s="1"/>
    </row>
    <row r="2431" spans="1:2" x14ac:dyDescent="0.2">
      <c r="B2431" s="1"/>
    </row>
    <row r="2432" spans="1:2" x14ac:dyDescent="0.2">
      <c r="B2432" s="1"/>
    </row>
    <row r="2433" spans="1:2" x14ac:dyDescent="0.2">
      <c r="B2433" s="1"/>
    </row>
    <row r="2434" spans="1:2" x14ac:dyDescent="0.2">
      <c r="B2434" s="1"/>
    </row>
    <row r="2435" spans="1:2" x14ac:dyDescent="0.2">
      <c r="B2435" s="1"/>
    </row>
    <row r="2436" spans="1:2" x14ac:dyDescent="0.2">
      <c r="B2436" s="1"/>
    </row>
    <row r="2437" spans="1:2" x14ac:dyDescent="0.2">
      <c r="B2437" s="1"/>
    </row>
    <row r="2438" spans="1:2" x14ac:dyDescent="0.2">
      <c r="A2438" s="26"/>
      <c r="B2438" s="1"/>
    </row>
    <row r="2439" spans="1:2" x14ac:dyDescent="0.2">
      <c r="A2439" s="26"/>
      <c r="B2439" s="1"/>
    </row>
    <row r="2440" spans="1:2" x14ac:dyDescent="0.2">
      <c r="A2440" s="26"/>
      <c r="B2440" s="1"/>
    </row>
    <row r="2441" spans="1:2" x14ac:dyDescent="0.2">
      <c r="A2441" s="26"/>
      <c r="B2441" s="1"/>
    </row>
    <row r="2442" spans="1:2" x14ac:dyDescent="0.2">
      <c r="A2442" s="26"/>
      <c r="B2442" s="1"/>
    </row>
    <row r="2443" spans="1:2" x14ac:dyDescent="0.2">
      <c r="A2443" s="26"/>
      <c r="B2443" s="1"/>
    </row>
    <row r="2444" spans="1:2" x14ac:dyDescent="0.2">
      <c r="A2444" s="26"/>
      <c r="B2444" s="1"/>
    </row>
    <row r="2445" spans="1:2" x14ac:dyDescent="0.2">
      <c r="B2445" s="1"/>
    </row>
    <row r="2446" spans="1:2" x14ac:dyDescent="0.2">
      <c r="B2446" s="1"/>
    </row>
    <row r="2447" spans="1:2" x14ac:dyDescent="0.2">
      <c r="B2447" s="1"/>
    </row>
    <row r="2448" spans="1:2" x14ac:dyDescent="0.2">
      <c r="B2448" s="1"/>
    </row>
    <row r="2449" spans="1:2" x14ac:dyDescent="0.2">
      <c r="B2449" s="1"/>
    </row>
    <row r="2450" spans="1:2" x14ac:dyDescent="0.2">
      <c r="B2450" s="1"/>
    </row>
    <row r="2451" spans="1:2" x14ac:dyDescent="0.2">
      <c r="B2451" s="1"/>
    </row>
    <row r="2452" spans="1:2" x14ac:dyDescent="0.2">
      <c r="B2452" s="1"/>
    </row>
    <row r="2453" spans="1:2" x14ac:dyDescent="0.2">
      <c r="B2453" s="1"/>
    </row>
    <row r="2454" spans="1:2" x14ac:dyDescent="0.2">
      <c r="B2454" s="1"/>
    </row>
    <row r="2455" spans="1:2" x14ac:dyDescent="0.2">
      <c r="B2455" s="1"/>
    </row>
    <row r="2456" spans="1:2" x14ac:dyDescent="0.2">
      <c r="B2456" s="1"/>
    </row>
    <row r="2457" spans="1:2" x14ac:dyDescent="0.2">
      <c r="B2457" s="1"/>
    </row>
    <row r="2458" spans="1:2" x14ac:dyDescent="0.2">
      <c r="A2458" s="26"/>
      <c r="B2458" s="1"/>
    </row>
    <row r="2459" spans="1:2" x14ac:dyDescent="0.2">
      <c r="A2459" s="26"/>
      <c r="B2459" s="1"/>
    </row>
    <row r="2460" spans="1:2" x14ac:dyDescent="0.2">
      <c r="A2460" s="26"/>
      <c r="B2460" s="1"/>
    </row>
    <row r="2461" spans="1:2" x14ac:dyDescent="0.2">
      <c r="A2461" s="26"/>
      <c r="B2461" s="1"/>
    </row>
    <row r="2462" spans="1:2" x14ac:dyDescent="0.2">
      <c r="A2462" s="26"/>
      <c r="B2462" s="1"/>
    </row>
    <row r="2463" spans="1:2" x14ac:dyDescent="0.2">
      <c r="A2463" s="26"/>
      <c r="B2463" s="1"/>
    </row>
    <row r="2464" spans="1:2" x14ac:dyDescent="0.2">
      <c r="A2464" s="26"/>
      <c r="B2464" s="1"/>
    </row>
    <row r="2465" spans="1:2" x14ac:dyDescent="0.2">
      <c r="A2465" s="26"/>
      <c r="B2465" s="1"/>
    </row>
    <row r="2466" spans="1:2" x14ac:dyDescent="0.2">
      <c r="A2466" s="26"/>
      <c r="B2466" s="1"/>
    </row>
    <row r="2467" spans="1:2" x14ac:dyDescent="0.2">
      <c r="B2467" s="1"/>
    </row>
    <row r="2468" spans="1:2" x14ac:dyDescent="0.2">
      <c r="B2468" s="1"/>
    </row>
    <row r="2469" spans="1:2" x14ac:dyDescent="0.2">
      <c r="B2469" s="1"/>
    </row>
    <row r="2470" spans="1:2" x14ac:dyDescent="0.2">
      <c r="B2470" s="1"/>
    </row>
    <row r="2471" spans="1:2" x14ac:dyDescent="0.2">
      <c r="B2471" s="1"/>
    </row>
    <row r="2472" spans="1:2" x14ac:dyDescent="0.2">
      <c r="B2472" s="1"/>
    </row>
    <row r="2473" spans="1:2" x14ac:dyDescent="0.2">
      <c r="B2473" s="1"/>
    </row>
    <row r="2474" spans="1:2" x14ac:dyDescent="0.2">
      <c r="B2474" s="1"/>
    </row>
    <row r="2475" spans="1:2" x14ac:dyDescent="0.2">
      <c r="B2475" s="1"/>
    </row>
    <row r="2476" spans="1:2" x14ac:dyDescent="0.2">
      <c r="B2476" s="1"/>
    </row>
    <row r="2477" spans="1:2" x14ac:dyDescent="0.2">
      <c r="B2477" s="1"/>
    </row>
    <row r="2478" spans="1:2" x14ac:dyDescent="0.2">
      <c r="A2478" s="26"/>
      <c r="B2478" s="1"/>
    </row>
    <row r="2479" spans="1:2" x14ac:dyDescent="0.2">
      <c r="A2479" s="26"/>
      <c r="B2479" s="1"/>
    </row>
    <row r="2480" spans="1:2" x14ac:dyDescent="0.2">
      <c r="A2480" s="26"/>
      <c r="B2480" s="1"/>
    </row>
    <row r="2481" spans="1:2" x14ac:dyDescent="0.2">
      <c r="A2481" s="26"/>
      <c r="B2481" s="1"/>
    </row>
    <row r="2482" spans="1:2" x14ac:dyDescent="0.2">
      <c r="A2482" s="26"/>
      <c r="B2482" s="1"/>
    </row>
    <row r="2483" spans="1:2" x14ac:dyDescent="0.2">
      <c r="A2483" s="26"/>
      <c r="B2483" s="1"/>
    </row>
    <row r="2484" spans="1:2" x14ac:dyDescent="0.2">
      <c r="A2484" s="26"/>
      <c r="B2484" s="1"/>
    </row>
    <row r="2485" spans="1:2" x14ac:dyDescent="0.2">
      <c r="A2485" s="26"/>
      <c r="B2485" s="1"/>
    </row>
    <row r="2486" spans="1:2" x14ac:dyDescent="0.2">
      <c r="A2486" s="26"/>
      <c r="B2486" s="1"/>
    </row>
    <row r="2487" spans="1:2" x14ac:dyDescent="0.2">
      <c r="B2487" s="1"/>
    </row>
    <row r="2488" spans="1:2" x14ac:dyDescent="0.2">
      <c r="B2488" s="1"/>
    </row>
    <row r="2489" spans="1:2" x14ac:dyDescent="0.2">
      <c r="B2489" s="1"/>
    </row>
    <row r="2490" spans="1:2" x14ac:dyDescent="0.2">
      <c r="B2490" s="1"/>
    </row>
    <row r="2491" spans="1:2" x14ac:dyDescent="0.2">
      <c r="B2491" s="1"/>
    </row>
    <row r="2492" spans="1:2" x14ac:dyDescent="0.2">
      <c r="B2492" s="1"/>
    </row>
    <row r="2493" spans="1:2" x14ac:dyDescent="0.2">
      <c r="B2493" s="1"/>
    </row>
    <row r="2494" spans="1:2" x14ac:dyDescent="0.2">
      <c r="B2494" s="1"/>
    </row>
    <row r="2495" spans="1:2" x14ac:dyDescent="0.2">
      <c r="B2495" s="1"/>
    </row>
    <row r="2496" spans="1:2" x14ac:dyDescent="0.2">
      <c r="B2496" s="1"/>
    </row>
    <row r="2497" spans="1:2" x14ac:dyDescent="0.2">
      <c r="B2497" s="1"/>
    </row>
    <row r="2498" spans="1:2" x14ac:dyDescent="0.2">
      <c r="B2498" s="1"/>
    </row>
    <row r="2499" spans="1:2" x14ac:dyDescent="0.2">
      <c r="B2499" s="1"/>
    </row>
    <row r="2500" spans="1:2" x14ac:dyDescent="0.2">
      <c r="B2500" s="1"/>
    </row>
    <row r="2501" spans="1:2" x14ac:dyDescent="0.2">
      <c r="A2501" s="26"/>
      <c r="B2501" s="1"/>
    </row>
    <row r="2502" spans="1:2" x14ac:dyDescent="0.2">
      <c r="A2502" s="26"/>
      <c r="B2502" s="1"/>
    </row>
    <row r="2503" spans="1:2" x14ac:dyDescent="0.2">
      <c r="A2503" s="26"/>
      <c r="B2503" s="1"/>
    </row>
    <row r="2504" spans="1:2" x14ac:dyDescent="0.2">
      <c r="A2504" s="26"/>
      <c r="B2504" s="1"/>
    </row>
    <row r="2505" spans="1:2" x14ac:dyDescent="0.2">
      <c r="A2505" s="26"/>
      <c r="B2505" s="1"/>
    </row>
    <row r="2506" spans="1:2" x14ac:dyDescent="0.2">
      <c r="A2506" s="26"/>
      <c r="B2506" s="1"/>
    </row>
    <row r="2507" spans="1:2" x14ac:dyDescent="0.2">
      <c r="A2507" s="26"/>
      <c r="B2507" s="1"/>
    </row>
    <row r="2508" spans="1:2" x14ac:dyDescent="0.2">
      <c r="A2508" s="26"/>
      <c r="B2508" s="1"/>
    </row>
    <row r="2509" spans="1:2" x14ac:dyDescent="0.2">
      <c r="B2509" s="1"/>
    </row>
    <row r="2510" spans="1:2" x14ac:dyDescent="0.2">
      <c r="B2510" s="1"/>
    </row>
    <row r="2511" spans="1:2" x14ac:dyDescent="0.2">
      <c r="B2511" s="1"/>
    </row>
    <row r="2512" spans="1:2" x14ac:dyDescent="0.2">
      <c r="B2512" s="1"/>
    </row>
    <row r="2513" spans="2:2" x14ac:dyDescent="0.2">
      <c r="B2513" s="1"/>
    </row>
    <row r="2514" spans="2:2" x14ac:dyDescent="0.2">
      <c r="B2514" s="1"/>
    </row>
    <row r="2515" spans="2:2" x14ac:dyDescent="0.2">
      <c r="B2515" s="1"/>
    </row>
    <row r="2516" spans="2:2" x14ac:dyDescent="0.2">
      <c r="B2516" s="1"/>
    </row>
  </sheetData>
  <mergeCells count="3">
    <mergeCell ref="E1:F1"/>
    <mergeCell ref="E6:F6"/>
    <mergeCell ref="E12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9E09-58F6-924F-872C-10A7E6FA3139}">
  <dimension ref="A2:ALR55"/>
  <sheetViews>
    <sheetView topLeftCell="A2" zoomScale="180" zoomScaleNormal="107" workbookViewId="0">
      <selection activeCell="E17" sqref="E17"/>
    </sheetView>
  </sheetViews>
  <sheetFormatPr baseColWidth="10" defaultRowHeight="16" x14ac:dyDescent="0.2"/>
  <cols>
    <col min="3" max="3" width="13.5" customWidth="1"/>
    <col min="4" max="4" width="28.33203125" customWidth="1"/>
    <col min="5" max="5" width="34.83203125" customWidth="1"/>
    <col min="6" max="6" width="13" bestFit="1" customWidth="1"/>
    <col min="7" max="7" width="15" customWidth="1"/>
    <col min="8" max="8" width="12.33203125" customWidth="1"/>
    <col min="9" max="9" width="13.1640625" customWidth="1"/>
    <col min="10" max="10" width="11.83203125" customWidth="1"/>
    <col min="11" max="11" width="12.33203125" customWidth="1"/>
    <col min="12" max="12" width="12.6640625" customWidth="1"/>
    <col min="13" max="14" width="11.83203125" customWidth="1"/>
    <col min="15" max="18" width="12.83203125" customWidth="1"/>
    <col min="19" max="1006" width="13.83203125" customWidth="1"/>
  </cols>
  <sheetData>
    <row r="2" spans="2:1006" x14ac:dyDescent="0.2">
      <c r="B2" s="64" t="s">
        <v>1531</v>
      </c>
      <c r="C2" s="65"/>
      <c r="D2" s="14" t="s">
        <v>1549</v>
      </c>
      <c r="G2" s="20" t="s">
        <v>1575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7"/>
    </row>
    <row r="3" spans="2:1006" s="38" customFormat="1" x14ac:dyDescent="0.2">
      <c r="B3" s="37" t="s">
        <v>1528</v>
      </c>
      <c r="C3" s="43">
        <f>Parameters!F2</f>
        <v>3.2141279979834288E-4</v>
      </c>
      <c r="D3" s="37" t="s">
        <v>1550</v>
      </c>
      <c r="F3" s="39" t="s">
        <v>1536</v>
      </c>
      <c r="G3" s="40">
        <v>1</v>
      </c>
      <c r="H3" s="41">
        <f>G3+1</f>
        <v>2</v>
      </c>
      <c r="I3" s="41">
        <f>H3+1</f>
        <v>3</v>
      </c>
      <c r="J3" s="41">
        <f t="shared" ref="J3:BU3" si="0">I3+1</f>
        <v>4</v>
      </c>
      <c r="K3" s="41">
        <f t="shared" si="0"/>
        <v>5</v>
      </c>
      <c r="L3" s="41">
        <f t="shared" si="0"/>
        <v>6</v>
      </c>
      <c r="M3" s="41">
        <f t="shared" si="0"/>
        <v>7</v>
      </c>
      <c r="N3" s="41">
        <f t="shared" si="0"/>
        <v>8</v>
      </c>
      <c r="O3" s="41">
        <f t="shared" si="0"/>
        <v>9</v>
      </c>
      <c r="P3" s="41">
        <f t="shared" si="0"/>
        <v>10</v>
      </c>
      <c r="Q3" s="41">
        <f t="shared" si="0"/>
        <v>11</v>
      </c>
      <c r="R3" s="41">
        <f t="shared" si="0"/>
        <v>12</v>
      </c>
      <c r="S3" s="41">
        <f t="shared" si="0"/>
        <v>13</v>
      </c>
      <c r="T3" s="41">
        <f t="shared" si="0"/>
        <v>14</v>
      </c>
      <c r="U3" s="41">
        <f t="shared" si="0"/>
        <v>15</v>
      </c>
      <c r="V3" s="41">
        <f t="shared" si="0"/>
        <v>16</v>
      </c>
      <c r="W3" s="41">
        <f t="shared" si="0"/>
        <v>17</v>
      </c>
      <c r="X3" s="41">
        <f t="shared" si="0"/>
        <v>18</v>
      </c>
      <c r="Y3" s="41">
        <f t="shared" si="0"/>
        <v>19</v>
      </c>
      <c r="Z3" s="41">
        <f t="shared" si="0"/>
        <v>20</v>
      </c>
      <c r="AA3" s="41">
        <f t="shared" si="0"/>
        <v>21</v>
      </c>
      <c r="AB3" s="41">
        <f t="shared" si="0"/>
        <v>22</v>
      </c>
      <c r="AC3" s="41">
        <f t="shared" si="0"/>
        <v>23</v>
      </c>
      <c r="AD3" s="41">
        <f t="shared" si="0"/>
        <v>24</v>
      </c>
      <c r="AE3" s="41">
        <f t="shared" si="0"/>
        <v>25</v>
      </c>
      <c r="AF3" s="41">
        <f t="shared" si="0"/>
        <v>26</v>
      </c>
      <c r="AG3" s="41">
        <f t="shared" si="0"/>
        <v>27</v>
      </c>
      <c r="AH3" s="41">
        <f t="shared" si="0"/>
        <v>28</v>
      </c>
      <c r="AI3" s="41">
        <f t="shared" si="0"/>
        <v>29</v>
      </c>
      <c r="AJ3" s="41">
        <f t="shared" si="0"/>
        <v>30</v>
      </c>
      <c r="AK3" s="41">
        <f t="shared" si="0"/>
        <v>31</v>
      </c>
      <c r="AL3" s="41">
        <f t="shared" si="0"/>
        <v>32</v>
      </c>
      <c r="AM3" s="41">
        <f t="shared" si="0"/>
        <v>33</v>
      </c>
      <c r="AN3" s="41">
        <f t="shared" si="0"/>
        <v>34</v>
      </c>
      <c r="AO3" s="41">
        <f t="shared" si="0"/>
        <v>35</v>
      </c>
      <c r="AP3" s="41">
        <f t="shared" si="0"/>
        <v>36</v>
      </c>
      <c r="AQ3" s="41">
        <f t="shared" si="0"/>
        <v>37</v>
      </c>
      <c r="AR3" s="41">
        <f t="shared" si="0"/>
        <v>38</v>
      </c>
      <c r="AS3" s="41">
        <f t="shared" si="0"/>
        <v>39</v>
      </c>
      <c r="AT3" s="41">
        <f t="shared" si="0"/>
        <v>40</v>
      </c>
      <c r="AU3" s="41">
        <f t="shared" si="0"/>
        <v>41</v>
      </c>
      <c r="AV3" s="41">
        <f t="shared" si="0"/>
        <v>42</v>
      </c>
      <c r="AW3" s="41">
        <f t="shared" si="0"/>
        <v>43</v>
      </c>
      <c r="AX3" s="41">
        <f t="shared" si="0"/>
        <v>44</v>
      </c>
      <c r="AY3" s="41">
        <f t="shared" si="0"/>
        <v>45</v>
      </c>
      <c r="AZ3" s="41">
        <f t="shared" si="0"/>
        <v>46</v>
      </c>
      <c r="BA3" s="41">
        <f t="shared" si="0"/>
        <v>47</v>
      </c>
      <c r="BB3" s="41">
        <f t="shared" si="0"/>
        <v>48</v>
      </c>
      <c r="BC3" s="41">
        <f t="shared" si="0"/>
        <v>49</v>
      </c>
      <c r="BD3" s="41">
        <f t="shared" si="0"/>
        <v>50</v>
      </c>
      <c r="BE3" s="41">
        <f t="shared" si="0"/>
        <v>51</v>
      </c>
      <c r="BF3" s="41">
        <f t="shared" si="0"/>
        <v>52</v>
      </c>
      <c r="BG3" s="41">
        <f t="shared" si="0"/>
        <v>53</v>
      </c>
      <c r="BH3" s="41">
        <f t="shared" si="0"/>
        <v>54</v>
      </c>
      <c r="BI3" s="41">
        <f t="shared" si="0"/>
        <v>55</v>
      </c>
      <c r="BJ3" s="41">
        <f t="shared" si="0"/>
        <v>56</v>
      </c>
      <c r="BK3" s="41">
        <f t="shared" si="0"/>
        <v>57</v>
      </c>
      <c r="BL3" s="41">
        <f t="shared" si="0"/>
        <v>58</v>
      </c>
      <c r="BM3" s="41">
        <f t="shared" si="0"/>
        <v>59</v>
      </c>
      <c r="BN3" s="41">
        <f t="shared" si="0"/>
        <v>60</v>
      </c>
      <c r="BO3" s="41">
        <f t="shared" si="0"/>
        <v>61</v>
      </c>
      <c r="BP3" s="41">
        <f t="shared" si="0"/>
        <v>62</v>
      </c>
      <c r="BQ3" s="41">
        <f t="shared" si="0"/>
        <v>63</v>
      </c>
      <c r="BR3" s="41">
        <f t="shared" si="0"/>
        <v>64</v>
      </c>
      <c r="BS3" s="41">
        <f t="shared" si="0"/>
        <v>65</v>
      </c>
      <c r="BT3" s="41">
        <f t="shared" si="0"/>
        <v>66</v>
      </c>
      <c r="BU3" s="41">
        <f t="shared" si="0"/>
        <v>67</v>
      </c>
      <c r="BV3" s="41">
        <f t="shared" ref="BV3:EG3" si="1">BU3+1</f>
        <v>68</v>
      </c>
      <c r="BW3" s="41">
        <f t="shared" si="1"/>
        <v>69</v>
      </c>
      <c r="BX3" s="41">
        <f t="shared" si="1"/>
        <v>70</v>
      </c>
      <c r="BY3" s="41">
        <f t="shared" si="1"/>
        <v>71</v>
      </c>
      <c r="BZ3" s="41">
        <f t="shared" si="1"/>
        <v>72</v>
      </c>
      <c r="CA3" s="41">
        <f t="shared" si="1"/>
        <v>73</v>
      </c>
      <c r="CB3" s="41">
        <f t="shared" si="1"/>
        <v>74</v>
      </c>
      <c r="CC3" s="41">
        <f t="shared" si="1"/>
        <v>75</v>
      </c>
      <c r="CD3" s="41">
        <f t="shared" si="1"/>
        <v>76</v>
      </c>
      <c r="CE3" s="41">
        <f t="shared" si="1"/>
        <v>77</v>
      </c>
      <c r="CF3" s="41">
        <f t="shared" si="1"/>
        <v>78</v>
      </c>
      <c r="CG3" s="41">
        <f t="shared" si="1"/>
        <v>79</v>
      </c>
      <c r="CH3" s="41">
        <f t="shared" si="1"/>
        <v>80</v>
      </c>
      <c r="CI3" s="41">
        <f t="shared" si="1"/>
        <v>81</v>
      </c>
      <c r="CJ3" s="41">
        <f t="shared" si="1"/>
        <v>82</v>
      </c>
      <c r="CK3" s="41">
        <f t="shared" si="1"/>
        <v>83</v>
      </c>
      <c r="CL3" s="41">
        <f t="shared" si="1"/>
        <v>84</v>
      </c>
      <c r="CM3" s="41">
        <f t="shared" si="1"/>
        <v>85</v>
      </c>
      <c r="CN3" s="41">
        <f t="shared" si="1"/>
        <v>86</v>
      </c>
      <c r="CO3" s="41">
        <f t="shared" si="1"/>
        <v>87</v>
      </c>
      <c r="CP3" s="41">
        <f t="shared" si="1"/>
        <v>88</v>
      </c>
      <c r="CQ3" s="41">
        <f t="shared" si="1"/>
        <v>89</v>
      </c>
      <c r="CR3" s="41">
        <f t="shared" si="1"/>
        <v>90</v>
      </c>
      <c r="CS3" s="41">
        <f t="shared" si="1"/>
        <v>91</v>
      </c>
      <c r="CT3" s="41">
        <f t="shared" si="1"/>
        <v>92</v>
      </c>
      <c r="CU3" s="41">
        <f t="shared" si="1"/>
        <v>93</v>
      </c>
      <c r="CV3" s="41">
        <f t="shared" si="1"/>
        <v>94</v>
      </c>
      <c r="CW3" s="41">
        <f t="shared" si="1"/>
        <v>95</v>
      </c>
      <c r="CX3" s="41">
        <f t="shared" si="1"/>
        <v>96</v>
      </c>
      <c r="CY3" s="41">
        <f t="shared" si="1"/>
        <v>97</v>
      </c>
      <c r="CZ3" s="41">
        <f t="shared" si="1"/>
        <v>98</v>
      </c>
      <c r="DA3" s="41">
        <f t="shared" si="1"/>
        <v>99</v>
      </c>
      <c r="DB3" s="41">
        <f t="shared" si="1"/>
        <v>100</v>
      </c>
      <c r="DC3" s="41">
        <f t="shared" si="1"/>
        <v>101</v>
      </c>
      <c r="DD3" s="41">
        <f t="shared" si="1"/>
        <v>102</v>
      </c>
      <c r="DE3" s="41">
        <f t="shared" si="1"/>
        <v>103</v>
      </c>
      <c r="DF3" s="41">
        <f t="shared" si="1"/>
        <v>104</v>
      </c>
      <c r="DG3" s="41">
        <f t="shared" si="1"/>
        <v>105</v>
      </c>
      <c r="DH3" s="41">
        <f t="shared" si="1"/>
        <v>106</v>
      </c>
      <c r="DI3" s="41">
        <f t="shared" si="1"/>
        <v>107</v>
      </c>
      <c r="DJ3" s="41">
        <f t="shared" si="1"/>
        <v>108</v>
      </c>
      <c r="DK3" s="41">
        <f t="shared" si="1"/>
        <v>109</v>
      </c>
      <c r="DL3" s="41">
        <f t="shared" si="1"/>
        <v>110</v>
      </c>
      <c r="DM3" s="41">
        <f t="shared" si="1"/>
        <v>111</v>
      </c>
      <c r="DN3" s="41">
        <f t="shared" si="1"/>
        <v>112</v>
      </c>
      <c r="DO3" s="41">
        <f t="shared" si="1"/>
        <v>113</v>
      </c>
      <c r="DP3" s="41">
        <f t="shared" si="1"/>
        <v>114</v>
      </c>
      <c r="DQ3" s="41">
        <f t="shared" si="1"/>
        <v>115</v>
      </c>
      <c r="DR3" s="41">
        <f t="shared" si="1"/>
        <v>116</v>
      </c>
      <c r="DS3" s="41">
        <f t="shared" si="1"/>
        <v>117</v>
      </c>
      <c r="DT3" s="41">
        <f t="shared" si="1"/>
        <v>118</v>
      </c>
      <c r="DU3" s="41">
        <f t="shared" si="1"/>
        <v>119</v>
      </c>
      <c r="DV3" s="41">
        <f t="shared" si="1"/>
        <v>120</v>
      </c>
      <c r="DW3" s="41">
        <f t="shared" si="1"/>
        <v>121</v>
      </c>
      <c r="DX3" s="41">
        <f t="shared" si="1"/>
        <v>122</v>
      </c>
      <c r="DY3" s="41">
        <f t="shared" si="1"/>
        <v>123</v>
      </c>
      <c r="DZ3" s="41">
        <f t="shared" si="1"/>
        <v>124</v>
      </c>
      <c r="EA3" s="41">
        <f t="shared" si="1"/>
        <v>125</v>
      </c>
      <c r="EB3" s="41">
        <f t="shared" si="1"/>
        <v>126</v>
      </c>
      <c r="EC3" s="41">
        <f t="shared" si="1"/>
        <v>127</v>
      </c>
      <c r="ED3" s="41">
        <f t="shared" si="1"/>
        <v>128</v>
      </c>
      <c r="EE3" s="41">
        <f t="shared" si="1"/>
        <v>129</v>
      </c>
      <c r="EF3" s="41">
        <f t="shared" si="1"/>
        <v>130</v>
      </c>
      <c r="EG3" s="41">
        <f t="shared" si="1"/>
        <v>131</v>
      </c>
      <c r="EH3" s="41">
        <f t="shared" ref="EH3:GS3" si="2">EG3+1</f>
        <v>132</v>
      </c>
      <c r="EI3" s="41">
        <f t="shared" si="2"/>
        <v>133</v>
      </c>
      <c r="EJ3" s="41">
        <f t="shared" si="2"/>
        <v>134</v>
      </c>
      <c r="EK3" s="41">
        <f t="shared" si="2"/>
        <v>135</v>
      </c>
      <c r="EL3" s="41">
        <f t="shared" si="2"/>
        <v>136</v>
      </c>
      <c r="EM3" s="41">
        <f t="shared" si="2"/>
        <v>137</v>
      </c>
      <c r="EN3" s="41">
        <f t="shared" si="2"/>
        <v>138</v>
      </c>
      <c r="EO3" s="41">
        <f t="shared" si="2"/>
        <v>139</v>
      </c>
      <c r="EP3" s="41">
        <f t="shared" si="2"/>
        <v>140</v>
      </c>
      <c r="EQ3" s="41">
        <f t="shared" si="2"/>
        <v>141</v>
      </c>
      <c r="ER3" s="41">
        <f t="shared" si="2"/>
        <v>142</v>
      </c>
      <c r="ES3" s="41">
        <f t="shared" si="2"/>
        <v>143</v>
      </c>
      <c r="ET3" s="41">
        <f t="shared" si="2"/>
        <v>144</v>
      </c>
      <c r="EU3" s="41">
        <f t="shared" si="2"/>
        <v>145</v>
      </c>
      <c r="EV3" s="41">
        <f t="shared" si="2"/>
        <v>146</v>
      </c>
      <c r="EW3" s="41">
        <f t="shared" si="2"/>
        <v>147</v>
      </c>
      <c r="EX3" s="41">
        <f t="shared" si="2"/>
        <v>148</v>
      </c>
      <c r="EY3" s="41">
        <f t="shared" si="2"/>
        <v>149</v>
      </c>
      <c r="EZ3" s="41">
        <f t="shared" si="2"/>
        <v>150</v>
      </c>
      <c r="FA3" s="41">
        <f t="shared" si="2"/>
        <v>151</v>
      </c>
      <c r="FB3" s="41">
        <f t="shared" si="2"/>
        <v>152</v>
      </c>
      <c r="FC3" s="41">
        <f t="shared" si="2"/>
        <v>153</v>
      </c>
      <c r="FD3" s="41">
        <f t="shared" si="2"/>
        <v>154</v>
      </c>
      <c r="FE3" s="41">
        <f t="shared" si="2"/>
        <v>155</v>
      </c>
      <c r="FF3" s="41">
        <f t="shared" si="2"/>
        <v>156</v>
      </c>
      <c r="FG3" s="41">
        <f t="shared" si="2"/>
        <v>157</v>
      </c>
      <c r="FH3" s="41">
        <f t="shared" si="2"/>
        <v>158</v>
      </c>
      <c r="FI3" s="41">
        <f t="shared" si="2"/>
        <v>159</v>
      </c>
      <c r="FJ3" s="41">
        <f t="shared" si="2"/>
        <v>160</v>
      </c>
      <c r="FK3" s="41">
        <f t="shared" si="2"/>
        <v>161</v>
      </c>
      <c r="FL3" s="41">
        <f t="shared" si="2"/>
        <v>162</v>
      </c>
      <c r="FM3" s="41">
        <f t="shared" si="2"/>
        <v>163</v>
      </c>
      <c r="FN3" s="41">
        <f t="shared" si="2"/>
        <v>164</v>
      </c>
      <c r="FO3" s="41">
        <f t="shared" si="2"/>
        <v>165</v>
      </c>
      <c r="FP3" s="41">
        <f t="shared" si="2"/>
        <v>166</v>
      </c>
      <c r="FQ3" s="41">
        <f t="shared" si="2"/>
        <v>167</v>
      </c>
      <c r="FR3" s="41">
        <f t="shared" si="2"/>
        <v>168</v>
      </c>
      <c r="FS3" s="41">
        <f t="shared" si="2"/>
        <v>169</v>
      </c>
      <c r="FT3" s="41">
        <f t="shared" si="2"/>
        <v>170</v>
      </c>
      <c r="FU3" s="41">
        <f t="shared" si="2"/>
        <v>171</v>
      </c>
      <c r="FV3" s="41">
        <f t="shared" si="2"/>
        <v>172</v>
      </c>
      <c r="FW3" s="41">
        <f t="shared" si="2"/>
        <v>173</v>
      </c>
      <c r="FX3" s="41">
        <f t="shared" si="2"/>
        <v>174</v>
      </c>
      <c r="FY3" s="41">
        <f t="shared" si="2"/>
        <v>175</v>
      </c>
      <c r="FZ3" s="41">
        <f t="shared" si="2"/>
        <v>176</v>
      </c>
      <c r="GA3" s="41">
        <f t="shared" si="2"/>
        <v>177</v>
      </c>
      <c r="GB3" s="41">
        <f t="shared" si="2"/>
        <v>178</v>
      </c>
      <c r="GC3" s="41">
        <f t="shared" si="2"/>
        <v>179</v>
      </c>
      <c r="GD3" s="41">
        <f t="shared" si="2"/>
        <v>180</v>
      </c>
      <c r="GE3" s="41">
        <f t="shared" si="2"/>
        <v>181</v>
      </c>
      <c r="GF3" s="41">
        <f t="shared" si="2"/>
        <v>182</v>
      </c>
      <c r="GG3" s="41">
        <f t="shared" si="2"/>
        <v>183</v>
      </c>
      <c r="GH3" s="41">
        <f t="shared" si="2"/>
        <v>184</v>
      </c>
      <c r="GI3" s="41">
        <f t="shared" si="2"/>
        <v>185</v>
      </c>
      <c r="GJ3" s="41">
        <f t="shared" si="2"/>
        <v>186</v>
      </c>
      <c r="GK3" s="41">
        <f t="shared" si="2"/>
        <v>187</v>
      </c>
      <c r="GL3" s="41">
        <f t="shared" si="2"/>
        <v>188</v>
      </c>
      <c r="GM3" s="41">
        <f t="shared" si="2"/>
        <v>189</v>
      </c>
      <c r="GN3" s="41">
        <f t="shared" si="2"/>
        <v>190</v>
      </c>
      <c r="GO3" s="41">
        <f t="shared" si="2"/>
        <v>191</v>
      </c>
      <c r="GP3" s="41">
        <f t="shared" si="2"/>
        <v>192</v>
      </c>
      <c r="GQ3" s="41">
        <f t="shared" si="2"/>
        <v>193</v>
      </c>
      <c r="GR3" s="41">
        <f t="shared" si="2"/>
        <v>194</v>
      </c>
      <c r="GS3" s="41">
        <f t="shared" si="2"/>
        <v>195</v>
      </c>
      <c r="GT3" s="41">
        <f t="shared" ref="GT3:JE3" si="3">GS3+1</f>
        <v>196</v>
      </c>
      <c r="GU3" s="41">
        <f t="shared" si="3"/>
        <v>197</v>
      </c>
      <c r="GV3" s="41">
        <f t="shared" si="3"/>
        <v>198</v>
      </c>
      <c r="GW3" s="41">
        <f t="shared" si="3"/>
        <v>199</v>
      </c>
      <c r="GX3" s="41">
        <f t="shared" si="3"/>
        <v>200</v>
      </c>
      <c r="GY3" s="41">
        <f t="shared" si="3"/>
        <v>201</v>
      </c>
      <c r="GZ3" s="41">
        <f t="shared" si="3"/>
        <v>202</v>
      </c>
      <c r="HA3" s="41">
        <f t="shared" si="3"/>
        <v>203</v>
      </c>
      <c r="HB3" s="41">
        <f t="shared" si="3"/>
        <v>204</v>
      </c>
      <c r="HC3" s="41">
        <f t="shared" si="3"/>
        <v>205</v>
      </c>
      <c r="HD3" s="41">
        <f t="shared" si="3"/>
        <v>206</v>
      </c>
      <c r="HE3" s="41">
        <f t="shared" si="3"/>
        <v>207</v>
      </c>
      <c r="HF3" s="41">
        <f t="shared" si="3"/>
        <v>208</v>
      </c>
      <c r="HG3" s="41">
        <f t="shared" si="3"/>
        <v>209</v>
      </c>
      <c r="HH3" s="41">
        <f t="shared" si="3"/>
        <v>210</v>
      </c>
      <c r="HI3" s="41">
        <f t="shared" si="3"/>
        <v>211</v>
      </c>
      <c r="HJ3" s="41">
        <f t="shared" si="3"/>
        <v>212</v>
      </c>
      <c r="HK3" s="41">
        <f t="shared" si="3"/>
        <v>213</v>
      </c>
      <c r="HL3" s="41">
        <f t="shared" si="3"/>
        <v>214</v>
      </c>
      <c r="HM3" s="41">
        <f t="shared" si="3"/>
        <v>215</v>
      </c>
      <c r="HN3" s="41">
        <f t="shared" si="3"/>
        <v>216</v>
      </c>
      <c r="HO3" s="41">
        <f t="shared" si="3"/>
        <v>217</v>
      </c>
      <c r="HP3" s="41">
        <f t="shared" si="3"/>
        <v>218</v>
      </c>
      <c r="HQ3" s="41">
        <f t="shared" si="3"/>
        <v>219</v>
      </c>
      <c r="HR3" s="41">
        <f t="shared" si="3"/>
        <v>220</v>
      </c>
      <c r="HS3" s="41">
        <f t="shared" si="3"/>
        <v>221</v>
      </c>
      <c r="HT3" s="41">
        <f t="shared" si="3"/>
        <v>222</v>
      </c>
      <c r="HU3" s="41">
        <f t="shared" si="3"/>
        <v>223</v>
      </c>
      <c r="HV3" s="41">
        <f t="shared" si="3"/>
        <v>224</v>
      </c>
      <c r="HW3" s="41">
        <f t="shared" si="3"/>
        <v>225</v>
      </c>
      <c r="HX3" s="41">
        <f t="shared" si="3"/>
        <v>226</v>
      </c>
      <c r="HY3" s="41">
        <f t="shared" si="3"/>
        <v>227</v>
      </c>
      <c r="HZ3" s="41">
        <f t="shared" si="3"/>
        <v>228</v>
      </c>
      <c r="IA3" s="41">
        <f t="shared" si="3"/>
        <v>229</v>
      </c>
      <c r="IB3" s="41">
        <f t="shared" si="3"/>
        <v>230</v>
      </c>
      <c r="IC3" s="41">
        <f t="shared" si="3"/>
        <v>231</v>
      </c>
      <c r="ID3" s="41">
        <f t="shared" si="3"/>
        <v>232</v>
      </c>
      <c r="IE3" s="41">
        <f t="shared" si="3"/>
        <v>233</v>
      </c>
      <c r="IF3" s="41">
        <f t="shared" si="3"/>
        <v>234</v>
      </c>
      <c r="IG3" s="41">
        <f t="shared" si="3"/>
        <v>235</v>
      </c>
      <c r="IH3" s="41">
        <f t="shared" si="3"/>
        <v>236</v>
      </c>
      <c r="II3" s="41">
        <f t="shared" si="3"/>
        <v>237</v>
      </c>
      <c r="IJ3" s="41">
        <f t="shared" si="3"/>
        <v>238</v>
      </c>
      <c r="IK3" s="41">
        <f t="shared" si="3"/>
        <v>239</v>
      </c>
      <c r="IL3" s="41">
        <f t="shared" si="3"/>
        <v>240</v>
      </c>
      <c r="IM3" s="41">
        <f t="shared" si="3"/>
        <v>241</v>
      </c>
      <c r="IN3" s="41">
        <f t="shared" si="3"/>
        <v>242</v>
      </c>
      <c r="IO3" s="41">
        <f t="shared" si="3"/>
        <v>243</v>
      </c>
      <c r="IP3" s="41">
        <f t="shared" si="3"/>
        <v>244</v>
      </c>
      <c r="IQ3" s="41">
        <f t="shared" si="3"/>
        <v>245</v>
      </c>
      <c r="IR3" s="41">
        <f t="shared" si="3"/>
        <v>246</v>
      </c>
      <c r="IS3" s="41">
        <f t="shared" si="3"/>
        <v>247</v>
      </c>
      <c r="IT3" s="41">
        <f t="shared" si="3"/>
        <v>248</v>
      </c>
      <c r="IU3" s="41">
        <f t="shared" si="3"/>
        <v>249</v>
      </c>
      <c r="IV3" s="41">
        <f t="shared" si="3"/>
        <v>250</v>
      </c>
      <c r="IW3" s="41">
        <f t="shared" si="3"/>
        <v>251</v>
      </c>
      <c r="IX3" s="41">
        <f t="shared" si="3"/>
        <v>252</v>
      </c>
      <c r="IY3" s="41">
        <f t="shared" si="3"/>
        <v>253</v>
      </c>
      <c r="IZ3" s="41">
        <f t="shared" si="3"/>
        <v>254</v>
      </c>
      <c r="JA3" s="41">
        <f t="shared" si="3"/>
        <v>255</v>
      </c>
      <c r="JB3" s="41">
        <f t="shared" si="3"/>
        <v>256</v>
      </c>
      <c r="JC3" s="41">
        <f t="shared" si="3"/>
        <v>257</v>
      </c>
      <c r="JD3" s="41">
        <f t="shared" si="3"/>
        <v>258</v>
      </c>
      <c r="JE3" s="41">
        <f t="shared" si="3"/>
        <v>259</v>
      </c>
      <c r="JF3" s="41">
        <f t="shared" ref="JF3:LQ3" si="4">JE3+1</f>
        <v>260</v>
      </c>
      <c r="JG3" s="41">
        <f t="shared" si="4"/>
        <v>261</v>
      </c>
      <c r="JH3" s="41">
        <f t="shared" si="4"/>
        <v>262</v>
      </c>
      <c r="JI3" s="41">
        <f t="shared" si="4"/>
        <v>263</v>
      </c>
      <c r="JJ3" s="41">
        <f t="shared" si="4"/>
        <v>264</v>
      </c>
      <c r="JK3" s="41">
        <f t="shared" si="4"/>
        <v>265</v>
      </c>
      <c r="JL3" s="41">
        <f t="shared" si="4"/>
        <v>266</v>
      </c>
      <c r="JM3" s="41">
        <f t="shared" si="4"/>
        <v>267</v>
      </c>
      <c r="JN3" s="41">
        <f t="shared" si="4"/>
        <v>268</v>
      </c>
      <c r="JO3" s="41">
        <f t="shared" si="4"/>
        <v>269</v>
      </c>
      <c r="JP3" s="41">
        <f t="shared" si="4"/>
        <v>270</v>
      </c>
      <c r="JQ3" s="41">
        <f t="shared" si="4"/>
        <v>271</v>
      </c>
      <c r="JR3" s="41">
        <f t="shared" si="4"/>
        <v>272</v>
      </c>
      <c r="JS3" s="41">
        <f t="shared" si="4"/>
        <v>273</v>
      </c>
      <c r="JT3" s="41">
        <f t="shared" si="4"/>
        <v>274</v>
      </c>
      <c r="JU3" s="41">
        <f t="shared" si="4"/>
        <v>275</v>
      </c>
      <c r="JV3" s="41">
        <f t="shared" si="4"/>
        <v>276</v>
      </c>
      <c r="JW3" s="41">
        <f t="shared" si="4"/>
        <v>277</v>
      </c>
      <c r="JX3" s="41">
        <f t="shared" si="4"/>
        <v>278</v>
      </c>
      <c r="JY3" s="41">
        <f t="shared" si="4"/>
        <v>279</v>
      </c>
      <c r="JZ3" s="41">
        <f t="shared" si="4"/>
        <v>280</v>
      </c>
      <c r="KA3" s="41">
        <f t="shared" si="4"/>
        <v>281</v>
      </c>
      <c r="KB3" s="41">
        <f t="shared" si="4"/>
        <v>282</v>
      </c>
      <c r="KC3" s="41">
        <f t="shared" si="4"/>
        <v>283</v>
      </c>
      <c r="KD3" s="41">
        <f t="shared" si="4"/>
        <v>284</v>
      </c>
      <c r="KE3" s="41">
        <f t="shared" si="4"/>
        <v>285</v>
      </c>
      <c r="KF3" s="41">
        <f t="shared" si="4"/>
        <v>286</v>
      </c>
      <c r="KG3" s="41">
        <f t="shared" si="4"/>
        <v>287</v>
      </c>
      <c r="KH3" s="41">
        <f t="shared" si="4"/>
        <v>288</v>
      </c>
      <c r="KI3" s="41">
        <f t="shared" si="4"/>
        <v>289</v>
      </c>
      <c r="KJ3" s="41">
        <f t="shared" si="4"/>
        <v>290</v>
      </c>
      <c r="KK3" s="41">
        <f t="shared" si="4"/>
        <v>291</v>
      </c>
      <c r="KL3" s="41">
        <f t="shared" si="4"/>
        <v>292</v>
      </c>
      <c r="KM3" s="41">
        <f t="shared" si="4"/>
        <v>293</v>
      </c>
      <c r="KN3" s="41">
        <f t="shared" si="4"/>
        <v>294</v>
      </c>
      <c r="KO3" s="41">
        <f t="shared" si="4"/>
        <v>295</v>
      </c>
      <c r="KP3" s="41">
        <f t="shared" si="4"/>
        <v>296</v>
      </c>
      <c r="KQ3" s="41">
        <f t="shared" si="4"/>
        <v>297</v>
      </c>
      <c r="KR3" s="41">
        <f t="shared" si="4"/>
        <v>298</v>
      </c>
      <c r="KS3" s="41">
        <f t="shared" si="4"/>
        <v>299</v>
      </c>
      <c r="KT3" s="41">
        <f t="shared" si="4"/>
        <v>300</v>
      </c>
      <c r="KU3" s="41">
        <f t="shared" si="4"/>
        <v>301</v>
      </c>
      <c r="KV3" s="41">
        <f t="shared" si="4"/>
        <v>302</v>
      </c>
      <c r="KW3" s="41">
        <f t="shared" si="4"/>
        <v>303</v>
      </c>
      <c r="KX3" s="41">
        <f t="shared" si="4"/>
        <v>304</v>
      </c>
      <c r="KY3" s="41">
        <f t="shared" si="4"/>
        <v>305</v>
      </c>
      <c r="KZ3" s="41">
        <f t="shared" si="4"/>
        <v>306</v>
      </c>
      <c r="LA3" s="41">
        <f t="shared" si="4"/>
        <v>307</v>
      </c>
      <c r="LB3" s="41">
        <f t="shared" si="4"/>
        <v>308</v>
      </c>
      <c r="LC3" s="41">
        <f t="shared" si="4"/>
        <v>309</v>
      </c>
      <c r="LD3" s="41">
        <f t="shared" si="4"/>
        <v>310</v>
      </c>
      <c r="LE3" s="41">
        <f t="shared" si="4"/>
        <v>311</v>
      </c>
      <c r="LF3" s="41">
        <f t="shared" si="4"/>
        <v>312</v>
      </c>
      <c r="LG3" s="41">
        <f t="shared" si="4"/>
        <v>313</v>
      </c>
      <c r="LH3" s="41">
        <f t="shared" si="4"/>
        <v>314</v>
      </c>
      <c r="LI3" s="41">
        <f t="shared" si="4"/>
        <v>315</v>
      </c>
      <c r="LJ3" s="41">
        <f t="shared" si="4"/>
        <v>316</v>
      </c>
      <c r="LK3" s="41">
        <f t="shared" si="4"/>
        <v>317</v>
      </c>
      <c r="LL3" s="41">
        <f t="shared" si="4"/>
        <v>318</v>
      </c>
      <c r="LM3" s="41">
        <f t="shared" si="4"/>
        <v>319</v>
      </c>
      <c r="LN3" s="41">
        <f t="shared" si="4"/>
        <v>320</v>
      </c>
      <c r="LO3" s="41">
        <f t="shared" si="4"/>
        <v>321</v>
      </c>
      <c r="LP3" s="41">
        <f t="shared" si="4"/>
        <v>322</v>
      </c>
      <c r="LQ3" s="41">
        <f t="shared" si="4"/>
        <v>323</v>
      </c>
      <c r="LR3" s="41">
        <f t="shared" ref="LR3:NN3" si="5">LQ3+1</f>
        <v>324</v>
      </c>
      <c r="LS3" s="41">
        <f t="shared" si="5"/>
        <v>325</v>
      </c>
      <c r="LT3" s="41">
        <f t="shared" si="5"/>
        <v>326</v>
      </c>
      <c r="LU3" s="41">
        <f t="shared" si="5"/>
        <v>327</v>
      </c>
      <c r="LV3" s="41">
        <f t="shared" si="5"/>
        <v>328</v>
      </c>
      <c r="LW3" s="41">
        <f t="shared" si="5"/>
        <v>329</v>
      </c>
      <c r="LX3" s="41">
        <f t="shared" si="5"/>
        <v>330</v>
      </c>
      <c r="LY3" s="41">
        <f t="shared" si="5"/>
        <v>331</v>
      </c>
      <c r="LZ3" s="41">
        <f t="shared" si="5"/>
        <v>332</v>
      </c>
      <c r="MA3" s="41">
        <f t="shared" si="5"/>
        <v>333</v>
      </c>
      <c r="MB3" s="41">
        <f t="shared" si="5"/>
        <v>334</v>
      </c>
      <c r="MC3" s="41">
        <f t="shared" si="5"/>
        <v>335</v>
      </c>
      <c r="MD3" s="41">
        <f t="shared" si="5"/>
        <v>336</v>
      </c>
      <c r="ME3" s="41">
        <f t="shared" si="5"/>
        <v>337</v>
      </c>
      <c r="MF3" s="41">
        <f t="shared" si="5"/>
        <v>338</v>
      </c>
      <c r="MG3" s="41">
        <f t="shared" si="5"/>
        <v>339</v>
      </c>
      <c r="MH3" s="41">
        <f t="shared" si="5"/>
        <v>340</v>
      </c>
      <c r="MI3" s="41">
        <f t="shared" si="5"/>
        <v>341</v>
      </c>
      <c r="MJ3" s="41">
        <f t="shared" si="5"/>
        <v>342</v>
      </c>
      <c r="MK3" s="41">
        <f t="shared" si="5"/>
        <v>343</v>
      </c>
      <c r="ML3" s="41">
        <f t="shared" si="5"/>
        <v>344</v>
      </c>
      <c r="MM3" s="41">
        <f t="shared" si="5"/>
        <v>345</v>
      </c>
      <c r="MN3" s="41">
        <f t="shared" si="5"/>
        <v>346</v>
      </c>
      <c r="MO3" s="41">
        <f t="shared" si="5"/>
        <v>347</v>
      </c>
      <c r="MP3" s="41">
        <f t="shared" si="5"/>
        <v>348</v>
      </c>
      <c r="MQ3" s="41">
        <f t="shared" si="5"/>
        <v>349</v>
      </c>
      <c r="MR3" s="41">
        <f t="shared" si="5"/>
        <v>350</v>
      </c>
      <c r="MS3" s="41">
        <f t="shared" si="5"/>
        <v>351</v>
      </c>
      <c r="MT3" s="41">
        <f t="shared" si="5"/>
        <v>352</v>
      </c>
      <c r="MU3" s="41">
        <f t="shared" si="5"/>
        <v>353</v>
      </c>
      <c r="MV3" s="41">
        <f t="shared" si="5"/>
        <v>354</v>
      </c>
      <c r="MW3" s="41">
        <f t="shared" si="5"/>
        <v>355</v>
      </c>
      <c r="MX3" s="41">
        <f t="shared" si="5"/>
        <v>356</v>
      </c>
      <c r="MY3" s="41">
        <f t="shared" si="5"/>
        <v>357</v>
      </c>
      <c r="MZ3" s="41">
        <f t="shared" si="5"/>
        <v>358</v>
      </c>
      <c r="NA3" s="41">
        <f t="shared" si="5"/>
        <v>359</v>
      </c>
      <c r="NB3" s="41">
        <f t="shared" si="5"/>
        <v>360</v>
      </c>
      <c r="NC3" s="41">
        <f t="shared" si="5"/>
        <v>361</v>
      </c>
      <c r="ND3" s="41">
        <f t="shared" si="5"/>
        <v>362</v>
      </c>
      <c r="NE3" s="41">
        <f t="shared" si="5"/>
        <v>363</v>
      </c>
      <c r="NF3" s="41">
        <f t="shared" si="5"/>
        <v>364</v>
      </c>
      <c r="NG3" s="41">
        <f t="shared" si="5"/>
        <v>365</v>
      </c>
      <c r="NH3" s="41">
        <f t="shared" si="5"/>
        <v>366</v>
      </c>
      <c r="NI3" s="41">
        <f t="shared" si="5"/>
        <v>367</v>
      </c>
      <c r="NJ3" s="41">
        <f t="shared" si="5"/>
        <v>368</v>
      </c>
      <c r="NK3" s="41">
        <f t="shared" si="5"/>
        <v>369</v>
      </c>
      <c r="NL3" s="41">
        <f t="shared" si="5"/>
        <v>370</v>
      </c>
      <c r="NM3" s="41">
        <f t="shared" si="5"/>
        <v>371</v>
      </c>
      <c r="NN3" s="41">
        <f t="shared" si="5"/>
        <v>372</v>
      </c>
      <c r="NO3" s="41">
        <f>NN3+1</f>
        <v>373</v>
      </c>
      <c r="NP3" s="41">
        <f t="shared" ref="NP3:QA3" si="6">NO3+1</f>
        <v>374</v>
      </c>
      <c r="NQ3" s="41">
        <f t="shared" si="6"/>
        <v>375</v>
      </c>
      <c r="NR3" s="41">
        <f t="shared" si="6"/>
        <v>376</v>
      </c>
      <c r="NS3" s="41">
        <f t="shared" si="6"/>
        <v>377</v>
      </c>
      <c r="NT3" s="41">
        <f t="shared" si="6"/>
        <v>378</v>
      </c>
      <c r="NU3" s="41">
        <f t="shared" si="6"/>
        <v>379</v>
      </c>
      <c r="NV3" s="41">
        <f t="shared" si="6"/>
        <v>380</v>
      </c>
      <c r="NW3" s="41">
        <f t="shared" si="6"/>
        <v>381</v>
      </c>
      <c r="NX3" s="41">
        <f t="shared" si="6"/>
        <v>382</v>
      </c>
      <c r="NY3" s="41">
        <f t="shared" si="6"/>
        <v>383</v>
      </c>
      <c r="NZ3" s="41">
        <f t="shared" si="6"/>
        <v>384</v>
      </c>
      <c r="OA3" s="41">
        <f t="shared" si="6"/>
        <v>385</v>
      </c>
      <c r="OB3" s="41">
        <f t="shared" si="6"/>
        <v>386</v>
      </c>
      <c r="OC3" s="41">
        <f t="shared" si="6"/>
        <v>387</v>
      </c>
      <c r="OD3" s="41">
        <f t="shared" si="6"/>
        <v>388</v>
      </c>
      <c r="OE3" s="41">
        <f t="shared" si="6"/>
        <v>389</v>
      </c>
      <c r="OF3" s="41">
        <f t="shared" si="6"/>
        <v>390</v>
      </c>
      <c r="OG3" s="41">
        <f t="shared" si="6"/>
        <v>391</v>
      </c>
      <c r="OH3" s="41">
        <f t="shared" si="6"/>
        <v>392</v>
      </c>
      <c r="OI3" s="41">
        <f t="shared" si="6"/>
        <v>393</v>
      </c>
      <c r="OJ3" s="41">
        <f t="shared" si="6"/>
        <v>394</v>
      </c>
      <c r="OK3" s="41">
        <f t="shared" si="6"/>
        <v>395</v>
      </c>
      <c r="OL3" s="41">
        <f t="shared" si="6"/>
        <v>396</v>
      </c>
      <c r="OM3" s="41">
        <f t="shared" si="6"/>
        <v>397</v>
      </c>
      <c r="ON3" s="41">
        <f t="shared" si="6"/>
        <v>398</v>
      </c>
      <c r="OO3" s="41">
        <f t="shared" si="6"/>
        <v>399</v>
      </c>
      <c r="OP3" s="41">
        <f t="shared" si="6"/>
        <v>400</v>
      </c>
      <c r="OQ3" s="41">
        <f t="shared" si="6"/>
        <v>401</v>
      </c>
      <c r="OR3" s="41">
        <f t="shared" si="6"/>
        <v>402</v>
      </c>
      <c r="OS3" s="41">
        <f t="shared" si="6"/>
        <v>403</v>
      </c>
      <c r="OT3" s="41">
        <f t="shared" si="6"/>
        <v>404</v>
      </c>
      <c r="OU3" s="41">
        <f t="shared" si="6"/>
        <v>405</v>
      </c>
      <c r="OV3" s="41">
        <f t="shared" si="6"/>
        <v>406</v>
      </c>
      <c r="OW3" s="41">
        <f t="shared" si="6"/>
        <v>407</v>
      </c>
      <c r="OX3" s="41">
        <f t="shared" si="6"/>
        <v>408</v>
      </c>
      <c r="OY3" s="41">
        <f t="shared" si="6"/>
        <v>409</v>
      </c>
      <c r="OZ3" s="41">
        <f t="shared" si="6"/>
        <v>410</v>
      </c>
      <c r="PA3" s="41">
        <f t="shared" si="6"/>
        <v>411</v>
      </c>
      <c r="PB3" s="41">
        <f t="shared" si="6"/>
        <v>412</v>
      </c>
      <c r="PC3" s="41">
        <f t="shared" si="6"/>
        <v>413</v>
      </c>
      <c r="PD3" s="41">
        <f t="shared" si="6"/>
        <v>414</v>
      </c>
      <c r="PE3" s="41">
        <f t="shared" si="6"/>
        <v>415</v>
      </c>
      <c r="PF3" s="41">
        <f t="shared" si="6"/>
        <v>416</v>
      </c>
      <c r="PG3" s="41">
        <f t="shared" si="6"/>
        <v>417</v>
      </c>
      <c r="PH3" s="41">
        <f t="shared" si="6"/>
        <v>418</v>
      </c>
      <c r="PI3" s="41">
        <f t="shared" si="6"/>
        <v>419</v>
      </c>
      <c r="PJ3" s="41">
        <f t="shared" si="6"/>
        <v>420</v>
      </c>
      <c r="PK3" s="41">
        <f t="shared" si="6"/>
        <v>421</v>
      </c>
      <c r="PL3" s="41">
        <f t="shared" si="6"/>
        <v>422</v>
      </c>
      <c r="PM3" s="41">
        <f t="shared" si="6"/>
        <v>423</v>
      </c>
      <c r="PN3" s="41">
        <f t="shared" si="6"/>
        <v>424</v>
      </c>
      <c r="PO3" s="41">
        <f t="shared" si="6"/>
        <v>425</v>
      </c>
      <c r="PP3" s="41">
        <f t="shared" si="6"/>
        <v>426</v>
      </c>
      <c r="PQ3" s="41">
        <f t="shared" si="6"/>
        <v>427</v>
      </c>
      <c r="PR3" s="41">
        <f t="shared" si="6"/>
        <v>428</v>
      </c>
      <c r="PS3" s="41">
        <f t="shared" si="6"/>
        <v>429</v>
      </c>
      <c r="PT3" s="41">
        <f t="shared" si="6"/>
        <v>430</v>
      </c>
      <c r="PU3" s="41">
        <f t="shared" si="6"/>
        <v>431</v>
      </c>
      <c r="PV3" s="41">
        <f t="shared" si="6"/>
        <v>432</v>
      </c>
      <c r="PW3" s="41">
        <f t="shared" si="6"/>
        <v>433</v>
      </c>
      <c r="PX3" s="41">
        <f t="shared" si="6"/>
        <v>434</v>
      </c>
      <c r="PY3" s="41">
        <f t="shared" si="6"/>
        <v>435</v>
      </c>
      <c r="PZ3" s="41">
        <f t="shared" si="6"/>
        <v>436</v>
      </c>
      <c r="QA3" s="41">
        <f t="shared" si="6"/>
        <v>437</v>
      </c>
      <c r="QB3" s="41">
        <f t="shared" ref="QB3:SM3" si="7">QA3+1</f>
        <v>438</v>
      </c>
      <c r="QC3" s="41">
        <f t="shared" si="7"/>
        <v>439</v>
      </c>
      <c r="QD3" s="41">
        <f t="shared" si="7"/>
        <v>440</v>
      </c>
      <c r="QE3" s="41">
        <f t="shared" si="7"/>
        <v>441</v>
      </c>
      <c r="QF3" s="41">
        <f t="shared" si="7"/>
        <v>442</v>
      </c>
      <c r="QG3" s="41">
        <f t="shared" si="7"/>
        <v>443</v>
      </c>
      <c r="QH3" s="41">
        <f t="shared" si="7"/>
        <v>444</v>
      </c>
      <c r="QI3" s="41">
        <f t="shared" si="7"/>
        <v>445</v>
      </c>
      <c r="QJ3" s="41">
        <f t="shared" si="7"/>
        <v>446</v>
      </c>
      <c r="QK3" s="41">
        <f t="shared" si="7"/>
        <v>447</v>
      </c>
      <c r="QL3" s="41">
        <f t="shared" si="7"/>
        <v>448</v>
      </c>
      <c r="QM3" s="41">
        <f t="shared" si="7"/>
        <v>449</v>
      </c>
      <c r="QN3" s="41">
        <f t="shared" si="7"/>
        <v>450</v>
      </c>
      <c r="QO3" s="41">
        <f t="shared" si="7"/>
        <v>451</v>
      </c>
      <c r="QP3" s="41">
        <f t="shared" si="7"/>
        <v>452</v>
      </c>
      <c r="QQ3" s="41">
        <f t="shared" si="7"/>
        <v>453</v>
      </c>
      <c r="QR3" s="41">
        <f t="shared" si="7"/>
        <v>454</v>
      </c>
      <c r="QS3" s="41">
        <f t="shared" si="7"/>
        <v>455</v>
      </c>
      <c r="QT3" s="41">
        <f t="shared" si="7"/>
        <v>456</v>
      </c>
      <c r="QU3" s="41">
        <f t="shared" si="7"/>
        <v>457</v>
      </c>
      <c r="QV3" s="41">
        <f t="shared" si="7"/>
        <v>458</v>
      </c>
      <c r="QW3" s="41">
        <f t="shared" si="7"/>
        <v>459</v>
      </c>
      <c r="QX3" s="41">
        <f t="shared" si="7"/>
        <v>460</v>
      </c>
      <c r="QY3" s="41">
        <f t="shared" si="7"/>
        <v>461</v>
      </c>
      <c r="QZ3" s="41">
        <f t="shared" si="7"/>
        <v>462</v>
      </c>
      <c r="RA3" s="41">
        <f t="shared" si="7"/>
        <v>463</v>
      </c>
      <c r="RB3" s="41">
        <f t="shared" si="7"/>
        <v>464</v>
      </c>
      <c r="RC3" s="41">
        <f t="shared" si="7"/>
        <v>465</v>
      </c>
      <c r="RD3" s="41">
        <f t="shared" si="7"/>
        <v>466</v>
      </c>
      <c r="RE3" s="41">
        <f t="shared" si="7"/>
        <v>467</v>
      </c>
      <c r="RF3" s="41">
        <f t="shared" si="7"/>
        <v>468</v>
      </c>
      <c r="RG3" s="41">
        <f t="shared" si="7"/>
        <v>469</v>
      </c>
      <c r="RH3" s="41">
        <f t="shared" si="7"/>
        <v>470</v>
      </c>
      <c r="RI3" s="41">
        <f t="shared" si="7"/>
        <v>471</v>
      </c>
      <c r="RJ3" s="41">
        <f t="shared" si="7"/>
        <v>472</v>
      </c>
      <c r="RK3" s="41">
        <f t="shared" si="7"/>
        <v>473</v>
      </c>
      <c r="RL3" s="41">
        <f t="shared" si="7"/>
        <v>474</v>
      </c>
      <c r="RM3" s="41">
        <f t="shared" si="7"/>
        <v>475</v>
      </c>
      <c r="RN3" s="41">
        <f t="shared" si="7"/>
        <v>476</v>
      </c>
      <c r="RO3" s="41">
        <f t="shared" si="7"/>
        <v>477</v>
      </c>
      <c r="RP3" s="41">
        <f t="shared" si="7"/>
        <v>478</v>
      </c>
      <c r="RQ3" s="41">
        <f t="shared" si="7"/>
        <v>479</v>
      </c>
      <c r="RR3" s="41">
        <f t="shared" si="7"/>
        <v>480</v>
      </c>
      <c r="RS3" s="41">
        <f t="shared" si="7"/>
        <v>481</v>
      </c>
      <c r="RT3" s="41">
        <f t="shared" si="7"/>
        <v>482</v>
      </c>
      <c r="RU3" s="41">
        <f t="shared" si="7"/>
        <v>483</v>
      </c>
      <c r="RV3" s="41">
        <f t="shared" si="7"/>
        <v>484</v>
      </c>
      <c r="RW3" s="41">
        <f t="shared" si="7"/>
        <v>485</v>
      </c>
      <c r="RX3" s="41">
        <f t="shared" si="7"/>
        <v>486</v>
      </c>
      <c r="RY3" s="41">
        <f t="shared" si="7"/>
        <v>487</v>
      </c>
      <c r="RZ3" s="41">
        <f t="shared" si="7"/>
        <v>488</v>
      </c>
      <c r="SA3" s="41">
        <f t="shared" si="7"/>
        <v>489</v>
      </c>
      <c r="SB3" s="41">
        <f t="shared" si="7"/>
        <v>490</v>
      </c>
      <c r="SC3" s="41">
        <f t="shared" si="7"/>
        <v>491</v>
      </c>
      <c r="SD3" s="41">
        <f t="shared" si="7"/>
        <v>492</v>
      </c>
      <c r="SE3" s="41">
        <f t="shared" si="7"/>
        <v>493</v>
      </c>
      <c r="SF3" s="41">
        <f t="shared" si="7"/>
        <v>494</v>
      </c>
      <c r="SG3" s="41">
        <f t="shared" si="7"/>
        <v>495</v>
      </c>
      <c r="SH3" s="41">
        <f t="shared" si="7"/>
        <v>496</v>
      </c>
      <c r="SI3" s="41">
        <f t="shared" si="7"/>
        <v>497</v>
      </c>
      <c r="SJ3" s="41">
        <f t="shared" si="7"/>
        <v>498</v>
      </c>
      <c r="SK3" s="41">
        <f t="shared" si="7"/>
        <v>499</v>
      </c>
      <c r="SL3" s="41">
        <f t="shared" si="7"/>
        <v>500</v>
      </c>
      <c r="SM3" s="41">
        <f t="shared" si="7"/>
        <v>501</v>
      </c>
      <c r="SN3" s="41">
        <f t="shared" ref="SN3:UY3" si="8">SM3+1</f>
        <v>502</v>
      </c>
      <c r="SO3" s="41">
        <f t="shared" si="8"/>
        <v>503</v>
      </c>
      <c r="SP3" s="41">
        <f t="shared" si="8"/>
        <v>504</v>
      </c>
      <c r="SQ3" s="41">
        <f t="shared" si="8"/>
        <v>505</v>
      </c>
      <c r="SR3" s="41">
        <f t="shared" si="8"/>
        <v>506</v>
      </c>
      <c r="SS3" s="41">
        <f t="shared" si="8"/>
        <v>507</v>
      </c>
      <c r="ST3" s="41">
        <f t="shared" si="8"/>
        <v>508</v>
      </c>
      <c r="SU3" s="41">
        <f t="shared" si="8"/>
        <v>509</v>
      </c>
      <c r="SV3" s="41">
        <f t="shared" si="8"/>
        <v>510</v>
      </c>
      <c r="SW3" s="41">
        <f t="shared" si="8"/>
        <v>511</v>
      </c>
      <c r="SX3" s="41">
        <f t="shared" si="8"/>
        <v>512</v>
      </c>
      <c r="SY3" s="41">
        <f t="shared" si="8"/>
        <v>513</v>
      </c>
      <c r="SZ3" s="41">
        <f t="shared" si="8"/>
        <v>514</v>
      </c>
      <c r="TA3" s="41">
        <f t="shared" si="8"/>
        <v>515</v>
      </c>
      <c r="TB3" s="41">
        <f t="shared" si="8"/>
        <v>516</v>
      </c>
      <c r="TC3" s="41">
        <f t="shared" si="8"/>
        <v>517</v>
      </c>
      <c r="TD3" s="41">
        <f t="shared" si="8"/>
        <v>518</v>
      </c>
      <c r="TE3" s="41">
        <f t="shared" si="8"/>
        <v>519</v>
      </c>
      <c r="TF3" s="41">
        <f t="shared" si="8"/>
        <v>520</v>
      </c>
      <c r="TG3" s="41">
        <f t="shared" si="8"/>
        <v>521</v>
      </c>
      <c r="TH3" s="41">
        <f t="shared" si="8"/>
        <v>522</v>
      </c>
      <c r="TI3" s="41">
        <f t="shared" si="8"/>
        <v>523</v>
      </c>
      <c r="TJ3" s="41">
        <f t="shared" si="8"/>
        <v>524</v>
      </c>
      <c r="TK3" s="41">
        <f t="shared" si="8"/>
        <v>525</v>
      </c>
      <c r="TL3" s="41">
        <f t="shared" si="8"/>
        <v>526</v>
      </c>
      <c r="TM3" s="41">
        <f t="shared" si="8"/>
        <v>527</v>
      </c>
      <c r="TN3" s="41">
        <f t="shared" si="8"/>
        <v>528</v>
      </c>
      <c r="TO3" s="41">
        <f t="shared" si="8"/>
        <v>529</v>
      </c>
      <c r="TP3" s="41">
        <f t="shared" si="8"/>
        <v>530</v>
      </c>
      <c r="TQ3" s="41">
        <f t="shared" si="8"/>
        <v>531</v>
      </c>
      <c r="TR3" s="41">
        <f t="shared" si="8"/>
        <v>532</v>
      </c>
      <c r="TS3" s="41">
        <f t="shared" si="8"/>
        <v>533</v>
      </c>
      <c r="TT3" s="41">
        <f t="shared" si="8"/>
        <v>534</v>
      </c>
      <c r="TU3" s="41">
        <f t="shared" si="8"/>
        <v>535</v>
      </c>
      <c r="TV3" s="41">
        <f t="shared" si="8"/>
        <v>536</v>
      </c>
      <c r="TW3" s="41">
        <f t="shared" si="8"/>
        <v>537</v>
      </c>
      <c r="TX3" s="41">
        <f t="shared" si="8"/>
        <v>538</v>
      </c>
      <c r="TY3" s="41">
        <f t="shared" si="8"/>
        <v>539</v>
      </c>
      <c r="TZ3" s="41">
        <f t="shared" si="8"/>
        <v>540</v>
      </c>
      <c r="UA3" s="41">
        <f t="shared" si="8"/>
        <v>541</v>
      </c>
      <c r="UB3" s="41">
        <f t="shared" si="8"/>
        <v>542</v>
      </c>
      <c r="UC3" s="41">
        <f t="shared" si="8"/>
        <v>543</v>
      </c>
      <c r="UD3" s="41">
        <f t="shared" si="8"/>
        <v>544</v>
      </c>
      <c r="UE3" s="41">
        <f t="shared" si="8"/>
        <v>545</v>
      </c>
      <c r="UF3" s="41">
        <f t="shared" si="8"/>
        <v>546</v>
      </c>
      <c r="UG3" s="41">
        <f t="shared" si="8"/>
        <v>547</v>
      </c>
      <c r="UH3" s="41">
        <f t="shared" si="8"/>
        <v>548</v>
      </c>
      <c r="UI3" s="41">
        <f t="shared" si="8"/>
        <v>549</v>
      </c>
      <c r="UJ3" s="41">
        <f t="shared" si="8"/>
        <v>550</v>
      </c>
      <c r="UK3" s="41">
        <f t="shared" si="8"/>
        <v>551</v>
      </c>
      <c r="UL3" s="41">
        <f t="shared" si="8"/>
        <v>552</v>
      </c>
      <c r="UM3" s="41">
        <f t="shared" si="8"/>
        <v>553</v>
      </c>
      <c r="UN3" s="41">
        <f t="shared" si="8"/>
        <v>554</v>
      </c>
      <c r="UO3" s="41">
        <f t="shared" si="8"/>
        <v>555</v>
      </c>
      <c r="UP3" s="41">
        <f t="shared" si="8"/>
        <v>556</v>
      </c>
      <c r="UQ3" s="41">
        <f t="shared" si="8"/>
        <v>557</v>
      </c>
      <c r="UR3" s="41">
        <f t="shared" si="8"/>
        <v>558</v>
      </c>
      <c r="US3" s="41">
        <f t="shared" si="8"/>
        <v>559</v>
      </c>
      <c r="UT3" s="41">
        <f t="shared" si="8"/>
        <v>560</v>
      </c>
      <c r="UU3" s="41">
        <f t="shared" si="8"/>
        <v>561</v>
      </c>
      <c r="UV3" s="41">
        <f t="shared" si="8"/>
        <v>562</v>
      </c>
      <c r="UW3" s="41">
        <f t="shared" si="8"/>
        <v>563</v>
      </c>
      <c r="UX3" s="41">
        <f t="shared" si="8"/>
        <v>564</v>
      </c>
      <c r="UY3" s="41">
        <f t="shared" si="8"/>
        <v>565</v>
      </c>
      <c r="UZ3" s="41">
        <f t="shared" ref="UZ3:XK3" si="9">UY3+1</f>
        <v>566</v>
      </c>
      <c r="VA3" s="41">
        <f t="shared" si="9"/>
        <v>567</v>
      </c>
      <c r="VB3" s="41">
        <f t="shared" si="9"/>
        <v>568</v>
      </c>
      <c r="VC3" s="41">
        <f t="shared" si="9"/>
        <v>569</v>
      </c>
      <c r="VD3" s="41">
        <f t="shared" si="9"/>
        <v>570</v>
      </c>
      <c r="VE3" s="41">
        <f t="shared" si="9"/>
        <v>571</v>
      </c>
      <c r="VF3" s="41">
        <f t="shared" si="9"/>
        <v>572</v>
      </c>
      <c r="VG3" s="41">
        <f t="shared" si="9"/>
        <v>573</v>
      </c>
      <c r="VH3" s="41">
        <f t="shared" si="9"/>
        <v>574</v>
      </c>
      <c r="VI3" s="41">
        <f t="shared" si="9"/>
        <v>575</v>
      </c>
      <c r="VJ3" s="41">
        <f t="shared" si="9"/>
        <v>576</v>
      </c>
      <c r="VK3" s="41">
        <f t="shared" si="9"/>
        <v>577</v>
      </c>
      <c r="VL3" s="41">
        <f t="shared" si="9"/>
        <v>578</v>
      </c>
      <c r="VM3" s="41">
        <f t="shared" si="9"/>
        <v>579</v>
      </c>
      <c r="VN3" s="41">
        <f t="shared" si="9"/>
        <v>580</v>
      </c>
      <c r="VO3" s="41">
        <f t="shared" si="9"/>
        <v>581</v>
      </c>
      <c r="VP3" s="41">
        <f t="shared" si="9"/>
        <v>582</v>
      </c>
      <c r="VQ3" s="41">
        <f t="shared" si="9"/>
        <v>583</v>
      </c>
      <c r="VR3" s="41">
        <f t="shared" si="9"/>
        <v>584</v>
      </c>
      <c r="VS3" s="41">
        <f t="shared" si="9"/>
        <v>585</v>
      </c>
      <c r="VT3" s="41">
        <f t="shared" si="9"/>
        <v>586</v>
      </c>
      <c r="VU3" s="41">
        <f t="shared" si="9"/>
        <v>587</v>
      </c>
      <c r="VV3" s="41">
        <f t="shared" si="9"/>
        <v>588</v>
      </c>
      <c r="VW3" s="41">
        <f t="shared" si="9"/>
        <v>589</v>
      </c>
      <c r="VX3" s="41">
        <f t="shared" si="9"/>
        <v>590</v>
      </c>
      <c r="VY3" s="41">
        <f t="shared" si="9"/>
        <v>591</v>
      </c>
      <c r="VZ3" s="41">
        <f t="shared" si="9"/>
        <v>592</v>
      </c>
      <c r="WA3" s="41">
        <f t="shared" si="9"/>
        <v>593</v>
      </c>
      <c r="WB3" s="41">
        <f t="shared" si="9"/>
        <v>594</v>
      </c>
      <c r="WC3" s="41">
        <f t="shared" si="9"/>
        <v>595</v>
      </c>
      <c r="WD3" s="41">
        <f t="shared" si="9"/>
        <v>596</v>
      </c>
      <c r="WE3" s="41">
        <f t="shared" si="9"/>
        <v>597</v>
      </c>
      <c r="WF3" s="41">
        <f t="shared" si="9"/>
        <v>598</v>
      </c>
      <c r="WG3" s="41">
        <f t="shared" si="9"/>
        <v>599</v>
      </c>
      <c r="WH3" s="41">
        <f t="shared" si="9"/>
        <v>600</v>
      </c>
      <c r="WI3" s="41">
        <f t="shared" si="9"/>
        <v>601</v>
      </c>
      <c r="WJ3" s="41">
        <f t="shared" si="9"/>
        <v>602</v>
      </c>
      <c r="WK3" s="41">
        <f t="shared" si="9"/>
        <v>603</v>
      </c>
      <c r="WL3" s="41">
        <f t="shared" si="9"/>
        <v>604</v>
      </c>
      <c r="WM3" s="41">
        <f t="shared" si="9"/>
        <v>605</v>
      </c>
      <c r="WN3" s="41">
        <f t="shared" si="9"/>
        <v>606</v>
      </c>
      <c r="WO3" s="41">
        <f t="shared" si="9"/>
        <v>607</v>
      </c>
      <c r="WP3" s="41">
        <f t="shared" si="9"/>
        <v>608</v>
      </c>
      <c r="WQ3" s="41">
        <f t="shared" si="9"/>
        <v>609</v>
      </c>
      <c r="WR3" s="41">
        <f t="shared" si="9"/>
        <v>610</v>
      </c>
      <c r="WS3" s="41">
        <f t="shared" si="9"/>
        <v>611</v>
      </c>
      <c r="WT3" s="41">
        <f t="shared" si="9"/>
        <v>612</v>
      </c>
      <c r="WU3" s="41">
        <f t="shared" si="9"/>
        <v>613</v>
      </c>
      <c r="WV3" s="41">
        <f t="shared" si="9"/>
        <v>614</v>
      </c>
      <c r="WW3" s="41">
        <f t="shared" si="9"/>
        <v>615</v>
      </c>
      <c r="WX3" s="41">
        <f t="shared" si="9"/>
        <v>616</v>
      </c>
      <c r="WY3" s="41">
        <f t="shared" si="9"/>
        <v>617</v>
      </c>
      <c r="WZ3" s="41">
        <f t="shared" si="9"/>
        <v>618</v>
      </c>
      <c r="XA3" s="41">
        <f t="shared" si="9"/>
        <v>619</v>
      </c>
      <c r="XB3" s="41">
        <f t="shared" si="9"/>
        <v>620</v>
      </c>
      <c r="XC3" s="41">
        <f t="shared" si="9"/>
        <v>621</v>
      </c>
      <c r="XD3" s="41">
        <f t="shared" si="9"/>
        <v>622</v>
      </c>
      <c r="XE3" s="41">
        <f t="shared" si="9"/>
        <v>623</v>
      </c>
      <c r="XF3" s="41">
        <f t="shared" si="9"/>
        <v>624</v>
      </c>
      <c r="XG3" s="41">
        <f t="shared" si="9"/>
        <v>625</v>
      </c>
      <c r="XH3" s="41">
        <f t="shared" si="9"/>
        <v>626</v>
      </c>
      <c r="XI3" s="41">
        <f t="shared" si="9"/>
        <v>627</v>
      </c>
      <c r="XJ3" s="41">
        <f t="shared" si="9"/>
        <v>628</v>
      </c>
      <c r="XK3" s="41">
        <f t="shared" si="9"/>
        <v>629</v>
      </c>
      <c r="XL3" s="41">
        <f t="shared" ref="XL3:YT3" si="10">XK3+1</f>
        <v>630</v>
      </c>
      <c r="XM3" s="41">
        <f t="shared" si="10"/>
        <v>631</v>
      </c>
      <c r="XN3" s="41">
        <f t="shared" si="10"/>
        <v>632</v>
      </c>
      <c r="XO3" s="41">
        <f t="shared" si="10"/>
        <v>633</v>
      </c>
      <c r="XP3" s="41">
        <f t="shared" si="10"/>
        <v>634</v>
      </c>
      <c r="XQ3" s="41">
        <f t="shared" si="10"/>
        <v>635</v>
      </c>
      <c r="XR3" s="41">
        <f t="shared" si="10"/>
        <v>636</v>
      </c>
      <c r="XS3" s="41">
        <f t="shared" si="10"/>
        <v>637</v>
      </c>
      <c r="XT3" s="41">
        <f t="shared" si="10"/>
        <v>638</v>
      </c>
      <c r="XU3" s="41">
        <f t="shared" si="10"/>
        <v>639</v>
      </c>
      <c r="XV3" s="41">
        <f t="shared" si="10"/>
        <v>640</v>
      </c>
      <c r="XW3" s="41">
        <f t="shared" si="10"/>
        <v>641</v>
      </c>
      <c r="XX3" s="41">
        <f t="shared" si="10"/>
        <v>642</v>
      </c>
      <c r="XY3" s="41">
        <f t="shared" si="10"/>
        <v>643</v>
      </c>
      <c r="XZ3" s="41">
        <f t="shared" si="10"/>
        <v>644</v>
      </c>
      <c r="YA3" s="41">
        <f t="shared" si="10"/>
        <v>645</v>
      </c>
      <c r="YB3" s="41">
        <f t="shared" si="10"/>
        <v>646</v>
      </c>
      <c r="YC3" s="41">
        <f t="shared" si="10"/>
        <v>647</v>
      </c>
      <c r="YD3" s="41">
        <f t="shared" si="10"/>
        <v>648</v>
      </c>
      <c r="YE3" s="41">
        <f t="shared" si="10"/>
        <v>649</v>
      </c>
      <c r="YF3" s="41">
        <f t="shared" si="10"/>
        <v>650</v>
      </c>
      <c r="YG3" s="41">
        <f t="shared" si="10"/>
        <v>651</v>
      </c>
      <c r="YH3" s="41">
        <f t="shared" si="10"/>
        <v>652</v>
      </c>
      <c r="YI3" s="41">
        <f t="shared" si="10"/>
        <v>653</v>
      </c>
      <c r="YJ3" s="41">
        <f t="shared" si="10"/>
        <v>654</v>
      </c>
      <c r="YK3" s="41">
        <f t="shared" si="10"/>
        <v>655</v>
      </c>
      <c r="YL3" s="41">
        <f t="shared" si="10"/>
        <v>656</v>
      </c>
      <c r="YM3" s="41">
        <f t="shared" si="10"/>
        <v>657</v>
      </c>
      <c r="YN3" s="41">
        <f t="shared" si="10"/>
        <v>658</v>
      </c>
      <c r="YO3" s="41">
        <f t="shared" si="10"/>
        <v>659</v>
      </c>
      <c r="YP3" s="41">
        <f t="shared" si="10"/>
        <v>660</v>
      </c>
      <c r="YQ3" s="41">
        <f t="shared" si="10"/>
        <v>661</v>
      </c>
      <c r="YR3" s="41">
        <f t="shared" si="10"/>
        <v>662</v>
      </c>
      <c r="YS3" s="41">
        <f t="shared" si="10"/>
        <v>663</v>
      </c>
      <c r="YT3" s="41">
        <f t="shared" si="10"/>
        <v>664</v>
      </c>
      <c r="YU3" s="41">
        <f>YT3+1</f>
        <v>665</v>
      </c>
      <c r="YV3" s="41">
        <f t="shared" ref="YV3:ABG3" si="11">YU3+1</f>
        <v>666</v>
      </c>
      <c r="YW3" s="41">
        <f t="shared" si="11"/>
        <v>667</v>
      </c>
      <c r="YX3" s="41">
        <f t="shared" si="11"/>
        <v>668</v>
      </c>
      <c r="YY3" s="41">
        <f t="shared" si="11"/>
        <v>669</v>
      </c>
      <c r="YZ3" s="41">
        <f t="shared" si="11"/>
        <v>670</v>
      </c>
      <c r="ZA3" s="41">
        <f t="shared" si="11"/>
        <v>671</v>
      </c>
      <c r="ZB3" s="41">
        <f t="shared" si="11"/>
        <v>672</v>
      </c>
      <c r="ZC3" s="41">
        <f t="shared" si="11"/>
        <v>673</v>
      </c>
      <c r="ZD3" s="41">
        <f t="shared" si="11"/>
        <v>674</v>
      </c>
      <c r="ZE3" s="41">
        <f t="shared" si="11"/>
        <v>675</v>
      </c>
      <c r="ZF3" s="41">
        <f t="shared" si="11"/>
        <v>676</v>
      </c>
      <c r="ZG3" s="41">
        <f t="shared" si="11"/>
        <v>677</v>
      </c>
      <c r="ZH3" s="41">
        <f t="shared" si="11"/>
        <v>678</v>
      </c>
      <c r="ZI3" s="41">
        <f t="shared" si="11"/>
        <v>679</v>
      </c>
      <c r="ZJ3" s="41">
        <f t="shared" si="11"/>
        <v>680</v>
      </c>
      <c r="ZK3" s="41">
        <f t="shared" si="11"/>
        <v>681</v>
      </c>
      <c r="ZL3" s="41">
        <f t="shared" si="11"/>
        <v>682</v>
      </c>
      <c r="ZM3" s="41">
        <f t="shared" si="11"/>
        <v>683</v>
      </c>
      <c r="ZN3" s="41">
        <f t="shared" si="11"/>
        <v>684</v>
      </c>
      <c r="ZO3" s="41">
        <f t="shared" si="11"/>
        <v>685</v>
      </c>
      <c r="ZP3" s="41">
        <f t="shared" si="11"/>
        <v>686</v>
      </c>
      <c r="ZQ3" s="41">
        <f t="shared" si="11"/>
        <v>687</v>
      </c>
      <c r="ZR3" s="41">
        <f t="shared" si="11"/>
        <v>688</v>
      </c>
      <c r="ZS3" s="41">
        <f t="shared" si="11"/>
        <v>689</v>
      </c>
      <c r="ZT3" s="41">
        <f t="shared" si="11"/>
        <v>690</v>
      </c>
      <c r="ZU3" s="41">
        <f t="shared" si="11"/>
        <v>691</v>
      </c>
      <c r="ZV3" s="41">
        <f t="shared" si="11"/>
        <v>692</v>
      </c>
      <c r="ZW3" s="41">
        <f t="shared" si="11"/>
        <v>693</v>
      </c>
      <c r="ZX3" s="41">
        <f t="shared" si="11"/>
        <v>694</v>
      </c>
      <c r="ZY3" s="41">
        <f t="shared" si="11"/>
        <v>695</v>
      </c>
      <c r="ZZ3" s="41">
        <f t="shared" si="11"/>
        <v>696</v>
      </c>
      <c r="AAA3" s="41">
        <f t="shared" si="11"/>
        <v>697</v>
      </c>
      <c r="AAB3" s="41">
        <f t="shared" si="11"/>
        <v>698</v>
      </c>
      <c r="AAC3" s="41">
        <f t="shared" si="11"/>
        <v>699</v>
      </c>
      <c r="AAD3" s="41">
        <f t="shared" si="11"/>
        <v>700</v>
      </c>
      <c r="AAE3" s="41">
        <f t="shared" si="11"/>
        <v>701</v>
      </c>
      <c r="AAF3" s="41">
        <f t="shared" si="11"/>
        <v>702</v>
      </c>
      <c r="AAG3" s="41">
        <f t="shared" si="11"/>
        <v>703</v>
      </c>
      <c r="AAH3" s="41">
        <f t="shared" si="11"/>
        <v>704</v>
      </c>
      <c r="AAI3" s="41">
        <f t="shared" si="11"/>
        <v>705</v>
      </c>
      <c r="AAJ3" s="41">
        <f t="shared" si="11"/>
        <v>706</v>
      </c>
      <c r="AAK3" s="41">
        <f t="shared" si="11"/>
        <v>707</v>
      </c>
      <c r="AAL3" s="41">
        <f t="shared" si="11"/>
        <v>708</v>
      </c>
      <c r="AAM3" s="41">
        <f t="shared" si="11"/>
        <v>709</v>
      </c>
      <c r="AAN3" s="41">
        <f t="shared" si="11"/>
        <v>710</v>
      </c>
      <c r="AAO3" s="41">
        <f t="shared" si="11"/>
        <v>711</v>
      </c>
      <c r="AAP3" s="41">
        <f t="shared" si="11"/>
        <v>712</v>
      </c>
      <c r="AAQ3" s="41">
        <f t="shared" si="11"/>
        <v>713</v>
      </c>
      <c r="AAR3" s="41">
        <f t="shared" si="11"/>
        <v>714</v>
      </c>
      <c r="AAS3" s="41">
        <f t="shared" si="11"/>
        <v>715</v>
      </c>
      <c r="AAT3" s="41">
        <f t="shared" si="11"/>
        <v>716</v>
      </c>
      <c r="AAU3" s="41">
        <f t="shared" si="11"/>
        <v>717</v>
      </c>
      <c r="AAV3" s="41">
        <f t="shared" si="11"/>
        <v>718</v>
      </c>
      <c r="AAW3" s="41">
        <f t="shared" si="11"/>
        <v>719</v>
      </c>
      <c r="AAX3" s="41">
        <f t="shared" si="11"/>
        <v>720</v>
      </c>
      <c r="AAY3" s="41">
        <f t="shared" si="11"/>
        <v>721</v>
      </c>
      <c r="AAZ3" s="41">
        <f t="shared" si="11"/>
        <v>722</v>
      </c>
      <c r="ABA3" s="41">
        <f t="shared" si="11"/>
        <v>723</v>
      </c>
      <c r="ABB3" s="41">
        <f t="shared" si="11"/>
        <v>724</v>
      </c>
      <c r="ABC3" s="41">
        <f t="shared" si="11"/>
        <v>725</v>
      </c>
      <c r="ABD3" s="41">
        <f t="shared" si="11"/>
        <v>726</v>
      </c>
      <c r="ABE3" s="41">
        <f t="shared" si="11"/>
        <v>727</v>
      </c>
      <c r="ABF3" s="41">
        <f t="shared" si="11"/>
        <v>728</v>
      </c>
      <c r="ABG3" s="41">
        <f t="shared" si="11"/>
        <v>729</v>
      </c>
      <c r="ABH3" s="41">
        <f t="shared" ref="ABH3:ADS3" si="12">ABG3+1</f>
        <v>730</v>
      </c>
      <c r="ABI3" s="41">
        <f t="shared" si="12"/>
        <v>731</v>
      </c>
      <c r="ABJ3" s="41">
        <f t="shared" si="12"/>
        <v>732</v>
      </c>
      <c r="ABK3" s="41">
        <f t="shared" si="12"/>
        <v>733</v>
      </c>
      <c r="ABL3" s="41">
        <f t="shared" si="12"/>
        <v>734</v>
      </c>
      <c r="ABM3" s="41">
        <f t="shared" si="12"/>
        <v>735</v>
      </c>
      <c r="ABN3" s="41">
        <f t="shared" si="12"/>
        <v>736</v>
      </c>
      <c r="ABO3" s="41">
        <f t="shared" si="12"/>
        <v>737</v>
      </c>
      <c r="ABP3" s="41">
        <f t="shared" si="12"/>
        <v>738</v>
      </c>
      <c r="ABQ3" s="41">
        <f t="shared" si="12"/>
        <v>739</v>
      </c>
      <c r="ABR3" s="41">
        <f t="shared" si="12"/>
        <v>740</v>
      </c>
      <c r="ABS3" s="41">
        <f t="shared" si="12"/>
        <v>741</v>
      </c>
      <c r="ABT3" s="41">
        <f t="shared" si="12"/>
        <v>742</v>
      </c>
      <c r="ABU3" s="41">
        <f t="shared" si="12"/>
        <v>743</v>
      </c>
      <c r="ABV3" s="41">
        <f t="shared" si="12"/>
        <v>744</v>
      </c>
      <c r="ABW3" s="41">
        <f t="shared" si="12"/>
        <v>745</v>
      </c>
      <c r="ABX3" s="41">
        <f t="shared" si="12"/>
        <v>746</v>
      </c>
      <c r="ABY3" s="41">
        <f t="shared" si="12"/>
        <v>747</v>
      </c>
      <c r="ABZ3" s="41">
        <f t="shared" si="12"/>
        <v>748</v>
      </c>
      <c r="ACA3" s="41">
        <f t="shared" si="12"/>
        <v>749</v>
      </c>
      <c r="ACB3" s="41">
        <f t="shared" si="12"/>
        <v>750</v>
      </c>
      <c r="ACC3" s="41">
        <f t="shared" si="12"/>
        <v>751</v>
      </c>
      <c r="ACD3" s="41">
        <f t="shared" si="12"/>
        <v>752</v>
      </c>
      <c r="ACE3" s="41">
        <f t="shared" si="12"/>
        <v>753</v>
      </c>
      <c r="ACF3" s="41">
        <f t="shared" si="12"/>
        <v>754</v>
      </c>
      <c r="ACG3" s="41">
        <f t="shared" si="12"/>
        <v>755</v>
      </c>
      <c r="ACH3" s="41">
        <f t="shared" si="12"/>
        <v>756</v>
      </c>
      <c r="ACI3" s="41">
        <f t="shared" si="12"/>
        <v>757</v>
      </c>
      <c r="ACJ3" s="41">
        <f t="shared" si="12"/>
        <v>758</v>
      </c>
      <c r="ACK3" s="41">
        <f t="shared" si="12"/>
        <v>759</v>
      </c>
      <c r="ACL3" s="41">
        <f t="shared" si="12"/>
        <v>760</v>
      </c>
      <c r="ACM3" s="41">
        <f t="shared" si="12"/>
        <v>761</v>
      </c>
      <c r="ACN3" s="41">
        <f t="shared" si="12"/>
        <v>762</v>
      </c>
      <c r="ACO3" s="41">
        <f t="shared" si="12"/>
        <v>763</v>
      </c>
      <c r="ACP3" s="41">
        <f t="shared" si="12"/>
        <v>764</v>
      </c>
      <c r="ACQ3" s="41">
        <f t="shared" si="12"/>
        <v>765</v>
      </c>
      <c r="ACR3" s="41">
        <f t="shared" si="12"/>
        <v>766</v>
      </c>
      <c r="ACS3" s="41">
        <f t="shared" si="12"/>
        <v>767</v>
      </c>
      <c r="ACT3" s="41">
        <f t="shared" si="12"/>
        <v>768</v>
      </c>
      <c r="ACU3" s="41">
        <f t="shared" si="12"/>
        <v>769</v>
      </c>
      <c r="ACV3" s="41">
        <f t="shared" si="12"/>
        <v>770</v>
      </c>
      <c r="ACW3" s="41">
        <f t="shared" si="12"/>
        <v>771</v>
      </c>
      <c r="ACX3" s="41">
        <f t="shared" si="12"/>
        <v>772</v>
      </c>
      <c r="ACY3" s="41">
        <f t="shared" si="12"/>
        <v>773</v>
      </c>
      <c r="ACZ3" s="41">
        <f t="shared" si="12"/>
        <v>774</v>
      </c>
      <c r="ADA3" s="41">
        <f t="shared" si="12"/>
        <v>775</v>
      </c>
      <c r="ADB3" s="41">
        <f t="shared" si="12"/>
        <v>776</v>
      </c>
      <c r="ADC3" s="41">
        <f t="shared" si="12"/>
        <v>777</v>
      </c>
      <c r="ADD3" s="41">
        <f t="shared" si="12"/>
        <v>778</v>
      </c>
      <c r="ADE3" s="41">
        <f t="shared" si="12"/>
        <v>779</v>
      </c>
      <c r="ADF3" s="41">
        <f t="shared" si="12"/>
        <v>780</v>
      </c>
      <c r="ADG3" s="41">
        <f t="shared" si="12"/>
        <v>781</v>
      </c>
      <c r="ADH3" s="41">
        <f t="shared" si="12"/>
        <v>782</v>
      </c>
      <c r="ADI3" s="41">
        <f t="shared" si="12"/>
        <v>783</v>
      </c>
      <c r="ADJ3" s="41">
        <f t="shared" si="12"/>
        <v>784</v>
      </c>
      <c r="ADK3" s="41">
        <f t="shared" si="12"/>
        <v>785</v>
      </c>
      <c r="ADL3" s="41">
        <f t="shared" si="12"/>
        <v>786</v>
      </c>
      <c r="ADM3" s="41">
        <f t="shared" si="12"/>
        <v>787</v>
      </c>
      <c r="ADN3" s="41">
        <f t="shared" si="12"/>
        <v>788</v>
      </c>
      <c r="ADO3" s="41">
        <f t="shared" si="12"/>
        <v>789</v>
      </c>
      <c r="ADP3" s="41">
        <f t="shared" si="12"/>
        <v>790</v>
      </c>
      <c r="ADQ3" s="41">
        <f t="shared" si="12"/>
        <v>791</v>
      </c>
      <c r="ADR3" s="41">
        <f t="shared" si="12"/>
        <v>792</v>
      </c>
      <c r="ADS3" s="41">
        <f t="shared" si="12"/>
        <v>793</v>
      </c>
      <c r="ADT3" s="41">
        <f t="shared" ref="ADT3:AGE3" si="13">ADS3+1</f>
        <v>794</v>
      </c>
      <c r="ADU3" s="41">
        <f t="shared" si="13"/>
        <v>795</v>
      </c>
      <c r="ADV3" s="41">
        <f t="shared" si="13"/>
        <v>796</v>
      </c>
      <c r="ADW3" s="41">
        <f t="shared" si="13"/>
        <v>797</v>
      </c>
      <c r="ADX3" s="41">
        <f t="shared" si="13"/>
        <v>798</v>
      </c>
      <c r="ADY3" s="41">
        <f t="shared" si="13"/>
        <v>799</v>
      </c>
      <c r="ADZ3" s="41">
        <f t="shared" si="13"/>
        <v>800</v>
      </c>
      <c r="AEA3" s="41">
        <f t="shared" si="13"/>
        <v>801</v>
      </c>
      <c r="AEB3" s="41">
        <f t="shared" si="13"/>
        <v>802</v>
      </c>
      <c r="AEC3" s="41">
        <f t="shared" si="13"/>
        <v>803</v>
      </c>
      <c r="AED3" s="41">
        <f t="shared" si="13"/>
        <v>804</v>
      </c>
      <c r="AEE3" s="41">
        <f t="shared" si="13"/>
        <v>805</v>
      </c>
      <c r="AEF3" s="41">
        <f t="shared" si="13"/>
        <v>806</v>
      </c>
      <c r="AEG3" s="41">
        <f t="shared" si="13"/>
        <v>807</v>
      </c>
      <c r="AEH3" s="41">
        <f t="shared" si="13"/>
        <v>808</v>
      </c>
      <c r="AEI3" s="41">
        <f t="shared" si="13"/>
        <v>809</v>
      </c>
      <c r="AEJ3" s="41">
        <f t="shared" si="13"/>
        <v>810</v>
      </c>
      <c r="AEK3" s="41">
        <f t="shared" si="13"/>
        <v>811</v>
      </c>
      <c r="AEL3" s="41">
        <f t="shared" si="13"/>
        <v>812</v>
      </c>
      <c r="AEM3" s="41">
        <f t="shared" si="13"/>
        <v>813</v>
      </c>
      <c r="AEN3" s="41">
        <f t="shared" si="13"/>
        <v>814</v>
      </c>
      <c r="AEO3" s="41">
        <f t="shared" si="13"/>
        <v>815</v>
      </c>
      <c r="AEP3" s="41">
        <f t="shared" si="13"/>
        <v>816</v>
      </c>
      <c r="AEQ3" s="41">
        <f t="shared" si="13"/>
        <v>817</v>
      </c>
      <c r="AER3" s="41">
        <f t="shared" si="13"/>
        <v>818</v>
      </c>
      <c r="AES3" s="41">
        <f t="shared" si="13"/>
        <v>819</v>
      </c>
      <c r="AET3" s="41">
        <f t="shared" si="13"/>
        <v>820</v>
      </c>
      <c r="AEU3" s="41">
        <f t="shared" si="13"/>
        <v>821</v>
      </c>
      <c r="AEV3" s="41">
        <f t="shared" si="13"/>
        <v>822</v>
      </c>
      <c r="AEW3" s="41">
        <f t="shared" si="13"/>
        <v>823</v>
      </c>
      <c r="AEX3" s="41">
        <f t="shared" si="13"/>
        <v>824</v>
      </c>
      <c r="AEY3" s="41">
        <f t="shared" si="13"/>
        <v>825</v>
      </c>
      <c r="AEZ3" s="41">
        <f t="shared" si="13"/>
        <v>826</v>
      </c>
      <c r="AFA3" s="41">
        <f t="shared" si="13"/>
        <v>827</v>
      </c>
      <c r="AFB3" s="41">
        <f t="shared" si="13"/>
        <v>828</v>
      </c>
      <c r="AFC3" s="41">
        <f t="shared" si="13"/>
        <v>829</v>
      </c>
      <c r="AFD3" s="41">
        <f t="shared" si="13"/>
        <v>830</v>
      </c>
      <c r="AFE3" s="41">
        <f t="shared" si="13"/>
        <v>831</v>
      </c>
      <c r="AFF3" s="41">
        <f t="shared" si="13"/>
        <v>832</v>
      </c>
      <c r="AFG3" s="41">
        <f t="shared" si="13"/>
        <v>833</v>
      </c>
      <c r="AFH3" s="41">
        <f t="shared" si="13"/>
        <v>834</v>
      </c>
      <c r="AFI3" s="41">
        <f t="shared" si="13"/>
        <v>835</v>
      </c>
      <c r="AFJ3" s="41">
        <f t="shared" si="13"/>
        <v>836</v>
      </c>
      <c r="AFK3" s="41">
        <f t="shared" si="13"/>
        <v>837</v>
      </c>
      <c r="AFL3" s="41">
        <f t="shared" si="13"/>
        <v>838</v>
      </c>
      <c r="AFM3" s="41">
        <f t="shared" si="13"/>
        <v>839</v>
      </c>
      <c r="AFN3" s="41">
        <f t="shared" si="13"/>
        <v>840</v>
      </c>
      <c r="AFO3" s="41">
        <f t="shared" si="13"/>
        <v>841</v>
      </c>
      <c r="AFP3" s="41">
        <f t="shared" si="13"/>
        <v>842</v>
      </c>
      <c r="AFQ3" s="41">
        <f t="shared" si="13"/>
        <v>843</v>
      </c>
      <c r="AFR3" s="41">
        <f t="shared" si="13"/>
        <v>844</v>
      </c>
      <c r="AFS3" s="41">
        <f t="shared" si="13"/>
        <v>845</v>
      </c>
      <c r="AFT3" s="41">
        <f t="shared" si="13"/>
        <v>846</v>
      </c>
      <c r="AFU3" s="41">
        <f t="shared" si="13"/>
        <v>847</v>
      </c>
      <c r="AFV3" s="41">
        <f t="shared" si="13"/>
        <v>848</v>
      </c>
      <c r="AFW3" s="41">
        <f t="shared" si="13"/>
        <v>849</v>
      </c>
      <c r="AFX3" s="41">
        <f t="shared" si="13"/>
        <v>850</v>
      </c>
      <c r="AFY3" s="41">
        <f t="shared" si="13"/>
        <v>851</v>
      </c>
      <c r="AFZ3" s="41">
        <f t="shared" si="13"/>
        <v>852</v>
      </c>
      <c r="AGA3" s="41">
        <f t="shared" si="13"/>
        <v>853</v>
      </c>
      <c r="AGB3" s="41">
        <f t="shared" si="13"/>
        <v>854</v>
      </c>
      <c r="AGC3" s="41">
        <f t="shared" si="13"/>
        <v>855</v>
      </c>
      <c r="AGD3" s="41">
        <f t="shared" si="13"/>
        <v>856</v>
      </c>
      <c r="AGE3" s="41">
        <f t="shared" si="13"/>
        <v>857</v>
      </c>
      <c r="AGF3" s="41">
        <f t="shared" ref="AGF3:AHF3" si="14">AGE3+1</f>
        <v>858</v>
      </c>
      <c r="AGG3" s="41">
        <f t="shared" si="14"/>
        <v>859</v>
      </c>
      <c r="AGH3" s="41">
        <f t="shared" si="14"/>
        <v>860</v>
      </c>
      <c r="AGI3" s="41">
        <f t="shared" si="14"/>
        <v>861</v>
      </c>
      <c r="AGJ3" s="41">
        <f t="shared" si="14"/>
        <v>862</v>
      </c>
      <c r="AGK3" s="41">
        <f t="shared" si="14"/>
        <v>863</v>
      </c>
      <c r="AGL3" s="41">
        <f t="shared" si="14"/>
        <v>864</v>
      </c>
      <c r="AGM3" s="41">
        <f t="shared" si="14"/>
        <v>865</v>
      </c>
      <c r="AGN3" s="41">
        <f t="shared" si="14"/>
        <v>866</v>
      </c>
      <c r="AGO3" s="41">
        <f t="shared" si="14"/>
        <v>867</v>
      </c>
      <c r="AGP3" s="41">
        <f t="shared" si="14"/>
        <v>868</v>
      </c>
      <c r="AGQ3" s="41">
        <f t="shared" si="14"/>
        <v>869</v>
      </c>
      <c r="AGR3" s="41">
        <f t="shared" si="14"/>
        <v>870</v>
      </c>
      <c r="AGS3" s="41">
        <f t="shared" si="14"/>
        <v>871</v>
      </c>
      <c r="AGT3" s="41">
        <f t="shared" si="14"/>
        <v>872</v>
      </c>
      <c r="AGU3" s="41">
        <f t="shared" si="14"/>
        <v>873</v>
      </c>
      <c r="AGV3" s="41">
        <f t="shared" si="14"/>
        <v>874</v>
      </c>
      <c r="AGW3" s="41">
        <f t="shared" si="14"/>
        <v>875</v>
      </c>
      <c r="AGX3" s="41">
        <f t="shared" si="14"/>
        <v>876</v>
      </c>
      <c r="AGY3" s="41">
        <f t="shared" si="14"/>
        <v>877</v>
      </c>
      <c r="AGZ3" s="41">
        <f t="shared" si="14"/>
        <v>878</v>
      </c>
      <c r="AHA3" s="41">
        <f t="shared" si="14"/>
        <v>879</v>
      </c>
      <c r="AHB3" s="41">
        <f t="shared" si="14"/>
        <v>880</v>
      </c>
      <c r="AHC3" s="41">
        <f t="shared" si="14"/>
        <v>881</v>
      </c>
      <c r="AHD3" s="41">
        <f t="shared" si="14"/>
        <v>882</v>
      </c>
      <c r="AHE3" s="41">
        <f t="shared" si="14"/>
        <v>883</v>
      </c>
      <c r="AHF3" s="41">
        <f t="shared" si="14"/>
        <v>884</v>
      </c>
      <c r="AHG3" s="41">
        <f>AHF3+1</f>
        <v>885</v>
      </c>
      <c r="AHH3" s="41">
        <f t="shared" ref="AHH3:AJS3" si="15">AHG3+1</f>
        <v>886</v>
      </c>
      <c r="AHI3" s="41">
        <f t="shared" si="15"/>
        <v>887</v>
      </c>
      <c r="AHJ3" s="41">
        <f t="shared" si="15"/>
        <v>888</v>
      </c>
      <c r="AHK3" s="41">
        <f t="shared" si="15"/>
        <v>889</v>
      </c>
      <c r="AHL3" s="41">
        <f t="shared" si="15"/>
        <v>890</v>
      </c>
      <c r="AHM3" s="41">
        <f t="shared" si="15"/>
        <v>891</v>
      </c>
      <c r="AHN3" s="41">
        <f t="shared" si="15"/>
        <v>892</v>
      </c>
      <c r="AHO3" s="41">
        <f t="shared" si="15"/>
        <v>893</v>
      </c>
      <c r="AHP3" s="41">
        <f t="shared" si="15"/>
        <v>894</v>
      </c>
      <c r="AHQ3" s="41">
        <f t="shared" si="15"/>
        <v>895</v>
      </c>
      <c r="AHR3" s="41">
        <f t="shared" si="15"/>
        <v>896</v>
      </c>
      <c r="AHS3" s="41">
        <f t="shared" si="15"/>
        <v>897</v>
      </c>
      <c r="AHT3" s="41">
        <f t="shared" si="15"/>
        <v>898</v>
      </c>
      <c r="AHU3" s="41">
        <f t="shared" si="15"/>
        <v>899</v>
      </c>
      <c r="AHV3" s="41">
        <f t="shared" si="15"/>
        <v>900</v>
      </c>
      <c r="AHW3" s="41">
        <f t="shared" si="15"/>
        <v>901</v>
      </c>
      <c r="AHX3" s="41">
        <f t="shared" si="15"/>
        <v>902</v>
      </c>
      <c r="AHY3" s="41">
        <f t="shared" si="15"/>
        <v>903</v>
      </c>
      <c r="AHZ3" s="41">
        <f t="shared" si="15"/>
        <v>904</v>
      </c>
      <c r="AIA3" s="41">
        <f t="shared" si="15"/>
        <v>905</v>
      </c>
      <c r="AIB3" s="41">
        <f t="shared" si="15"/>
        <v>906</v>
      </c>
      <c r="AIC3" s="41">
        <f t="shared" si="15"/>
        <v>907</v>
      </c>
      <c r="AID3" s="41">
        <f t="shared" si="15"/>
        <v>908</v>
      </c>
      <c r="AIE3" s="41">
        <f t="shared" si="15"/>
        <v>909</v>
      </c>
      <c r="AIF3" s="41">
        <f t="shared" si="15"/>
        <v>910</v>
      </c>
      <c r="AIG3" s="41">
        <f t="shared" si="15"/>
        <v>911</v>
      </c>
      <c r="AIH3" s="41">
        <f t="shared" si="15"/>
        <v>912</v>
      </c>
      <c r="AII3" s="41">
        <f t="shared" si="15"/>
        <v>913</v>
      </c>
      <c r="AIJ3" s="41">
        <f t="shared" si="15"/>
        <v>914</v>
      </c>
      <c r="AIK3" s="41">
        <f t="shared" si="15"/>
        <v>915</v>
      </c>
      <c r="AIL3" s="41">
        <f t="shared" si="15"/>
        <v>916</v>
      </c>
      <c r="AIM3" s="41">
        <f t="shared" si="15"/>
        <v>917</v>
      </c>
      <c r="AIN3" s="41">
        <f t="shared" si="15"/>
        <v>918</v>
      </c>
      <c r="AIO3" s="41">
        <f t="shared" si="15"/>
        <v>919</v>
      </c>
      <c r="AIP3" s="41">
        <f t="shared" si="15"/>
        <v>920</v>
      </c>
      <c r="AIQ3" s="41">
        <f t="shared" si="15"/>
        <v>921</v>
      </c>
      <c r="AIR3" s="41">
        <f t="shared" si="15"/>
        <v>922</v>
      </c>
      <c r="AIS3" s="41">
        <f t="shared" si="15"/>
        <v>923</v>
      </c>
      <c r="AIT3" s="41">
        <f t="shared" si="15"/>
        <v>924</v>
      </c>
      <c r="AIU3" s="41">
        <f t="shared" si="15"/>
        <v>925</v>
      </c>
      <c r="AIV3" s="41">
        <f t="shared" si="15"/>
        <v>926</v>
      </c>
      <c r="AIW3" s="41">
        <f t="shared" si="15"/>
        <v>927</v>
      </c>
      <c r="AIX3" s="41">
        <f t="shared" si="15"/>
        <v>928</v>
      </c>
      <c r="AIY3" s="41">
        <f t="shared" si="15"/>
        <v>929</v>
      </c>
      <c r="AIZ3" s="41">
        <f t="shared" si="15"/>
        <v>930</v>
      </c>
      <c r="AJA3" s="41">
        <f t="shared" si="15"/>
        <v>931</v>
      </c>
      <c r="AJB3" s="41">
        <f t="shared" si="15"/>
        <v>932</v>
      </c>
      <c r="AJC3" s="41">
        <f t="shared" si="15"/>
        <v>933</v>
      </c>
      <c r="AJD3" s="41">
        <f t="shared" si="15"/>
        <v>934</v>
      </c>
      <c r="AJE3" s="41">
        <f t="shared" si="15"/>
        <v>935</v>
      </c>
      <c r="AJF3" s="41">
        <f t="shared" si="15"/>
        <v>936</v>
      </c>
      <c r="AJG3" s="41">
        <f t="shared" si="15"/>
        <v>937</v>
      </c>
      <c r="AJH3" s="41">
        <f t="shared" si="15"/>
        <v>938</v>
      </c>
      <c r="AJI3" s="41">
        <f t="shared" si="15"/>
        <v>939</v>
      </c>
      <c r="AJJ3" s="41">
        <f t="shared" si="15"/>
        <v>940</v>
      </c>
      <c r="AJK3" s="41">
        <f t="shared" si="15"/>
        <v>941</v>
      </c>
      <c r="AJL3" s="41">
        <f t="shared" si="15"/>
        <v>942</v>
      </c>
      <c r="AJM3" s="41">
        <f t="shared" si="15"/>
        <v>943</v>
      </c>
      <c r="AJN3" s="41">
        <f t="shared" si="15"/>
        <v>944</v>
      </c>
      <c r="AJO3" s="41">
        <f t="shared" si="15"/>
        <v>945</v>
      </c>
      <c r="AJP3" s="41">
        <f t="shared" si="15"/>
        <v>946</v>
      </c>
      <c r="AJQ3" s="41">
        <f t="shared" si="15"/>
        <v>947</v>
      </c>
      <c r="AJR3" s="41">
        <f t="shared" si="15"/>
        <v>948</v>
      </c>
      <c r="AJS3" s="41">
        <f t="shared" si="15"/>
        <v>949</v>
      </c>
      <c r="AJT3" s="41">
        <f t="shared" ref="AJT3:ALR3" si="16">AJS3+1</f>
        <v>950</v>
      </c>
      <c r="AJU3" s="41">
        <f t="shared" si="16"/>
        <v>951</v>
      </c>
      <c r="AJV3" s="41">
        <f t="shared" si="16"/>
        <v>952</v>
      </c>
      <c r="AJW3" s="41">
        <f t="shared" si="16"/>
        <v>953</v>
      </c>
      <c r="AJX3" s="41">
        <f t="shared" si="16"/>
        <v>954</v>
      </c>
      <c r="AJY3" s="41">
        <f t="shared" si="16"/>
        <v>955</v>
      </c>
      <c r="AJZ3" s="41">
        <f t="shared" si="16"/>
        <v>956</v>
      </c>
      <c r="AKA3" s="41">
        <f t="shared" si="16"/>
        <v>957</v>
      </c>
      <c r="AKB3" s="41">
        <f t="shared" si="16"/>
        <v>958</v>
      </c>
      <c r="AKC3" s="41">
        <f t="shared" si="16"/>
        <v>959</v>
      </c>
      <c r="AKD3" s="41">
        <f t="shared" si="16"/>
        <v>960</v>
      </c>
      <c r="AKE3" s="41">
        <f t="shared" si="16"/>
        <v>961</v>
      </c>
      <c r="AKF3" s="41">
        <f t="shared" si="16"/>
        <v>962</v>
      </c>
      <c r="AKG3" s="41">
        <f t="shared" si="16"/>
        <v>963</v>
      </c>
      <c r="AKH3" s="41">
        <f t="shared" si="16"/>
        <v>964</v>
      </c>
      <c r="AKI3" s="41">
        <f t="shared" si="16"/>
        <v>965</v>
      </c>
      <c r="AKJ3" s="41">
        <f t="shared" si="16"/>
        <v>966</v>
      </c>
      <c r="AKK3" s="41">
        <f t="shared" si="16"/>
        <v>967</v>
      </c>
      <c r="AKL3" s="41">
        <f t="shared" si="16"/>
        <v>968</v>
      </c>
      <c r="AKM3" s="41">
        <f t="shared" si="16"/>
        <v>969</v>
      </c>
      <c r="AKN3" s="41">
        <f t="shared" si="16"/>
        <v>970</v>
      </c>
      <c r="AKO3" s="41">
        <f t="shared" si="16"/>
        <v>971</v>
      </c>
      <c r="AKP3" s="41">
        <f t="shared" si="16"/>
        <v>972</v>
      </c>
      <c r="AKQ3" s="41">
        <f t="shared" si="16"/>
        <v>973</v>
      </c>
      <c r="AKR3" s="41">
        <f t="shared" si="16"/>
        <v>974</v>
      </c>
      <c r="AKS3" s="41">
        <f t="shared" si="16"/>
        <v>975</v>
      </c>
      <c r="AKT3" s="41">
        <f t="shared" si="16"/>
        <v>976</v>
      </c>
      <c r="AKU3" s="41">
        <f t="shared" si="16"/>
        <v>977</v>
      </c>
      <c r="AKV3" s="41">
        <f t="shared" si="16"/>
        <v>978</v>
      </c>
      <c r="AKW3" s="41">
        <f t="shared" si="16"/>
        <v>979</v>
      </c>
      <c r="AKX3" s="41">
        <f t="shared" si="16"/>
        <v>980</v>
      </c>
      <c r="AKY3" s="41">
        <f t="shared" si="16"/>
        <v>981</v>
      </c>
      <c r="AKZ3" s="41">
        <f t="shared" si="16"/>
        <v>982</v>
      </c>
      <c r="ALA3" s="41">
        <f t="shared" si="16"/>
        <v>983</v>
      </c>
      <c r="ALB3" s="41">
        <f t="shared" si="16"/>
        <v>984</v>
      </c>
      <c r="ALC3" s="41">
        <f t="shared" si="16"/>
        <v>985</v>
      </c>
      <c r="ALD3" s="41">
        <f t="shared" si="16"/>
        <v>986</v>
      </c>
      <c r="ALE3" s="41">
        <f t="shared" si="16"/>
        <v>987</v>
      </c>
      <c r="ALF3" s="41">
        <f t="shared" si="16"/>
        <v>988</v>
      </c>
      <c r="ALG3" s="41">
        <f t="shared" si="16"/>
        <v>989</v>
      </c>
      <c r="ALH3" s="41">
        <f t="shared" si="16"/>
        <v>990</v>
      </c>
      <c r="ALI3" s="41">
        <f t="shared" si="16"/>
        <v>991</v>
      </c>
      <c r="ALJ3" s="41">
        <f t="shared" si="16"/>
        <v>992</v>
      </c>
      <c r="ALK3" s="41">
        <f t="shared" si="16"/>
        <v>993</v>
      </c>
      <c r="ALL3" s="41">
        <f t="shared" si="16"/>
        <v>994</v>
      </c>
      <c r="ALM3" s="41">
        <f t="shared" si="16"/>
        <v>995</v>
      </c>
      <c r="ALN3" s="41">
        <f t="shared" si="16"/>
        <v>996</v>
      </c>
      <c r="ALO3" s="41">
        <f t="shared" si="16"/>
        <v>997</v>
      </c>
      <c r="ALP3" s="41">
        <f t="shared" si="16"/>
        <v>998</v>
      </c>
      <c r="ALQ3" s="41">
        <f t="shared" si="16"/>
        <v>999</v>
      </c>
      <c r="ALR3" s="42">
        <f t="shared" si="16"/>
        <v>1000</v>
      </c>
    </row>
    <row r="4" spans="2:1006" s="29" customFormat="1" x14ac:dyDescent="0.2">
      <c r="B4" s="37" t="s">
        <v>1529</v>
      </c>
      <c r="C4" s="43">
        <f>Parameters!F3</f>
        <v>1.8274814512727541E-2</v>
      </c>
      <c r="F4" s="32">
        <v>1</v>
      </c>
      <c r="G4" s="30">
        <f ca="1">_xlfn.NORM.INV(RAND(),$C$8,$C$9)</f>
        <v>1.5530366956407948E-2</v>
      </c>
      <c r="H4" s="30">
        <f t="shared" ref="H4:BS5" ca="1" si="17">_xlfn.NORM.INV(RAND(),$C$8,$C$9)</f>
        <v>-1.8744358415125707E-2</v>
      </c>
      <c r="I4" s="30">
        <f t="shared" ca="1" si="17"/>
        <v>-4.2101427409563685E-2</v>
      </c>
      <c r="J4" s="30">
        <f t="shared" ca="1" si="17"/>
        <v>7.5938684292998458E-3</v>
      </c>
      <c r="K4" s="30">
        <f t="shared" ca="1" si="17"/>
        <v>1.5522278932007489E-2</v>
      </c>
      <c r="L4" s="30">
        <f t="shared" ca="1" si="17"/>
        <v>5.1241361717685993E-2</v>
      </c>
      <c r="M4" s="30">
        <f t="shared" ca="1" si="17"/>
        <v>-2.5806896885918734E-2</v>
      </c>
      <c r="N4" s="30">
        <f t="shared" ca="1" si="17"/>
        <v>4.5532134487838209E-2</v>
      </c>
      <c r="O4" s="30">
        <f t="shared" ca="1" si="17"/>
        <v>-6.609629114549433E-3</v>
      </c>
      <c r="P4" s="30">
        <f t="shared" ca="1" si="17"/>
        <v>-5.2153811072004341E-2</v>
      </c>
      <c r="Q4" s="30">
        <f t="shared" ca="1" si="17"/>
        <v>2.7185373029268982E-2</v>
      </c>
      <c r="R4" s="30">
        <f t="shared" ca="1" si="17"/>
        <v>1.9252420035412835E-2</v>
      </c>
      <c r="S4" s="30">
        <f t="shared" ca="1" si="17"/>
        <v>7.718736328036665E-3</v>
      </c>
      <c r="T4" s="30">
        <f t="shared" ca="1" si="17"/>
        <v>6.1103307866055806E-2</v>
      </c>
      <c r="U4" s="30">
        <f t="shared" ca="1" si="17"/>
        <v>-5.8421527880576009E-2</v>
      </c>
      <c r="V4" s="30">
        <f t="shared" ca="1" si="17"/>
        <v>3.0721273223570138E-2</v>
      </c>
      <c r="W4" s="30">
        <f t="shared" ca="1" si="17"/>
        <v>-1.5599956845725439E-2</v>
      </c>
      <c r="X4" s="30">
        <f t="shared" ca="1" si="17"/>
        <v>4.4973114608165145E-2</v>
      </c>
      <c r="Y4" s="30">
        <f t="shared" ca="1" si="17"/>
        <v>-2.2569275098872337E-3</v>
      </c>
      <c r="Z4" s="30">
        <f t="shared" ca="1" si="17"/>
        <v>-1.4465960264198784E-2</v>
      </c>
      <c r="AA4" s="30">
        <f t="shared" ca="1" si="17"/>
        <v>1.4264035307107334E-2</v>
      </c>
      <c r="AB4" s="30">
        <f t="shared" ca="1" si="17"/>
        <v>4.8120274106301153E-2</v>
      </c>
      <c r="AC4" s="30">
        <f t="shared" ca="1" si="17"/>
        <v>1.8778337602246668E-2</v>
      </c>
      <c r="AD4" s="30">
        <f t="shared" ca="1" si="17"/>
        <v>-3.8273069771148395E-2</v>
      </c>
      <c r="AE4" s="30">
        <f t="shared" ca="1" si="17"/>
        <v>1.3164170478893409E-2</v>
      </c>
      <c r="AF4" s="30">
        <f t="shared" ca="1" si="17"/>
        <v>-7.9017663713170268E-3</v>
      </c>
      <c r="AG4" s="30">
        <f t="shared" ca="1" si="17"/>
        <v>5.6382338259444139E-3</v>
      </c>
      <c r="AH4" s="30">
        <f t="shared" ca="1" si="17"/>
        <v>-1.6849898657543477E-2</v>
      </c>
      <c r="AI4" s="30">
        <f t="shared" ca="1" si="17"/>
        <v>5.1006151958274439E-2</v>
      </c>
      <c r="AJ4" s="30">
        <f t="shared" ca="1" si="17"/>
        <v>6.1492384641919501E-3</v>
      </c>
      <c r="AK4" s="30">
        <f t="shared" ca="1" si="17"/>
        <v>3.9144844468713698E-2</v>
      </c>
      <c r="AL4" s="30">
        <f t="shared" ca="1" si="17"/>
        <v>-3.5014536628818371E-2</v>
      </c>
      <c r="AM4" s="30">
        <f t="shared" ca="1" si="17"/>
        <v>-2.9519018251012923E-2</v>
      </c>
      <c r="AN4" s="30">
        <f t="shared" ca="1" si="17"/>
        <v>-6.5321741133478675E-2</v>
      </c>
      <c r="AO4" s="30">
        <f t="shared" ca="1" si="17"/>
        <v>4.6946676390978617E-2</v>
      </c>
      <c r="AP4" s="30">
        <f t="shared" ca="1" si="17"/>
        <v>6.7360683227774124E-2</v>
      </c>
      <c r="AQ4" s="30">
        <f t="shared" ca="1" si="17"/>
        <v>3.6262312237105923E-2</v>
      </c>
      <c r="AR4" s="30">
        <f t="shared" ca="1" si="17"/>
        <v>9.3259509731961454E-2</v>
      </c>
      <c r="AS4" s="30">
        <f t="shared" ca="1" si="17"/>
        <v>-9.9731305322033767E-2</v>
      </c>
      <c r="AT4" s="30">
        <f t="shared" ca="1" si="17"/>
        <v>-1.4009276978812199E-2</v>
      </c>
      <c r="AU4" s="30">
        <f t="shared" ca="1" si="17"/>
        <v>-1.6179848773293032E-4</v>
      </c>
      <c r="AV4" s="30">
        <f t="shared" ca="1" si="17"/>
        <v>-1.2663578795036828E-2</v>
      </c>
      <c r="AW4" s="30">
        <f t="shared" ca="1" si="17"/>
        <v>4.7422864271552699E-2</v>
      </c>
      <c r="AX4" s="30">
        <f t="shared" ca="1" si="17"/>
        <v>5.036307422781576E-2</v>
      </c>
      <c r="AY4" s="30">
        <f t="shared" ca="1" si="17"/>
        <v>-3.3111884476458277E-2</v>
      </c>
      <c r="AZ4" s="30">
        <f t="shared" ca="1" si="17"/>
        <v>-2.1976721355037369E-2</v>
      </c>
      <c r="BA4" s="30">
        <f t="shared" ca="1" si="17"/>
        <v>-2.1125572515893094E-2</v>
      </c>
      <c r="BB4" s="30">
        <f t="shared" ca="1" si="17"/>
        <v>-1.4035396120280239E-2</v>
      </c>
      <c r="BC4" s="30">
        <f t="shared" ca="1" si="17"/>
        <v>1.3744857280638576E-3</v>
      </c>
      <c r="BD4" s="30">
        <f t="shared" ca="1" si="17"/>
        <v>4.8151868564875376E-2</v>
      </c>
      <c r="BE4" s="30">
        <f t="shared" ca="1" si="17"/>
        <v>-1.8973253492545944E-2</v>
      </c>
      <c r="BF4" s="30">
        <f t="shared" ca="1" si="17"/>
        <v>-5.0057170542259236E-2</v>
      </c>
      <c r="BG4" s="30">
        <f t="shared" ca="1" si="17"/>
        <v>-5.7957425541620401E-2</v>
      </c>
      <c r="BH4" s="30">
        <f t="shared" ca="1" si="17"/>
        <v>9.6835223336928147E-3</v>
      </c>
      <c r="BI4" s="30">
        <f t="shared" ca="1" si="17"/>
        <v>4.9451821594613733E-2</v>
      </c>
      <c r="BJ4" s="30">
        <f t="shared" ca="1" si="17"/>
        <v>-2.242096388495218E-2</v>
      </c>
      <c r="BK4" s="30">
        <f t="shared" ca="1" si="17"/>
        <v>-1.8853550761530141E-2</v>
      </c>
      <c r="BL4" s="30">
        <f t="shared" ca="1" si="17"/>
        <v>-4.5391370261313575E-2</v>
      </c>
      <c r="BM4" s="30">
        <f t="shared" ca="1" si="17"/>
        <v>-3.1560710911425352E-3</v>
      </c>
      <c r="BN4" s="30">
        <f t="shared" ca="1" si="17"/>
        <v>-2.4336092036936615E-3</v>
      </c>
      <c r="BO4" s="30">
        <f t="shared" ca="1" si="17"/>
        <v>5.8937349888039947E-3</v>
      </c>
      <c r="BP4" s="30">
        <f t="shared" ca="1" si="17"/>
        <v>-2.952818866807325E-3</v>
      </c>
      <c r="BQ4" s="30">
        <f t="shared" ca="1" si="17"/>
        <v>-5.3505951923877769E-2</v>
      </c>
      <c r="BR4" s="30">
        <f t="shared" ca="1" si="17"/>
        <v>-5.4796406865328155E-2</v>
      </c>
      <c r="BS4" s="30">
        <f t="shared" ca="1" si="17"/>
        <v>7.5906978900638208E-3</v>
      </c>
      <c r="BT4" s="30">
        <f t="shared" ref="BT4:EE7" ca="1" si="18">_xlfn.NORM.INV(RAND(),$C$8,$C$9)</f>
        <v>-4.8915476939725436E-2</v>
      </c>
      <c r="BU4" s="30">
        <f t="shared" ca="1" si="18"/>
        <v>-1.0331972649991686E-2</v>
      </c>
      <c r="BV4" s="30">
        <f t="shared" ca="1" si="18"/>
        <v>-6.7975277428183961E-2</v>
      </c>
      <c r="BW4" s="30">
        <f t="shared" ca="1" si="18"/>
        <v>-3.083319144469035E-2</v>
      </c>
      <c r="BX4" s="30">
        <f t="shared" ca="1" si="18"/>
        <v>-2.7822159044863015E-2</v>
      </c>
      <c r="BY4" s="30">
        <f t="shared" ca="1" si="18"/>
        <v>9.3484676817869955E-2</v>
      </c>
      <c r="BZ4" s="30">
        <f t="shared" ca="1" si="18"/>
        <v>-7.3438506549676957E-2</v>
      </c>
      <c r="CA4" s="30">
        <f t="shared" ca="1" si="18"/>
        <v>-2.746392134074415E-2</v>
      </c>
      <c r="CB4" s="30">
        <f t="shared" ca="1" si="18"/>
        <v>2.9046226058340466E-2</v>
      </c>
      <c r="CC4" s="30">
        <f t="shared" ca="1" si="18"/>
        <v>3.7217426562027686E-2</v>
      </c>
      <c r="CD4" s="30">
        <f t="shared" ca="1" si="18"/>
        <v>-3.8210241190816903E-2</v>
      </c>
      <c r="CE4" s="30">
        <f t="shared" ca="1" si="18"/>
        <v>-3.0134297650693843E-2</v>
      </c>
      <c r="CF4" s="30">
        <f t="shared" ca="1" si="18"/>
        <v>-2.8922177517845295E-2</v>
      </c>
      <c r="CG4" s="30">
        <f t="shared" ca="1" si="18"/>
        <v>2.065132145152684E-2</v>
      </c>
      <c r="CH4" s="30">
        <f t="shared" ca="1" si="18"/>
        <v>-4.2931028359779591E-2</v>
      </c>
      <c r="CI4" s="30">
        <f t="shared" ca="1" si="18"/>
        <v>-1.2046652934516682E-2</v>
      </c>
      <c r="CJ4" s="30">
        <f t="shared" ca="1" si="18"/>
        <v>3.6002359092050802E-2</v>
      </c>
      <c r="CK4" s="30">
        <f t="shared" ca="1" si="18"/>
        <v>3.6872254659524858E-2</v>
      </c>
      <c r="CL4" s="30">
        <f t="shared" ca="1" si="18"/>
        <v>-3.219399430920835E-3</v>
      </c>
      <c r="CM4" s="30">
        <f t="shared" ca="1" si="18"/>
        <v>-1.4250653943519452E-2</v>
      </c>
      <c r="CN4" s="30">
        <f t="shared" ca="1" si="18"/>
        <v>-4.0074441754915386E-3</v>
      </c>
      <c r="CO4" s="30">
        <f t="shared" ca="1" si="18"/>
        <v>3.2308426278833742E-2</v>
      </c>
      <c r="CP4" s="30">
        <f t="shared" ca="1" si="18"/>
        <v>-1.0560450463915625E-2</v>
      </c>
      <c r="CQ4" s="30">
        <f t="shared" ca="1" si="18"/>
        <v>-3.717075198860488E-2</v>
      </c>
      <c r="CR4" s="30">
        <f t="shared" ca="1" si="18"/>
        <v>-5.8955259406860932E-4</v>
      </c>
      <c r="CS4" s="30">
        <f t="shared" ca="1" si="18"/>
        <v>-9.58673351507453E-3</v>
      </c>
      <c r="CT4" s="30">
        <f t="shared" ca="1" si="18"/>
        <v>6.961768622548963E-3</v>
      </c>
      <c r="CU4" s="30">
        <f t="shared" ca="1" si="18"/>
        <v>-7.9768690298201751E-3</v>
      </c>
      <c r="CV4" s="30">
        <f t="shared" ca="1" si="18"/>
        <v>-5.4239377098889395E-2</v>
      </c>
      <c r="CW4" s="30">
        <f t="shared" ca="1" si="18"/>
        <v>-3.5556276832330098E-2</v>
      </c>
      <c r="CX4" s="30">
        <f t="shared" ca="1" si="18"/>
        <v>2.2334413595436246E-2</v>
      </c>
      <c r="CY4" s="30">
        <f t="shared" ca="1" si="18"/>
        <v>3.4852164536489502E-3</v>
      </c>
      <c r="CZ4" s="30">
        <f t="shared" ca="1" si="18"/>
        <v>7.1323879770243764E-2</v>
      </c>
      <c r="DA4" s="30">
        <f t="shared" ca="1" si="18"/>
        <v>-1.4227113756021127E-2</v>
      </c>
      <c r="DB4" s="30">
        <f t="shared" ca="1" si="18"/>
        <v>-6.007543666746753E-3</v>
      </c>
      <c r="DC4" s="30">
        <f t="shared" ca="1" si="18"/>
        <v>7.1489593902889073E-2</v>
      </c>
      <c r="DD4" s="30">
        <f t="shared" ca="1" si="18"/>
        <v>-6.0146835051249535E-2</v>
      </c>
      <c r="DE4" s="30">
        <f t="shared" ca="1" si="18"/>
        <v>6.0809959352038818E-2</v>
      </c>
      <c r="DF4" s="30">
        <f t="shared" ca="1" si="18"/>
        <v>2.0400239741177936E-2</v>
      </c>
      <c r="DG4" s="30">
        <f t="shared" ca="1" si="18"/>
        <v>-3.8055145698753456E-2</v>
      </c>
      <c r="DH4" s="30">
        <f t="shared" ca="1" si="18"/>
        <v>6.5607710548834944E-3</v>
      </c>
      <c r="DI4" s="30">
        <f t="shared" ca="1" si="18"/>
        <v>-5.0402810493222712E-2</v>
      </c>
      <c r="DJ4" s="30">
        <f t="shared" ca="1" si="18"/>
        <v>5.6448530883590732E-2</v>
      </c>
      <c r="DK4" s="30">
        <f t="shared" ca="1" si="18"/>
        <v>-5.7268710533349906E-2</v>
      </c>
      <c r="DL4" s="30">
        <f t="shared" ca="1" si="18"/>
        <v>6.1412783296952676E-2</v>
      </c>
      <c r="DM4" s="30">
        <f t="shared" ca="1" si="18"/>
        <v>-8.9319612497540356E-3</v>
      </c>
      <c r="DN4" s="30">
        <f t="shared" ca="1" si="18"/>
        <v>-3.2472665583270839E-2</v>
      </c>
      <c r="DO4" s="30">
        <f t="shared" ca="1" si="18"/>
        <v>-4.728777773048818E-2</v>
      </c>
      <c r="DP4" s="30">
        <f t="shared" ca="1" si="18"/>
        <v>-2.733626626579164E-2</v>
      </c>
      <c r="DQ4" s="30">
        <f t="shared" ca="1" si="18"/>
        <v>-2.5284015538631598E-3</v>
      </c>
      <c r="DR4" s="30">
        <f t="shared" ca="1" si="18"/>
        <v>2.626945237587856E-2</v>
      </c>
      <c r="DS4" s="30">
        <f t="shared" ca="1" si="18"/>
        <v>-5.3663462299086306E-2</v>
      </c>
      <c r="DT4" s="30">
        <f t="shared" ca="1" si="18"/>
        <v>0.14151098343088206</v>
      </c>
      <c r="DU4" s="30">
        <f t="shared" ca="1" si="18"/>
        <v>2.1028538918511218E-2</v>
      </c>
      <c r="DV4" s="30">
        <f t="shared" ca="1" si="18"/>
        <v>-5.7676549897457519E-2</v>
      </c>
      <c r="DW4" s="30">
        <f t="shared" ca="1" si="18"/>
        <v>-5.4546079703359984E-3</v>
      </c>
      <c r="DX4" s="30">
        <f t="shared" ca="1" si="18"/>
        <v>-1.5837769175002091E-2</v>
      </c>
      <c r="DY4" s="30">
        <f t="shared" ca="1" si="18"/>
        <v>-5.7885356912275948E-2</v>
      </c>
      <c r="DZ4" s="30">
        <f t="shared" ca="1" si="18"/>
        <v>1.3245895958896957E-2</v>
      </c>
      <c r="EA4" s="30">
        <f t="shared" ca="1" si="18"/>
        <v>7.7260456586076109E-2</v>
      </c>
      <c r="EB4" s="30">
        <f t="shared" ca="1" si="18"/>
        <v>6.4520929016165351E-2</v>
      </c>
      <c r="EC4" s="30">
        <f t="shared" ca="1" si="18"/>
        <v>-4.3203881380235551E-2</v>
      </c>
      <c r="ED4" s="30">
        <f t="shared" ca="1" si="18"/>
        <v>4.0885389108429322E-2</v>
      </c>
      <c r="EE4" s="30">
        <f t="shared" ca="1" si="18"/>
        <v>3.6820016170915543E-2</v>
      </c>
      <c r="EF4" s="30">
        <f t="shared" ref="EF4:GQ10" ca="1" si="19">_xlfn.NORM.INV(RAND(),$C$8,$C$9)</f>
        <v>1.9441531853651599E-2</v>
      </c>
      <c r="EG4" s="30">
        <f t="shared" ca="1" si="19"/>
        <v>2.3652487482883244E-2</v>
      </c>
      <c r="EH4" s="30">
        <f t="shared" ca="1" si="19"/>
        <v>8.832680855882789E-3</v>
      </c>
      <c r="EI4" s="30">
        <f t="shared" ca="1" si="19"/>
        <v>-4.4740974419952067E-3</v>
      </c>
      <c r="EJ4" s="30">
        <f t="shared" ca="1" si="19"/>
        <v>2.5776360229741131E-2</v>
      </c>
      <c r="EK4" s="30">
        <f t="shared" ca="1" si="19"/>
        <v>-2.800721369722094E-2</v>
      </c>
      <c r="EL4" s="30">
        <f t="shared" ca="1" si="19"/>
        <v>5.362145163651675E-2</v>
      </c>
      <c r="EM4" s="30">
        <f t="shared" ca="1" si="19"/>
        <v>-1.4535601221529152E-3</v>
      </c>
      <c r="EN4" s="30">
        <f t="shared" ca="1" si="19"/>
        <v>5.702063748439333E-2</v>
      </c>
      <c r="EO4" s="30">
        <f t="shared" ca="1" si="19"/>
        <v>-2.2605050110003262E-2</v>
      </c>
      <c r="EP4" s="30">
        <f t="shared" ca="1" si="19"/>
        <v>2.1153767366014032E-2</v>
      </c>
      <c r="EQ4" s="30">
        <f t="shared" ca="1" si="19"/>
        <v>3.5943862020442433E-2</v>
      </c>
      <c r="ER4" s="30">
        <f t="shared" ca="1" si="19"/>
        <v>2.2388927599375091E-2</v>
      </c>
      <c r="ES4" s="30">
        <f t="shared" ca="1" si="19"/>
        <v>-3.8260544295883409E-2</v>
      </c>
      <c r="ET4" s="30">
        <f t="shared" ca="1" si="19"/>
        <v>-3.7539306620065625E-2</v>
      </c>
      <c r="EU4" s="30">
        <f t="shared" ca="1" si="19"/>
        <v>-8.881615063488205E-3</v>
      </c>
      <c r="EV4" s="30">
        <f t="shared" ca="1" si="19"/>
        <v>-1.463094339443511E-2</v>
      </c>
      <c r="EW4" s="30">
        <f t="shared" ca="1" si="19"/>
        <v>3.0966820936873047E-2</v>
      </c>
      <c r="EX4" s="30">
        <f t="shared" ca="1" si="19"/>
        <v>4.848836322998782E-2</v>
      </c>
      <c r="EY4" s="30">
        <f t="shared" ca="1" si="19"/>
        <v>-3.9110161181064224E-2</v>
      </c>
      <c r="EZ4" s="30">
        <f t="shared" ca="1" si="19"/>
        <v>-9.0327250813811173E-3</v>
      </c>
      <c r="FA4" s="30">
        <f t="shared" ca="1" si="19"/>
        <v>2.8893920198737402E-2</v>
      </c>
      <c r="FB4" s="30">
        <f t="shared" ca="1" si="19"/>
        <v>6.5000110788339338E-2</v>
      </c>
      <c r="FC4" s="30">
        <f t="shared" ca="1" si="19"/>
        <v>1.174065762923718E-2</v>
      </c>
      <c r="FD4" s="30">
        <f t="shared" ca="1" si="19"/>
        <v>-1.271387297090964E-2</v>
      </c>
      <c r="FE4" s="30">
        <f t="shared" ca="1" si="19"/>
        <v>-1.9924082395165067E-3</v>
      </c>
      <c r="FF4" s="30">
        <f t="shared" ca="1" si="19"/>
        <v>3.081607163040595E-2</v>
      </c>
      <c r="FG4" s="30">
        <f t="shared" ca="1" si="19"/>
        <v>-8.3694824601930937E-2</v>
      </c>
      <c r="FH4" s="30">
        <f t="shared" ca="1" si="19"/>
        <v>2.4256154817417056E-2</v>
      </c>
      <c r="FI4" s="30">
        <f t="shared" ca="1" si="19"/>
        <v>8.9840809138960601E-2</v>
      </c>
      <c r="FJ4" s="30">
        <f t="shared" ca="1" si="19"/>
        <v>-6.2810818295652257E-2</v>
      </c>
      <c r="FK4" s="30">
        <f t="shared" ca="1" si="19"/>
        <v>4.6106407028770897E-2</v>
      </c>
      <c r="FL4" s="30">
        <f t="shared" ca="1" si="19"/>
        <v>1.5678545941090184E-2</v>
      </c>
      <c r="FM4" s="30">
        <f t="shared" ca="1" si="19"/>
        <v>1.5413163548369932E-3</v>
      </c>
      <c r="FN4" s="30">
        <f t="shared" ca="1" si="19"/>
        <v>-2.1354909109032968E-2</v>
      </c>
      <c r="FO4" s="30">
        <f t="shared" ca="1" si="19"/>
        <v>-2.901645565213426E-2</v>
      </c>
      <c r="FP4" s="30">
        <f t="shared" ca="1" si="19"/>
        <v>5.1981995917964284E-2</v>
      </c>
      <c r="FQ4" s="30">
        <f t="shared" ca="1" si="19"/>
        <v>2.9069676807122552E-2</v>
      </c>
      <c r="FR4" s="30">
        <f t="shared" ca="1" si="19"/>
        <v>-6.5610273365945878E-3</v>
      </c>
      <c r="FS4" s="30">
        <f t="shared" ca="1" si="19"/>
        <v>3.935967522914845E-4</v>
      </c>
      <c r="FT4" s="30">
        <f t="shared" ca="1" si="19"/>
        <v>-2.1141751525849524E-2</v>
      </c>
      <c r="FU4" s="30">
        <f t="shared" ca="1" si="19"/>
        <v>-6.5817246483485317E-2</v>
      </c>
      <c r="FV4" s="30">
        <f t="shared" ca="1" si="19"/>
        <v>-3.3602735892265596E-2</v>
      </c>
      <c r="FW4" s="30">
        <f t="shared" ca="1" si="19"/>
        <v>2.142260922510577E-2</v>
      </c>
      <c r="FX4" s="30">
        <f t="shared" ca="1" si="19"/>
        <v>6.4640196959835958E-2</v>
      </c>
      <c r="FY4" s="30">
        <f t="shared" ca="1" si="19"/>
        <v>4.0936800874150928E-2</v>
      </c>
      <c r="FZ4" s="30">
        <f t="shared" ca="1" si="19"/>
        <v>-1.6765844790083369E-2</v>
      </c>
      <c r="GA4" s="30">
        <f t="shared" ca="1" si="19"/>
        <v>-1.1771544982144755E-2</v>
      </c>
      <c r="GB4" s="30">
        <f t="shared" ca="1" si="19"/>
        <v>-3.6343210463679242E-2</v>
      </c>
      <c r="GC4" s="30">
        <f t="shared" ca="1" si="19"/>
        <v>6.9444459446105777E-2</v>
      </c>
      <c r="GD4" s="30">
        <f t="shared" ca="1" si="19"/>
        <v>-3.4918935904072926E-2</v>
      </c>
      <c r="GE4" s="30">
        <f t="shared" ca="1" si="19"/>
        <v>2.3358000854386732E-2</v>
      </c>
      <c r="GF4" s="30">
        <f t="shared" ca="1" si="19"/>
        <v>-1.8960637317943087E-2</v>
      </c>
      <c r="GG4" s="30">
        <f t="shared" ca="1" si="19"/>
        <v>1.2092354929264987E-2</v>
      </c>
      <c r="GH4" s="30">
        <f t="shared" ca="1" si="19"/>
        <v>-4.4536287308982341E-2</v>
      </c>
      <c r="GI4" s="30">
        <f t="shared" ca="1" si="19"/>
        <v>5.3360265470004612E-3</v>
      </c>
      <c r="GJ4" s="30">
        <f t="shared" ca="1" si="19"/>
        <v>6.6008358264284958E-2</v>
      </c>
      <c r="GK4" s="30">
        <f t="shared" ca="1" si="19"/>
        <v>-5.4628367064303789E-2</v>
      </c>
      <c r="GL4" s="30">
        <f t="shared" ca="1" si="19"/>
        <v>7.5563590798240599E-2</v>
      </c>
      <c r="GM4" s="30">
        <f t="shared" ca="1" si="19"/>
        <v>-4.2886915872234602E-2</v>
      </c>
      <c r="GN4" s="30">
        <f t="shared" ca="1" si="19"/>
        <v>-1.9633399024036682E-2</v>
      </c>
      <c r="GO4" s="30">
        <f t="shared" ca="1" si="19"/>
        <v>5.1605453005884094E-2</v>
      </c>
      <c r="GP4" s="30">
        <f t="shared" ca="1" si="19"/>
        <v>5.8227325902442451E-2</v>
      </c>
      <c r="GQ4" s="30">
        <f t="shared" ca="1" si="19"/>
        <v>-4.9265778867612499E-2</v>
      </c>
      <c r="GR4" s="30">
        <f t="shared" ref="GR4:JC7" ca="1" si="20">_xlfn.NORM.INV(RAND(),$C$8,$C$9)</f>
        <v>7.3978922505760381E-2</v>
      </c>
      <c r="GS4" s="30">
        <f t="shared" ca="1" si="20"/>
        <v>1.4690845924787933E-3</v>
      </c>
      <c r="GT4" s="30">
        <f t="shared" ca="1" si="20"/>
        <v>-2.1977774541064272E-2</v>
      </c>
      <c r="GU4" s="30">
        <f t="shared" ca="1" si="20"/>
        <v>-6.5893668930448041E-3</v>
      </c>
      <c r="GV4" s="30">
        <f t="shared" ca="1" si="20"/>
        <v>5.2548129355904978E-2</v>
      </c>
      <c r="GW4" s="30">
        <f t="shared" ca="1" si="20"/>
        <v>-2.0677808585270713E-2</v>
      </c>
      <c r="GX4" s="30">
        <f t="shared" ca="1" si="20"/>
        <v>1.1938199601622117E-2</v>
      </c>
      <c r="GY4" s="30">
        <f t="shared" ca="1" si="20"/>
        <v>-3.7594551821062347E-2</v>
      </c>
      <c r="GZ4" s="30">
        <f t="shared" ca="1" si="20"/>
        <v>-2.2149365098870629E-3</v>
      </c>
      <c r="HA4" s="30">
        <f t="shared" ca="1" si="20"/>
        <v>-3.40515022162712E-2</v>
      </c>
      <c r="HB4" s="30">
        <f t="shared" ca="1" si="20"/>
        <v>-3.3867888178834592E-2</v>
      </c>
      <c r="HC4" s="30">
        <f t="shared" ca="1" si="20"/>
        <v>1.1488167902727071E-2</v>
      </c>
      <c r="HD4" s="30">
        <f t="shared" ca="1" si="20"/>
        <v>-3.225180051339846E-2</v>
      </c>
      <c r="HE4" s="30">
        <f t="shared" ca="1" si="20"/>
        <v>2.2031157337698597E-2</v>
      </c>
      <c r="HF4" s="30">
        <f t="shared" ca="1" si="20"/>
        <v>-3.8950644160745555E-2</v>
      </c>
      <c r="HG4" s="30">
        <f t="shared" ca="1" si="20"/>
        <v>4.8790456082020976E-2</v>
      </c>
      <c r="HH4" s="30">
        <f t="shared" ca="1" si="20"/>
        <v>4.2216258264215267E-2</v>
      </c>
      <c r="HI4" s="30">
        <f t="shared" ca="1" si="20"/>
        <v>-1.250547432776168E-2</v>
      </c>
      <c r="HJ4" s="30">
        <f t="shared" ca="1" si="20"/>
        <v>-3.8789935812568385E-2</v>
      </c>
      <c r="HK4" s="30">
        <f t="shared" ca="1" si="20"/>
        <v>-3.7877267658160216E-3</v>
      </c>
      <c r="HL4" s="30">
        <f t="shared" ca="1" si="20"/>
        <v>-2.2553384222945269E-2</v>
      </c>
      <c r="HM4" s="30">
        <f t="shared" ca="1" si="20"/>
        <v>5.5030065324803819E-2</v>
      </c>
      <c r="HN4" s="30">
        <f t="shared" ca="1" si="20"/>
        <v>-7.6442678350613202E-3</v>
      </c>
      <c r="HO4" s="30">
        <f t="shared" ca="1" si="20"/>
        <v>2.9796708682045536E-2</v>
      </c>
      <c r="HP4" s="30">
        <f t="shared" ca="1" si="20"/>
        <v>-1.417745175433055E-2</v>
      </c>
      <c r="HQ4" s="30">
        <f t="shared" ca="1" si="20"/>
        <v>2.4234804995978635E-3</v>
      </c>
      <c r="HR4" s="30">
        <f t="shared" ca="1" si="20"/>
        <v>-1.4757272129564281E-2</v>
      </c>
      <c r="HS4" s="30">
        <f t="shared" ca="1" si="20"/>
        <v>2.7566449659494494E-2</v>
      </c>
      <c r="HT4" s="30">
        <f t="shared" ca="1" si="20"/>
        <v>-6.2731951526792687E-2</v>
      </c>
      <c r="HU4" s="30">
        <f t="shared" ca="1" si="20"/>
        <v>5.0019378350165032E-2</v>
      </c>
      <c r="HV4" s="30">
        <f t="shared" ca="1" si="20"/>
        <v>6.2472115209081421E-3</v>
      </c>
      <c r="HW4" s="30">
        <f t="shared" ca="1" si="20"/>
        <v>6.0825430720965953E-3</v>
      </c>
      <c r="HX4" s="30">
        <f t="shared" ca="1" si="20"/>
        <v>4.6946286106502241E-2</v>
      </c>
      <c r="HY4" s="30">
        <f t="shared" ca="1" si="20"/>
        <v>-0.10994932843249854</v>
      </c>
      <c r="HZ4" s="30">
        <f t="shared" ca="1" si="20"/>
        <v>2.6852064059433276E-2</v>
      </c>
      <c r="IA4" s="30">
        <f t="shared" ca="1" si="20"/>
        <v>7.4534336824974734E-2</v>
      </c>
      <c r="IB4" s="30">
        <f t="shared" ca="1" si="20"/>
        <v>-5.1384394499909822E-2</v>
      </c>
      <c r="IC4" s="30">
        <f t="shared" ca="1" si="20"/>
        <v>2.6947879289068815E-2</v>
      </c>
      <c r="ID4" s="30">
        <f t="shared" ca="1" si="20"/>
        <v>1.7662486008527621E-2</v>
      </c>
      <c r="IE4" s="30">
        <f t="shared" ca="1" si="20"/>
        <v>1.262838523724768E-3</v>
      </c>
      <c r="IF4" s="30">
        <f t="shared" ca="1" si="20"/>
        <v>-5.3448972475234571E-2</v>
      </c>
      <c r="IG4" s="30">
        <f t="shared" ca="1" si="20"/>
        <v>5.3022807277884637E-2</v>
      </c>
      <c r="IH4" s="30">
        <f t="shared" ca="1" si="20"/>
        <v>4.9037676437463588E-2</v>
      </c>
      <c r="II4" s="30">
        <f t="shared" ca="1" si="20"/>
        <v>3.9770369475789644E-2</v>
      </c>
      <c r="IJ4" s="30">
        <f t="shared" ca="1" si="20"/>
        <v>2.4065370492767718E-2</v>
      </c>
      <c r="IK4" s="30">
        <f t="shared" ca="1" si="20"/>
        <v>3.529321730945998E-2</v>
      </c>
      <c r="IL4" s="30">
        <f t="shared" ca="1" si="20"/>
        <v>-3.1663445233925461E-2</v>
      </c>
      <c r="IM4" s="30">
        <f t="shared" ca="1" si="20"/>
        <v>-8.9238492983300544E-3</v>
      </c>
      <c r="IN4" s="30">
        <f t="shared" ca="1" si="20"/>
        <v>7.8511037391417349E-2</v>
      </c>
      <c r="IO4" s="30">
        <f t="shared" ca="1" si="20"/>
        <v>-5.8949319810959466E-2</v>
      </c>
      <c r="IP4" s="30">
        <f t="shared" ca="1" si="20"/>
        <v>-2.2238191586931036E-2</v>
      </c>
      <c r="IQ4" s="30">
        <f t="shared" ca="1" si="20"/>
        <v>-2.7058104999770387E-2</v>
      </c>
      <c r="IR4" s="30">
        <f t="shared" ca="1" si="20"/>
        <v>-6.1447202620055388E-2</v>
      </c>
      <c r="IS4" s="30">
        <f t="shared" ca="1" si="20"/>
        <v>-9.8039330659299984E-3</v>
      </c>
      <c r="IT4" s="30">
        <f t="shared" ca="1" si="20"/>
        <v>-1.8544167729391176E-2</v>
      </c>
      <c r="IU4" s="30">
        <f t="shared" ca="1" si="20"/>
        <v>-2.7163289079500573E-2</v>
      </c>
      <c r="IV4" s="30">
        <f t="shared" ca="1" si="20"/>
        <v>-1.0922987276666967E-2</v>
      </c>
      <c r="IW4" s="30">
        <f t="shared" ca="1" si="20"/>
        <v>-5.1869297724832529E-2</v>
      </c>
      <c r="IX4" s="30">
        <f t="shared" ca="1" si="20"/>
        <v>9.0404362749458584E-3</v>
      </c>
      <c r="IY4" s="30">
        <f t="shared" ca="1" si="20"/>
        <v>1.9499719728278887E-2</v>
      </c>
      <c r="IZ4" s="30">
        <f t="shared" ca="1" si="20"/>
        <v>4.3838937660070923E-2</v>
      </c>
      <c r="JA4" s="30">
        <f t="shared" ca="1" si="20"/>
        <v>-3.7148774604559868E-3</v>
      </c>
      <c r="JB4" s="30">
        <f t="shared" ca="1" si="20"/>
        <v>3.0384121502987853E-2</v>
      </c>
      <c r="JC4" s="30">
        <f t="shared" ca="1" si="20"/>
        <v>-1.9982792223235651E-2</v>
      </c>
      <c r="JD4" s="30">
        <f t="shared" ref="JD4:LO10" ca="1" si="21">_xlfn.NORM.INV(RAND(),$C$8,$C$9)</f>
        <v>-6.5515673921005546E-2</v>
      </c>
      <c r="JE4" s="30">
        <f t="shared" ca="1" si="21"/>
        <v>1.145296499795402E-3</v>
      </c>
      <c r="JF4" s="30">
        <f t="shared" ca="1" si="21"/>
        <v>5.6921644552744649E-2</v>
      </c>
      <c r="JG4" s="30">
        <f t="shared" ca="1" si="21"/>
        <v>1.6853405045700237E-2</v>
      </c>
      <c r="JH4" s="30">
        <f t="shared" ca="1" si="21"/>
        <v>-1.1382847006761393E-2</v>
      </c>
      <c r="JI4" s="30">
        <f t="shared" ca="1" si="21"/>
        <v>4.0234220330682247E-2</v>
      </c>
      <c r="JJ4" s="30">
        <f t="shared" ca="1" si="21"/>
        <v>-9.6766594348357167E-3</v>
      </c>
      <c r="JK4" s="30">
        <f t="shared" ca="1" si="21"/>
        <v>-2.1246026365565798E-2</v>
      </c>
      <c r="JL4" s="30">
        <f t="shared" ca="1" si="21"/>
        <v>-2.2199238969347383E-2</v>
      </c>
      <c r="JM4" s="30">
        <f t="shared" ca="1" si="21"/>
        <v>5.09195268347521E-2</v>
      </c>
      <c r="JN4" s="30">
        <f t="shared" ca="1" si="21"/>
        <v>6.5389750751214226E-2</v>
      </c>
      <c r="JO4" s="30">
        <f t="shared" ca="1" si="21"/>
        <v>5.9372337480609032E-3</v>
      </c>
      <c r="JP4" s="30">
        <f t="shared" ca="1" si="21"/>
        <v>-2.9285755218987002E-2</v>
      </c>
      <c r="JQ4" s="30">
        <f t="shared" ca="1" si="21"/>
        <v>5.828613938746624E-2</v>
      </c>
      <c r="JR4" s="30">
        <f t="shared" ca="1" si="21"/>
        <v>0.11306413754339453</v>
      </c>
      <c r="JS4" s="30">
        <f t="shared" ca="1" si="21"/>
        <v>4.1709301540241682E-2</v>
      </c>
      <c r="JT4" s="30">
        <f t="shared" ca="1" si="21"/>
        <v>7.4814606762387811E-2</v>
      </c>
      <c r="JU4" s="30">
        <f t="shared" ca="1" si="21"/>
        <v>3.199731810962191E-3</v>
      </c>
      <c r="JV4" s="30">
        <f t="shared" ca="1" si="21"/>
        <v>-8.0280463983335798E-2</v>
      </c>
      <c r="JW4" s="30">
        <f t="shared" ca="1" si="21"/>
        <v>2.1331908218709451E-3</v>
      </c>
      <c r="JX4" s="30">
        <f t="shared" ca="1" si="21"/>
        <v>-6.3250097454962212E-2</v>
      </c>
      <c r="JY4" s="30">
        <f t="shared" ca="1" si="21"/>
        <v>5.0817669964314395E-2</v>
      </c>
      <c r="JZ4" s="30">
        <f t="shared" ca="1" si="21"/>
        <v>-2.3118446025623917E-2</v>
      </c>
      <c r="KA4" s="30">
        <f t="shared" ca="1" si="21"/>
        <v>6.1695841838849019E-2</v>
      </c>
      <c r="KB4" s="30">
        <f t="shared" ca="1" si="21"/>
        <v>-1.2321136628502713E-2</v>
      </c>
      <c r="KC4" s="30">
        <f t="shared" ca="1" si="21"/>
        <v>1.8872919825435725E-2</v>
      </c>
      <c r="KD4" s="30">
        <f t="shared" ca="1" si="21"/>
        <v>1.0168901205106103E-2</v>
      </c>
      <c r="KE4" s="30">
        <f t="shared" ca="1" si="21"/>
        <v>-1.2516161049062714E-2</v>
      </c>
      <c r="KF4" s="30">
        <f t="shared" ca="1" si="21"/>
        <v>3.3706035784279477E-2</v>
      </c>
      <c r="KG4" s="30">
        <f t="shared" ca="1" si="21"/>
        <v>-9.5604624772267673E-3</v>
      </c>
      <c r="KH4" s="30">
        <f t="shared" ca="1" si="21"/>
        <v>-3.87998746691355E-3</v>
      </c>
      <c r="KI4" s="30">
        <f t="shared" ca="1" si="21"/>
        <v>-3.5893507245820071E-3</v>
      </c>
      <c r="KJ4" s="30">
        <f t="shared" ca="1" si="21"/>
        <v>-4.1195631457534965E-2</v>
      </c>
      <c r="KK4" s="30">
        <f t="shared" ca="1" si="21"/>
        <v>4.5928623635197686E-3</v>
      </c>
      <c r="KL4" s="30">
        <f t="shared" ca="1" si="21"/>
        <v>-5.7350626204091355E-3</v>
      </c>
      <c r="KM4" s="30">
        <f t="shared" ca="1" si="21"/>
        <v>-1.3666437011793308E-3</v>
      </c>
      <c r="KN4" s="30">
        <f t="shared" ca="1" si="21"/>
        <v>1.4450410294288138E-2</v>
      </c>
      <c r="KO4" s="30">
        <f t="shared" ca="1" si="21"/>
        <v>-6.3530850234465988E-2</v>
      </c>
      <c r="KP4" s="30">
        <f t="shared" ca="1" si="21"/>
        <v>-6.6554724490773941E-3</v>
      </c>
      <c r="KQ4" s="30">
        <f t="shared" ca="1" si="21"/>
        <v>3.8438236839965154E-2</v>
      </c>
      <c r="KR4" s="30">
        <f t="shared" ca="1" si="21"/>
        <v>-7.0280349000717019E-3</v>
      </c>
      <c r="KS4" s="30">
        <f t="shared" ca="1" si="21"/>
        <v>-3.9229034785836593E-2</v>
      </c>
      <c r="KT4" s="30">
        <f t="shared" ca="1" si="21"/>
        <v>4.4240494803188646E-2</v>
      </c>
      <c r="KU4" s="30">
        <f t="shared" ca="1" si="21"/>
        <v>2.7901603674754229E-2</v>
      </c>
      <c r="KV4" s="30">
        <f t="shared" ca="1" si="21"/>
        <v>4.3766701497612415E-2</v>
      </c>
      <c r="KW4" s="30">
        <f t="shared" ca="1" si="21"/>
        <v>3.9061332789089367E-3</v>
      </c>
      <c r="KX4" s="30">
        <f t="shared" ca="1" si="21"/>
        <v>5.2044576681444271E-2</v>
      </c>
      <c r="KY4" s="30">
        <f t="shared" ca="1" si="21"/>
        <v>8.2547014411013156E-2</v>
      </c>
      <c r="KZ4" s="30">
        <f t="shared" ca="1" si="21"/>
        <v>-2.0840631291813717E-2</v>
      </c>
      <c r="LA4" s="30">
        <f t="shared" ca="1" si="21"/>
        <v>-8.3757237222372508E-3</v>
      </c>
      <c r="LB4" s="30">
        <f t="shared" ca="1" si="21"/>
        <v>4.0663622506073048E-2</v>
      </c>
      <c r="LC4" s="30">
        <f t="shared" ca="1" si="21"/>
        <v>-2.0686382350477844E-2</v>
      </c>
      <c r="LD4" s="30">
        <f t="shared" ca="1" si="21"/>
        <v>3.6970628885268824E-3</v>
      </c>
      <c r="LE4" s="30">
        <f t="shared" ca="1" si="21"/>
        <v>5.4089084922026257E-2</v>
      </c>
      <c r="LF4" s="30">
        <f t="shared" ca="1" si="21"/>
        <v>-2.1787065496227881E-3</v>
      </c>
      <c r="LG4" s="30">
        <f t="shared" ca="1" si="21"/>
        <v>-1.434682399651736E-2</v>
      </c>
      <c r="LH4" s="30">
        <f t="shared" ca="1" si="21"/>
        <v>9.0531952909835782E-4</v>
      </c>
      <c r="LI4" s="30">
        <f t="shared" ca="1" si="21"/>
        <v>1.3710995205834407E-2</v>
      </c>
      <c r="LJ4" s="30">
        <f t="shared" ca="1" si="21"/>
        <v>-2.6761572777072321E-2</v>
      </c>
      <c r="LK4" s="30">
        <f t="shared" ca="1" si="21"/>
        <v>8.3824581213903238E-3</v>
      </c>
      <c r="LL4" s="30">
        <f t="shared" ca="1" si="21"/>
        <v>-3.7434794520635632E-2</v>
      </c>
      <c r="LM4" s="30">
        <f t="shared" ca="1" si="21"/>
        <v>1.5403905267783211E-2</v>
      </c>
      <c r="LN4" s="30">
        <f t="shared" ca="1" si="21"/>
        <v>-1.5312016564059054E-2</v>
      </c>
      <c r="LO4" s="30">
        <f t="shared" ca="1" si="21"/>
        <v>1.9583408836720616E-2</v>
      </c>
      <c r="LP4" s="30">
        <f t="shared" ref="LP4:OA7" ca="1" si="22">_xlfn.NORM.INV(RAND(),$C$8,$C$9)</f>
        <v>-3.34147013094862E-3</v>
      </c>
      <c r="LQ4" s="30">
        <f t="shared" ca="1" si="22"/>
        <v>-2.8558404034742468E-2</v>
      </c>
      <c r="LR4" s="30">
        <f t="shared" ca="1" si="22"/>
        <v>1.2302375576374336E-2</v>
      </c>
      <c r="LS4" s="30">
        <f t="shared" ca="1" si="22"/>
        <v>3.0219405275626388E-2</v>
      </c>
      <c r="LT4" s="30">
        <f t="shared" ca="1" si="22"/>
        <v>1.0212103343717407E-2</v>
      </c>
      <c r="LU4" s="30">
        <f t="shared" ca="1" si="22"/>
        <v>7.0194043902080019E-2</v>
      </c>
      <c r="LV4" s="30">
        <f t="shared" ca="1" si="22"/>
        <v>-9.2941806903435488E-3</v>
      </c>
      <c r="LW4" s="30">
        <f t="shared" ca="1" si="22"/>
        <v>-2.9888451687891469E-2</v>
      </c>
      <c r="LX4" s="30">
        <f t="shared" ca="1" si="22"/>
        <v>2.598524212803785E-2</v>
      </c>
      <c r="LY4" s="30">
        <f t="shared" ca="1" si="22"/>
        <v>2.2451184449013908E-2</v>
      </c>
      <c r="LZ4" s="30">
        <f t="shared" ca="1" si="22"/>
        <v>8.7524281811382689E-3</v>
      </c>
      <c r="MA4" s="30">
        <f t="shared" ca="1" si="22"/>
        <v>2.2516213197252867E-2</v>
      </c>
      <c r="MB4" s="30">
        <f t="shared" ca="1" si="22"/>
        <v>8.7546695316827808E-2</v>
      </c>
      <c r="MC4" s="30">
        <f t="shared" ca="1" si="22"/>
        <v>-9.417071013688114E-3</v>
      </c>
      <c r="MD4" s="30">
        <f t="shared" ca="1" si="22"/>
        <v>2.554705320721111E-2</v>
      </c>
      <c r="ME4" s="30">
        <f t="shared" ca="1" si="22"/>
        <v>-5.2820724328232947E-2</v>
      </c>
      <c r="MF4" s="30">
        <f t="shared" ca="1" si="22"/>
        <v>6.5648333934152578E-2</v>
      </c>
      <c r="MG4" s="30">
        <f t="shared" ca="1" si="22"/>
        <v>2.5383804638092609E-2</v>
      </c>
      <c r="MH4" s="30">
        <f t="shared" ca="1" si="22"/>
        <v>-3.9895792920338395E-2</v>
      </c>
      <c r="MI4" s="30">
        <f t="shared" ca="1" si="22"/>
        <v>3.0155955948885559E-2</v>
      </c>
      <c r="MJ4" s="30">
        <f t="shared" ca="1" si="22"/>
        <v>4.4723559729218119E-2</v>
      </c>
      <c r="MK4" s="30">
        <f t="shared" ca="1" si="22"/>
        <v>6.8264625906604851E-3</v>
      </c>
      <c r="ML4" s="30">
        <f t="shared" ca="1" si="22"/>
        <v>-7.5270541896983748E-2</v>
      </c>
      <c r="MM4" s="30">
        <f t="shared" ca="1" si="22"/>
        <v>4.2385409782580721E-2</v>
      </c>
      <c r="MN4" s="30">
        <f t="shared" ca="1" si="22"/>
        <v>-4.4368446966002895E-2</v>
      </c>
      <c r="MO4" s="30">
        <f t="shared" ca="1" si="22"/>
        <v>-3.9830215205310819E-2</v>
      </c>
      <c r="MP4" s="30">
        <f t="shared" ca="1" si="22"/>
        <v>6.0239017460739806E-2</v>
      </c>
      <c r="MQ4" s="30">
        <f t="shared" ca="1" si="22"/>
        <v>-6.5393199024502788E-2</v>
      </c>
      <c r="MR4" s="30">
        <f t="shared" ca="1" si="22"/>
        <v>-3.4784389249545633E-2</v>
      </c>
      <c r="MS4" s="30">
        <f t="shared" ca="1" si="22"/>
        <v>3.1901998806402564E-2</v>
      </c>
      <c r="MT4" s="30">
        <f t="shared" ca="1" si="22"/>
        <v>-1.0249700410457986E-2</v>
      </c>
      <c r="MU4" s="30">
        <f t="shared" ca="1" si="22"/>
        <v>3.9678100210158912E-2</v>
      </c>
      <c r="MV4" s="30">
        <f t="shared" ca="1" si="22"/>
        <v>-1.0287377908585514E-2</v>
      </c>
      <c r="MW4" s="30">
        <f t="shared" ca="1" si="22"/>
        <v>-3.6857845499470437E-2</v>
      </c>
      <c r="MX4" s="30">
        <f t="shared" ca="1" si="22"/>
        <v>5.5825493742799751E-3</v>
      </c>
      <c r="MY4" s="30">
        <f t="shared" ca="1" si="22"/>
        <v>6.6464697484480251E-2</v>
      </c>
      <c r="MZ4" s="30">
        <f t="shared" ca="1" si="22"/>
        <v>-1.1992782385529161E-2</v>
      </c>
      <c r="NA4" s="30">
        <f t="shared" ca="1" si="22"/>
        <v>9.69393988790027E-2</v>
      </c>
      <c r="NB4" s="30">
        <f t="shared" ca="1" si="22"/>
        <v>1.2670175943523519E-2</v>
      </c>
      <c r="NC4" s="30">
        <f t="shared" ca="1" si="22"/>
        <v>3.9267500630143441E-2</v>
      </c>
      <c r="ND4" s="30">
        <f t="shared" ca="1" si="22"/>
        <v>1.4549234612101654E-2</v>
      </c>
      <c r="NE4" s="30">
        <f t="shared" ca="1" si="22"/>
        <v>-3.7255726590239888E-2</v>
      </c>
      <c r="NF4" s="30">
        <f t="shared" ca="1" si="22"/>
        <v>-2.7774274795542668E-2</v>
      </c>
      <c r="NG4" s="30">
        <f t="shared" ca="1" si="22"/>
        <v>2.9672358567849949E-3</v>
      </c>
      <c r="NH4" s="30">
        <f t="shared" ca="1" si="22"/>
        <v>5.0780491086220909E-2</v>
      </c>
      <c r="NI4" s="30">
        <f t="shared" ca="1" si="22"/>
        <v>-2.2597161434373694E-2</v>
      </c>
      <c r="NJ4" s="30">
        <f t="shared" ca="1" si="22"/>
        <v>4.0637110065921495E-2</v>
      </c>
      <c r="NK4" s="30">
        <f t="shared" ca="1" si="22"/>
        <v>-1.1275338017612527E-2</v>
      </c>
      <c r="NL4" s="30">
        <f t="shared" ca="1" si="22"/>
        <v>-3.6492597250696562E-2</v>
      </c>
      <c r="NM4" s="30">
        <f t="shared" ca="1" si="22"/>
        <v>1.3214153359907624E-2</v>
      </c>
      <c r="NN4" s="30">
        <f t="shared" ca="1" si="22"/>
        <v>-2.7888588774890595E-2</v>
      </c>
      <c r="NO4" s="30">
        <f t="shared" ca="1" si="22"/>
        <v>3.6939815657135028E-2</v>
      </c>
      <c r="NP4" s="30">
        <f t="shared" ca="1" si="22"/>
        <v>-5.1872423976115335E-2</v>
      </c>
      <c r="NQ4" s="30">
        <f t="shared" ca="1" si="22"/>
        <v>-2.9249587916235484E-2</v>
      </c>
      <c r="NR4" s="30">
        <f t="shared" ca="1" si="22"/>
        <v>3.996477364927236E-2</v>
      </c>
      <c r="NS4" s="30">
        <f t="shared" ca="1" si="22"/>
        <v>4.3737695693122774E-3</v>
      </c>
      <c r="NT4" s="30">
        <f t="shared" ca="1" si="22"/>
        <v>-1.6581519555469361E-2</v>
      </c>
      <c r="NU4" s="30">
        <f t="shared" ca="1" si="22"/>
        <v>-6.27770370596131E-2</v>
      </c>
      <c r="NV4" s="30">
        <f t="shared" ca="1" si="22"/>
        <v>2.9216309642095956E-2</v>
      </c>
      <c r="NW4" s="30">
        <f t="shared" ca="1" si="22"/>
        <v>-5.8897441961342313E-2</v>
      </c>
      <c r="NX4" s="30">
        <f t="shared" ca="1" si="22"/>
        <v>-3.6404216754960694E-2</v>
      </c>
      <c r="NY4" s="30">
        <f t="shared" ca="1" si="22"/>
        <v>4.967570876437425E-2</v>
      </c>
      <c r="NZ4" s="30">
        <f t="shared" ca="1" si="22"/>
        <v>-3.2236565657262142E-2</v>
      </c>
      <c r="OA4" s="30">
        <f t="shared" ca="1" si="22"/>
        <v>5.1204355340788876E-2</v>
      </c>
      <c r="OB4" s="30">
        <f t="shared" ref="OB4:QM10" ca="1" si="23">_xlfn.NORM.INV(RAND(),$C$8,$C$9)</f>
        <v>3.1265564811844573E-2</v>
      </c>
      <c r="OC4" s="30">
        <f t="shared" ca="1" si="23"/>
        <v>-3.0895167604602841E-2</v>
      </c>
      <c r="OD4" s="30">
        <f t="shared" ca="1" si="23"/>
        <v>-4.3801076382927739E-2</v>
      </c>
      <c r="OE4" s="30">
        <f t="shared" ca="1" si="23"/>
        <v>6.5152802921888839E-2</v>
      </c>
      <c r="OF4" s="30">
        <f t="shared" ca="1" si="23"/>
        <v>5.0999813776345486E-2</v>
      </c>
      <c r="OG4" s="30">
        <f t="shared" ca="1" si="23"/>
        <v>7.8453352884137781E-2</v>
      </c>
      <c r="OH4" s="30">
        <f t="shared" ca="1" si="23"/>
        <v>5.0197521119058591E-2</v>
      </c>
      <c r="OI4" s="30">
        <f t="shared" ca="1" si="23"/>
        <v>-1.5473673995025184E-2</v>
      </c>
      <c r="OJ4" s="30">
        <f t="shared" ca="1" si="23"/>
        <v>4.1371396828092717E-2</v>
      </c>
      <c r="OK4" s="30">
        <f t="shared" ca="1" si="23"/>
        <v>-8.4143462656386427E-3</v>
      </c>
      <c r="OL4" s="30">
        <f t="shared" ca="1" si="23"/>
        <v>-7.1042372909263796E-2</v>
      </c>
      <c r="OM4" s="30">
        <f t="shared" ca="1" si="23"/>
        <v>-6.5594575791400545E-2</v>
      </c>
      <c r="ON4" s="30">
        <f t="shared" ca="1" si="23"/>
        <v>7.3808333469618584E-2</v>
      </c>
      <c r="OO4" s="30">
        <f t="shared" ca="1" si="23"/>
        <v>-7.0317425394148578E-2</v>
      </c>
      <c r="OP4" s="30">
        <f t="shared" ca="1" si="23"/>
        <v>1.9359717004642448E-2</v>
      </c>
      <c r="OQ4" s="30">
        <f t="shared" ca="1" si="23"/>
        <v>3.8136147935004833E-2</v>
      </c>
      <c r="OR4" s="30">
        <f t="shared" ca="1" si="23"/>
        <v>5.5434746164154815E-2</v>
      </c>
      <c r="OS4" s="30">
        <f t="shared" ca="1" si="23"/>
        <v>6.3745822668081426E-3</v>
      </c>
      <c r="OT4" s="30">
        <f t="shared" ca="1" si="23"/>
        <v>1.8104896893341174E-2</v>
      </c>
      <c r="OU4" s="30">
        <f t="shared" ca="1" si="23"/>
        <v>2.6411936623690303E-3</v>
      </c>
      <c r="OV4" s="30">
        <f t="shared" ca="1" si="23"/>
        <v>2.9502483706193659E-2</v>
      </c>
      <c r="OW4" s="30">
        <f t="shared" ca="1" si="23"/>
        <v>-8.3233993660382102E-2</v>
      </c>
      <c r="OX4" s="30">
        <f t="shared" ca="1" si="23"/>
        <v>1.7386736385734805E-2</v>
      </c>
      <c r="OY4" s="30">
        <f t="shared" ca="1" si="23"/>
        <v>2.8089538076298746E-2</v>
      </c>
      <c r="OZ4" s="30">
        <f t="shared" ca="1" si="23"/>
        <v>-1.5186014877709215E-2</v>
      </c>
      <c r="PA4" s="30">
        <f t="shared" ca="1" si="23"/>
        <v>1.8324780246026531E-2</v>
      </c>
      <c r="PB4" s="30">
        <f t="shared" ca="1" si="23"/>
        <v>7.6382514092499338E-3</v>
      </c>
      <c r="PC4" s="30">
        <f t="shared" ca="1" si="23"/>
        <v>8.0808889631606481E-3</v>
      </c>
      <c r="PD4" s="30">
        <f t="shared" ca="1" si="23"/>
        <v>-4.5108134664847713E-2</v>
      </c>
      <c r="PE4" s="30">
        <f t="shared" ca="1" si="23"/>
        <v>1.2555761370552847E-2</v>
      </c>
      <c r="PF4" s="30">
        <f t="shared" ca="1" si="23"/>
        <v>6.9985808401120578E-2</v>
      </c>
      <c r="PG4" s="30">
        <f t="shared" ca="1" si="23"/>
        <v>-4.1313769055057514E-2</v>
      </c>
      <c r="PH4" s="30">
        <f t="shared" ca="1" si="23"/>
        <v>-1.8801753441779791E-2</v>
      </c>
      <c r="PI4" s="30">
        <f t="shared" ca="1" si="23"/>
        <v>-3.8763974603637098E-2</v>
      </c>
      <c r="PJ4" s="30">
        <f t="shared" ca="1" si="23"/>
        <v>7.6390164464236993E-2</v>
      </c>
      <c r="PK4" s="30">
        <f t="shared" ca="1" si="23"/>
        <v>6.2496050224276579E-3</v>
      </c>
      <c r="PL4" s="30">
        <f t="shared" ca="1" si="23"/>
        <v>3.4138428289511968E-2</v>
      </c>
      <c r="PM4" s="30">
        <f t="shared" ca="1" si="23"/>
        <v>-8.052333310116469E-2</v>
      </c>
      <c r="PN4" s="30">
        <f t="shared" ca="1" si="23"/>
        <v>1.2857655959017343E-3</v>
      </c>
      <c r="PO4" s="30">
        <f t="shared" ca="1" si="23"/>
        <v>7.539239505760284E-2</v>
      </c>
      <c r="PP4" s="30">
        <f t="shared" ca="1" si="23"/>
        <v>1.7773126502180232E-2</v>
      </c>
      <c r="PQ4" s="30">
        <f t="shared" ca="1" si="23"/>
        <v>-1.5998954188563064E-2</v>
      </c>
      <c r="PR4" s="30">
        <f t="shared" ca="1" si="23"/>
        <v>4.9631744236541521E-2</v>
      </c>
      <c r="PS4" s="30">
        <f t="shared" ca="1" si="23"/>
        <v>2.0693365398722803E-2</v>
      </c>
      <c r="PT4" s="30">
        <f t="shared" ca="1" si="23"/>
        <v>-1.9386655927011341E-3</v>
      </c>
      <c r="PU4" s="30">
        <f t="shared" ca="1" si="23"/>
        <v>1.4577745814755032E-2</v>
      </c>
      <c r="PV4" s="30">
        <f t="shared" ca="1" si="23"/>
        <v>2.2138596944909522E-2</v>
      </c>
      <c r="PW4" s="30">
        <f t="shared" ca="1" si="23"/>
        <v>-2.1735299509759401E-2</v>
      </c>
      <c r="PX4" s="30">
        <f t="shared" ca="1" si="23"/>
        <v>4.6823458594397724E-2</v>
      </c>
      <c r="PY4" s="30">
        <f t="shared" ca="1" si="23"/>
        <v>-4.1048651661354581E-2</v>
      </c>
      <c r="PZ4" s="30">
        <f t="shared" ca="1" si="23"/>
        <v>3.7480862147878782E-2</v>
      </c>
      <c r="QA4" s="30">
        <f t="shared" ca="1" si="23"/>
        <v>-8.0741212805634455E-2</v>
      </c>
      <c r="QB4" s="30">
        <f t="shared" ca="1" si="23"/>
        <v>2.8769803810533102E-2</v>
      </c>
      <c r="QC4" s="30">
        <f t="shared" ca="1" si="23"/>
        <v>-2.621882358677137E-2</v>
      </c>
      <c r="QD4" s="30">
        <f t="shared" ca="1" si="23"/>
        <v>8.7059168704869599E-2</v>
      </c>
      <c r="QE4" s="30">
        <f t="shared" ca="1" si="23"/>
        <v>4.2186666788959444E-2</v>
      </c>
      <c r="QF4" s="30">
        <f t="shared" ca="1" si="23"/>
        <v>2.5217696977080976E-2</v>
      </c>
      <c r="QG4" s="30">
        <f t="shared" ca="1" si="23"/>
        <v>-4.5012214380960418E-2</v>
      </c>
      <c r="QH4" s="30">
        <f t="shared" ca="1" si="23"/>
        <v>3.3013093310428829E-2</v>
      </c>
      <c r="QI4" s="30">
        <f t="shared" ca="1" si="23"/>
        <v>-1.3095637851953883E-2</v>
      </c>
      <c r="QJ4" s="30">
        <f t="shared" ca="1" si="23"/>
        <v>-4.6535189621397959E-2</v>
      </c>
      <c r="QK4" s="30">
        <f t="shared" ca="1" si="23"/>
        <v>-2.7172368143217947E-2</v>
      </c>
      <c r="QL4" s="30">
        <f t="shared" ca="1" si="23"/>
        <v>3.7396922108949543E-2</v>
      </c>
      <c r="QM4" s="30">
        <f t="shared" ca="1" si="23"/>
        <v>-9.5443518426770207E-2</v>
      </c>
      <c r="QN4" s="30">
        <f t="shared" ref="QN4:SY7" ca="1" si="24">_xlfn.NORM.INV(RAND(),$C$8,$C$9)</f>
        <v>-5.3558031397068336E-2</v>
      </c>
      <c r="QO4" s="30">
        <f t="shared" ca="1" si="24"/>
        <v>7.942488079182039E-2</v>
      </c>
      <c r="QP4" s="30">
        <f t="shared" ca="1" si="24"/>
        <v>-8.9240412880517594E-2</v>
      </c>
      <c r="QQ4" s="30">
        <f t="shared" ca="1" si="24"/>
        <v>1.9336211028716303E-2</v>
      </c>
      <c r="QR4" s="30">
        <f t="shared" ca="1" si="24"/>
        <v>-7.1914379527319885E-4</v>
      </c>
      <c r="QS4" s="30">
        <f t="shared" ca="1" si="24"/>
        <v>-1.8940469845981904E-2</v>
      </c>
      <c r="QT4" s="30">
        <f t="shared" ca="1" si="24"/>
        <v>-6.2582063979701924E-2</v>
      </c>
      <c r="QU4" s="30">
        <f t="shared" ca="1" si="24"/>
        <v>-7.6836705711564368E-2</v>
      </c>
      <c r="QV4" s="30">
        <f t="shared" ca="1" si="24"/>
        <v>6.6609334714029869E-4</v>
      </c>
      <c r="QW4" s="30">
        <f t="shared" ca="1" si="24"/>
        <v>-1.7322135107382723E-2</v>
      </c>
      <c r="QX4" s="30">
        <f t="shared" ca="1" si="24"/>
        <v>-2.1348299316825275E-2</v>
      </c>
      <c r="QY4" s="30">
        <f t="shared" ca="1" si="24"/>
        <v>-1.8235250437224588E-2</v>
      </c>
      <c r="QZ4" s="30">
        <f t="shared" ca="1" si="24"/>
        <v>6.0174148108590921E-3</v>
      </c>
      <c r="RA4" s="30">
        <f t="shared" ca="1" si="24"/>
        <v>9.564635212073222E-3</v>
      </c>
      <c r="RB4" s="30">
        <f t="shared" ca="1" si="24"/>
        <v>2.1940371782654886E-2</v>
      </c>
      <c r="RC4" s="30">
        <f t="shared" ca="1" si="24"/>
        <v>1.0611530261566837E-2</v>
      </c>
      <c r="RD4" s="30">
        <f t="shared" ca="1" si="24"/>
        <v>-5.2981547561074517E-2</v>
      </c>
      <c r="RE4" s="30">
        <f t="shared" ca="1" si="24"/>
        <v>-6.71642102839064E-2</v>
      </c>
      <c r="RF4" s="30">
        <f t="shared" ca="1" si="24"/>
        <v>1.304962518974229E-2</v>
      </c>
      <c r="RG4" s="30">
        <f t="shared" ca="1" si="24"/>
        <v>-8.5548960501102018E-3</v>
      </c>
      <c r="RH4" s="30">
        <f t="shared" ca="1" si="24"/>
        <v>4.4604948063351635E-2</v>
      </c>
      <c r="RI4" s="30">
        <f t="shared" ca="1" si="24"/>
        <v>2.1284942781084844E-2</v>
      </c>
      <c r="RJ4" s="30">
        <f t="shared" ca="1" si="24"/>
        <v>5.8065669031382598E-2</v>
      </c>
      <c r="RK4" s="30">
        <f t="shared" ca="1" si="24"/>
        <v>3.9812292920082308E-2</v>
      </c>
      <c r="RL4" s="30">
        <f t="shared" ca="1" si="24"/>
        <v>3.3202605305959282E-2</v>
      </c>
      <c r="RM4" s="30">
        <f t="shared" ca="1" si="24"/>
        <v>0.10615847008369161</v>
      </c>
      <c r="RN4" s="30">
        <f t="shared" ca="1" si="24"/>
        <v>-3.0711442437261698E-2</v>
      </c>
      <c r="RO4" s="30">
        <f t="shared" ca="1" si="24"/>
        <v>1.4359360995870173E-2</v>
      </c>
      <c r="RP4" s="30">
        <f t="shared" ca="1" si="24"/>
        <v>-1.1136183651828328E-2</v>
      </c>
      <c r="RQ4" s="30">
        <f t="shared" ca="1" si="24"/>
        <v>5.0756205618843447E-2</v>
      </c>
      <c r="RR4" s="30">
        <f t="shared" ca="1" si="24"/>
        <v>-1.9918037493943924E-3</v>
      </c>
      <c r="RS4" s="30">
        <f t="shared" ca="1" si="24"/>
        <v>6.8288955397460258E-2</v>
      </c>
      <c r="RT4" s="30">
        <f t="shared" ca="1" si="24"/>
        <v>2.9414493011773119E-3</v>
      </c>
      <c r="RU4" s="30">
        <f t="shared" ca="1" si="24"/>
        <v>-6.8608444966034108E-3</v>
      </c>
      <c r="RV4" s="30">
        <f t="shared" ca="1" si="24"/>
        <v>-3.4574612387273948E-3</v>
      </c>
      <c r="RW4" s="30">
        <f t="shared" ca="1" si="24"/>
        <v>1.8567454412069351E-2</v>
      </c>
      <c r="RX4" s="30">
        <f t="shared" ca="1" si="24"/>
        <v>-4.9247254169480035E-3</v>
      </c>
      <c r="RY4" s="30">
        <f t="shared" ca="1" si="24"/>
        <v>3.1971135899164074E-2</v>
      </c>
      <c r="RZ4" s="30">
        <f t="shared" ca="1" si="24"/>
        <v>-2.6505212012798079E-2</v>
      </c>
      <c r="SA4" s="30">
        <f t="shared" ca="1" si="24"/>
        <v>-1.2981332877866368E-2</v>
      </c>
      <c r="SB4" s="30">
        <f t="shared" ca="1" si="24"/>
        <v>-4.8446478136384509E-2</v>
      </c>
      <c r="SC4" s="30">
        <f t="shared" ca="1" si="24"/>
        <v>-2.8906366276544308E-2</v>
      </c>
      <c r="SD4" s="30">
        <f t="shared" ca="1" si="24"/>
        <v>-2.6080194918037094E-3</v>
      </c>
      <c r="SE4" s="30">
        <f t="shared" ca="1" si="24"/>
        <v>6.820907304813878E-2</v>
      </c>
      <c r="SF4" s="30">
        <f t="shared" ca="1" si="24"/>
        <v>-4.1302898262708762E-2</v>
      </c>
      <c r="SG4" s="30">
        <f t="shared" ca="1" si="24"/>
        <v>1.80790665684861E-2</v>
      </c>
      <c r="SH4" s="30">
        <f t="shared" ca="1" si="24"/>
        <v>-6.5312142804479681E-2</v>
      </c>
      <c r="SI4" s="30">
        <f t="shared" ca="1" si="24"/>
        <v>-8.0203454896377216E-2</v>
      </c>
      <c r="SJ4" s="30">
        <f t="shared" ca="1" si="24"/>
        <v>-3.8500498355145713E-2</v>
      </c>
      <c r="SK4" s="30">
        <f t="shared" ca="1" si="24"/>
        <v>4.4341620415623853E-2</v>
      </c>
      <c r="SL4" s="30">
        <f t="shared" ca="1" si="24"/>
        <v>-3.5894149685355911E-2</v>
      </c>
      <c r="SM4" s="30">
        <f t="shared" ca="1" si="24"/>
        <v>9.3028011704751222E-4</v>
      </c>
      <c r="SN4" s="30">
        <f t="shared" ca="1" si="24"/>
        <v>8.1478031324260181E-2</v>
      </c>
      <c r="SO4" s="30">
        <f t="shared" ca="1" si="24"/>
        <v>-2.6863501704844544E-3</v>
      </c>
      <c r="SP4" s="30">
        <f t="shared" ca="1" si="24"/>
        <v>5.7154087904249223E-2</v>
      </c>
      <c r="SQ4" s="30">
        <f t="shared" ca="1" si="24"/>
        <v>-1.1153886691180816E-3</v>
      </c>
      <c r="SR4" s="30">
        <f t="shared" ca="1" si="24"/>
        <v>-2.2996397716532894E-2</v>
      </c>
      <c r="SS4" s="30">
        <f t="shared" ca="1" si="24"/>
        <v>-2.8259676807962698E-2</v>
      </c>
      <c r="ST4" s="30">
        <f t="shared" ca="1" si="24"/>
        <v>-4.7015189079466883E-2</v>
      </c>
      <c r="SU4" s="30">
        <f t="shared" ca="1" si="24"/>
        <v>1.8461828718612503E-3</v>
      </c>
      <c r="SV4" s="30">
        <f t="shared" ca="1" si="24"/>
        <v>1.4171668763913502E-2</v>
      </c>
      <c r="SW4" s="30">
        <f t="shared" ca="1" si="24"/>
        <v>-5.3608379990234434E-2</v>
      </c>
      <c r="SX4" s="30">
        <f t="shared" ca="1" si="24"/>
        <v>-1.2974025318242273E-2</v>
      </c>
      <c r="SY4" s="30">
        <f t="shared" ca="1" si="24"/>
        <v>-5.2386922382397665E-2</v>
      </c>
      <c r="SZ4" s="30">
        <f t="shared" ref="SZ4:VK10" ca="1" si="25">_xlfn.NORM.INV(RAND(),$C$8,$C$9)</f>
        <v>2.8970854072920263E-3</v>
      </c>
      <c r="TA4" s="30">
        <f t="shared" ca="1" si="25"/>
        <v>2.4940572612659521E-2</v>
      </c>
      <c r="TB4" s="30">
        <f t="shared" ca="1" si="25"/>
        <v>4.4594954914280047E-2</v>
      </c>
      <c r="TC4" s="30">
        <f t="shared" ca="1" si="25"/>
        <v>-8.3543318035645034E-2</v>
      </c>
      <c r="TD4" s="30">
        <f t="shared" ca="1" si="25"/>
        <v>4.3441952939044293E-2</v>
      </c>
      <c r="TE4" s="30">
        <f t="shared" ca="1" si="25"/>
        <v>-6.7938497546345844E-2</v>
      </c>
      <c r="TF4" s="30">
        <f t="shared" ca="1" si="25"/>
        <v>-2.9895058689915398E-2</v>
      </c>
      <c r="TG4" s="30">
        <f t="shared" ca="1" si="25"/>
        <v>-6.3999652987985212E-2</v>
      </c>
      <c r="TH4" s="30">
        <f t="shared" ca="1" si="25"/>
        <v>-2.3101375883009291E-2</v>
      </c>
      <c r="TI4" s="30">
        <f t="shared" ca="1" si="25"/>
        <v>-3.8479477199182224E-2</v>
      </c>
      <c r="TJ4" s="30">
        <f t="shared" ca="1" si="25"/>
        <v>1.4362575279372512E-2</v>
      </c>
      <c r="TK4" s="30">
        <f t="shared" ca="1" si="25"/>
        <v>3.2481666924936807E-3</v>
      </c>
      <c r="TL4" s="30">
        <f t="shared" ca="1" si="25"/>
        <v>6.1654622798923038E-3</v>
      </c>
      <c r="TM4" s="30">
        <f t="shared" ca="1" si="25"/>
        <v>8.1408390094809876E-3</v>
      </c>
      <c r="TN4" s="30">
        <f t="shared" ca="1" si="25"/>
        <v>-0.11066025832324144</v>
      </c>
      <c r="TO4" s="30">
        <f t="shared" ca="1" si="25"/>
        <v>-1.5978368437440431E-2</v>
      </c>
      <c r="TP4" s="30">
        <f t="shared" ca="1" si="25"/>
        <v>-9.2996172125195051E-3</v>
      </c>
      <c r="TQ4" s="30">
        <f t="shared" ca="1" si="25"/>
        <v>5.6169757573915256E-2</v>
      </c>
      <c r="TR4" s="30">
        <f t="shared" ca="1" si="25"/>
        <v>-5.9600875193142259E-4</v>
      </c>
      <c r="TS4" s="30">
        <f t="shared" ca="1" si="25"/>
        <v>5.8323813868153766E-2</v>
      </c>
      <c r="TT4" s="30">
        <f t="shared" ca="1" si="25"/>
        <v>-2.8429905560872045E-2</v>
      </c>
      <c r="TU4" s="30">
        <f t="shared" ca="1" si="25"/>
        <v>2.7052709403154854E-2</v>
      </c>
      <c r="TV4" s="30">
        <f t="shared" ca="1" si="25"/>
        <v>5.0397786269332667E-2</v>
      </c>
      <c r="TW4" s="30">
        <f t="shared" ca="1" si="25"/>
        <v>-5.9509551240785961E-2</v>
      </c>
      <c r="TX4" s="30">
        <f t="shared" ca="1" si="25"/>
        <v>-1.2091033116141061E-2</v>
      </c>
      <c r="TY4" s="30">
        <f t="shared" ca="1" si="25"/>
        <v>-4.5075111370609107E-2</v>
      </c>
      <c r="TZ4" s="30">
        <f t="shared" ca="1" si="25"/>
        <v>4.0169050459792841E-2</v>
      </c>
      <c r="UA4" s="30">
        <f t="shared" ca="1" si="25"/>
        <v>6.4667702223259486E-3</v>
      </c>
      <c r="UB4" s="30">
        <f t="shared" ca="1" si="25"/>
        <v>3.499002839053824E-2</v>
      </c>
      <c r="UC4" s="30">
        <f t="shared" ca="1" si="25"/>
        <v>2.1298187868478327E-2</v>
      </c>
      <c r="UD4" s="30">
        <f t="shared" ca="1" si="25"/>
        <v>1.2263935253333341E-2</v>
      </c>
      <c r="UE4" s="30">
        <f t="shared" ca="1" si="25"/>
        <v>1.1278246937761725E-2</v>
      </c>
      <c r="UF4" s="30">
        <f t="shared" ca="1" si="25"/>
        <v>-1.6943809037849117E-2</v>
      </c>
      <c r="UG4" s="30">
        <f t="shared" ca="1" si="25"/>
        <v>1.5280661041588126E-2</v>
      </c>
      <c r="UH4" s="30">
        <f t="shared" ca="1" si="25"/>
        <v>3.7144895172552345E-2</v>
      </c>
      <c r="UI4" s="30">
        <f t="shared" ca="1" si="25"/>
        <v>6.2111798484655477E-3</v>
      </c>
      <c r="UJ4" s="30">
        <f t="shared" ca="1" si="25"/>
        <v>3.1752633805282038E-3</v>
      </c>
      <c r="UK4" s="30">
        <f t="shared" ca="1" si="25"/>
        <v>-5.4045744903933449E-2</v>
      </c>
      <c r="UL4" s="30">
        <f t="shared" ca="1" si="25"/>
        <v>8.7056586279817046E-3</v>
      </c>
      <c r="UM4" s="30">
        <f t="shared" ca="1" si="25"/>
        <v>6.7260455084261553E-2</v>
      </c>
      <c r="UN4" s="30">
        <f t="shared" ca="1" si="25"/>
        <v>2.2125421101786238E-2</v>
      </c>
      <c r="UO4" s="30">
        <f t="shared" ca="1" si="25"/>
        <v>2.9944558728527181E-4</v>
      </c>
      <c r="UP4" s="30">
        <f t="shared" ca="1" si="25"/>
        <v>3.1113104493150686E-2</v>
      </c>
      <c r="UQ4" s="30">
        <f t="shared" ca="1" si="25"/>
        <v>5.5162452827688356E-3</v>
      </c>
      <c r="UR4" s="30">
        <f t="shared" ca="1" si="25"/>
        <v>-8.1352949390534769E-3</v>
      </c>
      <c r="US4" s="30">
        <f t="shared" ca="1" si="25"/>
        <v>-1.9169989216874593E-2</v>
      </c>
      <c r="UT4" s="30">
        <f t="shared" ca="1" si="25"/>
        <v>-3.9014985871133084E-2</v>
      </c>
      <c r="UU4" s="30">
        <f t="shared" ca="1" si="25"/>
        <v>-4.7254986976351457E-2</v>
      </c>
      <c r="UV4" s="30">
        <f t="shared" ca="1" si="25"/>
        <v>1.4403416982664256E-2</v>
      </c>
      <c r="UW4" s="30">
        <f t="shared" ca="1" si="25"/>
        <v>-2.9097380728317027E-2</v>
      </c>
      <c r="UX4" s="30">
        <f t="shared" ca="1" si="25"/>
        <v>1.017378074255443E-2</v>
      </c>
      <c r="UY4" s="30">
        <f t="shared" ca="1" si="25"/>
        <v>-2.2412196858549966E-2</v>
      </c>
      <c r="UZ4" s="30">
        <f t="shared" ca="1" si="25"/>
        <v>7.1816186269138799E-2</v>
      </c>
      <c r="VA4" s="30">
        <f t="shared" ca="1" si="25"/>
        <v>5.1019057989835401E-2</v>
      </c>
      <c r="VB4" s="30">
        <f t="shared" ca="1" si="25"/>
        <v>1.2846300847266933E-2</v>
      </c>
      <c r="VC4" s="30">
        <f t="shared" ca="1" si="25"/>
        <v>-1.4557848401765362E-2</v>
      </c>
      <c r="VD4" s="30">
        <f t="shared" ca="1" si="25"/>
        <v>-6.2420273574469633E-3</v>
      </c>
      <c r="VE4" s="30">
        <f t="shared" ca="1" si="25"/>
        <v>-6.2762957498734645E-2</v>
      </c>
      <c r="VF4" s="30">
        <f t="shared" ca="1" si="25"/>
        <v>4.5258830403908865E-2</v>
      </c>
      <c r="VG4" s="30">
        <f t="shared" ca="1" si="25"/>
        <v>2.3093240572436946E-2</v>
      </c>
      <c r="VH4" s="30">
        <f t="shared" ca="1" si="25"/>
        <v>-2.7814227045878322E-2</v>
      </c>
      <c r="VI4" s="30">
        <f t="shared" ca="1" si="25"/>
        <v>4.9357797542947973E-2</v>
      </c>
      <c r="VJ4" s="30">
        <f t="shared" ca="1" si="25"/>
        <v>4.9576229165642907E-3</v>
      </c>
      <c r="VK4" s="30">
        <f t="shared" ca="1" si="25"/>
        <v>2.9613184738389364E-2</v>
      </c>
      <c r="VL4" s="30">
        <f t="shared" ref="VL4:XW7" ca="1" si="26">_xlfn.NORM.INV(RAND(),$C$8,$C$9)</f>
        <v>-4.3837227528614471E-2</v>
      </c>
      <c r="VM4" s="30">
        <f t="shared" ca="1" si="26"/>
        <v>4.6319808535993053E-2</v>
      </c>
      <c r="VN4" s="30">
        <f t="shared" ca="1" si="26"/>
        <v>4.3375271489655157E-2</v>
      </c>
      <c r="VO4" s="30">
        <f t="shared" ca="1" si="26"/>
        <v>2.2910122080034043E-2</v>
      </c>
      <c r="VP4" s="30">
        <f t="shared" ca="1" si="26"/>
        <v>-4.8334470427138565E-2</v>
      </c>
      <c r="VQ4" s="30">
        <f t="shared" ca="1" si="26"/>
        <v>4.279736059911745E-2</v>
      </c>
      <c r="VR4" s="30">
        <f t="shared" ca="1" si="26"/>
        <v>5.7449229158850118E-2</v>
      </c>
      <c r="VS4" s="30">
        <f t="shared" ca="1" si="26"/>
        <v>0.11488521772049044</v>
      </c>
      <c r="VT4" s="30">
        <f t="shared" ca="1" si="26"/>
        <v>-3.7273468135081131E-2</v>
      </c>
      <c r="VU4" s="30">
        <f t="shared" ca="1" si="26"/>
        <v>-4.146165933329294E-2</v>
      </c>
      <c r="VV4" s="30">
        <f t="shared" ca="1" si="26"/>
        <v>7.3982664459243102E-3</v>
      </c>
      <c r="VW4" s="30">
        <f t="shared" ca="1" si="26"/>
        <v>-5.2345240594621263E-2</v>
      </c>
      <c r="VX4" s="30">
        <f t="shared" ca="1" si="26"/>
        <v>6.7324731424918058E-2</v>
      </c>
      <c r="VY4" s="30">
        <f t="shared" ca="1" si="26"/>
        <v>-6.2279072657705076E-2</v>
      </c>
      <c r="VZ4" s="30">
        <f t="shared" ca="1" si="26"/>
        <v>-2.7598823478693748E-3</v>
      </c>
      <c r="WA4" s="30">
        <f t="shared" ca="1" si="26"/>
        <v>-3.3195960399441678E-2</v>
      </c>
      <c r="WB4" s="30">
        <f t="shared" ca="1" si="26"/>
        <v>-5.0501024480014305E-2</v>
      </c>
      <c r="WC4" s="30">
        <f t="shared" ca="1" si="26"/>
        <v>2.4042160937871364E-2</v>
      </c>
      <c r="WD4" s="30">
        <f t="shared" ca="1" si="26"/>
        <v>4.2831533309293478E-2</v>
      </c>
      <c r="WE4" s="30">
        <f t="shared" ca="1" si="26"/>
        <v>1.4879212859707079E-2</v>
      </c>
      <c r="WF4" s="30">
        <f t="shared" ca="1" si="26"/>
        <v>3.7752100457493228E-2</v>
      </c>
      <c r="WG4" s="30">
        <f t="shared" ca="1" si="26"/>
        <v>-8.8245571976844628E-3</v>
      </c>
      <c r="WH4" s="30">
        <f t="shared" ca="1" si="26"/>
        <v>3.3477150489997026E-2</v>
      </c>
      <c r="WI4" s="30">
        <f t="shared" ca="1" si="26"/>
        <v>7.2945239328413647E-3</v>
      </c>
      <c r="WJ4" s="30">
        <f t="shared" ca="1" si="26"/>
        <v>-6.4809803364670928E-3</v>
      </c>
      <c r="WK4" s="30">
        <f t="shared" ca="1" si="26"/>
        <v>4.4893832239331695E-2</v>
      </c>
      <c r="WL4" s="30">
        <f t="shared" ca="1" si="26"/>
        <v>6.2951283834168009E-2</v>
      </c>
      <c r="WM4" s="30">
        <f t="shared" ca="1" si="26"/>
        <v>-2.7735185140533067E-2</v>
      </c>
      <c r="WN4" s="30">
        <f t="shared" ca="1" si="26"/>
        <v>2.8430877695445823E-2</v>
      </c>
      <c r="WO4" s="30">
        <f t="shared" ca="1" si="26"/>
        <v>6.0247452578793589E-2</v>
      </c>
      <c r="WP4" s="30">
        <f t="shared" ca="1" si="26"/>
        <v>3.7788969353856061E-3</v>
      </c>
      <c r="WQ4" s="30">
        <f t="shared" ca="1" si="26"/>
        <v>-7.5811932758732797E-2</v>
      </c>
      <c r="WR4" s="30">
        <f t="shared" ca="1" si="26"/>
        <v>9.4061462306798023E-3</v>
      </c>
      <c r="WS4" s="30">
        <f t="shared" ca="1" si="26"/>
        <v>2.0199652620282262E-2</v>
      </c>
      <c r="WT4" s="30">
        <f t="shared" ca="1" si="26"/>
        <v>7.1142556759391878E-2</v>
      </c>
      <c r="WU4" s="30">
        <f t="shared" ca="1" si="26"/>
        <v>0.10674009929796033</v>
      </c>
      <c r="WV4" s="30">
        <f t="shared" ca="1" si="26"/>
        <v>-5.736011815882737E-2</v>
      </c>
      <c r="WW4" s="30">
        <f t="shared" ca="1" si="26"/>
        <v>4.0184498592372365E-2</v>
      </c>
      <c r="WX4" s="30">
        <f t="shared" ca="1" si="26"/>
        <v>-0.10592448878772197</v>
      </c>
      <c r="WY4" s="30">
        <f t="shared" ca="1" si="26"/>
        <v>-1.6042998586856237E-2</v>
      </c>
      <c r="WZ4" s="30">
        <f t="shared" ca="1" si="26"/>
        <v>-1.1399686047947935E-2</v>
      </c>
      <c r="XA4" s="30">
        <f t="shared" ca="1" si="26"/>
        <v>5.6271255888480864E-2</v>
      </c>
      <c r="XB4" s="30">
        <f t="shared" ca="1" si="26"/>
        <v>5.3017520972969343E-2</v>
      </c>
      <c r="XC4" s="30">
        <f t="shared" ca="1" si="26"/>
        <v>0.10516744669247756</v>
      </c>
      <c r="XD4" s="30">
        <f t="shared" ca="1" si="26"/>
        <v>3.2945727402867026E-2</v>
      </c>
      <c r="XE4" s="30">
        <f t="shared" ca="1" si="26"/>
        <v>-4.8842337561107278E-2</v>
      </c>
      <c r="XF4" s="30">
        <f t="shared" ca="1" si="26"/>
        <v>-6.0327139157184267E-3</v>
      </c>
      <c r="XG4" s="30">
        <f t="shared" ca="1" si="26"/>
        <v>-3.3166231666379692E-2</v>
      </c>
      <c r="XH4" s="30">
        <f t="shared" ca="1" si="26"/>
        <v>-1.1188043332255296E-2</v>
      </c>
      <c r="XI4" s="30">
        <f t="shared" ca="1" si="26"/>
        <v>-2.8287307423407512E-2</v>
      </c>
      <c r="XJ4" s="30">
        <f t="shared" ca="1" si="26"/>
        <v>-3.6816114971121604E-2</v>
      </c>
      <c r="XK4" s="30">
        <f t="shared" ca="1" si="26"/>
        <v>1.1341429934294284E-2</v>
      </c>
      <c r="XL4" s="30">
        <f t="shared" ca="1" si="26"/>
        <v>2.4622664130510775E-2</v>
      </c>
      <c r="XM4" s="30">
        <f t="shared" ca="1" si="26"/>
        <v>-8.6452882974578215E-3</v>
      </c>
      <c r="XN4" s="30">
        <f t="shared" ca="1" si="26"/>
        <v>-3.5313168094531257E-3</v>
      </c>
      <c r="XO4" s="30">
        <f t="shared" ca="1" si="26"/>
        <v>6.1872704794551994E-2</v>
      </c>
      <c r="XP4" s="30">
        <f t="shared" ca="1" si="26"/>
        <v>2.6581742715462771E-2</v>
      </c>
      <c r="XQ4" s="30">
        <f t="shared" ca="1" si="26"/>
        <v>2.7393385959469108E-2</v>
      </c>
      <c r="XR4" s="30">
        <f t="shared" ca="1" si="26"/>
        <v>0.10308644071235322</v>
      </c>
      <c r="XS4" s="30">
        <f t="shared" ca="1" si="26"/>
        <v>2.8023442083698197E-2</v>
      </c>
      <c r="XT4" s="30">
        <f t="shared" ca="1" si="26"/>
        <v>-3.9035507360391519E-3</v>
      </c>
      <c r="XU4" s="30">
        <f t="shared" ca="1" si="26"/>
        <v>2.8099849303375612E-2</v>
      </c>
      <c r="XV4" s="30">
        <f t="shared" ca="1" si="26"/>
        <v>3.4747227808497928E-3</v>
      </c>
      <c r="XW4" s="30">
        <f t="shared" ca="1" si="26"/>
        <v>-4.2384155148077786E-2</v>
      </c>
      <c r="XX4" s="30">
        <f t="shared" ref="XX4:AAI10" ca="1" si="27">_xlfn.NORM.INV(RAND(),$C$8,$C$9)</f>
        <v>2.0954138625804551E-2</v>
      </c>
      <c r="XY4" s="30">
        <f t="shared" ca="1" si="27"/>
        <v>-0.10182786641756761</v>
      </c>
      <c r="XZ4" s="30">
        <f t="shared" ca="1" si="27"/>
        <v>4.3838855188392228E-2</v>
      </c>
      <c r="YA4" s="30">
        <f t="shared" ca="1" si="27"/>
        <v>2.2896684175390786E-2</v>
      </c>
      <c r="YB4" s="30">
        <f t="shared" ca="1" si="27"/>
        <v>3.8171939196963836E-2</v>
      </c>
      <c r="YC4" s="30">
        <f t="shared" ca="1" si="27"/>
        <v>4.9666435964018048E-2</v>
      </c>
      <c r="YD4" s="30">
        <f t="shared" ca="1" si="27"/>
        <v>-2.4575316936655312E-2</v>
      </c>
      <c r="YE4" s="30">
        <f t="shared" ca="1" si="27"/>
        <v>9.5664025877338233E-3</v>
      </c>
      <c r="YF4" s="30">
        <f t="shared" ca="1" si="27"/>
        <v>9.5439795967564398E-2</v>
      </c>
      <c r="YG4" s="30">
        <f t="shared" ca="1" si="27"/>
        <v>3.8815576496584623E-3</v>
      </c>
      <c r="YH4" s="30">
        <f t="shared" ca="1" si="27"/>
        <v>1.8071186616646553E-2</v>
      </c>
      <c r="YI4" s="30">
        <f t="shared" ca="1" si="27"/>
        <v>6.574299186705131E-5</v>
      </c>
      <c r="YJ4" s="30">
        <f t="shared" ca="1" si="27"/>
        <v>3.4168770977782703E-2</v>
      </c>
      <c r="YK4" s="30">
        <f t="shared" ca="1" si="27"/>
        <v>4.5111419405022495E-2</v>
      </c>
      <c r="YL4" s="30">
        <f t="shared" ca="1" si="27"/>
        <v>6.1418610430041924E-3</v>
      </c>
      <c r="YM4" s="30">
        <f t="shared" ca="1" si="27"/>
        <v>1.4169223925035002E-2</v>
      </c>
      <c r="YN4" s="30">
        <f t="shared" ca="1" si="27"/>
        <v>2.8239749395616819E-3</v>
      </c>
      <c r="YO4" s="30">
        <f t="shared" ca="1" si="27"/>
        <v>-2.9338596901614155E-3</v>
      </c>
      <c r="YP4" s="30">
        <f t="shared" ca="1" si="27"/>
        <v>6.2045449252425867E-4</v>
      </c>
      <c r="YQ4" s="30">
        <f t="shared" ca="1" si="27"/>
        <v>1.1995544897719354E-2</v>
      </c>
      <c r="YR4" s="30">
        <f t="shared" ca="1" si="27"/>
        <v>4.4725128900861423E-2</v>
      </c>
      <c r="YS4" s="30">
        <f t="shared" ca="1" si="27"/>
        <v>0.10703957359235902</v>
      </c>
      <c r="YT4" s="30">
        <f t="shared" ca="1" si="27"/>
        <v>-1.2506223393416239E-2</v>
      </c>
      <c r="YU4" s="30">
        <f t="shared" ca="1" si="27"/>
        <v>3.4161931446799944E-2</v>
      </c>
      <c r="YV4" s="30">
        <f t="shared" ca="1" si="27"/>
        <v>3.0137320632576545E-2</v>
      </c>
      <c r="YW4" s="30">
        <f t="shared" ca="1" si="27"/>
        <v>-1.5322957806566135E-2</v>
      </c>
      <c r="YX4" s="30">
        <f t="shared" ca="1" si="27"/>
        <v>5.0100480196633837E-2</v>
      </c>
      <c r="YY4" s="30">
        <f t="shared" ca="1" si="27"/>
        <v>-6.6868493791931993E-2</v>
      </c>
      <c r="YZ4" s="30">
        <f t="shared" ca="1" si="27"/>
        <v>-3.4261568404366741E-2</v>
      </c>
      <c r="ZA4" s="30">
        <f t="shared" ca="1" si="27"/>
        <v>-1.6130434363481806E-2</v>
      </c>
      <c r="ZB4" s="30">
        <f t="shared" ca="1" si="27"/>
        <v>-1.9636531207593563E-2</v>
      </c>
      <c r="ZC4" s="30">
        <f t="shared" ca="1" si="27"/>
        <v>-1.6518807010277504E-2</v>
      </c>
      <c r="ZD4" s="30">
        <f t="shared" ca="1" si="27"/>
        <v>4.4194512188256929E-2</v>
      </c>
      <c r="ZE4" s="30">
        <f t="shared" ca="1" si="27"/>
        <v>4.0773794827414972E-2</v>
      </c>
      <c r="ZF4" s="30">
        <f t="shared" ca="1" si="27"/>
        <v>5.5866885816506638E-2</v>
      </c>
      <c r="ZG4" s="30">
        <f t="shared" ca="1" si="27"/>
        <v>2.2874422400814637E-2</v>
      </c>
      <c r="ZH4" s="30">
        <f t="shared" ca="1" si="27"/>
        <v>-2.1903730501181294E-2</v>
      </c>
      <c r="ZI4" s="30">
        <f t="shared" ca="1" si="27"/>
        <v>2.6471203627127182E-2</v>
      </c>
      <c r="ZJ4" s="30">
        <f t="shared" ca="1" si="27"/>
        <v>1.440445458914202E-2</v>
      </c>
      <c r="ZK4" s="30">
        <f t="shared" ca="1" si="27"/>
        <v>-1.5295587499183166E-2</v>
      </c>
      <c r="ZL4" s="30">
        <f t="shared" ca="1" si="27"/>
        <v>-2.590463764062655E-2</v>
      </c>
      <c r="ZM4" s="30">
        <f t="shared" ca="1" si="27"/>
        <v>-5.3331146894132798E-3</v>
      </c>
      <c r="ZN4" s="30">
        <f t="shared" ca="1" si="27"/>
        <v>-1.7130409502360805E-2</v>
      </c>
      <c r="ZO4" s="30">
        <f t="shared" ca="1" si="27"/>
        <v>-5.1657539884382771E-2</v>
      </c>
      <c r="ZP4" s="30">
        <f t="shared" ca="1" si="27"/>
        <v>3.1352699191621904E-2</v>
      </c>
      <c r="ZQ4" s="30">
        <f t="shared" ca="1" si="27"/>
        <v>-1.39769435778E-3</v>
      </c>
      <c r="ZR4" s="30">
        <f t="shared" ca="1" si="27"/>
        <v>-4.6538643889006616E-2</v>
      </c>
      <c r="ZS4" s="30">
        <f t="shared" ca="1" si="27"/>
        <v>5.2529298557312178E-2</v>
      </c>
      <c r="ZT4" s="30">
        <f t="shared" ca="1" si="27"/>
        <v>2.6475448929224172E-2</v>
      </c>
      <c r="ZU4" s="30">
        <f t="shared" ca="1" si="27"/>
        <v>-3.6908133742014508E-2</v>
      </c>
      <c r="ZV4" s="30">
        <f t="shared" ca="1" si="27"/>
        <v>2.0498774376286256E-2</v>
      </c>
      <c r="ZW4" s="30">
        <f t="shared" ca="1" si="27"/>
        <v>-5.0150038164928336E-2</v>
      </c>
      <c r="ZX4" s="30">
        <f t="shared" ca="1" si="27"/>
        <v>4.8395579387284149E-4</v>
      </c>
      <c r="ZY4" s="30">
        <f t="shared" ca="1" si="27"/>
        <v>-0.11699686753466396</v>
      </c>
      <c r="ZZ4" s="30">
        <f t="shared" ca="1" si="27"/>
        <v>7.4850436600825354E-2</v>
      </c>
      <c r="AAA4" s="30">
        <f t="shared" ca="1" si="27"/>
        <v>-6.6647373028932658E-2</v>
      </c>
      <c r="AAB4" s="30">
        <f t="shared" ca="1" si="27"/>
        <v>-1.4910360732375446E-2</v>
      </c>
      <c r="AAC4" s="30">
        <f t="shared" ca="1" si="27"/>
        <v>-2.2883109000424763E-2</v>
      </c>
      <c r="AAD4" s="30">
        <f t="shared" ca="1" si="27"/>
        <v>-2.2113705467957434E-2</v>
      </c>
      <c r="AAE4" s="30">
        <f t="shared" ca="1" si="27"/>
        <v>2.9078519268568411E-2</v>
      </c>
      <c r="AAF4" s="30">
        <f t="shared" ca="1" si="27"/>
        <v>-2.5449196108470264E-2</v>
      </c>
      <c r="AAG4" s="30">
        <f t="shared" ca="1" si="27"/>
        <v>5.1078406798603003E-2</v>
      </c>
      <c r="AAH4" s="30">
        <f t="shared" ca="1" si="27"/>
        <v>-2.0478334578062748E-2</v>
      </c>
      <c r="AAI4" s="30">
        <f t="shared" ca="1" si="27"/>
        <v>2.2400479755330877E-3</v>
      </c>
      <c r="AAJ4" s="30">
        <f t="shared" ref="AAJ4:ACU7" ca="1" si="28">_xlfn.NORM.INV(RAND(),$C$8,$C$9)</f>
        <v>-1.6711613074676796E-2</v>
      </c>
      <c r="AAK4" s="30">
        <f t="shared" ca="1" si="28"/>
        <v>-7.5323078184384787E-3</v>
      </c>
      <c r="AAL4" s="30">
        <f t="shared" ca="1" si="28"/>
        <v>-4.0780450603056292E-3</v>
      </c>
      <c r="AAM4" s="30">
        <f t="shared" ca="1" si="28"/>
        <v>2.0316580561236038E-2</v>
      </c>
      <c r="AAN4" s="30">
        <f t="shared" ca="1" si="28"/>
        <v>-1.4325857801044783E-2</v>
      </c>
      <c r="AAO4" s="30">
        <f t="shared" ca="1" si="28"/>
        <v>-5.0134517370978876E-2</v>
      </c>
      <c r="AAP4" s="30">
        <f t="shared" ca="1" si="28"/>
        <v>-4.8097450300482764E-2</v>
      </c>
      <c r="AAQ4" s="30">
        <f t="shared" ca="1" si="28"/>
        <v>3.3274174184801456E-2</v>
      </c>
      <c r="AAR4" s="30">
        <f t="shared" ca="1" si="28"/>
        <v>-2.0995437327437871E-2</v>
      </c>
      <c r="AAS4" s="30">
        <f t="shared" ca="1" si="28"/>
        <v>-4.4074425425256726E-2</v>
      </c>
      <c r="AAT4" s="30">
        <f t="shared" ca="1" si="28"/>
        <v>1.5907754863042255E-2</v>
      </c>
      <c r="AAU4" s="30">
        <f t="shared" ca="1" si="28"/>
        <v>3.7085425809141287E-2</v>
      </c>
      <c r="AAV4" s="30">
        <f t="shared" ca="1" si="28"/>
        <v>-3.9718264015636162E-2</v>
      </c>
      <c r="AAW4" s="30">
        <f t="shared" ca="1" si="28"/>
        <v>2.4691444791065886E-2</v>
      </c>
      <c r="AAX4" s="30">
        <f t="shared" ca="1" si="28"/>
        <v>-5.6709936097863369E-3</v>
      </c>
      <c r="AAY4" s="30">
        <f t="shared" ca="1" si="28"/>
        <v>1.5412006406716349E-2</v>
      </c>
      <c r="AAZ4" s="30">
        <f t="shared" ca="1" si="28"/>
        <v>-1.5607090805059863E-2</v>
      </c>
      <c r="ABA4" s="30">
        <f t="shared" ca="1" si="28"/>
        <v>-1.9489693849881562E-3</v>
      </c>
      <c r="ABB4" s="30">
        <f t="shared" ca="1" si="28"/>
        <v>3.5620106438914438E-2</v>
      </c>
      <c r="ABC4" s="30">
        <f t="shared" ca="1" si="28"/>
        <v>-2.769139985835907E-2</v>
      </c>
      <c r="ABD4" s="30">
        <f t="shared" ca="1" si="28"/>
        <v>-3.9424754794527032E-3</v>
      </c>
      <c r="ABE4" s="30">
        <f t="shared" ca="1" si="28"/>
        <v>3.4247347491463888E-2</v>
      </c>
      <c r="ABF4" s="30">
        <f t="shared" ca="1" si="28"/>
        <v>-1.1884885482877866E-3</v>
      </c>
      <c r="ABG4" s="30">
        <f t="shared" ca="1" si="28"/>
        <v>2.2921454090566468E-2</v>
      </c>
      <c r="ABH4" s="30">
        <f t="shared" ca="1" si="28"/>
        <v>-8.3242003389925549E-3</v>
      </c>
      <c r="ABI4" s="30">
        <f t="shared" ca="1" si="28"/>
        <v>-3.1329406962073467E-2</v>
      </c>
      <c r="ABJ4" s="30">
        <f t="shared" ca="1" si="28"/>
        <v>6.3204006308988425E-2</v>
      </c>
      <c r="ABK4" s="30">
        <f t="shared" ca="1" si="28"/>
        <v>-8.1791255860044613E-4</v>
      </c>
      <c r="ABL4" s="30">
        <f t="shared" ca="1" si="28"/>
        <v>-7.3393471709150043E-4</v>
      </c>
      <c r="ABM4" s="30">
        <f t="shared" ca="1" si="28"/>
        <v>-3.8679131088150388E-2</v>
      </c>
      <c r="ABN4" s="30">
        <f t="shared" ca="1" si="28"/>
        <v>-1.9599501854186806E-2</v>
      </c>
      <c r="ABO4" s="30">
        <f t="shared" ca="1" si="28"/>
        <v>3.7171776392119396E-2</v>
      </c>
      <c r="ABP4" s="30">
        <f t="shared" ca="1" si="28"/>
        <v>-8.3769636291178257E-2</v>
      </c>
      <c r="ABQ4" s="30">
        <f t="shared" ca="1" si="28"/>
        <v>-2.5672812267586911E-2</v>
      </c>
      <c r="ABR4" s="30">
        <f t="shared" ca="1" si="28"/>
        <v>1.940857534076848E-2</v>
      </c>
      <c r="ABS4" s="30">
        <f t="shared" ca="1" si="28"/>
        <v>3.6830338890707172E-2</v>
      </c>
      <c r="ABT4" s="30">
        <f t="shared" ca="1" si="28"/>
        <v>1.5079667000815578E-2</v>
      </c>
      <c r="ABU4" s="30">
        <f t="shared" ca="1" si="28"/>
        <v>-4.03662930119869E-3</v>
      </c>
      <c r="ABV4" s="30">
        <f t="shared" ca="1" si="28"/>
        <v>-1.9128621519724706E-2</v>
      </c>
      <c r="ABW4" s="30">
        <f t="shared" ca="1" si="28"/>
        <v>-8.21905858205767E-2</v>
      </c>
      <c r="ABX4" s="30">
        <f t="shared" ca="1" si="28"/>
        <v>2.4572257368338821E-2</v>
      </c>
      <c r="ABY4" s="30">
        <f t="shared" ca="1" si="28"/>
        <v>-4.1839287167387558E-2</v>
      </c>
      <c r="ABZ4" s="30">
        <f t="shared" ca="1" si="28"/>
        <v>-2.1842570251700649E-2</v>
      </c>
      <c r="ACA4" s="30">
        <f t="shared" ca="1" si="28"/>
        <v>6.6911547113314651E-2</v>
      </c>
      <c r="ACB4" s="30">
        <f t="shared" ca="1" si="28"/>
        <v>-7.2955456680533388E-3</v>
      </c>
      <c r="ACC4" s="30">
        <f t="shared" ca="1" si="28"/>
        <v>-4.9890927064243785E-2</v>
      </c>
      <c r="ACD4" s="30">
        <f t="shared" ca="1" si="28"/>
        <v>6.517186294664222E-2</v>
      </c>
      <c r="ACE4" s="30">
        <f t="shared" ca="1" si="28"/>
        <v>6.4902954255749629E-2</v>
      </c>
      <c r="ACF4" s="30">
        <f t="shared" ca="1" si="28"/>
        <v>3.9773897537031477E-2</v>
      </c>
      <c r="ACG4" s="30">
        <f t="shared" ca="1" si="28"/>
        <v>8.3229802972339728E-2</v>
      </c>
      <c r="ACH4" s="30">
        <f t="shared" ca="1" si="28"/>
        <v>1.884721587248054E-2</v>
      </c>
      <c r="ACI4" s="30">
        <f t="shared" ca="1" si="28"/>
        <v>-4.6847402428514172E-2</v>
      </c>
      <c r="ACJ4" s="30">
        <f t="shared" ca="1" si="28"/>
        <v>-4.3421793306994937E-2</v>
      </c>
      <c r="ACK4" s="30">
        <f t="shared" ca="1" si="28"/>
        <v>1.0134512484605042E-2</v>
      </c>
      <c r="ACL4" s="30">
        <f t="shared" ca="1" si="28"/>
        <v>2.7739060645477678E-2</v>
      </c>
      <c r="ACM4" s="30">
        <f t="shared" ca="1" si="28"/>
        <v>-3.1303149251161046E-2</v>
      </c>
      <c r="ACN4" s="30">
        <f t="shared" ca="1" si="28"/>
        <v>-2.2856486675097511E-2</v>
      </c>
      <c r="ACO4" s="30">
        <f t="shared" ca="1" si="28"/>
        <v>8.8980976399087881E-3</v>
      </c>
      <c r="ACP4" s="30">
        <f t="shared" ca="1" si="28"/>
        <v>-1.7778545081419208E-2</v>
      </c>
      <c r="ACQ4" s="30">
        <f t="shared" ca="1" si="28"/>
        <v>-4.4963113775084898E-2</v>
      </c>
      <c r="ACR4" s="30">
        <f t="shared" ca="1" si="28"/>
        <v>4.7437840925523816E-3</v>
      </c>
      <c r="ACS4" s="30">
        <f t="shared" ca="1" si="28"/>
        <v>-1.8872109342501584E-2</v>
      </c>
      <c r="ACT4" s="30">
        <f t="shared" ca="1" si="28"/>
        <v>-4.7130056367597949E-2</v>
      </c>
      <c r="ACU4" s="30">
        <f t="shared" ca="1" si="28"/>
        <v>5.3190292156119624E-2</v>
      </c>
      <c r="ACV4" s="30">
        <f t="shared" ref="ACV4:AFG10" ca="1" si="29">_xlfn.NORM.INV(RAND(),$C$8,$C$9)</f>
        <v>-5.33617678211517E-2</v>
      </c>
      <c r="ACW4" s="30">
        <f t="shared" ca="1" si="29"/>
        <v>1.0135117759960932E-2</v>
      </c>
      <c r="ACX4" s="30">
        <f t="shared" ca="1" si="29"/>
        <v>-8.6758797515672365E-3</v>
      </c>
      <c r="ACY4" s="30">
        <f t="shared" ca="1" si="29"/>
        <v>-4.1751496098346025E-5</v>
      </c>
      <c r="ACZ4" s="30">
        <f t="shared" ca="1" si="29"/>
        <v>-8.1126706366385123E-2</v>
      </c>
      <c r="ADA4" s="30">
        <f t="shared" ca="1" si="29"/>
        <v>1.9314387474076173E-2</v>
      </c>
      <c r="ADB4" s="30">
        <f t="shared" ca="1" si="29"/>
        <v>-1.2961169247860407E-2</v>
      </c>
      <c r="ADC4" s="30">
        <f t="shared" ca="1" si="29"/>
        <v>-2.6623036998716931E-3</v>
      </c>
      <c r="ADD4" s="30">
        <f t="shared" ca="1" si="29"/>
        <v>-1.1753926731797606E-2</v>
      </c>
      <c r="ADE4" s="30">
        <f t="shared" ca="1" si="29"/>
        <v>-0.11493310441583833</v>
      </c>
      <c r="ADF4" s="30">
        <f t="shared" ca="1" si="29"/>
        <v>-8.044098567332883E-2</v>
      </c>
      <c r="ADG4" s="30">
        <f t="shared" ca="1" si="29"/>
        <v>7.7887597277894613E-2</v>
      </c>
      <c r="ADH4" s="30">
        <f t="shared" ca="1" si="29"/>
        <v>-3.6895806636620503E-2</v>
      </c>
      <c r="ADI4" s="30">
        <f t="shared" ca="1" si="29"/>
        <v>-0.10234081544146374</v>
      </c>
      <c r="ADJ4" s="30">
        <f t="shared" ca="1" si="29"/>
        <v>2.5131537558835643E-2</v>
      </c>
      <c r="ADK4" s="30">
        <f t="shared" ca="1" si="29"/>
        <v>2.4489993364158098E-2</v>
      </c>
      <c r="ADL4" s="30">
        <f t="shared" ca="1" si="29"/>
        <v>-1.0771863350803816E-2</v>
      </c>
      <c r="ADM4" s="30">
        <f t="shared" ca="1" si="29"/>
        <v>-3.1826245099470858E-2</v>
      </c>
      <c r="ADN4" s="30">
        <f t="shared" ca="1" si="29"/>
        <v>3.056546530739478E-2</v>
      </c>
      <c r="ADO4" s="30">
        <f t="shared" ca="1" si="29"/>
        <v>-8.0270556805130608E-2</v>
      </c>
      <c r="ADP4" s="30">
        <f t="shared" ca="1" si="29"/>
        <v>4.4162487337300625E-2</v>
      </c>
      <c r="ADQ4" s="30">
        <f t="shared" ca="1" si="29"/>
        <v>-5.5107936827705317E-2</v>
      </c>
      <c r="ADR4" s="30">
        <f t="shared" ca="1" si="29"/>
        <v>-4.3010099547121143E-2</v>
      </c>
      <c r="ADS4" s="30">
        <f t="shared" ca="1" si="29"/>
        <v>7.9998508609262012E-3</v>
      </c>
      <c r="ADT4" s="30">
        <f t="shared" ca="1" si="29"/>
        <v>-9.9458587313788673E-3</v>
      </c>
      <c r="ADU4" s="30">
        <f t="shared" ca="1" si="29"/>
        <v>4.3095950175198815E-2</v>
      </c>
      <c r="ADV4" s="30">
        <f t="shared" ca="1" si="29"/>
        <v>1.3505131810957121E-2</v>
      </c>
      <c r="ADW4" s="30">
        <f t="shared" ca="1" si="29"/>
        <v>-5.6860539428080767E-2</v>
      </c>
      <c r="ADX4" s="30">
        <f t="shared" ca="1" si="29"/>
        <v>2.6677203022441271E-2</v>
      </c>
      <c r="ADY4" s="30">
        <f t="shared" ca="1" si="29"/>
        <v>1.1443075832044112E-3</v>
      </c>
      <c r="ADZ4" s="30">
        <f t="shared" ca="1" si="29"/>
        <v>4.7261858888348558E-2</v>
      </c>
      <c r="AEA4" s="30">
        <f t="shared" ca="1" si="29"/>
        <v>1.0763569816054905E-2</v>
      </c>
      <c r="AEB4" s="30">
        <f t="shared" ca="1" si="29"/>
        <v>5.0481620884511261E-2</v>
      </c>
      <c r="AEC4" s="30">
        <f t="shared" ca="1" si="29"/>
        <v>1.848935940016963E-2</v>
      </c>
      <c r="AED4" s="30">
        <f t="shared" ca="1" si="29"/>
        <v>6.0410779922476968E-2</v>
      </c>
      <c r="AEE4" s="30">
        <f t="shared" ca="1" si="29"/>
        <v>2.1591623106615162E-2</v>
      </c>
      <c r="AEF4" s="30">
        <f t="shared" ca="1" si="29"/>
        <v>1.6998889216598489E-2</v>
      </c>
      <c r="AEG4" s="30">
        <f t="shared" ca="1" si="29"/>
        <v>6.059023407255378E-3</v>
      </c>
      <c r="AEH4" s="30">
        <f t="shared" ca="1" si="29"/>
        <v>-1.635775532216923E-2</v>
      </c>
      <c r="AEI4" s="30">
        <f t="shared" ca="1" si="29"/>
        <v>6.1415096084685679E-3</v>
      </c>
      <c r="AEJ4" s="30">
        <f t="shared" ca="1" si="29"/>
        <v>3.6330966433142119E-2</v>
      </c>
      <c r="AEK4" s="30">
        <f t="shared" ca="1" si="29"/>
        <v>-7.5765610613639858E-3</v>
      </c>
      <c r="AEL4" s="30">
        <f t="shared" ca="1" si="29"/>
        <v>-1.9865058812754639E-2</v>
      </c>
      <c r="AEM4" s="30">
        <f t="shared" ca="1" si="29"/>
        <v>1.2576612876213556E-2</v>
      </c>
      <c r="AEN4" s="30">
        <f t="shared" ca="1" si="29"/>
        <v>3.6662382891413096E-2</v>
      </c>
      <c r="AEO4" s="30">
        <f t="shared" ca="1" si="29"/>
        <v>3.6940282576165974E-2</v>
      </c>
      <c r="AEP4" s="30">
        <f t="shared" ca="1" si="29"/>
        <v>-4.5208390030402702E-2</v>
      </c>
      <c r="AEQ4" s="30">
        <f t="shared" ca="1" si="29"/>
        <v>5.0524453074173137E-2</v>
      </c>
      <c r="AER4" s="30">
        <f t="shared" ca="1" si="29"/>
        <v>5.1416278668090405E-2</v>
      </c>
      <c r="AES4" s="30">
        <f t="shared" ca="1" si="29"/>
        <v>-4.6370133464904539E-2</v>
      </c>
      <c r="AET4" s="30">
        <f t="shared" ca="1" si="29"/>
        <v>-1.2738196127933378E-2</v>
      </c>
      <c r="AEU4" s="30">
        <f t="shared" ca="1" si="29"/>
        <v>8.0177473404099087E-2</v>
      </c>
      <c r="AEV4" s="30">
        <f t="shared" ca="1" si="29"/>
        <v>8.5864727858879678E-2</v>
      </c>
      <c r="AEW4" s="30">
        <f t="shared" ca="1" si="29"/>
        <v>3.0001602833007558E-2</v>
      </c>
      <c r="AEX4" s="30">
        <f t="shared" ca="1" si="29"/>
        <v>-1.4637751708909883E-2</v>
      </c>
      <c r="AEY4" s="30">
        <f t="shared" ca="1" si="29"/>
        <v>2.7290321486388984E-2</v>
      </c>
      <c r="AEZ4" s="30">
        <f t="shared" ca="1" si="29"/>
        <v>-5.2577727444890407E-2</v>
      </c>
      <c r="AFA4" s="30">
        <f t="shared" ca="1" si="29"/>
        <v>3.9740015291681398E-2</v>
      </c>
      <c r="AFB4" s="30">
        <f t="shared" ca="1" si="29"/>
        <v>-1.8826434122994295E-2</v>
      </c>
      <c r="AFC4" s="30">
        <f t="shared" ca="1" si="29"/>
        <v>0.11808573486697421</v>
      </c>
      <c r="AFD4" s="30">
        <f t="shared" ca="1" si="29"/>
        <v>6.3358001946169099E-2</v>
      </c>
      <c r="AFE4" s="30">
        <f t="shared" ca="1" si="29"/>
        <v>-4.7111633460725229E-2</v>
      </c>
      <c r="AFF4" s="30">
        <f t="shared" ca="1" si="29"/>
        <v>-1.3764614834154624E-2</v>
      </c>
      <c r="AFG4" s="30">
        <f t="shared" ca="1" si="29"/>
        <v>-2.1910867017886332E-2</v>
      </c>
      <c r="AFH4" s="30">
        <f t="shared" ref="AFH4:AHS7" ca="1" si="30">_xlfn.NORM.INV(RAND(),$C$8,$C$9)</f>
        <v>-3.0116099322389074E-2</v>
      </c>
      <c r="AFI4" s="30">
        <f t="shared" ca="1" si="30"/>
        <v>2.7825334590840824E-2</v>
      </c>
      <c r="AFJ4" s="30">
        <f t="shared" ca="1" si="30"/>
        <v>-5.3484321315506803E-2</v>
      </c>
      <c r="AFK4" s="30">
        <f t="shared" ca="1" si="30"/>
        <v>-1.6037104724254715E-2</v>
      </c>
      <c r="AFL4" s="30">
        <f t="shared" ca="1" si="30"/>
        <v>6.1045353938423532E-3</v>
      </c>
      <c r="AFM4" s="30">
        <f t="shared" ca="1" si="30"/>
        <v>8.9235230269308092E-3</v>
      </c>
      <c r="AFN4" s="30">
        <f t="shared" ca="1" si="30"/>
        <v>2.2189944649604679E-3</v>
      </c>
      <c r="AFO4" s="30">
        <f t="shared" ca="1" si="30"/>
        <v>5.9176639722476082E-2</v>
      </c>
      <c r="AFP4" s="30">
        <f t="shared" ca="1" si="30"/>
        <v>6.2076919005126623E-3</v>
      </c>
      <c r="AFQ4" s="30">
        <f t="shared" ca="1" si="30"/>
        <v>1.8991077609639886E-2</v>
      </c>
      <c r="AFR4" s="30">
        <f t="shared" ca="1" si="30"/>
        <v>-3.4333170112192904E-2</v>
      </c>
      <c r="AFS4" s="30">
        <f t="shared" ca="1" si="30"/>
        <v>5.007573430114572E-3</v>
      </c>
      <c r="AFT4" s="30">
        <f t="shared" ca="1" si="30"/>
        <v>4.7932605352173023E-2</v>
      </c>
      <c r="AFU4" s="30">
        <f t="shared" ca="1" si="30"/>
        <v>-3.7552803437099118E-3</v>
      </c>
      <c r="AFV4" s="30">
        <f t="shared" ca="1" si="30"/>
        <v>3.7580976770031679E-2</v>
      </c>
      <c r="AFW4" s="30">
        <f t="shared" ca="1" si="30"/>
        <v>2.8304062291378499E-2</v>
      </c>
      <c r="AFX4" s="30">
        <f t="shared" ca="1" si="30"/>
        <v>-2.7864832522695483E-3</v>
      </c>
      <c r="AFY4" s="30">
        <f t="shared" ca="1" si="30"/>
        <v>4.1543348508876476E-2</v>
      </c>
      <c r="AFZ4" s="30">
        <f t="shared" ca="1" si="30"/>
        <v>6.8665425334145422E-2</v>
      </c>
      <c r="AGA4" s="30">
        <f t="shared" ca="1" si="30"/>
        <v>1.5791843045167318E-2</v>
      </c>
      <c r="AGB4" s="30">
        <f t="shared" ca="1" si="30"/>
        <v>2.6248211764297105E-2</v>
      </c>
      <c r="AGC4" s="30">
        <f t="shared" ca="1" si="30"/>
        <v>5.1286559527674851E-2</v>
      </c>
      <c r="AGD4" s="30">
        <f t="shared" ca="1" si="30"/>
        <v>3.8563180208911023E-2</v>
      </c>
      <c r="AGE4" s="30">
        <f t="shared" ca="1" si="30"/>
        <v>-5.1883004452524866E-3</v>
      </c>
      <c r="AGF4" s="30">
        <f t="shared" ca="1" si="30"/>
        <v>-4.4759953243152441E-2</v>
      </c>
      <c r="AGG4" s="30">
        <f t="shared" ca="1" si="30"/>
        <v>1.251516650572292E-3</v>
      </c>
      <c r="AGH4" s="30">
        <f t="shared" ca="1" si="30"/>
        <v>7.2707800392706164E-3</v>
      </c>
      <c r="AGI4" s="30">
        <f t="shared" ca="1" si="30"/>
        <v>-4.9896504465765018E-2</v>
      </c>
      <c r="AGJ4" s="30">
        <f t="shared" ca="1" si="30"/>
        <v>2.6764150894521874E-2</v>
      </c>
      <c r="AGK4" s="30">
        <f t="shared" ca="1" si="30"/>
        <v>3.2669017566393066E-2</v>
      </c>
      <c r="AGL4" s="30">
        <f t="shared" ca="1" si="30"/>
        <v>-2.8404005962461117E-2</v>
      </c>
      <c r="AGM4" s="30">
        <f t="shared" ca="1" si="30"/>
        <v>-2.1433425655258083E-2</v>
      </c>
      <c r="AGN4" s="30">
        <f t="shared" ca="1" si="30"/>
        <v>2.6363401358135974E-2</v>
      </c>
      <c r="AGO4" s="30">
        <f t="shared" ca="1" si="30"/>
        <v>2.8187628912373336E-2</v>
      </c>
      <c r="AGP4" s="30">
        <f t="shared" ca="1" si="30"/>
        <v>5.2192576889024601E-2</v>
      </c>
      <c r="AGQ4" s="30">
        <f t="shared" ca="1" si="30"/>
        <v>-1.6642821702030779E-2</v>
      </c>
      <c r="AGR4" s="30">
        <f t="shared" ca="1" si="30"/>
        <v>-4.5268175711138857E-2</v>
      </c>
      <c r="AGS4" s="30">
        <f t="shared" ca="1" si="30"/>
        <v>1.403792045765157E-2</v>
      </c>
      <c r="AGT4" s="30">
        <f t="shared" ca="1" si="30"/>
        <v>1.2437269536483265E-2</v>
      </c>
      <c r="AGU4" s="30">
        <f t="shared" ca="1" si="30"/>
        <v>1.9422663197472365E-2</v>
      </c>
      <c r="AGV4" s="30">
        <f t="shared" ca="1" si="30"/>
        <v>2.2189099952454879E-2</v>
      </c>
      <c r="AGW4" s="30">
        <f t="shared" ca="1" si="30"/>
        <v>3.8062814367734329E-2</v>
      </c>
      <c r="AGX4" s="30">
        <f t="shared" ca="1" si="30"/>
        <v>-5.2257811082428336E-3</v>
      </c>
      <c r="AGY4" s="30">
        <f t="shared" ca="1" si="30"/>
        <v>5.0864001575549621E-2</v>
      </c>
      <c r="AGZ4" s="30">
        <f t="shared" ca="1" si="30"/>
        <v>5.0163166826465551E-2</v>
      </c>
      <c r="AHA4" s="30">
        <f t="shared" ca="1" si="30"/>
        <v>6.2682627306925351E-2</v>
      </c>
      <c r="AHB4" s="30">
        <f t="shared" ca="1" si="30"/>
        <v>-4.3638750796018817E-2</v>
      </c>
      <c r="AHC4" s="30">
        <f t="shared" ca="1" si="30"/>
        <v>8.3456755263203147E-2</v>
      </c>
      <c r="AHD4" s="30">
        <f t="shared" ca="1" si="30"/>
        <v>-5.7889993485490301E-2</v>
      </c>
      <c r="AHE4" s="30">
        <f t="shared" ca="1" si="30"/>
        <v>-2.3009983477083183E-2</v>
      </c>
      <c r="AHF4" s="30">
        <f t="shared" ca="1" si="30"/>
        <v>-2.7000464875039393E-2</v>
      </c>
      <c r="AHG4" s="30">
        <f t="shared" ca="1" si="30"/>
        <v>4.9694331120662388E-3</v>
      </c>
      <c r="AHH4" s="30">
        <f t="shared" ca="1" si="30"/>
        <v>-2.0121577941783167E-2</v>
      </c>
      <c r="AHI4" s="30">
        <f t="shared" ca="1" si="30"/>
        <v>-1.046825908269575E-2</v>
      </c>
      <c r="AHJ4" s="30">
        <f t="shared" ca="1" si="30"/>
        <v>7.0518327698730274E-2</v>
      </c>
      <c r="AHK4" s="30">
        <f t="shared" ca="1" si="30"/>
        <v>-1.38449749546987E-2</v>
      </c>
      <c r="AHL4" s="30">
        <f t="shared" ca="1" si="30"/>
        <v>-1.6942440619580626E-2</v>
      </c>
      <c r="AHM4" s="30">
        <f t="shared" ca="1" si="30"/>
        <v>-1.6472624429518699E-3</v>
      </c>
      <c r="AHN4" s="30">
        <f t="shared" ca="1" si="30"/>
        <v>1.2776965079126297E-2</v>
      </c>
      <c r="AHO4" s="30">
        <f t="shared" ca="1" si="30"/>
        <v>2.8605887918576552E-3</v>
      </c>
      <c r="AHP4" s="30">
        <f t="shared" ca="1" si="30"/>
        <v>-4.9147717921937763E-2</v>
      </c>
      <c r="AHQ4" s="30">
        <f t="shared" ca="1" si="30"/>
        <v>2.5980011994534744E-2</v>
      </c>
      <c r="AHR4" s="30">
        <f t="shared" ca="1" si="30"/>
        <v>5.709994261869468E-2</v>
      </c>
      <c r="AHS4" s="30">
        <f t="shared" ca="1" si="30"/>
        <v>-9.8657729941271175E-3</v>
      </c>
      <c r="AHT4" s="30">
        <f t="shared" ref="AHT4:AKE10" ca="1" si="31">_xlfn.NORM.INV(RAND(),$C$8,$C$9)</f>
        <v>-1.5051982466336961E-2</v>
      </c>
      <c r="AHU4" s="30">
        <f t="shared" ca="1" si="31"/>
        <v>3.6682346151885842E-2</v>
      </c>
      <c r="AHV4" s="30">
        <f t="shared" ca="1" si="31"/>
        <v>-1.7657437785582677E-2</v>
      </c>
      <c r="AHW4" s="30">
        <f t="shared" ca="1" si="31"/>
        <v>-3.8344199690082889E-3</v>
      </c>
      <c r="AHX4" s="30">
        <f t="shared" ca="1" si="31"/>
        <v>-2.585597265536824E-2</v>
      </c>
      <c r="AHY4" s="30">
        <f t="shared" ca="1" si="31"/>
        <v>5.4986174639551258E-2</v>
      </c>
      <c r="AHZ4" s="30">
        <f t="shared" ca="1" si="31"/>
        <v>-4.2104020410173408E-2</v>
      </c>
      <c r="AIA4" s="30">
        <f t="shared" ca="1" si="31"/>
        <v>4.8843910006603156E-3</v>
      </c>
      <c r="AIB4" s="30">
        <f t="shared" ca="1" si="31"/>
        <v>-7.5214833302889653E-2</v>
      </c>
      <c r="AIC4" s="30">
        <f t="shared" ca="1" si="31"/>
        <v>-8.1700545874943228E-2</v>
      </c>
      <c r="AID4" s="30">
        <f t="shared" ca="1" si="31"/>
        <v>-2.2421376282494097E-2</v>
      </c>
      <c r="AIE4" s="30">
        <f t="shared" ca="1" si="31"/>
        <v>-4.2560233394355843E-2</v>
      </c>
      <c r="AIF4" s="30">
        <f t="shared" ca="1" si="31"/>
        <v>7.9783163353562767E-2</v>
      </c>
      <c r="AIG4" s="30">
        <f t="shared" ca="1" si="31"/>
        <v>1.3800728760180131E-2</v>
      </c>
      <c r="AIH4" s="30">
        <f t="shared" ca="1" si="31"/>
        <v>6.5904692158894163E-2</v>
      </c>
      <c r="AII4" s="30">
        <f t="shared" ca="1" si="31"/>
        <v>1.7105196227984783E-3</v>
      </c>
      <c r="AIJ4" s="30">
        <f t="shared" ca="1" si="31"/>
        <v>1.7799220056325955E-2</v>
      </c>
      <c r="AIK4" s="30">
        <f t="shared" ca="1" si="31"/>
        <v>1.4304669892193811E-2</v>
      </c>
      <c r="AIL4" s="30">
        <f t="shared" ca="1" si="31"/>
        <v>5.8540653933147078E-2</v>
      </c>
      <c r="AIM4" s="30">
        <f t="shared" ca="1" si="31"/>
        <v>2.4583776537305098E-2</v>
      </c>
      <c r="AIN4" s="30">
        <f t="shared" ca="1" si="31"/>
        <v>4.9658129455815332E-2</v>
      </c>
      <c r="AIO4" s="30">
        <f t="shared" ca="1" si="31"/>
        <v>-1.2947986278254331E-2</v>
      </c>
      <c r="AIP4" s="30">
        <f t="shared" ca="1" si="31"/>
        <v>-1.0594485170018863E-4</v>
      </c>
      <c r="AIQ4" s="30">
        <f t="shared" ca="1" si="31"/>
        <v>-1.0052607230305171E-2</v>
      </c>
      <c r="AIR4" s="30">
        <f t="shared" ca="1" si="31"/>
        <v>-9.5936107121465074E-3</v>
      </c>
      <c r="AIS4" s="30">
        <f t="shared" ca="1" si="31"/>
        <v>1.8075021145247963E-2</v>
      </c>
      <c r="AIT4" s="30">
        <f t="shared" ca="1" si="31"/>
        <v>-4.9733552646379547E-2</v>
      </c>
      <c r="AIU4" s="30">
        <f t="shared" ca="1" si="31"/>
        <v>3.8479938651099915E-2</v>
      </c>
      <c r="AIV4" s="30">
        <f t="shared" ca="1" si="31"/>
        <v>-7.6491700635347104E-2</v>
      </c>
      <c r="AIW4" s="30">
        <f t="shared" ca="1" si="31"/>
        <v>-3.7162710312550931E-2</v>
      </c>
      <c r="AIX4" s="30">
        <f t="shared" ca="1" si="31"/>
        <v>-3.9907155225427232E-3</v>
      </c>
      <c r="AIY4" s="30">
        <f t="shared" ca="1" si="31"/>
        <v>-4.2885741776556338E-2</v>
      </c>
      <c r="AIZ4" s="30">
        <f t="shared" ca="1" si="31"/>
        <v>5.8512044623107794E-2</v>
      </c>
      <c r="AJA4" s="30">
        <f t="shared" ca="1" si="31"/>
        <v>4.5442325812915144E-2</v>
      </c>
      <c r="AJB4" s="30">
        <f t="shared" ca="1" si="31"/>
        <v>4.2474434267027794E-2</v>
      </c>
      <c r="AJC4" s="30">
        <f t="shared" ca="1" si="31"/>
        <v>-3.098114085636388E-2</v>
      </c>
      <c r="AJD4" s="30">
        <f t="shared" ca="1" si="31"/>
        <v>-2.9270059130773837E-2</v>
      </c>
      <c r="AJE4" s="30">
        <f t="shared" ca="1" si="31"/>
        <v>-5.8688060704758524E-3</v>
      </c>
      <c r="AJF4" s="30">
        <f t="shared" ca="1" si="31"/>
        <v>7.1713843222155363E-2</v>
      </c>
      <c r="AJG4" s="30">
        <f t="shared" ca="1" si="31"/>
        <v>1.7802804166868521E-2</v>
      </c>
      <c r="AJH4" s="30">
        <f t="shared" ca="1" si="31"/>
        <v>3.1111667697887292E-2</v>
      </c>
      <c r="AJI4" s="30">
        <f t="shared" ca="1" si="31"/>
        <v>-3.0891116506585759E-3</v>
      </c>
      <c r="AJJ4" s="30">
        <f t="shared" ca="1" si="31"/>
        <v>0.13121385420746901</v>
      </c>
      <c r="AJK4" s="30">
        <f t="shared" ca="1" si="31"/>
        <v>-5.0503780331623713E-2</v>
      </c>
      <c r="AJL4" s="30">
        <f t="shared" ca="1" si="31"/>
        <v>1.6548366828480727E-2</v>
      </c>
      <c r="AJM4" s="30">
        <f t="shared" ca="1" si="31"/>
        <v>-6.2359401730521777E-2</v>
      </c>
      <c r="AJN4" s="30">
        <f t="shared" ca="1" si="31"/>
        <v>3.4888950646613688E-2</v>
      </c>
      <c r="AJO4" s="30">
        <f t="shared" ca="1" si="31"/>
        <v>-3.0352414431548957E-2</v>
      </c>
      <c r="AJP4" s="30">
        <f t="shared" ca="1" si="31"/>
        <v>1.8228704062657856E-2</v>
      </c>
      <c r="AJQ4" s="30">
        <f t="shared" ca="1" si="31"/>
        <v>-2.5463609526532706E-3</v>
      </c>
      <c r="AJR4" s="30">
        <f t="shared" ca="1" si="31"/>
        <v>1.143974225071045E-2</v>
      </c>
      <c r="AJS4" s="30">
        <f t="shared" ca="1" si="31"/>
        <v>-3.6601411226996332E-2</v>
      </c>
      <c r="AJT4" s="30">
        <f t="shared" ca="1" si="31"/>
        <v>1.3000723921406675E-2</v>
      </c>
      <c r="AJU4" s="30">
        <f t="shared" ca="1" si="31"/>
        <v>-3.6103547303574401E-2</v>
      </c>
      <c r="AJV4" s="30">
        <f t="shared" ca="1" si="31"/>
        <v>-5.9038128220036193E-2</v>
      </c>
      <c r="AJW4" s="30">
        <f t="shared" ca="1" si="31"/>
        <v>-4.1152643966631701E-2</v>
      </c>
      <c r="AJX4" s="30">
        <f t="shared" ca="1" si="31"/>
        <v>1.3745558597219659E-2</v>
      </c>
      <c r="AJY4" s="30">
        <f t="shared" ca="1" si="31"/>
        <v>-3.4153600229098462E-2</v>
      </c>
      <c r="AJZ4" s="30">
        <f t="shared" ca="1" si="31"/>
        <v>-2.0326232196934121E-2</v>
      </c>
      <c r="AKA4" s="30">
        <f t="shared" ca="1" si="31"/>
        <v>8.2968848133580624E-3</v>
      </c>
      <c r="AKB4" s="30">
        <f t="shared" ca="1" si="31"/>
        <v>-3.6404671477886057E-2</v>
      </c>
      <c r="AKC4" s="30">
        <f t="shared" ca="1" si="31"/>
        <v>-2.1988173527013825E-3</v>
      </c>
      <c r="AKD4" s="30">
        <f t="shared" ca="1" si="31"/>
        <v>4.849195233829548E-2</v>
      </c>
      <c r="AKE4" s="30">
        <f t="shared" ca="1" si="31"/>
        <v>2.3757885207277323E-2</v>
      </c>
      <c r="AKF4" s="30">
        <f t="shared" ref="AKF4:ALR10" ca="1" si="32">_xlfn.NORM.INV(RAND(),$C$8,$C$9)</f>
        <v>-1.9369367591994056E-3</v>
      </c>
      <c r="AKG4" s="30">
        <f t="shared" ca="1" si="32"/>
        <v>-1.2775600785170795E-2</v>
      </c>
      <c r="AKH4" s="30">
        <f t="shared" ca="1" si="32"/>
        <v>2.5678716678707986E-2</v>
      </c>
      <c r="AKI4" s="30">
        <f t="shared" ca="1" si="32"/>
        <v>5.4902398990911185E-3</v>
      </c>
      <c r="AKJ4" s="30">
        <f t="shared" ca="1" si="32"/>
        <v>4.275992754251836E-2</v>
      </c>
      <c r="AKK4" s="30">
        <f t="shared" ca="1" si="32"/>
        <v>-2.7705805438408573E-2</v>
      </c>
      <c r="AKL4" s="30">
        <f t="shared" ca="1" si="32"/>
        <v>-9.1979160266275548E-3</v>
      </c>
      <c r="AKM4" s="30">
        <f t="shared" ca="1" si="32"/>
        <v>5.2032727760023365E-2</v>
      </c>
      <c r="AKN4" s="30">
        <f t="shared" ca="1" si="32"/>
        <v>-4.0352723736572218E-3</v>
      </c>
      <c r="AKO4" s="30">
        <f t="shared" ca="1" si="32"/>
        <v>-7.4296497887088656E-2</v>
      </c>
      <c r="AKP4" s="30">
        <f t="shared" ca="1" si="32"/>
        <v>3.1539907615582077E-2</v>
      </c>
      <c r="AKQ4" s="30">
        <f t="shared" ca="1" si="32"/>
        <v>-2.1209238632699978E-2</v>
      </c>
      <c r="AKR4" s="30">
        <f t="shared" ca="1" si="32"/>
        <v>-4.5947280837594882E-2</v>
      </c>
      <c r="AKS4" s="30">
        <f t="shared" ca="1" si="32"/>
        <v>-4.8775449011201379E-2</v>
      </c>
      <c r="AKT4" s="30">
        <f t="shared" ca="1" si="32"/>
        <v>-5.8073527592256244E-2</v>
      </c>
      <c r="AKU4" s="30">
        <f t="shared" ca="1" si="32"/>
        <v>1.5488837854655877E-2</v>
      </c>
      <c r="AKV4" s="30">
        <f t="shared" ca="1" si="32"/>
        <v>4.3682090396340119E-5</v>
      </c>
      <c r="AKW4" s="30">
        <f t="shared" ca="1" si="32"/>
        <v>3.4872496036419572E-2</v>
      </c>
      <c r="AKX4" s="30">
        <f t="shared" ca="1" si="32"/>
        <v>2.3875127620355284E-2</v>
      </c>
      <c r="AKY4" s="30">
        <f t="shared" ca="1" si="32"/>
        <v>1.9563681398628685E-2</v>
      </c>
      <c r="AKZ4" s="30">
        <f t="shared" ca="1" si="32"/>
        <v>-8.2383417391588831E-3</v>
      </c>
      <c r="ALA4" s="30">
        <f t="shared" ca="1" si="32"/>
        <v>-1.6545547317010672E-2</v>
      </c>
      <c r="ALB4" s="30">
        <f t="shared" ca="1" si="32"/>
        <v>2.6435106284593999E-3</v>
      </c>
      <c r="ALC4" s="30">
        <f t="shared" ca="1" si="32"/>
        <v>3.6895966543759304E-2</v>
      </c>
      <c r="ALD4" s="30">
        <f t="shared" ca="1" si="32"/>
        <v>-9.5677070501408897E-3</v>
      </c>
      <c r="ALE4" s="30">
        <f t="shared" ca="1" si="32"/>
        <v>-2.0566172443432368E-2</v>
      </c>
      <c r="ALF4" s="30">
        <f t="shared" ca="1" si="32"/>
        <v>-5.2474711713188307E-2</v>
      </c>
      <c r="ALG4" s="30">
        <f t="shared" ca="1" si="32"/>
        <v>-2.7254296098470847E-2</v>
      </c>
      <c r="ALH4" s="30">
        <f t="shared" ca="1" si="32"/>
        <v>-3.372695556086798E-2</v>
      </c>
      <c r="ALI4" s="30">
        <f t="shared" ca="1" si="32"/>
        <v>-2.0016457739128269E-3</v>
      </c>
      <c r="ALJ4" s="30">
        <f t="shared" ca="1" si="32"/>
        <v>5.5541132491853162E-2</v>
      </c>
      <c r="ALK4" s="30">
        <f t="shared" ca="1" si="32"/>
        <v>3.2125294960409195E-2</v>
      </c>
      <c r="ALL4" s="30">
        <f t="shared" ca="1" si="32"/>
        <v>3.0678432650176812E-3</v>
      </c>
      <c r="ALM4" s="30">
        <f t="shared" ca="1" si="32"/>
        <v>-3.2392065082392417E-2</v>
      </c>
      <c r="ALN4" s="30">
        <f t="shared" ca="1" si="32"/>
        <v>-4.6216811976458758E-2</v>
      </c>
      <c r="ALO4" s="30">
        <f t="shared" ca="1" si="32"/>
        <v>2.5509624345134142E-2</v>
      </c>
      <c r="ALP4" s="30">
        <f t="shared" ca="1" si="32"/>
        <v>1.3147345588282854E-2</v>
      </c>
      <c r="ALQ4" s="30">
        <f t="shared" ca="1" si="32"/>
        <v>-1.12702603193568E-2</v>
      </c>
      <c r="ALR4" s="30">
        <f t="shared" ca="1" si="32"/>
        <v>4.7188757331395555E-2</v>
      </c>
    </row>
    <row r="5" spans="2:1006" s="29" customFormat="1" x14ac:dyDescent="0.2">
      <c r="B5" s="28" t="s">
        <v>1530</v>
      </c>
      <c r="C5" s="43">
        <f>C4^2</f>
        <v>3.3396884547459715E-4</v>
      </c>
      <c r="F5" s="32">
        <v>2</v>
      </c>
      <c r="G5" s="30">
        <f t="shared" ref="G5:V15" ca="1" si="33">_xlfn.NORM.INV(RAND(),$C$8,$C$9)</f>
        <v>-3.4121227694777989E-2</v>
      </c>
      <c r="H5" s="30">
        <f t="shared" ca="1" si="33"/>
        <v>-5.2110336327196973E-3</v>
      </c>
      <c r="I5" s="30">
        <f t="shared" ca="1" si="33"/>
        <v>3.3392628178824608E-2</v>
      </c>
      <c r="J5" s="30">
        <f t="shared" ca="1" si="33"/>
        <v>7.9956734009352607E-3</v>
      </c>
      <c r="K5" s="30">
        <f t="shared" ca="1" si="33"/>
        <v>8.0352815094808256E-3</v>
      </c>
      <c r="L5" s="30">
        <f t="shared" ca="1" si="33"/>
        <v>3.8567221566000419E-2</v>
      </c>
      <c r="M5" s="30">
        <f t="shared" ca="1" si="33"/>
        <v>-1.6897436960201958E-2</v>
      </c>
      <c r="N5" s="30">
        <f t="shared" ca="1" si="33"/>
        <v>-7.9460247704349531E-3</v>
      </c>
      <c r="O5" s="30">
        <f t="shared" ca="1" si="33"/>
        <v>-1.3636758621771336E-2</v>
      </c>
      <c r="P5" s="30">
        <f t="shared" ca="1" si="33"/>
        <v>4.3847230698946082E-2</v>
      </c>
      <c r="Q5" s="30">
        <f t="shared" ca="1" si="33"/>
        <v>-5.6149170168209403E-2</v>
      </c>
      <c r="R5" s="30">
        <f t="shared" ca="1" si="33"/>
        <v>4.5398338511822248E-2</v>
      </c>
      <c r="S5" s="30">
        <f t="shared" ca="1" si="33"/>
        <v>3.8018549797429038E-2</v>
      </c>
      <c r="T5" s="30">
        <f t="shared" ca="1" si="33"/>
        <v>2.8504491317221319E-2</v>
      </c>
      <c r="U5" s="30">
        <f t="shared" ca="1" si="33"/>
        <v>-2.6939668532237186E-4</v>
      </c>
      <c r="V5" s="30">
        <f t="shared" ca="1" si="33"/>
        <v>3.0063967660191759E-2</v>
      </c>
      <c r="W5" s="30">
        <f t="shared" ca="1" si="17"/>
        <v>-4.0784754711021699E-2</v>
      </c>
      <c r="X5" s="30">
        <f t="shared" ca="1" si="17"/>
        <v>4.4506171307482967E-2</v>
      </c>
      <c r="Y5" s="30">
        <f t="shared" ca="1" si="17"/>
        <v>3.2013132794028072E-2</v>
      </c>
      <c r="Z5" s="30">
        <f t="shared" ca="1" si="17"/>
        <v>-9.7071530607922493E-3</v>
      </c>
      <c r="AA5" s="30">
        <f t="shared" ca="1" si="17"/>
        <v>2.2335851155535838E-2</v>
      </c>
      <c r="AB5" s="30">
        <f t="shared" ca="1" si="17"/>
        <v>-6.6443035962500917E-3</v>
      </c>
      <c r="AC5" s="30">
        <f t="shared" ca="1" si="17"/>
        <v>-5.0794514326198296E-2</v>
      </c>
      <c r="AD5" s="30">
        <f t="shared" ca="1" si="17"/>
        <v>-1.0527274269002522E-3</v>
      </c>
      <c r="AE5" s="30">
        <f t="shared" ca="1" si="17"/>
        <v>1.1001502796172371E-2</v>
      </c>
      <c r="AF5" s="30">
        <f t="shared" ca="1" si="17"/>
        <v>-4.5560189277789417E-2</v>
      </c>
      <c r="AG5" s="30">
        <f t="shared" ca="1" si="17"/>
        <v>8.3271218485375539E-2</v>
      </c>
      <c r="AH5" s="30">
        <f t="shared" ca="1" si="17"/>
        <v>-7.4303283017372393E-3</v>
      </c>
      <c r="AI5" s="30">
        <f t="shared" ca="1" si="17"/>
        <v>3.0190049698216877E-2</v>
      </c>
      <c r="AJ5" s="30">
        <f t="shared" ca="1" si="17"/>
        <v>2.2654857162761929E-2</v>
      </c>
      <c r="AK5" s="30">
        <f t="shared" ca="1" si="17"/>
        <v>-4.9632932835561175E-3</v>
      </c>
      <c r="AL5" s="30">
        <f t="shared" ca="1" si="17"/>
        <v>2.9047054502388047E-2</v>
      </c>
      <c r="AM5" s="30">
        <f t="shared" ca="1" si="17"/>
        <v>-5.3012856087788517E-2</v>
      </c>
      <c r="AN5" s="30">
        <f t="shared" ca="1" si="17"/>
        <v>-7.9947900879332887E-2</v>
      </c>
      <c r="AO5" s="30">
        <f t="shared" ca="1" si="17"/>
        <v>5.9108715238507803E-2</v>
      </c>
      <c r="AP5" s="30">
        <f t="shared" ca="1" si="17"/>
        <v>-2.1969173521117956E-2</v>
      </c>
      <c r="AQ5" s="30">
        <f t="shared" ca="1" si="17"/>
        <v>2.0200762927242576E-3</v>
      </c>
      <c r="AR5" s="30">
        <f t="shared" ca="1" si="17"/>
        <v>3.1792658659186838E-2</v>
      </c>
      <c r="AS5" s="30">
        <f t="shared" ca="1" si="17"/>
        <v>5.099675557976216E-2</v>
      </c>
      <c r="AT5" s="30">
        <f t="shared" ca="1" si="17"/>
        <v>3.3301494136858309E-4</v>
      </c>
      <c r="AU5" s="30">
        <f t="shared" ca="1" si="17"/>
        <v>3.8412307985866742E-2</v>
      </c>
      <c r="AV5" s="30">
        <f t="shared" ca="1" si="17"/>
        <v>-1.0718307751704985E-2</v>
      </c>
      <c r="AW5" s="30">
        <f t="shared" ca="1" si="17"/>
        <v>-1.1320874222266065E-2</v>
      </c>
      <c r="AX5" s="30">
        <f t="shared" ca="1" si="17"/>
        <v>-4.2220422815854287E-2</v>
      </c>
      <c r="AY5" s="30">
        <f t="shared" ca="1" si="17"/>
        <v>-2.1801921416327447E-3</v>
      </c>
      <c r="AZ5" s="30">
        <f t="shared" ca="1" si="17"/>
        <v>3.8748691206226926E-2</v>
      </c>
      <c r="BA5" s="30">
        <f t="shared" ca="1" si="17"/>
        <v>2.0345787287337318E-2</v>
      </c>
      <c r="BB5" s="30">
        <f t="shared" ca="1" si="17"/>
        <v>-5.4837025633132766E-2</v>
      </c>
      <c r="BC5" s="30">
        <f t="shared" ca="1" si="17"/>
        <v>8.9399860151194735E-2</v>
      </c>
      <c r="BD5" s="30">
        <f t="shared" ca="1" si="17"/>
        <v>-3.8726746867316322E-2</v>
      </c>
      <c r="BE5" s="30">
        <f t="shared" ca="1" si="17"/>
        <v>4.1418699761992341E-2</v>
      </c>
      <c r="BF5" s="30">
        <f t="shared" ca="1" si="17"/>
        <v>4.1204217499596622E-2</v>
      </c>
      <c r="BG5" s="30">
        <f t="shared" ca="1" si="17"/>
        <v>1.706498650215672E-2</v>
      </c>
      <c r="BH5" s="30">
        <f t="shared" ca="1" si="17"/>
        <v>-4.2969412727274961E-2</v>
      </c>
      <c r="BI5" s="30">
        <f t="shared" ca="1" si="17"/>
        <v>5.8158008693724943E-2</v>
      </c>
      <c r="BJ5" s="30">
        <f t="shared" ca="1" si="17"/>
        <v>3.1133931059558017E-4</v>
      </c>
      <c r="BK5" s="30">
        <f t="shared" ca="1" si="17"/>
        <v>-3.91405021090174E-2</v>
      </c>
      <c r="BL5" s="30">
        <f t="shared" ca="1" si="17"/>
        <v>-3.2034528165659749E-2</v>
      </c>
      <c r="BM5" s="30">
        <f t="shared" ca="1" si="17"/>
        <v>5.8109346240069207E-2</v>
      </c>
      <c r="BN5" s="30">
        <f t="shared" ca="1" si="17"/>
        <v>-4.7344128593714487E-2</v>
      </c>
      <c r="BO5" s="30">
        <f t="shared" ca="1" si="17"/>
        <v>8.93138468820057E-3</v>
      </c>
      <c r="BP5" s="30">
        <f t="shared" ca="1" si="17"/>
        <v>5.6311014581812903E-2</v>
      </c>
      <c r="BQ5" s="30">
        <f t="shared" ca="1" si="17"/>
        <v>-1.0436161454886085E-2</v>
      </c>
      <c r="BR5" s="30">
        <f t="shared" ca="1" si="17"/>
        <v>1.1318137327015974E-2</v>
      </c>
      <c r="BS5" s="30">
        <f t="shared" ca="1" si="17"/>
        <v>1.0636498600604186E-2</v>
      </c>
      <c r="BT5" s="30">
        <f t="shared" ca="1" si="18"/>
        <v>-5.207089205884247E-3</v>
      </c>
      <c r="BU5" s="30">
        <f t="shared" ca="1" si="18"/>
        <v>3.2216788317110376E-2</v>
      </c>
      <c r="BV5" s="30">
        <f t="shared" ca="1" si="18"/>
        <v>-3.8733336396124099E-2</v>
      </c>
      <c r="BW5" s="30">
        <f t="shared" ca="1" si="18"/>
        <v>1.4069015757476769E-2</v>
      </c>
      <c r="BX5" s="30">
        <f t="shared" ca="1" si="18"/>
        <v>-1.230984387905731E-2</v>
      </c>
      <c r="BY5" s="30">
        <f t="shared" ca="1" si="18"/>
        <v>2.7229251660728732E-2</v>
      </c>
      <c r="BZ5" s="30">
        <f t="shared" ca="1" si="18"/>
        <v>6.7574493253744585E-4</v>
      </c>
      <c r="CA5" s="30">
        <f t="shared" ca="1" si="18"/>
        <v>3.3577183363797227E-3</v>
      </c>
      <c r="CB5" s="30">
        <f t="shared" ca="1" si="18"/>
        <v>6.5221981777432445E-3</v>
      </c>
      <c r="CC5" s="30">
        <f t="shared" ca="1" si="18"/>
        <v>-1.9432363870418988E-2</v>
      </c>
      <c r="CD5" s="30">
        <f t="shared" ca="1" si="18"/>
        <v>6.3828150018350932E-2</v>
      </c>
      <c r="CE5" s="30">
        <f t="shared" ca="1" si="18"/>
        <v>-2.7079211550915257E-2</v>
      </c>
      <c r="CF5" s="30">
        <f t="shared" ca="1" si="18"/>
        <v>1.0699821070678628E-2</v>
      </c>
      <c r="CG5" s="30">
        <f t="shared" ca="1" si="18"/>
        <v>6.3671418886500309E-5</v>
      </c>
      <c r="CH5" s="30">
        <f t="shared" ca="1" si="18"/>
        <v>-7.0165600129114811E-2</v>
      </c>
      <c r="CI5" s="30">
        <f t="shared" ca="1" si="18"/>
        <v>1.4488840928035424E-2</v>
      </c>
      <c r="CJ5" s="30">
        <f t="shared" ca="1" si="18"/>
        <v>-8.2184488409281539E-2</v>
      </c>
      <c r="CK5" s="30">
        <f t="shared" ca="1" si="18"/>
        <v>4.0249316967306313E-3</v>
      </c>
      <c r="CL5" s="30">
        <f t="shared" ca="1" si="18"/>
        <v>1.3874089232283645E-2</v>
      </c>
      <c r="CM5" s="30">
        <f t="shared" ca="1" si="18"/>
        <v>-7.4776830319449334E-3</v>
      </c>
      <c r="CN5" s="30">
        <f t="shared" ca="1" si="18"/>
        <v>1.2645375109794211E-2</v>
      </c>
      <c r="CO5" s="30">
        <f t="shared" ca="1" si="18"/>
        <v>2.3760176744294269E-2</v>
      </c>
      <c r="CP5" s="30">
        <f t="shared" ca="1" si="18"/>
        <v>-3.874957693191465E-2</v>
      </c>
      <c r="CQ5" s="30">
        <f t="shared" ca="1" si="18"/>
        <v>2.8628720691128179E-2</v>
      </c>
      <c r="CR5" s="30">
        <f t="shared" ca="1" si="18"/>
        <v>-1.5623950344102503E-3</v>
      </c>
      <c r="CS5" s="30">
        <f t="shared" ca="1" si="18"/>
        <v>1.2403099815639059E-2</v>
      </c>
      <c r="CT5" s="30">
        <f t="shared" ca="1" si="18"/>
        <v>5.7277739873478305E-3</v>
      </c>
      <c r="CU5" s="30">
        <f t="shared" ca="1" si="18"/>
        <v>1.4502056641356525E-3</v>
      </c>
      <c r="CV5" s="30">
        <f t="shared" ca="1" si="18"/>
        <v>-7.6467904273986882E-3</v>
      </c>
      <c r="CW5" s="30">
        <f t="shared" ca="1" si="18"/>
        <v>-9.6552945239195154E-3</v>
      </c>
      <c r="CX5" s="30">
        <f t="shared" ca="1" si="18"/>
        <v>-1.748033265395944E-2</v>
      </c>
      <c r="CY5" s="30">
        <f t="shared" ca="1" si="18"/>
        <v>-2.9043420828402767E-2</v>
      </c>
      <c r="CZ5" s="30">
        <f t="shared" ca="1" si="18"/>
        <v>4.2633124705646668E-2</v>
      </c>
      <c r="DA5" s="30">
        <f t="shared" ca="1" si="18"/>
        <v>-2.8452190410528915E-2</v>
      </c>
      <c r="DB5" s="30">
        <f t="shared" ca="1" si="18"/>
        <v>7.016388569712316E-2</v>
      </c>
      <c r="DC5" s="30">
        <f t="shared" ca="1" si="18"/>
        <v>2.7093197723241379E-2</v>
      </c>
      <c r="DD5" s="30">
        <f t="shared" ca="1" si="18"/>
        <v>2.4932155077214632E-2</v>
      </c>
      <c r="DE5" s="30">
        <f t="shared" ca="1" si="18"/>
        <v>-7.6909494280848756E-2</v>
      </c>
      <c r="DF5" s="30">
        <f t="shared" ca="1" si="18"/>
        <v>-1.5561181930009306E-2</v>
      </c>
      <c r="DG5" s="30">
        <f t="shared" ca="1" si="18"/>
        <v>2.1104813158041434E-2</v>
      </c>
      <c r="DH5" s="30">
        <f t="shared" ca="1" si="18"/>
        <v>3.1853532369815703E-2</v>
      </c>
      <c r="DI5" s="30">
        <f t="shared" ca="1" si="18"/>
        <v>2.3959977293562092E-2</v>
      </c>
      <c r="DJ5" s="30">
        <f t="shared" ca="1" si="18"/>
        <v>7.5147402396889704E-2</v>
      </c>
      <c r="DK5" s="30">
        <f t="shared" ca="1" si="18"/>
        <v>4.8320710921895077E-2</v>
      </c>
      <c r="DL5" s="30">
        <f t="shared" ca="1" si="18"/>
        <v>1.9766790291717573E-2</v>
      </c>
      <c r="DM5" s="30">
        <f t="shared" ca="1" si="18"/>
        <v>5.9936798656066471E-2</v>
      </c>
      <c r="DN5" s="30">
        <f t="shared" ca="1" si="18"/>
        <v>-1.9510395096763999E-2</v>
      </c>
      <c r="DO5" s="30">
        <f t="shared" ca="1" si="18"/>
        <v>1.9223981268056203E-2</v>
      </c>
      <c r="DP5" s="30">
        <f t="shared" ca="1" si="18"/>
        <v>-5.4357180502695498E-3</v>
      </c>
      <c r="DQ5" s="30">
        <f t="shared" ca="1" si="18"/>
        <v>-1.0478849634431115E-2</v>
      </c>
      <c r="DR5" s="30">
        <f t="shared" ca="1" si="18"/>
        <v>-4.1716158130656059E-2</v>
      </c>
      <c r="DS5" s="30">
        <f t="shared" ca="1" si="18"/>
        <v>-1.8836988025416267E-3</v>
      </c>
      <c r="DT5" s="30">
        <f t="shared" ca="1" si="18"/>
        <v>-1.5951466249173533E-2</v>
      </c>
      <c r="DU5" s="30">
        <f t="shared" ca="1" si="18"/>
        <v>4.13014928341758E-2</v>
      </c>
      <c r="DV5" s="30">
        <f t="shared" ca="1" si="18"/>
        <v>-3.6563197488358623E-2</v>
      </c>
      <c r="DW5" s="30">
        <f t="shared" ca="1" si="18"/>
        <v>-6.2631285710674622E-3</v>
      </c>
      <c r="DX5" s="30">
        <f t="shared" ca="1" si="18"/>
        <v>5.6620177763652595E-3</v>
      </c>
      <c r="DY5" s="30">
        <f t="shared" ca="1" si="18"/>
        <v>4.8333610205416253E-2</v>
      </c>
      <c r="DZ5" s="30">
        <f t="shared" ca="1" si="18"/>
        <v>4.3410838446401062E-2</v>
      </c>
      <c r="EA5" s="30">
        <f t="shared" ca="1" si="18"/>
        <v>3.449206378089318E-2</v>
      </c>
      <c r="EB5" s="30">
        <f t="shared" ca="1" si="18"/>
        <v>-3.9279053246473787E-2</v>
      </c>
      <c r="EC5" s="30">
        <f t="shared" ca="1" si="18"/>
        <v>5.3534221113338276E-2</v>
      </c>
      <c r="ED5" s="30">
        <f t="shared" ca="1" si="18"/>
        <v>-4.7507447343860622E-2</v>
      </c>
      <c r="EE5" s="30">
        <f t="shared" ca="1" si="18"/>
        <v>-4.1692542096331837E-2</v>
      </c>
      <c r="EF5" s="30">
        <f t="shared" ca="1" si="19"/>
        <v>-9.1634075988570624E-2</v>
      </c>
      <c r="EG5" s="30">
        <f t="shared" ca="1" si="19"/>
        <v>-3.6744600337570543E-2</v>
      </c>
      <c r="EH5" s="30">
        <f t="shared" ca="1" si="19"/>
        <v>-4.1650873360473233E-3</v>
      </c>
      <c r="EI5" s="30">
        <f t="shared" ca="1" si="19"/>
        <v>-2.1077627813082398E-2</v>
      </c>
      <c r="EJ5" s="30">
        <f t="shared" ca="1" si="19"/>
        <v>-7.2083117058728899E-2</v>
      </c>
      <c r="EK5" s="30">
        <f t="shared" ca="1" si="19"/>
        <v>2.1944315610630649E-2</v>
      </c>
      <c r="EL5" s="30">
        <f t="shared" ca="1" si="19"/>
        <v>-7.6608397277728224E-2</v>
      </c>
      <c r="EM5" s="30">
        <f t="shared" ca="1" si="19"/>
        <v>-1.6958054228194186E-2</v>
      </c>
      <c r="EN5" s="30">
        <f t="shared" ca="1" si="19"/>
        <v>-1.474130041729205E-2</v>
      </c>
      <c r="EO5" s="30">
        <f t="shared" ca="1" si="19"/>
        <v>-1.8058973775846178E-3</v>
      </c>
      <c r="EP5" s="30">
        <f t="shared" ca="1" si="19"/>
        <v>2.3471331054124609E-2</v>
      </c>
      <c r="EQ5" s="30">
        <f t="shared" ca="1" si="19"/>
        <v>3.335527680039857E-2</v>
      </c>
      <c r="ER5" s="30">
        <f t="shared" ca="1" si="19"/>
        <v>-1.8435102417355788E-3</v>
      </c>
      <c r="ES5" s="30">
        <f t="shared" ca="1" si="19"/>
        <v>-7.370402460127784E-2</v>
      </c>
      <c r="ET5" s="30">
        <f t="shared" ca="1" si="19"/>
        <v>-3.7354527102329151E-2</v>
      </c>
      <c r="EU5" s="30">
        <f t="shared" ca="1" si="19"/>
        <v>-1.794307526602586E-2</v>
      </c>
      <c r="EV5" s="30">
        <f t="shared" ca="1" si="19"/>
        <v>-7.3077737236255713E-2</v>
      </c>
      <c r="EW5" s="30">
        <f t="shared" ca="1" si="19"/>
        <v>1.2783164428705139E-2</v>
      </c>
      <c r="EX5" s="30">
        <f t="shared" ca="1" si="19"/>
        <v>-3.8769619245079254E-2</v>
      </c>
      <c r="EY5" s="30">
        <f t="shared" ca="1" si="19"/>
        <v>-2.2716766654217107E-2</v>
      </c>
      <c r="EZ5" s="30">
        <f t="shared" ca="1" si="19"/>
        <v>-2.2336527510990425E-2</v>
      </c>
      <c r="FA5" s="30">
        <f t="shared" ca="1" si="19"/>
        <v>-8.0144133301002007E-2</v>
      </c>
      <c r="FB5" s="30">
        <f t="shared" ca="1" si="19"/>
        <v>1.4603110319811877E-2</v>
      </c>
      <c r="FC5" s="30">
        <f t="shared" ca="1" si="19"/>
        <v>-2.2790952196172855E-2</v>
      </c>
      <c r="FD5" s="30">
        <f t="shared" ca="1" si="19"/>
        <v>-9.0328697048039173E-3</v>
      </c>
      <c r="FE5" s="30">
        <f t="shared" ca="1" si="19"/>
        <v>6.8463943818289658E-2</v>
      </c>
      <c r="FF5" s="30">
        <f t="shared" ca="1" si="19"/>
        <v>2.2680778436105813E-2</v>
      </c>
      <c r="FG5" s="30">
        <f t="shared" ca="1" si="19"/>
        <v>3.3043300202041173E-2</v>
      </c>
      <c r="FH5" s="30">
        <f t="shared" ca="1" si="19"/>
        <v>-7.2852160423057047E-2</v>
      </c>
      <c r="FI5" s="30">
        <f t="shared" ca="1" si="19"/>
        <v>-1.7044492769984095E-3</v>
      </c>
      <c r="FJ5" s="30">
        <f t="shared" ca="1" si="19"/>
        <v>2.6142583806908985E-2</v>
      </c>
      <c r="FK5" s="30">
        <f t="shared" ca="1" si="19"/>
        <v>1.2194035375221051E-2</v>
      </c>
      <c r="FL5" s="30">
        <f t="shared" ca="1" si="19"/>
        <v>4.3561991872821428E-2</v>
      </c>
      <c r="FM5" s="30">
        <f t="shared" ca="1" si="19"/>
        <v>2.3141809834096725E-2</v>
      </c>
      <c r="FN5" s="30">
        <f t="shared" ca="1" si="19"/>
        <v>-5.28326612100928E-2</v>
      </c>
      <c r="FO5" s="30">
        <f t="shared" ca="1" si="19"/>
        <v>0.12035814142251144</v>
      </c>
      <c r="FP5" s="30">
        <f t="shared" ca="1" si="19"/>
        <v>3.02808914009127E-2</v>
      </c>
      <c r="FQ5" s="30">
        <f t="shared" ca="1" si="19"/>
        <v>-9.4445948665571045E-3</v>
      </c>
      <c r="FR5" s="30">
        <f t="shared" ca="1" si="19"/>
        <v>2.5435573062711141E-2</v>
      </c>
      <c r="FS5" s="30">
        <f t="shared" ca="1" si="19"/>
        <v>-5.2480052683327493E-3</v>
      </c>
      <c r="FT5" s="30">
        <f t="shared" ca="1" si="19"/>
        <v>6.6920034662466528E-4</v>
      </c>
      <c r="FU5" s="30">
        <f t="shared" ca="1" si="19"/>
        <v>6.3885081489979456E-2</v>
      </c>
      <c r="FV5" s="30">
        <f t="shared" ca="1" si="19"/>
        <v>-5.2896684361712895E-2</v>
      </c>
      <c r="FW5" s="30">
        <f t="shared" ca="1" si="19"/>
        <v>2.2814025373903039E-2</v>
      </c>
      <c r="FX5" s="30">
        <f t="shared" ca="1" si="19"/>
        <v>3.2151480677421879E-2</v>
      </c>
      <c r="FY5" s="30">
        <f t="shared" ca="1" si="19"/>
        <v>6.4106010434982277E-3</v>
      </c>
      <c r="FZ5" s="30">
        <f t="shared" ca="1" si="19"/>
        <v>-2.9197554847525804E-2</v>
      </c>
      <c r="GA5" s="30">
        <f t="shared" ca="1" si="19"/>
        <v>7.4880520727124769E-3</v>
      </c>
      <c r="GB5" s="30">
        <f t="shared" ca="1" si="19"/>
        <v>-3.2578405639907083E-2</v>
      </c>
      <c r="GC5" s="30">
        <f t="shared" ca="1" si="19"/>
        <v>-1.7430758216278878E-2</v>
      </c>
      <c r="GD5" s="30">
        <f t="shared" ca="1" si="19"/>
        <v>-2.0363536403870099E-2</v>
      </c>
      <c r="GE5" s="30">
        <f t="shared" ca="1" si="19"/>
        <v>3.4970784500888988E-2</v>
      </c>
      <c r="GF5" s="30">
        <f t="shared" ca="1" si="19"/>
        <v>4.2639108486190805E-2</v>
      </c>
      <c r="GG5" s="30">
        <f t="shared" ca="1" si="19"/>
        <v>3.3958214439633934E-2</v>
      </c>
      <c r="GH5" s="30">
        <f t="shared" ca="1" si="19"/>
        <v>-4.4878408251324817E-2</v>
      </c>
      <c r="GI5" s="30">
        <f t="shared" ca="1" si="19"/>
        <v>-2.0565648438703246E-2</v>
      </c>
      <c r="GJ5" s="30">
        <f t="shared" ca="1" si="19"/>
        <v>-5.1429470217665529E-2</v>
      </c>
      <c r="GK5" s="30">
        <f t="shared" ca="1" si="19"/>
        <v>-4.5836903255427747E-2</v>
      </c>
      <c r="GL5" s="30">
        <f t="shared" ca="1" si="19"/>
        <v>-1.7894741494606473E-2</v>
      </c>
      <c r="GM5" s="30">
        <f t="shared" ca="1" si="19"/>
        <v>-4.361419653169947E-2</v>
      </c>
      <c r="GN5" s="30">
        <f t="shared" ca="1" si="19"/>
        <v>7.6434999349215636E-3</v>
      </c>
      <c r="GO5" s="30">
        <f t="shared" ca="1" si="19"/>
        <v>-1.0045430686315316E-2</v>
      </c>
      <c r="GP5" s="30">
        <f t="shared" ca="1" si="19"/>
        <v>3.4530359133708777E-2</v>
      </c>
      <c r="GQ5" s="30">
        <f t="shared" ca="1" si="19"/>
        <v>1.8853876467086805E-2</v>
      </c>
      <c r="GR5" s="30">
        <f t="shared" ca="1" si="20"/>
        <v>2.2228809845481002E-3</v>
      </c>
      <c r="GS5" s="30">
        <f t="shared" ca="1" si="20"/>
        <v>-6.4461646843033377E-2</v>
      </c>
      <c r="GT5" s="30">
        <f t="shared" ca="1" si="20"/>
        <v>-3.4677725177529026E-2</v>
      </c>
      <c r="GU5" s="30">
        <f t="shared" ca="1" si="20"/>
        <v>3.0041682266742219E-2</v>
      </c>
      <c r="GV5" s="30">
        <f t="shared" ca="1" si="20"/>
        <v>4.4864895365597669E-3</v>
      </c>
      <c r="GW5" s="30">
        <f t="shared" ca="1" si="20"/>
        <v>4.8526679880245574E-2</v>
      </c>
      <c r="GX5" s="30">
        <f t="shared" ca="1" si="20"/>
        <v>9.6900760043961559E-3</v>
      </c>
      <c r="GY5" s="30">
        <f t="shared" ca="1" si="20"/>
        <v>6.6480245200320606E-5</v>
      </c>
      <c r="GZ5" s="30">
        <f t="shared" ca="1" si="20"/>
        <v>9.9595643949155793E-2</v>
      </c>
      <c r="HA5" s="30">
        <f t="shared" ca="1" si="20"/>
        <v>-7.2142728842610179E-2</v>
      </c>
      <c r="HB5" s="30">
        <f t="shared" ca="1" si="20"/>
        <v>-1.3939177156805219E-2</v>
      </c>
      <c r="HC5" s="30">
        <f t="shared" ca="1" si="20"/>
        <v>6.4100729552614144E-2</v>
      </c>
      <c r="HD5" s="30">
        <f t="shared" ca="1" si="20"/>
        <v>-2.1472731115194113E-2</v>
      </c>
      <c r="HE5" s="30">
        <f t="shared" ca="1" si="20"/>
        <v>2.473199089715384E-2</v>
      </c>
      <c r="HF5" s="30">
        <f t="shared" ca="1" si="20"/>
        <v>6.7837712165042294E-2</v>
      </c>
      <c r="HG5" s="30">
        <f t="shared" ca="1" si="20"/>
        <v>8.2984822493083671E-2</v>
      </c>
      <c r="HH5" s="30">
        <f t="shared" ca="1" si="20"/>
        <v>5.9941099749305497E-2</v>
      </c>
      <c r="HI5" s="30">
        <f t="shared" ca="1" si="20"/>
        <v>-2.6913180735083794E-2</v>
      </c>
      <c r="HJ5" s="30">
        <f t="shared" ca="1" si="20"/>
        <v>-1.2307639998222214E-2</v>
      </c>
      <c r="HK5" s="30">
        <f t="shared" ca="1" si="20"/>
        <v>-2.4030815189903361E-2</v>
      </c>
      <c r="HL5" s="30">
        <f t="shared" ca="1" si="20"/>
        <v>1.2393928401499098E-2</v>
      </c>
      <c r="HM5" s="30">
        <f t="shared" ca="1" si="20"/>
        <v>-6.0314610543941286E-2</v>
      </c>
      <c r="HN5" s="30">
        <f t="shared" ca="1" si="20"/>
        <v>2.4208257000081848E-3</v>
      </c>
      <c r="HO5" s="30">
        <f t="shared" ca="1" si="20"/>
        <v>-8.7983192735068647E-2</v>
      </c>
      <c r="HP5" s="30">
        <f t="shared" ca="1" si="20"/>
        <v>1.7388271828463978E-2</v>
      </c>
      <c r="HQ5" s="30">
        <f t="shared" ca="1" si="20"/>
        <v>2.9696980631064161E-2</v>
      </c>
      <c r="HR5" s="30">
        <f t="shared" ca="1" si="20"/>
        <v>-9.7574726793721953E-3</v>
      </c>
      <c r="HS5" s="30">
        <f t="shared" ca="1" si="20"/>
        <v>-3.0119484244526873E-2</v>
      </c>
      <c r="HT5" s="30">
        <f t="shared" ca="1" si="20"/>
        <v>-5.3750758929179576E-2</v>
      </c>
      <c r="HU5" s="30">
        <f t="shared" ca="1" si="20"/>
        <v>-4.1206725389889821E-2</v>
      </c>
      <c r="HV5" s="30">
        <f t="shared" ca="1" si="20"/>
        <v>-7.5378155943466333E-5</v>
      </c>
      <c r="HW5" s="30">
        <f t="shared" ca="1" si="20"/>
        <v>-4.3547866744590748E-2</v>
      </c>
      <c r="HX5" s="30">
        <f t="shared" ca="1" si="20"/>
        <v>3.1242193933724658E-2</v>
      </c>
      <c r="HY5" s="30">
        <f t="shared" ca="1" si="20"/>
        <v>5.699851418453316E-2</v>
      </c>
      <c r="HZ5" s="30">
        <f t="shared" ca="1" si="20"/>
        <v>5.1733079870521885E-3</v>
      </c>
      <c r="IA5" s="30">
        <f t="shared" ca="1" si="20"/>
        <v>-1.2351957995540407E-2</v>
      </c>
      <c r="IB5" s="30">
        <f t="shared" ca="1" si="20"/>
        <v>-3.6388433086140939E-2</v>
      </c>
      <c r="IC5" s="30">
        <f t="shared" ca="1" si="20"/>
        <v>8.5222037291022346E-2</v>
      </c>
      <c r="ID5" s="30">
        <f t="shared" ca="1" si="20"/>
        <v>3.9645933599697966E-2</v>
      </c>
      <c r="IE5" s="30">
        <f t="shared" ca="1" si="20"/>
        <v>-3.0937581916818287E-3</v>
      </c>
      <c r="IF5" s="30">
        <f t="shared" ca="1" si="20"/>
        <v>-1.724789061198212E-2</v>
      </c>
      <c r="IG5" s="30">
        <f t="shared" ca="1" si="20"/>
        <v>8.174677419470204E-2</v>
      </c>
      <c r="IH5" s="30">
        <f t="shared" ca="1" si="20"/>
        <v>-3.5001455188938052E-3</v>
      </c>
      <c r="II5" s="30">
        <f t="shared" ca="1" si="20"/>
        <v>-4.7437636019065484E-2</v>
      </c>
      <c r="IJ5" s="30">
        <f t="shared" ca="1" si="20"/>
        <v>-3.4947514961867245E-3</v>
      </c>
      <c r="IK5" s="30">
        <f t="shared" ca="1" si="20"/>
        <v>2.5852543506485873E-2</v>
      </c>
      <c r="IL5" s="30">
        <f t="shared" ca="1" si="20"/>
        <v>1.2951745222352382E-4</v>
      </c>
      <c r="IM5" s="30">
        <f t="shared" ca="1" si="20"/>
        <v>8.7888994251028533E-3</v>
      </c>
      <c r="IN5" s="30">
        <f t="shared" ca="1" si="20"/>
        <v>7.4141132846644364E-2</v>
      </c>
      <c r="IO5" s="30">
        <f t="shared" ca="1" si="20"/>
        <v>-3.1302130577434521E-2</v>
      </c>
      <c r="IP5" s="30">
        <f t="shared" ca="1" si="20"/>
        <v>-1.3284471381486404E-2</v>
      </c>
      <c r="IQ5" s="30">
        <f t="shared" ca="1" si="20"/>
        <v>6.0933941330463632E-3</v>
      </c>
      <c r="IR5" s="30">
        <f t="shared" ca="1" si="20"/>
        <v>3.1090753425189455E-2</v>
      </c>
      <c r="IS5" s="30">
        <f t="shared" ca="1" si="20"/>
        <v>9.4867411482416217E-2</v>
      </c>
      <c r="IT5" s="30">
        <f t="shared" ca="1" si="20"/>
        <v>1.5286528417826057E-2</v>
      </c>
      <c r="IU5" s="30">
        <f t="shared" ca="1" si="20"/>
        <v>2.2974189606602968E-2</v>
      </c>
      <c r="IV5" s="30">
        <f t="shared" ca="1" si="20"/>
        <v>-1.2626649012993365E-2</v>
      </c>
      <c r="IW5" s="30">
        <f t="shared" ca="1" si="20"/>
        <v>1.8278831712795714E-2</v>
      </c>
      <c r="IX5" s="30">
        <f t="shared" ca="1" si="20"/>
        <v>9.6908643150941682E-3</v>
      </c>
      <c r="IY5" s="30">
        <f t="shared" ca="1" si="20"/>
        <v>-3.4566046222814409E-2</v>
      </c>
      <c r="IZ5" s="30">
        <f t="shared" ca="1" si="20"/>
        <v>-0.11298515692054414</v>
      </c>
      <c r="JA5" s="30">
        <f t="shared" ca="1" si="20"/>
        <v>-5.1111519846603448E-2</v>
      </c>
      <c r="JB5" s="30">
        <f t="shared" ca="1" si="20"/>
        <v>7.4188461098996491E-3</v>
      </c>
      <c r="JC5" s="30">
        <f t="shared" ca="1" si="20"/>
        <v>4.0832347553167128E-2</v>
      </c>
      <c r="JD5" s="30">
        <f t="shared" ca="1" si="21"/>
        <v>2.4543577187045879E-2</v>
      </c>
      <c r="JE5" s="30">
        <f t="shared" ca="1" si="21"/>
        <v>-5.4294546148351782E-4</v>
      </c>
      <c r="JF5" s="30">
        <f t="shared" ca="1" si="21"/>
        <v>5.0588789743750757E-2</v>
      </c>
      <c r="JG5" s="30">
        <f t="shared" ca="1" si="21"/>
        <v>3.3464250096017613E-3</v>
      </c>
      <c r="JH5" s="30">
        <f t="shared" ca="1" si="21"/>
        <v>1.4992557949937842E-2</v>
      </c>
      <c r="JI5" s="30">
        <f t="shared" ca="1" si="21"/>
        <v>-1.2632465111396006E-2</v>
      </c>
      <c r="JJ5" s="30">
        <f t="shared" ca="1" si="21"/>
        <v>-3.6688301873182491E-3</v>
      </c>
      <c r="JK5" s="30">
        <f t="shared" ca="1" si="21"/>
        <v>-8.3290060996241005E-3</v>
      </c>
      <c r="JL5" s="30">
        <f t="shared" ca="1" si="21"/>
        <v>-1.411206426319649E-3</v>
      </c>
      <c r="JM5" s="30">
        <f t="shared" ca="1" si="21"/>
        <v>-4.6210889743111543E-2</v>
      </c>
      <c r="JN5" s="30">
        <f t="shared" ca="1" si="21"/>
        <v>-3.1530704232704938E-2</v>
      </c>
      <c r="JO5" s="30">
        <f t="shared" ca="1" si="21"/>
        <v>-4.9516951514812042E-3</v>
      </c>
      <c r="JP5" s="30">
        <f t="shared" ca="1" si="21"/>
        <v>-1.0077924849481959E-2</v>
      </c>
      <c r="JQ5" s="30">
        <f t="shared" ca="1" si="21"/>
        <v>-2.4996888818045678E-2</v>
      </c>
      <c r="JR5" s="30">
        <f t="shared" ca="1" si="21"/>
        <v>4.8822023136827167E-2</v>
      </c>
      <c r="JS5" s="30">
        <f t="shared" ca="1" si="21"/>
        <v>-2.2645988142644177E-2</v>
      </c>
      <c r="JT5" s="30">
        <f t="shared" ca="1" si="21"/>
        <v>-2.9118997031650263E-2</v>
      </c>
      <c r="JU5" s="30">
        <f t="shared" ca="1" si="21"/>
        <v>-6.2938111702348323E-2</v>
      </c>
      <c r="JV5" s="30">
        <f t="shared" ca="1" si="21"/>
        <v>2.1662962533197338E-2</v>
      </c>
      <c r="JW5" s="30">
        <f t="shared" ca="1" si="21"/>
        <v>2.2874870830151498E-2</v>
      </c>
      <c r="JX5" s="30">
        <f t="shared" ca="1" si="21"/>
        <v>2.3172060017823383E-2</v>
      </c>
      <c r="JY5" s="30">
        <f t="shared" ca="1" si="21"/>
        <v>7.916059702251152E-2</v>
      </c>
      <c r="JZ5" s="30">
        <f t="shared" ca="1" si="21"/>
        <v>-9.2455417190782638E-2</v>
      </c>
      <c r="KA5" s="30">
        <f t="shared" ca="1" si="21"/>
        <v>4.9007177787713614E-3</v>
      </c>
      <c r="KB5" s="30">
        <f t="shared" ca="1" si="21"/>
        <v>1.903575442351713E-2</v>
      </c>
      <c r="KC5" s="30">
        <f t="shared" ca="1" si="21"/>
        <v>7.8255085917463447E-3</v>
      </c>
      <c r="KD5" s="30">
        <f t="shared" ca="1" si="21"/>
        <v>-6.4165155625912115E-2</v>
      </c>
      <c r="KE5" s="30">
        <f t="shared" ca="1" si="21"/>
        <v>9.4821568433053564E-3</v>
      </c>
      <c r="KF5" s="30">
        <f t="shared" ca="1" si="21"/>
        <v>7.575477076728873E-3</v>
      </c>
      <c r="KG5" s="30">
        <f t="shared" ca="1" si="21"/>
        <v>-7.4230122124595593E-2</v>
      </c>
      <c r="KH5" s="30">
        <f t="shared" ca="1" si="21"/>
        <v>2.17975219865046E-2</v>
      </c>
      <c r="KI5" s="30">
        <f t="shared" ca="1" si="21"/>
        <v>5.6009388180516461E-3</v>
      </c>
      <c r="KJ5" s="30">
        <f t="shared" ca="1" si="21"/>
        <v>3.6286831833762211E-2</v>
      </c>
      <c r="KK5" s="30">
        <f t="shared" ca="1" si="21"/>
        <v>2.8622370542852823E-2</v>
      </c>
      <c r="KL5" s="30">
        <f t="shared" ca="1" si="21"/>
        <v>5.5144071750516867E-2</v>
      </c>
      <c r="KM5" s="30">
        <f t="shared" ca="1" si="21"/>
        <v>7.7260073086724418E-2</v>
      </c>
      <c r="KN5" s="30">
        <f t="shared" ca="1" si="21"/>
        <v>1.0165694185251935E-2</v>
      </c>
      <c r="KO5" s="30">
        <f t="shared" ca="1" si="21"/>
        <v>2.7533027441143276E-2</v>
      </c>
      <c r="KP5" s="30">
        <f t="shared" ca="1" si="21"/>
        <v>-5.6181063308170812E-2</v>
      </c>
      <c r="KQ5" s="30">
        <f t="shared" ca="1" si="21"/>
        <v>1.92328347321464E-2</v>
      </c>
      <c r="KR5" s="30">
        <f t="shared" ca="1" si="21"/>
        <v>-1.6063878698168828E-2</v>
      </c>
      <c r="KS5" s="30">
        <f t="shared" ca="1" si="21"/>
        <v>-1.0853944450258328E-2</v>
      </c>
      <c r="KT5" s="30">
        <f t="shared" ca="1" si="21"/>
        <v>-8.3054998269123353E-2</v>
      </c>
      <c r="KU5" s="30">
        <f t="shared" ca="1" si="21"/>
        <v>-1.636483367291099E-2</v>
      </c>
      <c r="KV5" s="30">
        <f t="shared" ca="1" si="21"/>
        <v>1.9999104681679234E-2</v>
      </c>
      <c r="KW5" s="30">
        <f t="shared" ca="1" si="21"/>
        <v>-2.8198811735753782E-2</v>
      </c>
      <c r="KX5" s="30">
        <f t="shared" ca="1" si="21"/>
        <v>-3.5291919132041114E-3</v>
      </c>
      <c r="KY5" s="30">
        <f t="shared" ca="1" si="21"/>
        <v>3.3854898028983303E-2</v>
      </c>
      <c r="KZ5" s="30">
        <f t="shared" ca="1" si="21"/>
        <v>-8.7385221197400463E-3</v>
      </c>
      <c r="LA5" s="30">
        <f t="shared" ca="1" si="21"/>
        <v>-3.0302976441092075E-2</v>
      </c>
      <c r="LB5" s="30">
        <f t="shared" ca="1" si="21"/>
        <v>1.1864178551247911E-2</v>
      </c>
      <c r="LC5" s="30">
        <f t="shared" ca="1" si="21"/>
        <v>2.5446590603342489E-2</v>
      </c>
      <c r="LD5" s="30">
        <f t="shared" ca="1" si="21"/>
        <v>-5.6357472795199537E-2</v>
      </c>
      <c r="LE5" s="30">
        <f t="shared" ca="1" si="21"/>
        <v>4.4474467069068428E-2</v>
      </c>
      <c r="LF5" s="30">
        <f t="shared" ca="1" si="21"/>
        <v>-9.3487463730895348E-3</v>
      </c>
      <c r="LG5" s="30">
        <f t="shared" ca="1" si="21"/>
        <v>-3.2981565919402135E-2</v>
      </c>
      <c r="LH5" s="30">
        <f t="shared" ca="1" si="21"/>
        <v>3.1571060007028989E-3</v>
      </c>
      <c r="LI5" s="30">
        <f t="shared" ca="1" si="21"/>
        <v>-1.8592412952367295E-2</v>
      </c>
      <c r="LJ5" s="30">
        <f t="shared" ca="1" si="21"/>
        <v>-8.5322050307616807E-3</v>
      </c>
      <c r="LK5" s="30">
        <f t="shared" ca="1" si="21"/>
        <v>3.8427944449040186E-2</v>
      </c>
      <c r="LL5" s="30">
        <f t="shared" ca="1" si="21"/>
        <v>6.5730871523264928E-2</v>
      </c>
      <c r="LM5" s="30">
        <f t="shared" ca="1" si="21"/>
        <v>-4.9931562989809948E-2</v>
      </c>
      <c r="LN5" s="30">
        <f t="shared" ca="1" si="21"/>
        <v>1.6135873943972503E-2</v>
      </c>
      <c r="LO5" s="30">
        <f t="shared" ca="1" si="21"/>
        <v>-4.8171490789390647E-2</v>
      </c>
      <c r="LP5" s="30">
        <f t="shared" ca="1" si="22"/>
        <v>-2.7722247914737281E-2</v>
      </c>
      <c r="LQ5" s="30">
        <f t="shared" ca="1" si="22"/>
        <v>-3.8131584311648981E-2</v>
      </c>
      <c r="LR5" s="30">
        <f t="shared" ca="1" si="22"/>
        <v>1.2582990116149231E-2</v>
      </c>
      <c r="LS5" s="30">
        <f t="shared" ca="1" si="22"/>
        <v>3.4361068784918521E-2</v>
      </c>
      <c r="LT5" s="30">
        <f t="shared" ca="1" si="22"/>
        <v>1.7579723496915178E-2</v>
      </c>
      <c r="LU5" s="30">
        <f t="shared" ca="1" si="22"/>
        <v>1.1102836095068003E-2</v>
      </c>
      <c r="LV5" s="30">
        <f t="shared" ca="1" si="22"/>
        <v>5.6740761103669275E-2</v>
      </c>
      <c r="LW5" s="30">
        <f t="shared" ca="1" si="22"/>
        <v>-3.5735005742239846E-2</v>
      </c>
      <c r="LX5" s="30">
        <f t="shared" ca="1" si="22"/>
        <v>1.163783675412731E-2</v>
      </c>
      <c r="LY5" s="30">
        <f t="shared" ca="1" si="22"/>
        <v>-3.8313126035233486E-2</v>
      </c>
      <c r="LZ5" s="30">
        <f t="shared" ca="1" si="22"/>
        <v>2.3563575430027142E-2</v>
      </c>
      <c r="MA5" s="30">
        <f t="shared" ca="1" si="22"/>
        <v>-1.8072732346369164E-2</v>
      </c>
      <c r="MB5" s="30">
        <f t="shared" ca="1" si="22"/>
        <v>3.3130693857826139E-2</v>
      </c>
      <c r="MC5" s="30">
        <f t="shared" ca="1" si="22"/>
        <v>4.8467789057401386E-2</v>
      </c>
      <c r="MD5" s="30">
        <f t="shared" ca="1" si="22"/>
        <v>3.1792404854714767E-4</v>
      </c>
      <c r="ME5" s="30">
        <f t="shared" ca="1" si="22"/>
        <v>5.8412367188634962E-2</v>
      </c>
      <c r="MF5" s="30">
        <f t="shared" ca="1" si="22"/>
        <v>9.7294036531574063E-2</v>
      </c>
      <c r="MG5" s="30">
        <f t="shared" ca="1" si="22"/>
        <v>1.4557382779296841E-2</v>
      </c>
      <c r="MH5" s="30">
        <f t="shared" ca="1" si="22"/>
        <v>-3.2506418995670913E-3</v>
      </c>
      <c r="MI5" s="30">
        <f t="shared" ca="1" si="22"/>
        <v>-1.0968349241962029E-2</v>
      </c>
      <c r="MJ5" s="30">
        <f t="shared" ca="1" si="22"/>
        <v>9.5524350987605776E-3</v>
      </c>
      <c r="MK5" s="30">
        <f t="shared" ca="1" si="22"/>
        <v>-2.2419029709487035E-2</v>
      </c>
      <c r="ML5" s="30">
        <f t="shared" ca="1" si="22"/>
        <v>8.5125510783702452E-2</v>
      </c>
      <c r="MM5" s="30">
        <f t="shared" ca="1" si="22"/>
        <v>5.2514865720485271E-3</v>
      </c>
      <c r="MN5" s="30">
        <f t="shared" ca="1" si="22"/>
        <v>7.98026704211178E-2</v>
      </c>
      <c r="MO5" s="30">
        <f t="shared" ca="1" si="22"/>
        <v>6.1836924789618643E-2</v>
      </c>
      <c r="MP5" s="30">
        <f t="shared" ca="1" si="22"/>
        <v>-6.9824380798420418E-2</v>
      </c>
      <c r="MQ5" s="30">
        <f t="shared" ca="1" si="22"/>
        <v>-2.281776496666638E-2</v>
      </c>
      <c r="MR5" s="30">
        <f t="shared" ca="1" si="22"/>
        <v>-9.0283921415441754E-2</v>
      </c>
      <c r="MS5" s="30">
        <f t="shared" ca="1" si="22"/>
        <v>-2.1195078097417573E-2</v>
      </c>
      <c r="MT5" s="30">
        <f t="shared" ca="1" si="22"/>
        <v>-2.1472854672038823E-2</v>
      </c>
      <c r="MU5" s="30">
        <f t="shared" ca="1" si="22"/>
        <v>5.1739276338366759E-2</v>
      </c>
      <c r="MV5" s="30">
        <f t="shared" ca="1" si="22"/>
        <v>-2.2996182783071178E-2</v>
      </c>
      <c r="MW5" s="30">
        <f t="shared" ca="1" si="22"/>
        <v>1.2147931908623214E-2</v>
      </c>
      <c r="MX5" s="30">
        <f t="shared" ca="1" si="22"/>
        <v>3.1716795383011503E-2</v>
      </c>
      <c r="MY5" s="30">
        <f t="shared" ca="1" si="22"/>
        <v>1.9431184848906998E-3</v>
      </c>
      <c r="MZ5" s="30">
        <f t="shared" ca="1" si="22"/>
        <v>1.4198229795573484E-2</v>
      </c>
      <c r="NA5" s="30">
        <f t="shared" ca="1" si="22"/>
        <v>3.4632796259067178E-2</v>
      </c>
      <c r="NB5" s="30">
        <f t="shared" ca="1" si="22"/>
        <v>-4.0522839057773076E-3</v>
      </c>
      <c r="NC5" s="30">
        <f t="shared" ca="1" si="22"/>
        <v>4.063811161126407E-4</v>
      </c>
      <c r="ND5" s="30">
        <f t="shared" ca="1" si="22"/>
        <v>-2.3670327697258863E-2</v>
      </c>
      <c r="NE5" s="30">
        <f t="shared" ca="1" si="22"/>
        <v>-2.8905363424315163E-2</v>
      </c>
      <c r="NF5" s="30">
        <f t="shared" ca="1" si="22"/>
        <v>-3.2339629346326552E-2</v>
      </c>
      <c r="NG5" s="30">
        <f t="shared" ca="1" si="22"/>
        <v>2.8850986306023632E-2</v>
      </c>
      <c r="NH5" s="30">
        <f t="shared" ca="1" si="22"/>
        <v>-1.5296031262002702E-2</v>
      </c>
      <c r="NI5" s="30">
        <f t="shared" ca="1" si="22"/>
        <v>2.6129926520410407E-3</v>
      </c>
      <c r="NJ5" s="30">
        <f t="shared" ca="1" si="22"/>
        <v>2.7783528397681178E-2</v>
      </c>
      <c r="NK5" s="30">
        <f t="shared" ca="1" si="22"/>
        <v>-2.6192426658739731E-2</v>
      </c>
      <c r="NL5" s="30">
        <f t="shared" ca="1" si="22"/>
        <v>-4.4130500154754108E-2</v>
      </c>
      <c r="NM5" s="30">
        <f t="shared" ca="1" si="22"/>
        <v>-1.232940317882617E-2</v>
      </c>
      <c r="NN5" s="30">
        <f t="shared" ca="1" si="22"/>
        <v>-1.2356310238845597E-2</v>
      </c>
      <c r="NO5" s="30">
        <f t="shared" ca="1" si="22"/>
        <v>-8.0482189204090407E-2</v>
      </c>
      <c r="NP5" s="30">
        <f t="shared" ca="1" si="22"/>
        <v>-2.7016847652490628E-2</v>
      </c>
      <c r="NQ5" s="30">
        <f t="shared" ca="1" si="22"/>
        <v>-1.5423210944965637E-2</v>
      </c>
      <c r="NR5" s="30">
        <f t="shared" ca="1" si="22"/>
        <v>2.6959195555487044E-2</v>
      </c>
      <c r="NS5" s="30">
        <f t="shared" ca="1" si="22"/>
        <v>-4.6695546546156312E-2</v>
      </c>
      <c r="NT5" s="30">
        <f t="shared" ca="1" si="22"/>
        <v>3.0008722962158323E-2</v>
      </c>
      <c r="NU5" s="30">
        <f t="shared" ca="1" si="22"/>
        <v>4.0687857056803632E-2</v>
      </c>
      <c r="NV5" s="30">
        <f t="shared" ca="1" si="22"/>
        <v>-2.5628501765068916E-2</v>
      </c>
      <c r="NW5" s="30">
        <f t="shared" ca="1" si="22"/>
        <v>3.0269135056082346E-2</v>
      </c>
      <c r="NX5" s="30">
        <f t="shared" ca="1" si="22"/>
        <v>9.523553218627763E-2</v>
      </c>
      <c r="NY5" s="30">
        <f t="shared" ca="1" si="22"/>
        <v>1.8191182098169223E-2</v>
      </c>
      <c r="NZ5" s="30">
        <f t="shared" ca="1" si="22"/>
        <v>-5.7309899366875548E-2</v>
      </c>
      <c r="OA5" s="30">
        <f t="shared" ca="1" si="22"/>
        <v>-1.0445080954075531E-2</v>
      </c>
      <c r="OB5" s="30">
        <f t="shared" ca="1" si="23"/>
        <v>5.1410890487156649E-3</v>
      </c>
      <c r="OC5" s="30">
        <f t="shared" ca="1" si="23"/>
        <v>9.2747710499338984E-3</v>
      </c>
      <c r="OD5" s="30">
        <f t="shared" ca="1" si="23"/>
        <v>7.6280263321375644E-3</v>
      </c>
      <c r="OE5" s="30">
        <f t="shared" ca="1" si="23"/>
        <v>3.740220321487988E-2</v>
      </c>
      <c r="OF5" s="30">
        <f t="shared" ca="1" si="23"/>
        <v>3.6062936075378707E-2</v>
      </c>
      <c r="OG5" s="30">
        <f t="shared" ca="1" si="23"/>
        <v>4.0962821210942135E-2</v>
      </c>
      <c r="OH5" s="30">
        <f t="shared" ca="1" si="23"/>
        <v>6.8950597437211041E-3</v>
      </c>
      <c r="OI5" s="30">
        <f t="shared" ca="1" si="23"/>
        <v>5.6672107704855826E-2</v>
      </c>
      <c r="OJ5" s="30">
        <f t="shared" ca="1" si="23"/>
        <v>6.1087910470732018E-2</v>
      </c>
      <c r="OK5" s="30">
        <f t="shared" ca="1" si="23"/>
        <v>-3.0796342698524125E-2</v>
      </c>
      <c r="OL5" s="30">
        <f t="shared" ca="1" si="23"/>
        <v>1.5576602739220142E-2</v>
      </c>
      <c r="OM5" s="30">
        <f t="shared" ca="1" si="23"/>
        <v>-5.3205744831776439E-2</v>
      </c>
      <c r="ON5" s="30">
        <f t="shared" ca="1" si="23"/>
        <v>8.6466084264876005E-3</v>
      </c>
      <c r="OO5" s="30">
        <f t="shared" ca="1" si="23"/>
        <v>-2.0182556693932253E-2</v>
      </c>
      <c r="OP5" s="30">
        <f t="shared" ca="1" si="23"/>
        <v>-1.070363101261637E-2</v>
      </c>
      <c r="OQ5" s="30">
        <f t="shared" ca="1" si="23"/>
        <v>3.2749168403884005E-2</v>
      </c>
      <c r="OR5" s="30">
        <f t="shared" ca="1" si="23"/>
        <v>-7.9438441330435296E-3</v>
      </c>
      <c r="OS5" s="30">
        <f t="shared" ca="1" si="23"/>
        <v>8.3732502562625078E-4</v>
      </c>
      <c r="OT5" s="30">
        <f t="shared" ca="1" si="23"/>
        <v>5.8410664334858586E-2</v>
      </c>
      <c r="OU5" s="30">
        <f t="shared" ca="1" si="23"/>
        <v>-6.7670285525797166E-2</v>
      </c>
      <c r="OV5" s="30">
        <f t="shared" ca="1" si="23"/>
        <v>2.9547683717471039E-2</v>
      </c>
      <c r="OW5" s="30">
        <f t="shared" ca="1" si="23"/>
        <v>-1.7271990745048857E-2</v>
      </c>
      <c r="OX5" s="30">
        <f t="shared" ca="1" si="23"/>
        <v>-3.0902841381293657E-2</v>
      </c>
      <c r="OY5" s="30">
        <f t="shared" ca="1" si="23"/>
        <v>-5.8767517212860845E-2</v>
      </c>
      <c r="OZ5" s="30">
        <f t="shared" ca="1" si="23"/>
        <v>3.8093144852606335E-2</v>
      </c>
      <c r="PA5" s="30">
        <f t="shared" ca="1" si="23"/>
        <v>1.2403165721406846E-3</v>
      </c>
      <c r="PB5" s="30">
        <f t="shared" ca="1" si="23"/>
        <v>2.4189349403022722E-2</v>
      </c>
      <c r="PC5" s="30">
        <f t="shared" ca="1" si="23"/>
        <v>6.1244371285682928E-2</v>
      </c>
      <c r="PD5" s="30">
        <f t="shared" ca="1" si="23"/>
        <v>-6.8412546705870131E-2</v>
      </c>
      <c r="PE5" s="30">
        <f t="shared" ca="1" si="23"/>
        <v>2.5303072018791239E-2</v>
      </c>
      <c r="PF5" s="30">
        <f t="shared" ca="1" si="23"/>
        <v>-5.2033512002147633E-3</v>
      </c>
      <c r="PG5" s="30">
        <f t="shared" ca="1" si="23"/>
        <v>5.7386851619019984E-2</v>
      </c>
      <c r="PH5" s="30">
        <f t="shared" ca="1" si="23"/>
        <v>-6.0233874622766031E-3</v>
      </c>
      <c r="PI5" s="30">
        <f t="shared" ca="1" si="23"/>
        <v>6.2237576923337128E-3</v>
      </c>
      <c r="PJ5" s="30">
        <f t="shared" ca="1" si="23"/>
        <v>-1.8864372433825796E-2</v>
      </c>
      <c r="PK5" s="30">
        <f t="shared" ca="1" si="23"/>
        <v>-3.0499616172209087E-2</v>
      </c>
      <c r="PL5" s="30">
        <f t="shared" ca="1" si="23"/>
        <v>1.1605242217948963E-2</v>
      </c>
      <c r="PM5" s="30">
        <f t="shared" ca="1" si="23"/>
        <v>-2.0861349054585678E-2</v>
      </c>
      <c r="PN5" s="30">
        <f t="shared" ca="1" si="23"/>
        <v>-3.3617093110009821E-2</v>
      </c>
      <c r="PO5" s="30">
        <f t="shared" ca="1" si="23"/>
        <v>5.5245450134241009E-2</v>
      </c>
      <c r="PP5" s="30">
        <f t="shared" ca="1" si="23"/>
        <v>-2.9674180051944436E-2</v>
      </c>
      <c r="PQ5" s="30">
        <f t="shared" ca="1" si="23"/>
        <v>-5.5672931609312755E-2</v>
      </c>
      <c r="PR5" s="30">
        <f t="shared" ca="1" si="23"/>
        <v>4.8432060716839864E-2</v>
      </c>
      <c r="PS5" s="30">
        <f t="shared" ca="1" si="23"/>
        <v>2.1349137562189448E-2</v>
      </c>
      <c r="PT5" s="30">
        <f t="shared" ca="1" si="23"/>
        <v>-2.9044987278836164E-2</v>
      </c>
      <c r="PU5" s="30">
        <f t="shared" ca="1" si="23"/>
        <v>3.8439234318628009E-2</v>
      </c>
      <c r="PV5" s="30">
        <f t="shared" ca="1" si="23"/>
        <v>-5.5274779663410663E-2</v>
      </c>
      <c r="PW5" s="30">
        <f t="shared" ca="1" si="23"/>
        <v>3.5335172833503683E-3</v>
      </c>
      <c r="PX5" s="30">
        <f t="shared" ca="1" si="23"/>
        <v>1.2027388570409876E-2</v>
      </c>
      <c r="PY5" s="30">
        <f t="shared" ca="1" si="23"/>
        <v>1.9389971411781417E-2</v>
      </c>
      <c r="PZ5" s="30">
        <f t="shared" ca="1" si="23"/>
        <v>-6.5855055154391287E-2</v>
      </c>
      <c r="QA5" s="30">
        <f t="shared" ca="1" si="23"/>
        <v>-2.2938558659983784E-2</v>
      </c>
      <c r="QB5" s="30">
        <f t="shared" ca="1" si="23"/>
        <v>-1.7470728003025182E-2</v>
      </c>
      <c r="QC5" s="30">
        <f t="shared" ca="1" si="23"/>
        <v>6.8068382117103338E-2</v>
      </c>
      <c r="QD5" s="30">
        <f t="shared" ca="1" si="23"/>
        <v>-3.844678976900405E-2</v>
      </c>
      <c r="QE5" s="30">
        <f t="shared" ca="1" si="23"/>
        <v>-1.0714158484920867E-2</v>
      </c>
      <c r="QF5" s="30">
        <f t="shared" ca="1" si="23"/>
        <v>1.8247093308177665E-3</v>
      </c>
      <c r="QG5" s="30">
        <f t="shared" ca="1" si="23"/>
        <v>-2.1389478695679642E-2</v>
      </c>
      <c r="QH5" s="30">
        <f t="shared" ca="1" si="23"/>
        <v>3.4811050145154863E-2</v>
      </c>
      <c r="QI5" s="30">
        <f t="shared" ca="1" si="23"/>
        <v>6.2637516915442417E-3</v>
      </c>
      <c r="QJ5" s="30">
        <f t="shared" ca="1" si="23"/>
        <v>4.7413593875122853E-2</v>
      </c>
      <c r="QK5" s="30">
        <f t="shared" ca="1" si="23"/>
        <v>4.6164747550574946E-2</v>
      </c>
      <c r="QL5" s="30">
        <f t="shared" ca="1" si="23"/>
        <v>4.8759261897563778E-2</v>
      </c>
      <c r="QM5" s="30">
        <f t="shared" ca="1" si="23"/>
        <v>-1.6547231028003401E-2</v>
      </c>
      <c r="QN5" s="30">
        <f t="shared" ca="1" si="24"/>
        <v>2.5276223636066932E-2</v>
      </c>
      <c r="QO5" s="30">
        <f t="shared" ca="1" si="24"/>
        <v>1.9729663074673005E-2</v>
      </c>
      <c r="QP5" s="30">
        <f t="shared" ca="1" si="24"/>
        <v>3.0464326382474143E-2</v>
      </c>
      <c r="QQ5" s="30">
        <f t="shared" ca="1" si="24"/>
        <v>6.5961128205622235E-2</v>
      </c>
      <c r="QR5" s="30">
        <f t="shared" ca="1" si="24"/>
        <v>-2.9603533255012571E-2</v>
      </c>
      <c r="QS5" s="30">
        <f t="shared" ca="1" si="24"/>
        <v>5.2207975274224036E-2</v>
      </c>
      <c r="QT5" s="30">
        <f t="shared" ca="1" si="24"/>
        <v>-2.4833715510792765E-2</v>
      </c>
      <c r="QU5" s="30">
        <f t="shared" ca="1" si="24"/>
        <v>-2.3554566158134185E-2</v>
      </c>
      <c r="QV5" s="30">
        <f t="shared" ca="1" si="24"/>
        <v>-6.2491028540710529E-3</v>
      </c>
      <c r="QW5" s="30">
        <f t="shared" ca="1" si="24"/>
        <v>-5.5574268756159367E-2</v>
      </c>
      <c r="QX5" s="30">
        <f t="shared" ca="1" si="24"/>
        <v>2.5420898494297049E-2</v>
      </c>
      <c r="QY5" s="30">
        <f t="shared" ca="1" si="24"/>
        <v>-2.8311234261039854E-2</v>
      </c>
      <c r="QZ5" s="30">
        <f t="shared" ca="1" si="24"/>
        <v>-1.2100289818466009E-3</v>
      </c>
      <c r="RA5" s="30">
        <f t="shared" ca="1" si="24"/>
        <v>-3.3760357955460535E-2</v>
      </c>
      <c r="RB5" s="30">
        <f t="shared" ca="1" si="24"/>
        <v>5.6077743933970463E-2</v>
      </c>
      <c r="RC5" s="30">
        <f t="shared" ca="1" si="24"/>
        <v>1.8168293200888086E-2</v>
      </c>
      <c r="RD5" s="30">
        <f t="shared" ca="1" si="24"/>
        <v>-9.0056797741868422E-3</v>
      </c>
      <c r="RE5" s="30">
        <f t="shared" ca="1" si="24"/>
        <v>1.4829651191003084E-2</v>
      </c>
      <c r="RF5" s="30">
        <f t="shared" ca="1" si="24"/>
        <v>-0.10008702453384631</v>
      </c>
      <c r="RG5" s="30">
        <f t="shared" ca="1" si="24"/>
        <v>-3.3120650112576484E-2</v>
      </c>
      <c r="RH5" s="30">
        <f t="shared" ca="1" si="24"/>
        <v>4.1914057049849691E-2</v>
      </c>
      <c r="RI5" s="30">
        <f t="shared" ca="1" si="24"/>
        <v>-2.6383518386622284E-2</v>
      </c>
      <c r="RJ5" s="30">
        <f t="shared" ca="1" si="24"/>
        <v>-1.6351466879307979E-2</v>
      </c>
      <c r="RK5" s="30">
        <f t="shared" ca="1" si="24"/>
        <v>-2.3356432011810407E-2</v>
      </c>
      <c r="RL5" s="30">
        <f t="shared" ca="1" si="24"/>
        <v>-4.1180445828891646E-2</v>
      </c>
      <c r="RM5" s="30">
        <f t="shared" ca="1" si="24"/>
        <v>-3.113785689765159E-2</v>
      </c>
      <c r="RN5" s="30">
        <f t="shared" ca="1" si="24"/>
        <v>3.0134872994884689E-2</v>
      </c>
      <c r="RO5" s="30">
        <f t="shared" ca="1" si="24"/>
        <v>-5.1135464908120286E-2</v>
      </c>
      <c r="RP5" s="30">
        <f t="shared" ca="1" si="24"/>
        <v>5.4457221816004077E-2</v>
      </c>
      <c r="RQ5" s="30">
        <f t="shared" ca="1" si="24"/>
        <v>-1.1198331185511598E-2</v>
      </c>
      <c r="RR5" s="30">
        <f t="shared" ca="1" si="24"/>
        <v>-3.0214091730417426E-2</v>
      </c>
      <c r="RS5" s="30">
        <f t="shared" ca="1" si="24"/>
        <v>3.6067766149090234E-2</v>
      </c>
      <c r="RT5" s="30">
        <f t="shared" ca="1" si="24"/>
        <v>5.2212262632807371E-2</v>
      </c>
      <c r="RU5" s="30">
        <f t="shared" ca="1" si="24"/>
        <v>-4.548054828708425E-3</v>
      </c>
      <c r="RV5" s="30">
        <f t="shared" ca="1" si="24"/>
        <v>9.8030474806793718E-3</v>
      </c>
      <c r="RW5" s="30">
        <f t="shared" ca="1" si="24"/>
        <v>-3.3892769713036848E-2</v>
      </c>
      <c r="RX5" s="30">
        <f t="shared" ca="1" si="24"/>
        <v>-5.5316120563610599E-2</v>
      </c>
      <c r="RY5" s="30">
        <f t="shared" ca="1" si="24"/>
        <v>-5.480267646196002E-2</v>
      </c>
      <c r="RZ5" s="30">
        <f t="shared" ca="1" si="24"/>
        <v>-9.5398262430024996E-3</v>
      </c>
      <c r="SA5" s="30">
        <f t="shared" ca="1" si="24"/>
        <v>-2.3348987208913791E-2</v>
      </c>
      <c r="SB5" s="30">
        <f t="shared" ca="1" si="24"/>
        <v>1.9048068302440116E-2</v>
      </c>
      <c r="SC5" s="30">
        <f t="shared" ca="1" si="24"/>
        <v>1.0110184302907601E-3</v>
      </c>
      <c r="SD5" s="30">
        <f t="shared" ca="1" si="24"/>
        <v>-2.400532751146205E-2</v>
      </c>
      <c r="SE5" s="30">
        <f t="shared" ca="1" si="24"/>
        <v>7.0013345287682521E-2</v>
      </c>
      <c r="SF5" s="30">
        <f t="shared" ca="1" si="24"/>
        <v>8.9261259239274499E-2</v>
      </c>
      <c r="SG5" s="30">
        <f t="shared" ca="1" si="24"/>
        <v>2.0139432274966902E-2</v>
      </c>
      <c r="SH5" s="30">
        <f t="shared" ca="1" si="24"/>
        <v>3.8382947301490715E-2</v>
      </c>
      <c r="SI5" s="30">
        <f t="shared" ca="1" si="24"/>
        <v>1.4207453259512646E-2</v>
      </c>
      <c r="SJ5" s="30">
        <f t="shared" ca="1" si="24"/>
        <v>-5.3631458937453393E-2</v>
      </c>
      <c r="SK5" s="30">
        <f t="shared" ca="1" si="24"/>
        <v>8.621421813671909E-2</v>
      </c>
      <c r="SL5" s="30">
        <f t="shared" ca="1" si="24"/>
        <v>-8.289952447567496E-2</v>
      </c>
      <c r="SM5" s="30">
        <f t="shared" ca="1" si="24"/>
        <v>3.3274540993814303E-3</v>
      </c>
      <c r="SN5" s="30">
        <f t="shared" ca="1" si="24"/>
        <v>2.920143725314454E-2</v>
      </c>
      <c r="SO5" s="30">
        <f t="shared" ca="1" si="24"/>
        <v>-4.6848680721050381E-3</v>
      </c>
      <c r="SP5" s="30">
        <f t="shared" ca="1" si="24"/>
        <v>-1.7807181512688536E-2</v>
      </c>
      <c r="SQ5" s="30">
        <f t="shared" ca="1" si="24"/>
        <v>-1.8189416829073348E-2</v>
      </c>
      <c r="SR5" s="30">
        <f t="shared" ca="1" si="24"/>
        <v>2.0214949936946261E-3</v>
      </c>
      <c r="SS5" s="30">
        <f t="shared" ca="1" si="24"/>
        <v>-5.2090597794754315E-3</v>
      </c>
      <c r="ST5" s="30">
        <f t="shared" ca="1" si="24"/>
        <v>6.9773414513288862E-2</v>
      </c>
      <c r="SU5" s="30">
        <f t="shared" ca="1" si="24"/>
        <v>-1.8889368724076937E-2</v>
      </c>
      <c r="SV5" s="30">
        <f t="shared" ca="1" si="24"/>
        <v>2.2864928582310332E-2</v>
      </c>
      <c r="SW5" s="30">
        <f t="shared" ca="1" si="24"/>
        <v>3.0518857746334477E-2</v>
      </c>
      <c r="SX5" s="30">
        <f t="shared" ca="1" si="24"/>
        <v>1.4779867632067343E-2</v>
      </c>
      <c r="SY5" s="30">
        <f t="shared" ca="1" si="24"/>
        <v>-2.0479460357207106E-2</v>
      </c>
      <c r="SZ5" s="30">
        <f t="shared" ca="1" si="25"/>
        <v>4.9969114725475584E-2</v>
      </c>
      <c r="TA5" s="30">
        <f t="shared" ca="1" si="25"/>
        <v>-1.1128500792429184E-2</v>
      </c>
      <c r="TB5" s="30">
        <f t="shared" ca="1" si="25"/>
        <v>-2.2252223774597603E-2</v>
      </c>
      <c r="TC5" s="30">
        <f t="shared" ca="1" si="25"/>
        <v>6.0429047527786488E-2</v>
      </c>
      <c r="TD5" s="30">
        <f t="shared" ca="1" si="25"/>
        <v>3.5923408012884295E-2</v>
      </c>
      <c r="TE5" s="30">
        <f t="shared" ca="1" si="25"/>
        <v>-2.0390229171513841E-2</v>
      </c>
      <c r="TF5" s="30">
        <f t="shared" ca="1" si="25"/>
        <v>2.9859093411941786E-2</v>
      </c>
      <c r="TG5" s="30">
        <f t="shared" ca="1" si="25"/>
        <v>6.6264780628266393E-2</v>
      </c>
      <c r="TH5" s="30">
        <f t="shared" ca="1" si="25"/>
        <v>6.9233442166435538E-2</v>
      </c>
      <c r="TI5" s="30">
        <f t="shared" ca="1" si="25"/>
        <v>-2.396220277781394E-2</v>
      </c>
      <c r="TJ5" s="30">
        <f t="shared" ca="1" si="25"/>
        <v>5.3838532750025023E-2</v>
      </c>
      <c r="TK5" s="30">
        <f t="shared" ca="1" si="25"/>
        <v>-2.2517762670030514E-2</v>
      </c>
      <c r="TL5" s="30">
        <f t="shared" ca="1" si="25"/>
        <v>4.93802815310787E-2</v>
      </c>
      <c r="TM5" s="30">
        <f t="shared" ca="1" si="25"/>
        <v>-7.074942092254774E-3</v>
      </c>
      <c r="TN5" s="30">
        <f t="shared" ca="1" si="25"/>
        <v>3.307611325803822E-2</v>
      </c>
      <c r="TO5" s="30">
        <f t="shared" ca="1" si="25"/>
        <v>2.0874879342528543E-2</v>
      </c>
      <c r="TP5" s="30">
        <f t="shared" ca="1" si="25"/>
        <v>-5.6479662195424038E-2</v>
      </c>
      <c r="TQ5" s="30">
        <f t="shared" ca="1" si="25"/>
        <v>-5.4152705229495593E-3</v>
      </c>
      <c r="TR5" s="30">
        <f t="shared" ca="1" si="25"/>
        <v>-2.2276635067945274E-2</v>
      </c>
      <c r="TS5" s="30">
        <f t="shared" ca="1" si="25"/>
        <v>-4.7852291631928119E-2</v>
      </c>
      <c r="TT5" s="30">
        <f t="shared" ca="1" si="25"/>
        <v>-5.6745274383566219E-2</v>
      </c>
      <c r="TU5" s="30">
        <f t="shared" ca="1" si="25"/>
        <v>1.4100350388453614E-2</v>
      </c>
      <c r="TV5" s="30">
        <f t="shared" ca="1" si="25"/>
        <v>2.2964177573272103E-3</v>
      </c>
      <c r="TW5" s="30">
        <f t="shared" ca="1" si="25"/>
        <v>-2.3981632216189572E-2</v>
      </c>
      <c r="TX5" s="30">
        <f t="shared" ca="1" si="25"/>
        <v>2.5243164932273318E-3</v>
      </c>
      <c r="TY5" s="30">
        <f t="shared" ca="1" si="25"/>
        <v>2.4429209699933E-3</v>
      </c>
      <c r="TZ5" s="30">
        <f t="shared" ca="1" si="25"/>
        <v>-1.6586812272603554E-2</v>
      </c>
      <c r="UA5" s="30">
        <f t="shared" ca="1" si="25"/>
        <v>2.2739984991647536E-2</v>
      </c>
      <c r="UB5" s="30">
        <f t="shared" ca="1" si="25"/>
        <v>-5.9591123254735222E-2</v>
      </c>
      <c r="UC5" s="30">
        <f t="shared" ca="1" si="25"/>
        <v>7.462014092612243E-2</v>
      </c>
      <c r="UD5" s="30">
        <f t="shared" ca="1" si="25"/>
        <v>3.0625540763210425E-2</v>
      </c>
      <c r="UE5" s="30">
        <f t="shared" ca="1" si="25"/>
        <v>-2.575093202737198E-2</v>
      </c>
      <c r="UF5" s="30">
        <f t="shared" ca="1" si="25"/>
        <v>4.2256344072562249E-2</v>
      </c>
      <c r="UG5" s="30">
        <f t="shared" ca="1" si="25"/>
        <v>-8.7550962931407308E-2</v>
      </c>
      <c r="UH5" s="30">
        <f t="shared" ca="1" si="25"/>
        <v>-7.10517725980538E-2</v>
      </c>
      <c r="UI5" s="30">
        <f t="shared" ca="1" si="25"/>
        <v>2.3920547199718463E-3</v>
      </c>
      <c r="UJ5" s="30">
        <f t="shared" ca="1" si="25"/>
        <v>1.5019596968891239E-4</v>
      </c>
      <c r="UK5" s="30">
        <f t="shared" ca="1" si="25"/>
        <v>4.4061626633645559E-2</v>
      </c>
      <c r="UL5" s="30">
        <f t="shared" ca="1" si="25"/>
        <v>-2.743237681570242E-2</v>
      </c>
      <c r="UM5" s="30">
        <f t="shared" ca="1" si="25"/>
        <v>2.0293705955017935E-2</v>
      </c>
      <c r="UN5" s="30">
        <f t="shared" ca="1" si="25"/>
        <v>-3.9637090404257197E-2</v>
      </c>
      <c r="UO5" s="30">
        <f t="shared" ca="1" si="25"/>
        <v>-1.3133421478523984E-3</v>
      </c>
      <c r="UP5" s="30">
        <f t="shared" ca="1" si="25"/>
        <v>-1.7181534493657839E-2</v>
      </c>
      <c r="UQ5" s="30">
        <f t="shared" ca="1" si="25"/>
        <v>1.3274314845556166E-2</v>
      </c>
      <c r="UR5" s="30">
        <f t="shared" ca="1" si="25"/>
        <v>6.1494821500072447E-2</v>
      </c>
      <c r="US5" s="30">
        <f t="shared" ca="1" si="25"/>
        <v>2.6413804467725299E-2</v>
      </c>
      <c r="UT5" s="30">
        <f t="shared" ca="1" si="25"/>
        <v>-6.8387373647887884E-2</v>
      </c>
      <c r="UU5" s="30">
        <f t="shared" ca="1" si="25"/>
        <v>1.8503321956621056E-2</v>
      </c>
      <c r="UV5" s="30">
        <f t="shared" ca="1" si="25"/>
        <v>-3.7984743883112529E-2</v>
      </c>
      <c r="UW5" s="30">
        <f t="shared" ca="1" si="25"/>
        <v>1.3775248077235319E-2</v>
      </c>
      <c r="UX5" s="30">
        <f t="shared" ca="1" si="25"/>
        <v>2.9304533105730536E-2</v>
      </c>
      <c r="UY5" s="30">
        <f t="shared" ca="1" si="25"/>
        <v>-1.8000992781037103E-3</v>
      </c>
      <c r="UZ5" s="30">
        <f t="shared" ca="1" si="25"/>
        <v>3.1132126387862509E-2</v>
      </c>
      <c r="VA5" s="30">
        <f t="shared" ca="1" si="25"/>
        <v>2.3334953042454171E-2</v>
      </c>
      <c r="VB5" s="30">
        <f t="shared" ca="1" si="25"/>
        <v>-2.6339061459947376E-2</v>
      </c>
      <c r="VC5" s="30">
        <f t="shared" ca="1" si="25"/>
        <v>-1.9886447207275584E-2</v>
      </c>
      <c r="VD5" s="30">
        <f t="shared" ca="1" si="25"/>
        <v>7.1749662002435613E-2</v>
      </c>
      <c r="VE5" s="30">
        <f t="shared" ca="1" si="25"/>
        <v>-2.2534329137303383E-2</v>
      </c>
      <c r="VF5" s="30">
        <f t="shared" ca="1" si="25"/>
        <v>1.1360081507123352E-3</v>
      </c>
      <c r="VG5" s="30">
        <f t="shared" ca="1" si="25"/>
        <v>4.57659123767997E-3</v>
      </c>
      <c r="VH5" s="30">
        <f t="shared" ca="1" si="25"/>
        <v>5.0557661950662212E-2</v>
      </c>
      <c r="VI5" s="30">
        <f t="shared" ca="1" si="25"/>
        <v>1.2445803485014771E-2</v>
      </c>
      <c r="VJ5" s="30">
        <f t="shared" ca="1" si="25"/>
        <v>5.2692706729997707E-2</v>
      </c>
      <c r="VK5" s="30">
        <f t="shared" ca="1" si="25"/>
        <v>1.1957751941993276E-2</v>
      </c>
      <c r="VL5" s="30">
        <f t="shared" ca="1" si="26"/>
        <v>4.8368783362690345E-3</v>
      </c>
      <c r="VM5" s="30">
        <f t="shared" ca="1" si="26"/>
        <v>1.1058088822225859E-2</v>
      </c>
      <c r="VN5" s="30">
        <f t="shared" ca="1" si="26"/>
        <v>-1.3619423412853326E-2</v>
      </c>
      <c r="VO5" s="30">
        <f t="shared" ca="1" si="26"/>
        <v>8.2398549021601097E-2</v>
      </c>
      <c r="VP5" s="30">
        <f t="shared" ca="1" si="26"/>
        <v>1.0239680180821234E-2</v>
      </c>
      <c r="VQ5" s="30">
        <f t="shared" ca="1" si="26"/>
        <v>-1.969906733707524E-2</v>
      </c>
      <c r="VR5" s="30">
        <f t="shared" ca="1" si="26"/>
        <v>6.5702221465640297E-3</v>
      </c>
      <c r="VS5" s="30">
        <f t="shared" ca="1" si="26"/>
        <v>5.5976945742012542E-2</v>
      </c>
      <c r="VT5" s="30">
        <f t="shared" ca="1" si="26"/>
        <v>-3.3258137074757364E-3</v>
      </c>
      <c r="VU5" s="30">
        <f t="shared" ca="1" si="26"/>
        <v>-3.7329728487570615E-2</v>
      </c>
      <c r="VV5" s="30">
        <f t="shared" ca="1" si="26"/>
        <v>-2.1883735042406292E-2</v>
      </c>
      <c r="VW5" s="30">
        <f t="shared" ca="1" si="26"/>
        <v>-6.2111969935676799E-3</v>
      </c>
      <c r="VX5" s="30">
        <f t="shared" ca="1" si="26"/>
        <v>-3.5069553385692294E-2</v>
      </c>
      <c r="VY5" s="30">
        <f t="shared" ca="1" si="26"/>
        <v>-2.6962690430254444E-2</v>
      </c>
      <c r="VZ5" s="30">
        <f t="shared" ca="1" si="26"/>
        <v>8.6898630505596198E-3</v>
      </c>
      <c r="WA5" s="30">
        <f t="shared" ca="1" si="26"/>
        <v>-1.0393930963998477E-2</v>
      </c>
      <c r="WB5" s="30">
        <f t="shared" ca="1" si="26"/>
        <v>5.6431826065818577E-3</v>
      </c>
      <c r="WC5" s="30">
        <f t="shared" ca="1" si="26"/>
        <v>1.1072198541337328E-2</v>
      </c>
      <c r="WD5" s="30">
        <f t="shared" ca="1" si="26"/>
        <v>-2.4535188793252914E-3</v>
      </c>
      <c r="WE5" s="30">
        <f t="shared" ca="1" si="26"/>
        <v>2.0902433640468124E-2</v>
      </c>
      <c r="WF5" s="30">
        <f t="shared" ca="1" si="26"/>
        <v>6.7682429781095316E-2</v>
      </c>
      <c r="WG5" s="30">
        <f t="shared" ca="1" si="26"/>
        <v>2.3748345399212549E-2</v>
      </c>
      <c r="WH5" s="30">
        <f t="shared" ca="1" si="26"/>
        <v>2.8703646738387181E-3</v>
      </c>
      <c r="WI5" s="30">
        <f t="shared" ca="1" si="26"/>
        <v>4.2089952134718354E-2</v>
      </c>
      <c r="WJ5" s="30">
        <f t="shared" ca="1" si="26"/>
        <v>-3.7855266309340871E-2</v>
      </c>
      <c r="WK5" s="30">
        <f t="shared" ca="1" si="26"/>
        <v>2.6063479759231754E-2</v>
      </c>
      <c r="WL5" s="30">
        <f t="shared" ca="1" si="26"/>
        <v>-4.2670749397762118E-3</v>
      </c>
      <c r="WM5" s="30">
        <f t="shared" ca="1" si="26"/>
        <v>5.5608083073381429E-2</v>
      </c>
      <c r="WN5" s="30">
        <f t="shared" ca="1" si="26"/>
        <v>-7.4919335419026845E-2</v>
      </c>
      <c r="WO5" s="30">
        <f t="shared" ca="1" si="26"/>
        <v>1.302706227292069E-2</v>
      </c>
      <c r="WP5" s="30">
        <f t="shared" ca="1" si="26"/>
        <v>-1.085815958463449E-3</v>
      </c>
      <c r="WQ5" s="30">
        <f t="shared" ca="1" si="26"/>
        <v>-1.4737736301813546E-3</v>
      </c>
      <c r="WR5" s="30">
        <f t="shared" ca="1" si="26"/>
        <v>1.2735472310978579E-2</v>
      </c>
      <c r="WS5" s="30">
        <f t="shared" ca="1" si="26"/>
        <v>-4.4499107087495007E-2</v>
      </c>
      <c r="WT5" s="30">
        <f t="shared" ca="1" si="26"/>
        <v>-3.2185526293121809E-3</v>
      </c>
      <c r="WU5" s="30">
        <f t="shared" ca="1" si="26"/>
        <v>1.0973712118823543E-2</v>
      </c>
      <c r="WV5" s="30">
        <f t="shared" ca="1" si="26"/>
        <v>5.3411518914267674E-2</v>
      </c>
      <c r="WW5" s="30">
        <f t="shared" ca="1" si="26"/>
        <v>3.0683835105298506E-2</v>
      </c>
      <c r="WX5" s="30">
        <f t="shared" ca="1" si="26"/>
        <v>2.1768667595617852E-2</v>
      </c>
      <c r="WY5" s="30">
        <f t="shared" ca="1" si="26"/>
        <v>-4.121678963302966E-2</v>
      </c>
      <c r="WZ5" s="30">
        <f t="shared" ca="1" si="26"/>
        <v>4.0663604534478173E-3</v>
      </c>
      <c r="XA5" s="30">
        <f t="shared" ca="1" si="26"/>
        <v>2.0379302318677028E-2</v>
      </c>
      <c r="XB5" s="30">
        <f t="shared" ca="1" si="26"/>
        <v>2.206070697109196E-2</v>
      </c>
      <c r="XC5" s="30">
        <f t="shared" ca="1" si="26"/>
        <v>-4.8638373354228676E-3</v>
      </c>
      <c r="XD5" s="30">
        <f t="shared" ca="1" si="26"/>
        <v>-2.2487899893104454E-2</v>
      </c>
      <c r="XE5" s="30">
        <f t="shared" ca="1" si="26"/>
        <v>6.8390778539934874E-2</v>
      </c>
      <c r="XF5" s="30">
        <f t="shared" ca="1" si="26"/>
        <v>4.4537488179559E-2</v>
      </c>
      <c r="XG5" s="30">
        <f t="shared" ca="1" si="26"/>
        <v>-4.6514378155595351E-2</v>
      </c>
      <c r="XH5" s="30">
        <f t="shared" ca="1" si="26"/>
        <v>-2.8497464705442017E-2</v>
      </c>
      <c r="XI5" s="30">
        <f t="shared" ca="1" si="26"/>
        <v>2.3090730693609684E-2</v>
      </c>
      <c r="XJ5" s="30">
        <f t="shared" ca="1" si="26"/>
        <v>-4.2371048965041264E-2</v>
      </c>
      <c r="XK5" s="30">
        <f t="shared" ca="1" si="26"/>
        <v>-4.8981422885153499E-3</v>
      </c>
      <c r="XL5" s="30">
        <f t="shared" ca="1" si="26"/>
        <v>3.1104681867072954E-2</v>
      </c>
      <c r="XM5" s="30">
        <f t="shared" ca="1" si="26"/>
        <v>9.2373677782262437E-2</v>
      </c>
      <c r="XN5" s="30">
        <f t="shared" ca="1" si="26"/>
        <v>-2.9609195149189176E-2</v>
      </c>
      <c r="XO5" s="30">
        <f t="shared" ca="1" si="26"/>
        <v>-1.8798535407402509E-2</v>
      </c>
      <c r="XP5" s="30">
        <f t="shared" ca="1" si="26"/>
        <v>-6.2503323679492143E-2</v>
      </c>
      <c r="XQ5" s="30">
        <f t="shared" ca="1" si="26"/>
        <v>6.3365911070684235E-3</v>
      </c>
      <c r="XR5" s="30">
        <f t="shared" ca="1" si="26"/>
        <v>6.1658407074916814E-2</v>
      </c>
      <c r="XS5" s="30">
        <f t="shared" ca="1" si="26"/>
        <v>9.4180179519026738E-3</v>
      </c>
      <c r="XT5" s="30">
        <f t="shared" ca="1" si="26"/>
        <v>3.2448655627030906E-2</v>
      </c>
      <c r="XU5" s="30">
        <f t="shared" ca="1" si="26"/>
        <v>-8.675531127075721E-2</v>
      </c>
      <c r="XV5" s="30">
        <f t="shared" ca="1" si="26"/>
        <v>-1.2333684798408085E-2</v>
      </c>
      <c r="XW5" s="30">
        <f t="shared" ca="1" si="26"/>
        <v>1.2830668529433256E-2</v>
      </c>
      <c r="XX5" s="30">
        <f t="shared" ca="1" si="27"/>
        <v>5.7324286621316188E-2</v>
      </c>
      <c r="XY5" s="30">
        <f t="shared" ca="1" si="27"/>
        <v>5.3563065766433424E-3</v>
      </c>
      <c r="XZ5" s="30">
        <f t="shared" ca="1" si="27"/>
        <v>6.6898123951613098E-2</v>
      </c>
      <c r="YA5" s="30">
        <f t="shared" ca="1" si="27"/>
        <v>4.0113203629884306E-4</v>
      </c>
      <c r="YB5" s="30">
        <f t="shared" ca="1" si="27"/>
        <v>4.8422991468106753E-2</v>
      </c>
      <c r="YC5" s="30">
        <f t="shared" ca="1" si="27"/>
        <v>-4.4054651027370363E-2</v>
      </c>
      <c r="YD5" s="30">
        <f t="shared" ca="1" si="27"/>
        <v>-1.871670872010708E-2</v>
      </c>
      <c r="YE5" s="30">
        <f t="shared" ca="1" si="27"/>
        <v>1.2026076491784723E-4</v>
      </c>
      <c r="YF5" s="30">
        <f t="shared" ca="1" si="27"/>
        <v>2.1414571535631075E-2</v>
      </c>
      <c r="YG5" s="30">
        <f t="shared" ca="1" si="27"/>
        <v>2.349312321035545E-2</v>
      </c>
      <c r="YH5" s="30">
        <f t="shared" ca="1" si="27"/>
        <v>-1.570806196979559E-2</v>
      </c>
      <c r="YI5" s="30">
        <f t="shared" ca="1" si="27"/>
        <v>4.657124430741047E-2</v>
      </c>
      <c r="YJ5" s="30">
        <f t="shared" ca="1" si="27"/>
        <v>4.5713839915588562E-2</v>
      </c>
      <c r="YK5" s="30">
        <f t="shared" ca="1" si="27"/>
        <v>-2.712106100446691E-4</v>
      </c>
      <c r="YL5" s="30">
        <f t="shared" ca="1" si="27"/>
        <v>-4.976670533934352E-2</v>
      </c>
      <c r="YM5" s="30">
        <f t="shared" ca="1" si="27"/>
        <v>1.9287173973223947E-2</v>
      </c>
      <c r="YN5" s="30">
        <f t="shared" ca="1" si="27"/>
        <v>-2.9551934945432939E-2</v>
      </c>
      <c r="YO5" s="30">
        <f t="shared" ca="1" si="27"/>
        <v>3.2226052410568376E-3</v>
      </c>
      <c r="YP5" s="30">
        <f t="shared" ca="1" si="27"/>
        <v>-5.1037372659572255E-2</v>
      </c>
      <c r="YQ5" s="30">
        <f t="shared" ca="1" si="27"/>
        <v>3.8166143129405375E-3</v>
      </c>
      <c r="YR5" s="30">
        <f t="shared" ca="1" si="27"/>
        <v>-6.7435286145284115E-2</v>
      </c>
      <c r="YS5" s="30">
        <f t="shared" ca="1" si="27"/>
        <v>3.9103571946241724E-4</v>
      </c>
      <c r="YT5" s="30">
        <f t="shared" ca="1" si="27"/>
        <v>-2.2153271313513141E-2</v>
      </c>
      <c r="YU5" s="30">
        <f t="shared" ca="1" si="27"/>
        <v>0.10234884797411418</v>
      </c>
      <c r="YV5" s="30">
        <f t="shared" ca="1" si="27"/>
        <v>-9.7793253592398516E-2</v>
      </c>
      <c r="YW5" s="30">
        <f t="shared" ca="1" si="27"/>
        <v>1.7983069028392907E-3</v>
      </c>
      <c r="YX5" s="30">
        <f t="shared" ca="1" si="27"/>
        <v>-9.1891709614477599E-3</v>
      </c>
      <c r="YY5" s="30">
        <f t="shared" ca="1" si="27"/>
        <v>3.6824109509949562E-2</v>
      </c>
      <c r="YZ5" s="30">
        <f t="shared" ca="1" si="27"/>
        <v>-1.3363947738795985E-2</v>
      </c>
      <c r="ZA5" s="30">
        <f t="shared" ca="1" si="27"/>
        <v>7.3448448385913981E-2</v>
      </c>
      <c r="ZB5" s="30">
        <f t="shared" ca="1" si="27"/>
        <v>-1.5311750456079475E-2</v>
      </c>
      <c r="ZC5" s="30">
        <f t="shared" ca="1" si="27"/>
        <v>5.2248789008184611E-3</v>
      </c>
      <c r="ZD5" s="30">
        <f t="shared" ca="1" si="27"/>
        <v>-7.6712745815216948E-2</v>
      </c>
      <c r="ZE5" s="30">
        <f t="shared" ca="1" si="27"/>
        <v>-4.5074352944118393E-2</v>
      </c>
      <c r="ZF5" s="30">
        <f t="shared" ca="1" si="27"/>
        <v>-3.3081324951574266E-2</v>
      </c>
      <c r="ZG5" s="30">
        <f t="shared" ca="1" si="27"/>
        <v>-4.5815134388285774E-3</v>
      </c>
      <c r="ZH5" s="30">
        <f t="shared" ca="1" si="27"/>
        <v>-1.46398642257329E-2</v>
      </c>
      <c r="ZI5" s="30">
        <f t="shared" ca="1" si="27"/>
        <v>-6.5809903626930122E-2</v>
      </c>
      <c r="ZJ5" s="30">
        <f t="shared" ca="1" si="27"/>
        <v>-9.5975727244403692E-3</v>
      </c>
      <c r="ZK5" s="30">
        <f t="shared" ca="1" si="27"/>
        <v>-3.9475885054140437E-2</v>
      </c>
      <c r="ZL5" s="30">
        <f t="shared" ca="1" si="27"/>
        <v>-6.1232966456784554E-2</v>
      </c>
      <c r="ZM5" s="30">
        <f t="shared" ca="1" si="27"/>
        <v>3.2554993532563581E-2</v>
      </c>
      <c r="ZN5" s="30">
        <f t="shared" ca="1" si="27"/>
        <v>-2.5015078626887174E-2</v>
      </c>
      <c r="ZO5" s="30">
        <f t="shared" ca="1" si="27"/>
        <v>2.289063074457005E-2</v>
      </c>
      <c r="ZP5" s="30">
        <f t="shared" ca="1" si="27"/>
        <v>-4.0549978725059567E-3</v>
      </c>
      <c r="ZQ5" s="30">
        <f t="shared" ca="1" si="27"/>
        <v>1.52668593556158E-2</v>
      </c>
      <c r="ZR5" s="30">
        <f t="shared" ca="1" si="27"/>
        <v>6.4971521146585151E-2</v>
      </c>
      <c r="ZS5" s="30">
        <f t="shared" ca="1" si="27"/>
        <v>8.1449452234887726E-2</v>
      </c>
      <c r="ZT5" s="30">
        <f t="shared" ca="1" si="27"/>
        <v>9.0819304996200174E-3</v>
      </c>
      <c r="ZU5" s="30">
        <f t="shared" ca="1" si="27"/>
        <v>2.2432220515701519E-2</v>
      </c>
      <c r="ZV5" s="30">
        <f t="shared" ca="1" si="27"/>
        <v>-3.3789777613853239E-2</v>
      </c>
      <c r="ZW5" s="30">
        <f t="shared" ca="1" si="27"/>
        <v>-3.2402913014624002E-2</v>
      </c>
      <c r="ZX5" s="30">
        <f t="shared" ca="1" si="27"/>
        <v>6.6010412030240689E-2</v>
      </c>
      <c r="ZY5" s="30">
        <f t="shared" ca="1" si="27"/>
        <v>2.2316188723481761E-2</v>
      </c>
      <c r="ZZ5" s="30">
        <f t="shared" ca="1" si="27"/>
        <v>2.922054904761277E-2</v>
      </c>
      <c r="AAA5" s="30">
        <f t="shared" ca="1" si="27"/>
        <v>-2.4132637134700943E-2</v>
      </c>
      <c r="AAB5" s="30">
        <f t="shared" ca="1" si="27"/>
        <v>-2.2914223806808239E-2</v>
      </c>
      <c r="AAC5" s="30">
        <f t="shared" ca="1" si="27"/>
        <v>-2.0049364764919819E-3</v>
      </c>
      <c r="AAD5" s="30">
        <f t="shared" ca="1" si="27"/>
        <v>6.3541878926288015E-2</v>
      </c>
      <c r="AAE5" s="30">
        <f t="shared" ca="1" si="27"/>
        <v>-2.5652498151276317E-2</v>
      </c>
      <c r="AAF5" s="30">
        <f t="shared" ca="1" si="27"/>
        <v>-3.9059501083851172E-2</v>
      </c>
      <c r="AAG5" s="30">
        <f t="shared" ca="1" si="27"/>
        <v>5.7551065905516521E-3</v>
      </c>
      <c r="AAH5" s="30">
        <f t="shared" ca="1" si="27"/>
        <v>1.4441996950751807E-2</v>
      </c>
      <c r="AAI5" s="30">
        <f t="shared" ca="1" si="27"/>
        <v>-3.3418212478213902E-2</v>
      </c>
      <c r="AAJ5" s="30">
        <f t="shared" ca="1" si="28"/>
        <v>-4.4239855765004013E-2</v>
      </c>
      <c r="AAK5" s="30">
        <f t="shared" ca="1" si="28"/>
        <v>4.0282792478575635E-2</v>
      </c>
      <c r="AAL5" s="30">
        <f t="shared" ca="1" si="28"/>
        <v>-1.1527788474894355E-2</v>
      </c>
      <c r="AAM5" s="30">
        <f t="shared" ca="1" si="28"/>
        <v>1.4209870121048311E-2</v>
      </c>
      <c r="AAN5" s="30">
        <f t="shared" ca="1" si="28"/>
        <v>2.3241697400287715E-2</v>
      </c>
      <c r="AAO5" s="30">
        <f t="shared" ca="1" si="28"/>
        <v>-3.1820756102255703E-2</v>
      </c>
      <c r="AAP5" s="30">
        <f t="shared" ca="1" si="28"/>
        <v>-4.1667814385248662E-3</v>
      </c>
      <c r="AAQ5" s="30">
        <f t="shared" ca="1" si="28"/>
        <v>-6.9075136065027742E-2</v>
      </c>
      <c r="AAR5" s="30">
        <f t="shared" ca="1" si="28"/>
        <v>2.0737049653229522E-3</v>
      </c>
      <c r="AAS5" s="30">
        <f t="shared" ca="1" si="28"/>
        <v>-3.3447897104843749E-2</v>
      </c>
      <c r="AAT5" s="30">
        <f t="shared" ca="1" si="28"/>
        <v>-5.5771513177370426E-2</v>
      </c>
      <c r="AAU5" s="30">
        <f t="shared" ca="1" si="28"/>
        <v>-1.783471096672145E-2</v>
      </c>
      <c r="AAV5" s="30">
        <f t="shared" ca="1" si="28"/>
        <v>3.5379776592748863E-4</v>
      </c>
      <c r="AAW5" s="30">
        <f t="shared" ca="1" si="28"/>
        <v>2.4693846419171293E-2</v>
      </c>
      <c r="AAX5" s="30">
        <f t="shared" ca="1" si="28"/>
        <v>7.0154182807294865E-2</v>
      </c>
      <c r="AAY5" s="30">
        <f t="shared" ca="1" si="28"/>
        <v>-7.4539875765955183E-3</v>
      </c>
      <c r="AAZ5" s="30">
        <f t="shared" ca="1" si="28"/>
        <v>1.6861525114545802E-2</v>
      </c>
      <c r="ABA5" s="30">
        <f t="shared" ca="1" si="28"/>
        <v>-7.6492690579534978E-2</v>
      </c>
      <c r="ABB5" s="30">
        <f t="shared" ca="1" si="28"/>
        <v>2.7135017859365392E-2</v>
      </c>
      <c r="ABC5" s="30">
        <f t="shared" ca="1" si="28"/>
        <v>-3.0392646405765335E-3</v>
      </c>
      <c r="ABD5" s="30">
        <f t="shared" ca="1" si="28"/>
        <v>-2.2562025731732632E-2</v>
      </c>
      <c r="ABE5" s="30">
        <f t="shared" ca="1" si="28"/>
        <v>-5.932830873063108E-3</v>
      </c>
      <c r="ABF5" s="30">
        <f t="shared" ca="1" si="28"/>
        <v>5.6378203904543255E-2</v>
      </c>
      <c r="ABG5" s="30">
        <f t="shared" ca="1" si="28"/>
        <v>4.2240348137854142E-2</v>
      </c>
      <c r="ABH5" s="30">
        <f t="shared" ca="1" si="28"/>
        <v>-3.272305018351164E-2</v>
      </c>
      <c r="ABI5" s="30">
        <f t="shared" ca="1" si="28"/>
        <v>5.6715820696315117E-2</v>
      </c>
      <c r="ABJ5" s="30">
        <f t="shared" ca="1" si="28"/>
        <v>-9.8294579158021492E-3</v>
      </c>
      <c r="ABK5" s="30">
        <f t="shared" ca="1" si="28"/>
        <v>3.7125326816357065E-2</v>
      </c>
      <c r="ABL5" s="30">
        <f t="shared" ca="1" si="28"/>
        <v>2.074717128374861E-2</v>
      </c>
      <c r="ABM5" s="30">
        <f t="shared" ca="1" si="28"/>
        <v>-3.9845204700589736E-3</v>
      </c>
      <c r="ABN5" s="30">
        <f t="shared" ca="1" si="28"/>
        <v>-2.980556235092259E-2</v>
      </c>
      <c r="ABO5" s="30">
        <f t="shared" ca="1" si="28"/>
        <v>-8.850436328672355E-2</v>
      </c>
      <c r="ABP5" s="30">
        <f t="shared" ca="1" si="28"/>
        <v>1.8272867666207334E-2</v>
      </c>
      <c r="ABQ5" s="30">
        <f t="shared" ca="1" si="28"/>
        <v>2.0992364447962535E-2</v>
      </c>
      <c r="ABR5" s="30">
        <f t="shared" ca="1" si="28"/>
        <v>-5.9448132401268297E-2</v>
      </c>
      <c r="ABS5" s="30">
        <f t="shared" ca="1" si="28"/>
        <v>-2.2329509585457225E-2</v>
      </c>
      <c r="ABT5" s="30">
        <f t="shared" ca="1" si="28"/>
        <v>-6.2806820936457855E-2</v>
      </c>
      <c r="ABU5" s="30">
        <f t="shared" ca="1" si="28"/>
        <v>-2.2629894387630262E-2</v>
      </c>
      <c r="ABV5" s="30">
        <f t="shared" ca="1" si="28"/>
        <v>2.1222465940893973E-2</v>
      </c>
      <c r="ABW5" s="30">
        <f t="shared" ca="1" si="28"/>
        <v>6.2829972189273435E-3</v>
      </c>
      <c r="ABX5" s="30">
        <f t="shared" ca="1" si="28"/>
        <v>7.0347489371402533E-2</v>
      </c>
      <c r="ABY5" s="30">
        <f t="shared" ca="1" si="28"/>
        <v>4.8386727858079605E-2</v>
      </c>
      <c r="ABZ5" s="30">
        <f t="shared" ca="1" si="28"/>
        <v>-9.3185814716911258E-2</v>
      </c>
      <c r="ACA5" s="30">
        <f t="shared" ca="1" si="28"/>
        <v>1.5127232478328763E-2</v>
      </c>
      <c r="ACB5" s="30">
        <f t="shared" ca="1" si="28"/>
        <v>9.8130915662265946E-3</v>
      </c>
      <c r="ACC5" s="30">
        <f t="shared" ca="1" si="28"/>
        <v>4.1909782648134206E-2</v>
      </c>
      <c r="ACD5" s="30">
        <f t="shared" ca="1" si="28"/>
        <v>-7.2337949480700547E-2</v>
      </c>
      <c r="ACE5" s="30">
        <f t="shared" ca="1" si="28"/>
        <v>-5.0153755159522695E-2</v>
      </c>
      <c r="ACF5" s="30">
        <f t="shared" ca="1" si="28"/>
        <v>5.7879087555601831E-2</v>
      </c>
      <c r="ACG5" s="30">
        <f t="shared" ca="1" si="28"/>
        <v>5.5310425831095758E-2</v>
      </c>
      <c r="ACH5" s="30">
        <f t="shared" ca="1" si="28"/>
        <v>2.9442913227282326E-2</v>
      </c>
      <c r="ACI5" s="30">
        <f t="shared" ca="1" si="28"/>
        <v>4.5095182185146229E-2</v>
      </c>
      <c r="ACJ5" s="30">
        <f t="shared" ca="1" si="28"/>
        <v>1.7988419989749854E-2</v>
      </c>
      <c r="ACK5" s="30">
        <f t="shared" ca="1" si="28"/>
        <v>-1.535187492778272E-2</v>
      </c>
      <c r="ACL5" s="30">
        <f t="shared" ca="1" si="28"/>
        <v>1.5125904912117339E-2</v>
      </c>
      <c r="ACM5" s="30">
        <f t="shared" ca="1" si="28"/>
        <v>-2.3800018177985187E-3</v>
      </c>
      <c r="ACN5" s="30">
        <f t="shared" ca="1" si="28"/>
        <v>5.3738712008405271E-3</v>
      </c>
      <c r="ACO5" s="30">
        <f t="shared" ca="1" si="28"/>
        <v>-2.3510243674766073E-2</v>
      </c>
      <c r="ACP5" s="30">
        <f t="shared" ca="1" si="28"/>
        <v>-4.1396258716841225E-3</v>
      </c>
      <c r="ACQ5" s="30">
        <f t="shared" ca="1" si="28"/>
        <v>-9.0779266546614557E-2</v>
      </c>
      <c r="ACR5" s="30">
        <f t="shared" ca="1" si="28"/>
        <v>-3.0238173799783774E-2</v>
      </c>
      <c r="ACS5" s="30">
        <f t="shared" ca="1" si="28"/>
        <v>-3.7540477680894746E-2</v>
      </c>
      <c r="ACT5" s="30">
        <f t="shared" ca="1" si="28"/>
        <v>2.4077220143309371E-2</v>
      </c>
      <c r="ACU5" s="30">
        <f t="shared" ca="1" si="28"/>
        <v>-9.4249682251408257E-2</v>
      </c>
      <c r="ACV5" s="30">
        <f t="shared" ca="1" si="29"/>
        <v>4.2852893238612424E-2</v>
      </c>
      <c r="ACW5" s="30">
        <f t="shared" ca="1" si="29"/>
        <v>-2.0782780875090799E-2</v>
      </c>
      <c r="ACX5" s="30">
        <f t="shared" ca="1" si="29"/>
        <v>6.1716782316543303E-2</v>
      </c>
      <c r="ACY5" s="30">
        <f t="shared" ca="1" si="29"/>
        <v>-2.3093911897541425E-2</v>
      </c>
      <c r="ACZ5" s="30">
        <f t="shared" ca="1" si="29"/>
        <v>3.9878347056575301E-2</v>
      </c>
      <c r="ADA5" s="30">
        <f t="shared" ca="1" si="29"/>
        <v>2.3173334712242838E-2</v>
      </c>
      <c r="ADB5" s="30">
        <f t="shared" ca="1" si="29"/>
        <v>2.1060638089836475E-2</v>
      </c>
      <c r="ADC5" s="30">
        <f t="shared" ca="1" si="29"/>
        <v>2.8014361539131023E-2</v>
      </c>
      <c r="ADD5" s="30">
        <f t="shared" ca="1" si="29"/>
        <v>-3.9653239386353359E-2</v>
      </c>
      <c r="ADE5" s="30">
        <f t="shared" ca="1" si="29"/>
        <v>1.6306766474464784E-2</v>
      </c>
      <c r="ADF5" s="30">
        <f t="shared" ca="1" si="29"/>
        <v>2.3074003613842505E-4</v>
      </c>
      <c r="ADG5" s="30">
        <f t="shared" ca="1" si="29"/>
        <v>-6.788444676369609E-3</v>
      </c>
      <c r="ADH5" s="30">
        <f t="shared" ca="1" si="29"/>
        <v>-3.2809869165098232E-2</v>
      </c>
      <c r="ADI5" s="30">
        <f t="shared" ca="1" si="29"/>
        <v>-1.2667983970711392E-2</v>
      </c>
      <c r="ADJ5" s="30">
        <f t="shared" ca="1" si="29"/>
        <v>6.3972199915096938E-3</v>
      </c>
      <c r="ADK5" s="30">
        <f t="shared" ca="1" si="29"/>
        <v>1.5376529601425167E-2</v>
      </c>
      <c r="ADL5" s="30">
        <f t="shared" ca="1" si="29"/>
        <v>3.3066257993446917E-2</v>
      </c>
      <c r="ADM5" s="30">
        <f t="shared" ca="1" si="29"/>
        <v>6.9532938195098525E-3</v>
      </c>
      <c r="ADN5" s="30">
        <f t="shared" ca="1" si="29"/>
        <v>2.630117143840088E-2</v>
      </c>
      <c r="ADO5" s="30">
        <f t="shared" ca="1" si="29"/>
        <v>1.5217394602888269E-2</v>
      </c>
      <c r="ADP5" s="30">
        <f t="shared" ca="1" si="29"/>
        <v>-2.0388690905766938E-2</v>
      </c>
      <c r="ADQ5" s="30">
        <f t="shared" ca="1" si="29"/>
        <v>-3.1338811487383621E-2</v>
      </c>
      <c r="ADR5" s="30">
        <f t="shared" ca="1" si="29"/>
        <v>-8.2202760459919894E-2</v>
      </c>
      <c r="ADS5" s="30">
        <f t="shared" ca="1" si="29"/>
        <v>1.3864903806168609E-2</v>
      </c>
      <c r="ADT5" s="30">
        <f t="shared" ca="1" si="29"/>
        <v>4.1928095043853551E-2</v>
      </c>
      <c r="ADU5" s="30">
        <f t="shared" ca="1" si="29"/>
        <v>-2.7311178111193764E-2</v>
      </c>
      <c r="ADV5" s="30">
        <f t="shared" ca="1" si="29"/>
        <v>1.6350920781704453E-2</v>
      </c>
      <c r="ADW5" s="30">
        <f t="shared" ca="1" si="29"/>
        <v>3.9685819353799966E-2</v>
      </c>
      <c r="ADX5" s="30">
        <f t="shared" ca="1" si="29"/>
        <v>-4.5316923907378216E-2</v>
      </c>
      <c r="ADY5" s="30">
        <f t="shared" ca="1" si="29"/>
        <v>-9.5553175208279266E-3</v>
      </c>
      <c r="ADZ5" s="30">
        <f t="shared" ca="1" si="29"/>
        <v>-5.7755730093578143E-2</v>
      </c>
      <c r="AEA5" s="30">
        <f t="shared" ca="1" si="29"/>
        <v>-2.7499711201729334E-2</v>
      </c>
      <c r="AEB5" s="30">
        <f t="shared" ca="1" si="29"/>
        <v>1.798038124407814E-2</v>
      </c>
      <c r="AEC5" s="30">
        <f t="shared" ca="1" si="29"/>
        <v>9.33727808489207E-2</v>
      </c>
      <c r="AED5" s="30">
        <f t="shared" ca="1" si="29"/>
        <v>2.3099810029909599E-3</v>
      </c>
      <c r="AEE5" s="30">
        <f t="shared" ca="1" si="29"/>
        <v>-6.3584259963717318E-2</v>
      </c>
      <c r="AEF5" s="30">
        <f t="shared" ca="1" si="29"/>
        <v>5.8090112546135926E-3</v>
      </c>
      <c r="AEG5" s="30">
        <f t="shared" ca="1" si="29"/>
        <v>-5.3858487842287722E-2</v>
      </c>
      <c r="AEH5" s="30">
        <f t="shared" ca="1" si="29"/>
        <v>6.1112140427972056E-2</v>
      </c>
      <c r="AEI5" s="30">
        <f t="shared" ca="1" si="29"/>
        <v>3.140447863135401E-2</v>
      </c>
      <c r="AEJ5" s="30">
        <f t="shared" ca="1" si="29"/>
        <v>-6.0484217259987684E-2</v>
      </c>
      <c r="AEK5" s="30">
        <f t="shared" ca="1" si="29"/>
        <v>-5.4630354226323348E-2</v>
      </c>
      <c r="AEL5" s="30">
        <f t="shared" ca="1" si="29"/>
        <v>2.6104528508875111E-2</v>
      </c>
      <c r="AEM5" s="30">
        <f t="shared" ca="1" si="29"/>
        <v>1.3964808058925584E-2</v>
      </c>
      <c r="AEN5" s="30">
        <f t="shared" ca="1" si="29"/>
        <v>3.0700031696995558E-2</v>
      </c>
      <c r="AEO5" s="30">
        <f t="shared" ca="1" si="29"/>
        <v>-2.7852661041658292E-2</v>
      </c>
      <c r="AEP5" s="30">
        <f t="shared" ca="1" si="29"/>
        <v>3.3258109087418351E-2</v>
      </c>
      <c r="AEQ5" s="30">
        <f t="shared" ca="1" si="29"/>
        <v>1.2918886382988905E-2</v>
      </c>
      <c r="AER5" s="30">
        <f t="shared" ca="1" si="29"/>
        <v>-3.4915981374602341E-2</v>
      </c>
      <c r="AES5" s="30">
        <f t="shared" ca="1" si="29"/>
        <v>2.4575275627440274E-2</v>
      </c>
      <c r="AET5" s="30">
        <f t="shared" ca="1" si="29"/>
        <v>4.0698420810734631E-2</v>
      </c>
      <c r="AEU5" s="30">
        <f t="shared" ca="1" si="29"/>
        <v>4.9886848152964789E-3</v>
      </c>
      <c r="AEV5" s="30">
        <f t="shared" ca="1" si="29"/>
        <v>-3.9668575660159765E-2</v>
      </c>
      <c r="AEW5" s="30">
        <f t="shared" ca="1" si="29"/>
        <v>4.7842373910141428E-2</v>
      </c>
      <c r="AEX5" s="30">
        <f t="shared" ca="1" si="29"/>
        <v>-2.2223518031373804E-2</v>
      </c>
      <c r="AEY5" s="30">
        <f t="shared" ca="1" si="29"/>
        <v>4.4964553324510818E-2</v>
      </c>
      <c r="AEZ5" s="30">
        <f t="shared" ca="1" si="29"/>
        <v>-1.8188972856203262E-2</v>
      </c>
      <c r="AFA5" s="30">
        <f t="shared" ca="1" si="29"/>
        <v>-2.1901232148979065E-2</v>
      </c>
      <c r="AFB5" s="30">
        <f t="shared" ca="1" si="29"/>
        <v>6.3025003539814592E-2</v>
      </c>
      <c r="AFC5" s="30">
        <f t="shared" ca="1" si="29"/>
        <v>-3.0105706791147192E-2</v>
      </c>
      <c r="AFD5" s="30">
        <f t="shared" ca="1" si="29"/>
        <v>1.9906742033942458E-2</v>
      </c>
      <c r="AFE5" s="30">
        <f t="shared" ca="1" si="29"/>
        <v>-2.7066921693354049E-2</v>
      </c>
      <c r="AFF5" s="30">
        <f t="shared" ca="1" si="29"/>
        <v>-3.0350084718062907E-3</v>
      </c>
      <c r="AFG5" s="30">
        <f t="shared" ca="1" si="29"/>
        <v>-8.7709023582984727E-2</v>
      </c>
      <c r="AFH5" s="30">
        <f t="shared" ca="1" si="30"/>
        <v>-2.7123341058954833E-2</v>
      </c>
      <c r="AFI5" s="30">
        <f t="shared" ca="1" si="30"/>
        <v>3.7196478713808323E-2</v>
      </c>
      <c r="AFJ5" s="30">
        <f t="shared" ca="1" si="30"/>
        <v>3.0604445658831459E-2</v>
      </c>
      <c r="AFK5" s="30">
        <f t="shared" ca="1" si="30"/>
        <v>-3.1697293271302782E-3</v>
      </c>
      <c r="AFL5" s="30">
        <f t="shared" ca="1" si="30"/>
        <v>2.4926753161584339E-2</v>
      </c>
      <c r="AFM5" s="30">
        <f t="shared" ca="1" si="30"/>
        <v>2.8948723251645079E-2</v>
      </c>
      <c r="AFN5" s="30">
        <f t="shared" ca="1" si="30"/>
        <v>-1.9387014179887634E-2</v>
      </c>
      <c r="AFO5" s="30">
        <f t="shared" ca="1" si="30"/>
        <v>3.3422593148272318E-2</v>
      </c>
      <c r="AFP5" s="30">
        <f t="shared" ca="1" si="30"/>
        <v>-3.0435349318198995E-3</v>
      </c>
      <c r="AFQ5" s="30">
        <f t="shared" ca="1" si="30"/>
        <v>1.8821793398805003E-2</v>
      </c>
      <c r="AFR5" s="30">
        <f t="shared" ca="1" si="30"/>
        <v>-5.7870440113853339E-2</v>
      </c>
      <c r="AFS5" s="30">
        <f t="shared" ca="1" si="30"/>
        <v>-6.3246074273913766E-2</v>
      </c>
      <c r="AFT5" s="30">
        <f t="shared" ca="1" si="30"/>
        <v>-3.4368078379994338E-3</v>
      </c>
      <c r="AFU5" s="30">
        <f t="shared" ca="1" si="30"/>
        <v>-4.4154943565011835E-3</v>
      </c>
      <c r="AFV5" s="30">
        <f t="shared" ca="1" si="30"/>
        <v>-2.6178417495245122E-2</v>
      </c>
      <c r="AFW5" s="30">
        <f t="shared" ca="1" si="30"/>
        <v>3.9561309452376021E-3</v>
      </c>
      <c r="AFX5" s="30">
        <f t="shared" ca="1" si="30"/>
        <v>-6.4775018536365636E-2</v>
      </c>
      <c r="AFY5" s="30">
        <f t="shared" ca="1" si="30"/>
        <v>4.7278294576420396E-2</v>
      </c>
      <c r="AFZ5" s="30">
        <f t="shared" ca="1" si="30"/>
        <v>1.0386639696096322E-4</v>
      </c>
      <c r="AGA5" s="30">
        <f t="shared" ca="1" si="30"/>
        <v>2.350465973929313E-3</v>
      </c>
      <c r="AGB5" s="30">
        <f t="shared" ca="1" si="30"/>
        <v>2.7973269777915821E-2</v>
      </c>
      <c r="AGC5" s="30">
        <f t="shared" ca="1" si="30"/>
        <v>-4.2082805954173193E-2</v>
      </c>
      <c r="AGD5" s="30">
        <f t="shared" ca="1" si="30"/>
        <v>5.48977292406225E-2</v>
      </c>
      <c r="AGE5" s="30">
        <f t="shared" ca="1" si="30"/>
        <v>-7.2026012113934224E-2</v>
      </c>
      <c r="AGF5" s="30">
        <f t="shared" ca="1" si="30"/>
        <v>-3.208734595610338E-2</v>
      </c>
      <c r="AGG5" s="30">
        <f t="shared" ca="1" si="30"/>
        <v>-3.1472804311009343E-2</v>
      </c>
      <c r="AGH5" s="30">
        <f t="shared" ca="1" si="30"/>
        <v>7.2080813630717028E-2</v>
      </c>
      <c r="AGI5" s="30">
        <f t="shared" ca="1" si="30"/>
        <v>2.8503467365361777E-3</v>
      </c>
      <c r="AGJ5" s="30">
        <f t="shared" ca="1" si="30"/>
        <v>-2.0899652311991267E-2</v>
      </c>
      <c r="AGK5" s="30">
        <f t="shared" ca="1" si="30"/>
        <v>5.2282214299318168E-2</v>
      </c>
      <c r="AGL5" s="30">
        <f t="shared" ca="1" si="30"/>
        <v>-5.0137957441492978E-2</v>
      </c>
      <c r="AGM5" s="30">
        <f t="shared" ca="1" si="30"/>
        <v>-3.9234156621784262E-3</v>
      </c>
      <c r="AGN5" s="30">
        <f t="shared" ca="1" si="30"/>
        <v>-1.9173172592688047E-2</v>
      </c>
      <c r="AGO5" s="30">
        <f t="shared" ca="1" si="30"/>
        <v>-4.7782582770367052E-2</v>
      </c>
      <c r="AGP5" s="30">
        <f t="shared" ca="1" si="30"/>
        <v>-1.8554205717155773E-2</v>
      </c>
      <c r="AGQ5" s="30">
        <f t="shared" ca="1" si="30"/>
        <v>5.6054719900190154E-2</v>
      </c>
      <c r="AGR5" s="30">
        <f t="shared" ca="1" si="30"/>
        <v>-2.821197050432523E-2</v>
      </c>
      <c r="AGS5" s="30">
        <f t="shared" ca="1" si="30"/>
        <v>3.6542571039966242E-2</v>
      </c>
      <c r="AGT5" s="30">
        <f t="shared" ca="1" si="30"/>
        <v>2.3264629376001399E-2</v>
      </c>
      <c r="AGU5" s="30">
        <f t="shared" ca="1" si="30"/>
        <v>3.2753345811945972E-2</v>
      </c>
      <c r="AGV5" s="30">
        <f t="shared" ca="1" si="30"/>
        <v>1.5189390722447663E-2</v>
      </c>
      <c r="AGW5" s="30">
        <f t="shared" ca="1" si="30"/>
        <v>-8.6738333784781053E-3</v>
      </c>
      <c r="AGX5" s="30">
        <f t="shared" ca="1" si="30"/>
        <v>-9.5871929630537978E-3</v>
      </c>
      <c r="AGY5" s="30">
        <f t="shared" ca="1" si="30"/>
        <v>2.8477652778779693E-2</v>
      </c>
      <c r="AGZ5" s="30">
        <f t="shared" ca="1" si="30"/>
        <v>-2.3759902722416227E-2</v>
      </c>
      <c r="AHA5" s="30">
        <f t="shared" ca="1" si="30"/>
        <v>9.1552396282334365E-3</v>
      </c>
      <c r="AHB5" s="30">
        <f t="shared" ca="1" si="30"/>
        <v>4.6082747840557998E-2</v>
      </c>
      <c r="AHC5" s="30">
        <f t="shared" ca="1" si="30"/>
        <v>4.7438307510285001E-2</v>
      </c>
      <c r="AHD5" s="30">
        <f t="shared" ca="1" si="30"/>
        <v>-4.8889384428855966E-2</v>
      </c>
      <c r="AHE5" s="30">
        <f t="shared" ca="1" si="30"/>
        <v>1.8424286857983231E-2</v>
      </c>
      <c r="AHF5" s="30">
        <f t="shared" ca="1" si="30"/>
        <v>3.2343245346947401E-2</v>
      </c>
      <c r="AHG5" s="30">
        <f t="shared" ca="1" si="30"/>
        <v>4.2478091908765191E-2</v>
      </c>
      <c r="AHH5" s="30">
        <f t="shared" ca="1" si="30"/>
        <v>6.5168515206743174E-2</v>
      </c>
      <c r="AHI5" s="30">
        <f t="shared" ca="1" si="30"/>
        <v>-5.8583177977358146E-2</v>
      </c>
      <c r="AHJ5" s="30">
        <f t="shared" ca="1" si="30"/>
        <v>1.1698534169993016E-3</v>
      </c>
      <c r="AHK5" s="30">
        <f t="shared" ca="1" si="30"/>
        <v>9.2238790516017324E-3</v>
      </c>
      <c r="AHL5" s="30">
        <f t="shared" ca="1" si="30"/>
        <v>-1.2636862370878899E-2</v>
      </c>
      <c r="AHM5" s="30">
        <f t="shared" ca="1" si="30"/>
        <v>1.0379287709456276E-2</v>
      </c>
      <c r="AHN5" s="30">
        <f t="shared" ca="1" si="30"/>
        <v>0.1025496658379605</v>
      </c>
      <c r="AHO5" s="30">
        <f t="shared" ca="1" si="30"/>
        <v>-1.3670252053838943E-2</v>
      </c>
      <c r="AHP5" s="30">
        <f t="shared" ca="1" si="30"/>
        <v>1.5265262835092826E-2</v>
      </c>
      <c r="AHQ5" s="30">
        <f t="shared" ca="1" si="30"/>
        <v>-4.1451876391182259E-2</v>
      </c>
      <c r="AHR5" s="30">
        <f t="shared" ca="1" si="30"/>
        <v>-1.9429831345690401E-2</v>
      </c>
      <c r="AHS5" s="30">
        <f t="shared" ca="1" si="30"/>
        <v>-5.4343566038146919E-2</v>
      </c>
      <c r="AHT5" s="30">
        <f t="shared" ca="1" si="31"/>
        <v>3.5820601745036956E-2</v>
      </c>
      <c r="AHU5" s="30">
        <f t="shared" ca="1" si="31"/>
        <v>-4.5452664070595415E-2</v>
      </c>
      <c r="AHV5" s="30">
        <f t="shared" ca="1" si="31"/>
        <v>-3.0598605710934423E-2</v>
      </c>
      <c r="AHW5" s="30">
        <f t="shared" ca="1" si="31"/>
        <v>-7.3773362249965252E-2</v>
      </c>
      <c r="AHX5" s="30">
        <f t="shared" ca="1" si="31"/>
        <v>8.9915525256905895E-2</v>
      </c>
      <c r="AHY5" s="30">
        <f t="shared" ca="1" si="31"/>
        <v>5.9130648660526967E-2</v>
      </c>
      <c r="AHZ5" s="30">
        <f t="shared" ca="1" si="31"/>
        <v>5.0385473850057871E-2</v>
      </c>
      <c r="AIA5" s="30">
        <f t="shared" ca="1" si="31"/>
        <v>-5.6949437832828319E-2</v>
      </c>
      <c r="AIB5" s="30">
        <f t="shared" ca="1" si="31"/>
        <v>-6.7220728559685156E-3</v>
      </c>
      <c r="AIC5" s="30">
        <f t="shared" ca="1" si="31"/>
        <v>6.7913937295356205E-2</v>
      </c>
      <c r="AID5" s="30">
        <f t="shared" ca="1" si="31"/>
        <v>4.5192459282474118E-2</v>
      </c>
      <c r="AIE5" s="30">
        <f t="shared" ca="1" si="31"/>
        <v>2.0130087033125389E-2</v>
      </c>
      <c r="AIF5" s="30">
        <f t="shared" ca="1" si="31"/>
        <v>-6.4767468408834544E-2</v>
      </c>
      <c r="AIG5" s="30">
        <f t="shared" ca="1" si="31"/>
        <v>-4.4278951144014832E-2</v>
      </c>
      <c r="AIH5" s="30">
        <f t="shared" ca="1" si="31"/>
        <v>4.0137562328740002E-2</v>
      </c>
      <c r="AII5" s="30">
        <f t="shared" ca="1" si="31"/>
        <v>-4.0612565288551131E-2</v>
      </c>
      <c r="AIJ5" s="30">
        <f t="shared" ca="1" si="31"/>
        <v>-5.1729957661055242E-3</v>
      </c>
      <c r="AIK5" s="30">
        <f t="shared" ca="1" si="31"/>
        <v>-3.0273285482375213E-2</v>
      </c>
      <c r="AIL5" s="30">
        <f t="shared" ca="1" si="31"/>
        <v>3.3258748569803894E-3</v>
      </c>
      <c r="AIM5" s="30">
        <f t="shared" ca="1" si="31"/>
        <v>2.5979987263287752E-2</v>
      </c>
      <c r="AIN5" s="30">
        <f t="shared" ca="1" si="31"/>
        <v>-1.0047986722799154E-2</v>
      </c>
      <c r="AIO5" s="30">
        <f t="shared" ca="1" si="31"/>
        <v>-9.5472179130547605E-3</v>
      </c>
      <c r="AIP5" s="30">
        <f t="shared" ca="1" si="31"/>
        <v>6.9830362486840727E-2</v>
      </c>
      <c r="AIQ5" s="30">
        <f t="shared" ca="1" si="31"/>
        <v>-3.0064500285845702E-2</v>
      </c>
      <c r="AIR5" s="30">
        <f t="shared" ca="1" si="31"/>
        <v>-2.4149429081979989E-2</v>
      </c>
      <c r="AIS5" s="30">
        <f t="shared" ca="1" si="31"/>
        <v>1.9528392890774498E-2</v>
      </c>
      <c r="AIT5" s="30">
        <f t="shared" ca="1" si="31"/>
        <v>-4.3880771653415231E-2</v>
      </c>
      <c r="AIU5" s="30">
        <f t="shared" ca="1" si="31"/>
        <v>2.4276847896295434E-3</v>
      </c>
      <c r="AIV5" s="30">
        <f t="shared" ca="1" si="31"/>
        <v>2.791315917516789E-3</v>
      </c>
      <c r="AIW5" s="30">
        <f t="shared" ca="1" si="31"/>
        <v>2.095058106867578E-2</v>
      </c>
      <c r="AIX5" s="30">
        <f t="shared" ca="1" si="31"/>
        <v>4.8756997855864993E-2</v>
      </c>
      <c r="AIY5" s="30">
        <f t="shared" ca="1" si="31"/>
        <v>-6.0735052938685613E-2</v>
      </c>
      <c r="AIZ5" s="30">
        <f t="shared" ca="1" si="31"/>
        <v>2.6202121501113583E-2</v>
      </c>
      <c r="AJA5" s="30">
        <f t="shared" ca="1" si="31"/>
        <v>3.2154535520929332E-2</v>
      </c>
      <c r="AJB5" s="30">
        <f t="shared" ca="1" si="31"/>
        <v>1.8726534694663594E-2</v>
      </c>
      <c r="AJC5" s="30">
        <f t="shared" ca="1" si="31"/>
        <v>3.3046250090178426E-2</v>
      </c>
      <c r="AJD5" s="30">
        <f t="shared" ca="1" si="31"/>
        <v>-4.2038669015610408E-3</v>
      </c>
      <c r="AJE5" s="30">
        <f t="shared" ca="1" si="31"/>
        <v>6.3236491719328103E-2</v>
      </c>
      <c r="AJF5" s="30">
        <f t="shared" ca="1" si="31"/>
        <v>3.7222909002754816E-2</v>
      </c>
      <c r="AJG5" s="30">
        <f t="shared" ca="1" si="31"/>
        <v>9.4954494208448717E-2</v>
      </c>
      <c r="AJH5" s="30">
        <f t="shared" ca="1" si="31"/>
        <v>2.0457556557116042E-3</v>
      </c>
      <c r="AJI5" s="30">
        <f t="shared" ca="1" si="31"/>
        <v>-4.3594431378496917E-2</v>
      </c>
      <c r="AJJ5" s="30">
        <f t="shared" ca="1" si="31"/>
        <v>2.6678280933547408E-2</v>
      </c>
      <c r="AJK5" s="30">
        <f t="shared" ca="1" si="31"/>
        <v>-7.1291238951051855E-2</v>
      </c>
      <c r="AJL5" s="30">
        <f t="shared" ca="1" si="31"/>
        <v>1.4043867074666358E-2</v>
      </c>
      <c r="AJM5" s="30">
        <f t="shared" ca="1" si="31"/>
        <v>-2.0988641015373777E-2</v>
      </c>
      <c r="AJN5" s="30">
        <f t="shared" ca="1" si="31"/>
        <v>6.1635515572931142E-3</v>
      </c>
      <c r="AJO5" s="30">
        <f t="shared" ca="1" si="31"/>
        <v>5.0943349999550162E-3</v>
      </c>
      <c r="AJP5" s="30">
        <f t="shared" ca="1" si="31"/>
        <v>2.0449656889732918E-3</v>
      </c>
      <c r="AJQ5" s="30">
        <f t="shared" ca="1" si="31"/>
        <v>6.9869516883420385E-2</v>
      </c>
      <c r="AJR5" s="30">
        <f t="shared" ca="1" si="31"/>
        <v>1.7616607192955661E-2</v>
      </c>
      <c r="AJS5" s="30">
        <f t="shared" ca="1" si="31"/>
        <v>3.6987092550347662E-2</v>
      </c>
      <c r="AJT5" s="30">
        <f t="shared" ca="1" si="31"/>
        <v>-5.0339986718213568E-2</v>
      </c>
      <c r="AJU5" s="30">
        <f t="shared" ca="1" si="31"/>
        <v>4.4972089119539503E-2</v>
      </c>
      <c r="AJV5" s="30">
        <f t="shared" ca="1" si="31"/>
        <v>1.248792009833658E-2</v>
      </c>
      <c r="AJW5" s="30">
        <f t="shared" ca="1" si="31"/>
        <v>-2.0858495526687032E-2</v>
      </c>
      <c r="AJX5" s="30">
        <f t="shared" ca="1" si="31"/>
        <v>-2.9320122554026995E-2</v>
      </c>
      <c r="AJY5" s="30">
        <f t="shared" ca="1" si="31"/>
        <v>2.567833171316522E-3</v>
      </c>
      <c r="AJZ5" s="30">
        <f t="shared" ca="1" si="31"/>
        <v>-7.9576093762876582E-3</v>
      </c>
      <c r="AKA5" s="30">
        <f t="shared" ca="1" si="31"/>
        <v>4.1529744831445566E-2</v>
      </c>
      <c r="AKB5" s="30">
        <f t="shared" ca="1" si="31"/>
        <v>-5.0285116291420963E-3</v>
      </c>
      <c r="AKC5" s="30">
        <f t="shared" ca="1" si="31"/>
        <v>2.0493682899336758E-3</v>
      </c>
      <c r="AKD5" s="30">
        <f t="shared" ca="1" si="31"/>
        <v>2.3550588946501725E-2</v>
      </c>
      <c r="AKE5" s="30">
        <f t="shared" ca="1" si="31"/>
        <v>-1.5891314413996448E-2</v>
      </c>
      <c r="AKF5" s="30">
        <f t="shared" ca="1" si="32"/>
        <v>-3.6929764576174619E-2</v>
      </c>
      <c r="AKG5" s="30">
        <f t="shared" ca="1" si="32"/>
        <v>6.5762688013328172E-2</v>
      </c>
      <c r="AKH5" s="30">
        <f t="shared" ca="1" si="32"/>
        <v>-2.8785227039450481E-2</v>
      </c>
      <c r="AKI5" s="30">
        <f t="shared" ca="1" si="32"/>
        <v>9.0197369539012584E-2</v>
      </c>
      <c r="AKJ5" s="30">
        <f t="shared" ca="1" si="32"/>
        <v>4.686033376444957E-2</v>
      </c>
      <c r="AKK5" s="30">
        <f t="shared" ca="1" si="32"/>
        <v>3.1369785075641893E-2</v>
      </c>
      <c r="AKL5" s="30">
        <f t="shared" ca="1" si="32"/>
        <v>1.6132492664427296E-2</v>
      </c>
      <c r="AKM5" s="30">
        <f t="shared" ca="1" si="32"/>
        <v>-3.3163995070991152E-2</v>
      </c>
      <c r="AKN5" s="30">
        <f t="shared" ca="1" si="32"/>
        <v>6.7026486316980553E-3</v>
      </c>
      <c r="AKO5" s="30">
        <f t="shared" ca="1" si="32"/>
        <v>4.7266390167499832E-2</v>
      </c>
      <c r="AKP5" s="30">
        <f t="shared" ca="1" si="32"/>
        <v>7.3357274769573114E-2</v>
      </c>
      <c r="AKQ5" s="30">
        <f t="shared" ca="1" si="32"/>
        <v>-3.1863981895283208E-2</v>
      </c>
      <c r="AKR5" s="30">
        <f t="shared" ca="1" si="32"/>
        <v>-7.9170005042431199E-3</v>
      </c>
      <c r="AKS5" s="30">
        <f t="shared" ca="1" si="32"/>
        <v>-3.9720497139468465E-2</v>
      </c>
      <c r="AKT5" s="30">
        <f t="shared" ca="1" si="32"/>
        <v>4.4417216970515101E-2</v>
      </c>
      <c r="AKU5" s="30">
        <f t="shared" ca="1" si="32"/>
        <v>4.4514627252168988E-2</v>
      </c>
      <c r="AKV5" s="30">
        <f t="shared" ca="1" si="32"/>
        <v>-1.0532598289295573E-2</v>
      </c>
      <c r="AKW5" s="30">
        <f t="shared" ca="1" si="32"/>
        <v>5.1230979107401133E-2</v>
      </c>
      <c r="AKX5" s="30">
        <f t="shared" ca="1" si="32"/>
        <v>7.7626527761244749E-2</v>
      </c>
      <c r="AKY5" s="30">
        <f t="shared" ca="1" si="32"/>
        <v>1.8258962789706078E-2</v>
      </c>
      <c r="AKZ5" s="30">
        <f t="shared" ca="1" si="32"/>
        <v>7.4067385585322096E-3</v>
      </c>
      <c r="ALA5" s="30">
        <f t="shared" ca="1" si="32"/>
        <v>-7.4822437289660398E-3</v>
      </c>
      <c r="ALB5" s="30">
        <f t="shared" ca="1" si="32"/>
        <v>4.9433180836439515E-3</v>
      </c>
      <c r="ALC5" s="30">
        <f t="shared" ca="1" si="32"/>
        <v>-2.9771050245591653E-3</v>
      </c>
      <c r="ALD5" s="30">
        <f t="shared" ca="1" si="32"/>
        <v>1.1891104974987634E-2</v>
      </c>
      <c r="ALE5" s="30">
        <f t="shared" ca="1" si="32"/>
        <v>-5.5177771138096326E-2</v>
      </c>
      <c r="ALF5" s="30">
        <f t="shared" ca="1" si="32"/>
        <v>2.1295754426129767E-2</v>
      </c>
      <c r="ALG5" s="30">
        <f t="shared" ca="1" si="32"/>
        <v>-3.0858470113981915E-3</v>
      </c>
      <c r="ALH5" s="30">
        <f t="shared" ca="1" si="32"/>
        <v>-2.1209520146644689E-2</v>
      </c>
      <c r="ALI5" s="30">
        <f t="shared" ca="1" si="32"/>
        <v>-1.7942782898819926E-2</v>
      </c>
      <c r="ALJ5" s="30">
        <f t="shared" ca="1" si="32"/>
        <v>5.8935628972396598E-2</v>
      </c>
      <c r="ALK5" s="30">
        <f t="shared" ca="1" si="32"/>
        <v>-1.3539252581120103E-2</v>
      </c>
      <c r="ALL5" s="30">
        <f t="shared" ca="1" si="32"/>
        <v>2.4510153276088322E-2</v>
      </c>
      <c r="ALM5" s="30">
        <f t="shared" ca="1" si="32"/>
        <v>-5.2570664006728579E-2</v>
      </c>
      <c r="ALN5" s="30">
        <f t="shared" ca="1" si="32"/>
        <v>9.331409547743209E-3</v>
      </c>
      <c r="ALO5" s="30">
        <f t="shared" ca="1" si="32"/>
        <v>9.2730729841127429E-2</v>
      </c>
      <c r="ALP5" s="30">
        <f t="shared" ca="1" si="32"/>
        <v>-5.6359421981062773E-2</v>
      </c>
      <c r="ALQ5" s="30">
        <f t="shared" ca="1" si="32"/>
        <v>-5.9321715558200587E-2</v>
      </c>
      <c r="ALR5" s="30">
        <f t="shared" ca="1" si="32"/>
        <v>3.5172408257618231E-3</v>
      </c>
    </row>
    <row r="6" spans="2:1006" s="29" customFormat="1" x14ac:dyDescent="0.2">
      <c r="F6" s="32">
        <f>F5+1</f>
        <v>3</v>
      </c>
      <c r="G6" s="30">
        <f t="shared" ca="1" si="33"/>
        <v>7.2728054921345165E-3</v>
      </c>
      <c r="H6" s="30">
        <f t="shared" ref="H6:BS9" ca="1" si="34">_xlfn.NORM.INV(RAND(),$C$8,$C$9)</f>
        <v>-5.0441232385910778E-2</v>
      </c>
      <c r="I6" s="30">
        <f t="shared" ca="1" si="34"/>
        <v>-3.4627278341379845E-2</v>
      </c>
      <c r="J6" s="30">
        <f t="shared" ca="1" si="34"/>
        <v>-9.8023991667954263E-3</v>
      </c>
      <c r="K6" s="30">
        <f t="shared" ca="1" si="34"/>
        <v>9.9839910737651111E-2</v>
      </c>
      <c r="L6" s="30">
        <f t="shared" ca="1" si="34"/>
        <v>4.2079971575628525E-2</v>
      </c>
      <c r="M6" s="30">
        <f t="shared" ca="1" si="34"/>
        <v>1.056739606941547E-2</v>
      </c>
      <c r="N6" s="30">
        <f t="shared" ca="1" si="34"/>
        <v>4.1561279425375423E-4</v>
      </c>
      <c r="O6" s="30">
        <f t="shared" ca="1" si="34"/>
        <v>2.0321319636657693E-2</v>
      </c>
      <c r="P6" s="30">
        <f t="shared" ca="1" si="34"/>
        <v>-1.126516029438519E-2</v>
      </c>
      <c r="Q6" s="30">
        <f t="shared" ca="1" si="34"/>
        <v>-6.7269468246972802E-2</v>
      </c>
      <c r="R6" s="30">
        <f t="shared" ca="1" si="34"/>
        <v>2.3247575599893589E-2</v>
      </c>
      <c r="S6" s="30">
        <f t="shared" ca="1" si="34"/>
        <v>-1.5439396403890523E-2</v>
      </c>
      <c r="T6" s="30">
        <f t="shared" ca="1" si="34"/>
        <v>2.8643602837318927E-2</v>
      </c>
      <c r="U6" s="30">
        <f t="shared" ca="1" si="34"/>
        <v>5.6300824304868692E-2</v>
      </c>
      <c r="V6" s="30">
        <f t="shared" ca="1" si="34"/>
        <v>6.3584783490223382E-2</v>
      </c>
      <c r="W6" s="30">
        <f t="shared" ca="1" si="34"/>
        <v>-5.6228347699755652E-3</v>
      </c>
      <c r="X6" s="30">
        <f t="shared" ca="1" si="34"/>
        <v>4.7942858048391587E-2</v>
      </c>
      <c r="Y6" s="30">
        <f t="shared" ca="1" si="34"/>
        <v>-3.0394612368901765E-2</v>
      </c>
      <c r="Z6" s="30">
        <f t="shared" ca="1" si="34"/>
        <v>4.4430555093656395E-3</v>
      </c>
      <c r="AA6" s="30">
        <f t="shared" ca="1" si="34"/>
        <v>-2.0032616503086555E-2</v>
      </c>
      <c r="AB6" s="30">
        <f t="shared" ca="1" si="34"/>
        <v>-4.7678710049998074E-2</v>
      </c>
      <c r="AC6" s="30">
        <f t="shared" ca="1" si="34"/>
        <v>6.2449647441942917E-3</v>
      </c>
      <c r="AD6" s="30">
        <f t="shared" ca="1" si="34"/>
        <v>6.4827192787518459E-2</v>
      </c>
      <c r="AE6" s="30">
        <f t="shared" ca="1" si="34"/>
        <v>1.445430272274786E-2</v>
      </c>
      <c r="AF6" s="30">
        <f t="shared" ca="1" si="34"/>
        <v>-8.184569421548318E-3</v>
      </c>
      <c r="AG6" s="30">
        <f t="shared" ca="1" si="34"/>
        <v>-9.1543649277647771E-2</v>
      </c>
      <c r="AH6" s="30">
        <f t="shared" ca="1" si="34"/>
        <v>-1.5784566108152223E-2</v>
      </c>
      <c r="AI6" s="30">
        <f t="shared" ca="1" si="34"/>
        <v>1.1111629193900567E-2</v>
      </c>
      <c r="AJ6" s="30">
        <f t="shared" ca="1" si="34"/>
        <v>1.9237735487574844E-2</v>
      </c>
      <c r="AK6" s="30">
        <f t="shared" ca="1" si="34"/>
        <v>3.3174198964168122E-2</v>
      </c>
      <c r="AL6" s="30">
        <f t="shared" ca="1" si="34"/>
        <v>2.7858474921248062E-2</v>
      </c>
      <c r="AM6" s="30">
        <f t="shared" ca="1" si="34"/>
        <v>-3.1638825910343088E-2</v>
      </c>
      <c r="AN6" s="30">
        <f t="shared" ca="1" si="34"/>
        <v>3.0159908220195229E-2</v>
      </c>
      <c r="AO6" s="30">
        <f t="shared" ca="1" si="34"/>
        <v>1.6014971270278493E-2</v>
      </c>
      <c r="AP6" s="30">
        <f t="shared" ca="1" si="34"/>
        <v>-9.4195986121538965E-3</v>
      </c>
      <c r="AQ6" s="30">
        <f t="shared" ca="1" si="34"/>
        <v>1.8294516698112249E-2</v>
      </c>
      <c r="AR6" s="30">
        <f t="shared" ca="1" si="34"/>
        <v>-5.9933868857380847E-4</v>
      </c>
      <c r="AS6" s="30">
        <f t="shared" ca="1" si="34"/>
        <v>2.2549516534998693E-2</v>
      </c>
      <c r="AT6" s="30">
        <f t="shared" ca="1" si="34"/>
        <v>-4.8955535105599045E-2</v>
      </c>
      <c r="AU6" s="30">
        <f t="shared" ca="1" si="34"/>
        <v>1.4040839998038533E-2</v>
      </c>
      <c r="AV6" s="30">
        <f t="shared" ca="1" si="34"/>
        <v>-1.7432095516352792E-2</v>
      </c>
      <c r="AW6" s="30">
        <f t="shared" ca="1" si="34"/>
        <v>-1.9345904663067341E-2</v>
      </c>
      <c r="AX6" s="30">
        <f t="shared" ca="1" si="34"/>
        <v>-2.2119490666839912E-2</v>
      </c>
      <c r="AY6" s="30">
        <f t="shared" ca="1" si="34"/>
        <v>4.5991754104542294E-2</v>
      </c>
      <c r="AZ6" s="30">
        <f t="shared" ca="1" si="34"/>
        <v>-1.6443382014837915E-2</v>
      </c>
      <c r="BA6" s="30">
        <f t="shared" ca="1" si="34"/>
        <v>2.0613359299055486E-2</v>
      </c>
      <c r="BB6" s="30">
        <f t="shared" ca="1" si="34"/>
        <v>8.8434618783336014E-2</v>
      </c>
      <c r="BC6" s="30">
        <f t="shared" ca="1" si="34"/>
        <v>-1.9220117051299543E-2</v>
      </c>
      <c r="BD6" s="30">
        <f t="shared" ca="1" si="34"/>
        <v>4.2709491274581034E-2</v>
      </c>
      <c r="BE6" s="30">
        <f t="shared" ca="1" si="34"/>
        <v>4.3741921034741033E-2</v>
      </c>
      <c r="BF6" s="30">
        <f t="shared" ca="1" si="34"/>
        <v>2.2654847613612746E-2</v>
      </c>
      <c r="BG6" s="30">
        <f t="shared" ca="1" si="34"/>
        <v>-2.6356505479097167E-2</v>
      </c>
      <c r="BH6" s="30">
        <f t="shared" ca="1" si="34"/>
        <v>7.369749488922607E-2</v>
      </c>
      <c r="BI6" s="30">
        <f t="shared" ca="1" si="34"/>
        <v>1.5297442873443073E-2</v>
      </c>
      <c r="BJ6" s="30">
        <f t="shared" ca="1" si="34"/>
        <v>8.1196761489108898E-2</v>
      </c>
      <c r="BK6" s="30">
        <f t="shared" ca="1" si="34"/>
        <v>-6.9689996626424826E-3</v>
      </c>
      <c r="BL6" s="30">
        <f t="shared" ca="1" si="34"/>
        <v>3.7367146033687848E-2</v>
      </c>
      <c r="BM6" s="30">
        <f t="shared" ca="1" si="34"/>
        <v>-2.2097829844779312E-2</v>
      </c>
      <c r="BN6" s="30">
        <f t="shared" ca="1" si="34"/>
        <v>6.8116908169519007E-3</v>
      </c>
      <c r="BO6" s="30">
        <f t="shared" ca="1" si="34"/>
        <v>-3.8886365726349875E-2</v>
      </c>
      <c r="BP6" s="30">
        <f t="shared" ca="1" si="34"/>
        <v>-4.0367140093203219E-2</v>
      </c>
      <c r="BQ6" s="30">
        <f t="shared" ca="1" si="34"/>
        <v>-4.2859632131778576E-2</v>
      </c>
      <c r="BR6" s="30">
        <f t="shared" ca="1" si="34"/>
        <v>-1.5134250830146731E-2</v>
      </c>
      <c r="BS6" s="30">
        <f t="shared" ca="1" si="34"/>
        <v>-8.3236796133049254E-2</v>
      </c>
      <c r="BT6" s="30">
        <f t="shared" ca="1" si="18"/>
        <v>5.6432561758237409E-2</v>
      </c>
      <c r="BU6" s="30">
        <f t="shared" ca="1" si="18"/>
        <v>-4.2242753561255203E-2</v>
      </c>
      <c r="BV6" s="30">
        <f t="shared" ca="1" si="18"/>
        <v>-1.6846121034521801E-2</v>
      </c>
      <c r="BW6" s="30">
        <f t="shared" ca="1" si="18"/>
        <v>1.9577912421312391E-2</v>
      </c>
      <c r="BX6" s="30">
        <f t="shared" ca="1" si="18"/>
        <v>9.0984831619864592E-2</v>
      </c>
      <c r="BY6" s="30">
        <f t="shared" ca="1" si="18"/>
        <v>-3.0538486027469336E-2</v>
      </c>
      <c r="BZ6" s="30">
        <f t="shared" ca="1" si="18"/>
        <v>-9.1601012428107031E-2</v>
      </c>
      <c r="CA6" s="30">
        <f t="shared" ca="1" si="18"/>
        <v>2.9168745523515647E-2</v>
      </c>
      <c r="CB6" s="30">
        <f t="shared" ca="1" si="18"/>
        <v>-4.0919053897634373E-2</v>
      </c>
      <c r="CC6" s="30">
        <f t="shared" ca="1" si="18"/>
        <v>2.2889074994370161E-2</v>
      </c>
      <c r="CD6" s="30">
        <f t="shared" ca="1" si="18"/>
        <v>-5.1454621438547628E-2</v>
      </c>
      <c r="CE6" s="30">
        <f t="shared" ca="1" si="18"/>
        <v>-3.0079175644999673E-4</v>
      </c>
      <c r="CF6" s="30">
        <f t="shared" ca="1" si="18"/>
        <v>5.1894383473890741E-2</v>
      </c>
      <c r="CG6" s="30">
        <f t="shared" ca="1" si="18"/>
        <v>2.8720772853151794E-2</v>
      </c>
      <c r="CH6" s="30">
        <f t="shared" ca="1" si="18"/>
        <v>-6.1214346318279895E-3</v>
      </c>
      <c r="CI6" s="30">
        <f t="shared" ca="1" si="18"/>
        <v>-3.5038412367440017E-3</v>
      </c>
      <c r="CJ6" s="30">
        <f t="shared" ca="1" si="18"/>
        <v>1.8219991607129882E-2</v>
      </c>
      <c r="CK6" s="30">
        <f t="shared" ca="1" si="18"/>
        <v>-3.9673618284311048E-2</v>
      </c>
      <c r="CL6" s="30">
        <f t="shared" ca="1" si="18"/>
        <v>1.6629388257356704E-2</v>
      </c>
      <c r="CM6" s="30">
        <f t="shared" ca="1" si="18"/>
        <v>-7.1018137500448754E-3</v>
      </c>
      <c r="CN6" s="30">
        <f t="shared" ca="1" si="18"/>
        <v>-2.8880854338925534E-2</v>
      </c>
      <c r="CO6" s="30">
        <f t="shared" ca="1" si="18"/>
        <v>-1.6616048082386821E-2</v>
      </c>
      <c r="CP6" s="30">
        <f t="shared" ca="1" si="18"/>
        <v>-3.7043740111392831E-2</v>
      </c>
      <c r="CQ6" s="30">
        <f t="shared" ca="1" si="18"/>
        <v>-2.4098286637233599E-2</v>
      </c>
      <c r="CR6" s="30">
        <f t="shared" ca="1" si="18"/>
        <v>9.3387466941442544E-3</v>
      </c>
      <c r="CS6" s="30">
        <f t="shared" ca="1" si="18"/>
        <v>4.2082121501412863E-2</v>
      </c>
      <c r="CT6" s="30">
        <f t="shared" ca="1" si="18"/>
        <v>1.9318584786003509E-2</v>
      </c>
      <c r="CU6" s="30">
        <f t="shared" ca="1" si="18"/>
        <v>-3.1002009622522517E-2</v>
      </c>
      <c r="CV6" s="30">
        <f t="shared" ca="1" si="18"/>
        <v>-6.5990559055351963E-2</v>
      </c>
      <c r="CW6" s="30">
        <f t="shared" ca="1" si="18"/>
        <v>3.4066706744994902E-3</v>
      </c>
      <c r="CX6" s="30">
        <f t="shared" ca="1" si="18"/>
        <v>6.9406716241868796E-2</v>
      </c>
      <c r="CY6" s="30">
        <f t="shared" ca="1" si="18"/>
        <v>2.3949933494067911E-2</v>
      </c>
      <c r="CZ6" s="30">
        <f t="shared" ca="1" si="18"/>
        <v>9.0344731576993595E-4</v>
      </c>
      <c r="DA6" s="30">
        <f t="shared" ca="1" si="18"/>
        <v>-9.0859480657092193E-3</v>
      </c>
      <c r="DB6" s="30">
        <f t="shared" ca="1" si="18"/>
        <v>1.1569611223609215E-2</v>
      </c>
      <c r="DC6" s="30">
        <f t="shared" ca="1" si="18"/>
        <v>-2.7450269884695157E-2</v>
      </c>
      <c r="DD6" s="30">
        <f t="shared" ca="1" si="18"/>
        <v>-5.5834351813551147E-2</v>
      </c>
      <c r="DE6" s="30">
        <f t="shared" ca="1" si="18"/>
        <v>4.6661985563497009E-2</v>
      </c>
      <c r="DF6" s="30">
        <f t="shared" ca="1" si="18"/>
        <v>9.0009875985252855E-2</v>
      </c>
      <c r="DG6" s="30">
        <f t="shared" ca="1" si="18"/>
        <v>-4.1032330635220144E-3</v>
      </c>
      <c r="DH6" s="30">
        <f t="shared" ca="1" si="18"/>
        <v>2.8542971949598952E-2</v>
      </c>
      <c r="DI6" s="30">
        <f t="shared" ca="1" si="18"/>
        <v>-3.8833190584551022E-2</v>
      </c>
      <c r="DJ6" s="30">
        <f t="shared" ca="1" si="18"/>
        <v>-9.7716541011201134E-3</v>
      </c>
      <c r="DK6" s="30">
        <f t="shared" ca="1" si="18"/>
        <v>-1.2185574243610884E-2</v>
      </c>
      <c r="DL6" s="30">
        <f t="shared" ca="1" si="18"/>
        <v>-4.4121006190037289E-2</v>
      </c>
      <c r="DM6" s="30">
        <f t="shared" ca="1" si="18"/>
        <v>-6.4050892789818889E-2</v>
      </c>
      <c r="DN6" s="30">
        <f t="shared" ca="1" si="18"/>
        <v>-2.18316934353745E-2</v>
      </c>
      <c r="DO6" s="30">
        <f t="shared" ca="1" si="18"/>
        <v>4.6762029684134284E-3</v>
      </c>
      <c r="DP6" s="30">
        <f t="shared" ca="1" si="18"/>
        <v>-9.1047419846937375E-3</v>
      </c>
      <c r="DQ6" s="30">
        <f t="shared" ca="1" si="18"/>
        <v>-2.5594961023659261E-2</v>
      </c>
      <c r="DR6" s="30">
        <f t="shared" ca="1" si="18"/>
        <v>-3.7605476298039037E-2</v>
      </c>
      <c r="DS6" s="30">
        <f t="shared" ca="1" si="18"/>
        <v>-2.6497224927668084E-2</v>
      </c>
      <c r="DT6" s="30">
        <f t="shared" ca="1" si="18"/>
        <v>-1.6962443688520831E-2</v>
      </c>
      <c r="DU6" s="30">
        <f t="shared" ca="1" si="18"/>
        <v>3.5901802606783897E-2</v>
      </c>
      <c r="DV6" s="30">
        <f t="shared" ca="1" si="18"/>
        <v>-4.8359177890557645E-2</v>
      </c>
      <c r="DW6" s="30">
        <f t="shared" ca="1" si="18"/>
        <v>-4.9372422915118213E-3</v>
      </c>
      <c r="DX6" s="30">
        <f t="shared" ca="1" si="18"/>
        <v>-4.3573538899295203E-2</v>
      </c>
      <c r="DY6" s="30">
        <f t="shared" ca="1" si="18"/>
        <v>2.599104014430445E-2</v>
      </c>
      <c r="DZ6" s="30">
        <f t="shared" ca="1" si="18"/>
        <v>8.6257393741682634E-2</v>
      </c>
      <c r="EA6" s="30">
        <f t="shared" ca="1" si="18"/>
        <v>8.2353126971926247E-2</v>
      </c>
      <c r="EB6" s="30">
        <f t="shared" ca="1" si="18"/>
        <v>2.9976531370741102E-2</v>
      </c>
      <c r="EC6" s="30">
        <f t="shared" ca="1" si="18"/>
        <v>1.9954130382259693E-2</v>
      </c>
      <c r="ED6" s="30">
        <f t="shared" ca="1" si="18"/>
        <v>3.5176102999268599E-2</v>
      </c>
      <c r="EE6" s="30">
        <f t="shared" ca="1" si="18"/>
        <v>-8.3016544998074852E-4</v>
      </c>
      <c r="EF6" s="30">
        <f t="shared" ca="1" si="19"/>
        <v>6.2526548667181632E-3</v>
      </c>
      <c r="EG6" s="30">
        <f t="shared" ca="1" si="19"/>
        <v>7.1923023238139289E-2</v>
      </c>
      <c r="EH6" s="30">
        <f t="shared" ca="1" si="19"/>
        <v>3.678767535321794E-2</v>
      </c>
      <c r="EI6" s="30">
        <f t="shared" ca="1" si="19"/>
        <v>-4.3460144801803595E-3</v>
      </c>
      <c r="EJ6" s="30">
        <f t="shared" ca="1" si="19"/>
        <v>1.1620849411434528E-2</v>
      </c>
      <c r="EK6" s="30">
        <f t="shared" ca="1" si="19"/>
        <v>1.5249413552386792E-2</v>
      </c>
      <c r="EL6" s="30">
        <f t="shared" ca="1" si="19"/>
        <v>7.2610233175310597E-3</v>
      </c>
      <c r="EM6" s="30">
        <f t="shared" ca="1" si="19"/>
        <v>-1.5384739584168205E-2</v>
      </c>
      <c r="EN6" s="30">
        <f t="shared" ca="1" si="19"/>
        <v>3.4083866217852476E-2</v>
      </c>
      <c r="EO6" s="30">
        <f t="shared" ca="1" si="19"/>
        <v>7.0679247430353198E-2</v>
      </c>
      <c r="EP6" s="30">
        <f t="shared" ca="1" si="19"/>
        <v>-3.542162390640205E-2</v>
      </c>
      <c r="EQ6" s="30">
        <f t="shared" ca="1" si="19"/>
        <v>-6.9697866838272227E-2</v>
      </c>
      <c r="ER6" s="30">
        <f t="shared" ca="1" si="19"/>
        <v>1.0190483937097778E-2</v>
      </c>
      <c r="ES6" s="30">
        <f t="shared" ca="1" si="19"/>
        <v>-2.5968723802092256E-2</v>
      </c>
      <c r="ET6" s="30">
        <f t="shared" ca="1" si="19"/>
        <v>-3.1182468069534224E-2</v>
      </c>
      <c r="EU6" s="30">
        <f t="shared" ca="1" si="19"/>
        <v>6.9187872025019512E-2</v>
      </c>
      <c r="EV6" s="30">
        <f t="shared" ca="1" si="19"/>
        <v>2.8748538639363084E-2</v>
      </c>
      <c r="EW6" s="30">
        <f t="shared" ca="1" si="19"/>
        <v>3.2437744564240423E-2</v>
      </c>
      <c r="EX6" s="30">
        <f t="shared" ca="1" si="19"/>
        <v>-3.1529155656832212E-4</v>
      </c>
      <c r="EY6" s="30">
        <f t="shared" ca="1" si="19"/>
        <v>5.783344855722556E-2</v>
      </c>
      <c r="EZ6" s="30">
        <f t="shared" ca="1" si="19"/>
        <v>2.5379436243764812E-2</v>
      </c>
      <c r="FA6" s="30">
        <f t="shared" ca="1" si="19"/>
        <v>5.4273756660583317E-2</v>
      </c>
      <c r="FB6" s="30">
        <f t="shared" ca="1" si="19"/>
        <v>-1.5386338852435028E-2</v>
      </c>
      <c r="FC6" s="30">
        <f t="shared" ca="1" si="19"/>
        <v>-6.32172211125419E-3</v>
      </c>
      <c r="FD6" s="30">
        <f t="shared" ca="1" si="19"/>
        <v>4.8145965877674411E-2</v>
      </c>
      <c r="FE6" s="30">
        <f t="shared" ca="1" si="19"/>
        <v>-3.5680091935544736E-2</v>
      </c>
      <c r="FF6" s="30">
        <f t="shared" ca="1" si="19"/>
        <v>-5.4025592225050482E-2</v>
      </c>
      <c r="FG6" s="30">
        <f t="shared" ca="1" si="19"/>
        <v>3.9327282278648221E-2</v>
      </c>
      <c r="FH6" s="30">
        <f t="shared" ca="1" si="19"/>
        <v>-7.9023017452379309E-3</v>
      </c>
      <c r="FI6" s="30">
        <f t="shared" ca="1" si="19"/>
        <v>2.0397322924977136E-2</v>
      </c>
      <c r="FJ6" s="30">
        <f t="shared" ca="1" si="19"/>
        <v>-4.9344845216799958E-2</v>
      </c>
      <c r="FK6" s="30">
        <f t="shared" ca="1" si="19"/>
        <v>7.1937082213526932E-3</v>
      </c>
      <c r="FL6" s="30">
        <f t="shared" ca="1" si="19"/>
        <v>-0.11403761586318287</v>
      </c>
      <c r="FM6" s="30">
        <f t="shared" ca="1" si="19"/>
        <v>-1.2686553677484167E-2</v>
      </c>
      <c r="FN6" s="30">
        <f t="shared" ca="1" si="19"/>
        <v>4.2708713165687605E-2</v>
      </c>
      <c r="FO6" s="30">
        <f t="shared" ca="1" si="19"/>
        <v>-2.7644243776942558E-2</v>
      </c>
      <c r="FP6" s="30">
        <f t="shared" ca="1" si="19"/>
        <v>-6.6101162326775001E-2</v>
      </c>
      <c r="FQ6" s="30">
        <f t="shared" ca="1" si="19"/>
        <v>1.1470079833302565E-2</v>
      </c>
      <c r="FR6" s="30">
        <f t="shared" ca="1" si="19"/>
        <v>-7.4874783989988397E-3</v>
      </c>
      <c r="FS6" s="30">
        <f t="shared" ca="1" si="19"/>
        <v>8.9322174012800779E-2</v>
      </c>
      <c r="FT6" s="30">
        <f t="shared" ca="1" si="19"/>
        <v>3.2631425613843086E-2</v>
      </c>
      <c r="FU6" s="30">
        <f t="shared" ca="1" si="19"/>
        <v>8.6654086122638207E-3</v>
      </c>
      <c r="FV6" s="30">
        <f t="shared" ca="1" si="19"/>
        <v>-4.144516489456819E-2</v>
      </c>
      <c r="FW6" s="30">
        <f t="shared" ca="1" si="19"/>
        <v>2.323240218098808E-3</v>
      </c>
      <c r="FX6" s="30">
        <f t="shared" ca="1" si="19"/>
        <v>-1.9670969689330464E-3</v>
      </c>
      <c r="FY6" s="30">
        <f t="shared" ca="1" si="19"/>
        <v>7.8648613032115969E-2</v>
      </c>
      <c r="FZ6" s="30">
        <f t="shared" ca="1" si="19"/>
        <v>-9.832566222787921E-3</v>
      </c>
      <c r="GA6" s="30">
        <f t="shared" ca="1" si="19"/>
        <v>8.9433391300756653E-3</v>
      </c>
      <c r="GB6" s="30">
        <f t="shared" ca="1" si="19"/>
        <v>7.3617811091641642E-3</v>
      </c>
      <c r="GC6" s="30">
        <f t="shared" ca="1" si="19"/>
        <v>2.0904603366961927E-2</v>
      </c>
      <c r="GD6" s="30">
        <f t="shared" ca="1" si="19"/>
        <v>2.5262407200387416E-2</v>
      </c>
      <c r="GE6" s="30">
        <f t="shared" ca="1" si="19"/>
        <v>3.3173086273885447E-2</v>
      </c>
      <c r="GF6" s="30">
        <f t="shared" ca="1" si="19"/>
        <v>-2.554434496207085E-2</v>
      </c>
      <c r="GG6" s="30">
        <f t="shared" ca="1" si="19"/>
        <v>-5.817258964592305E-3</v>
      </c>
      <c r="GH6" s="30">
        <f t="shared" ca="1" si="19"/>
        <v>-1.4820377584005076E-2</v>
      </c>
      <c r="GI6" s="30">
        <f t="shared" ca="1" si="19"/>
        <v>-4.8026460362827129E-2</v>
      </c>
      <c r="GJ6" s="30">
        <f t="shared" ca="1" si="19"/>
        <v>-4.5947798780892578E-2</v>
      </c>
      <c r="GK6" s="30">
        <f t="shared" ca="1" si="19"/>
        <v>8.1056559598199802E-3</v>
      </c>
      <c r="GL6" s="30">
        <f t="shared" ca="1" si="19"/>
        <v>-3.9394980138716743E-2</v>
      </c>
      <c r="GM6" s="30">
        <f t="shared" ca="1" si="19"/>
        <v>-2.0558061214432228E-2</v>
      </c>
      <c r="GN6" s="30">
        <f t="shared" ca="1" si="19"/>
        <v>-1.9140624088045507E-2</v>
      </c>
      <c r="GO6" s="30">
        <f t="shared" ca="1" si="19"/>
        <v>-2.0589921405594198E-2</v>
      </c>
      <c r="GP6" s="30">
        <f t="shared" ca="1" si="19"/>
        <v>2.0915666054125863E-2</v>
      </c>
      <c r="GQ6" s="30">
        <f t="shared" ca="1" si="19"/>
        <v>-1.5257129508434455E-2</v>
      </c>
      <c r="GR6" s="30">
        <f t="shared" ca="1" si="20"/>
        <v>1.1078952561721292E-2</v>
      </c>
      <c r="GS6" s="30">
        <f t="shared" ca="1" si="20"/>
        <v>7.213021384141087E-2</v>
      </c>
      <c r="GT6" s="30">
        <f t="shared" ca="1" si="20"/>
        <v>-4.3087035940643545E-2</v>
      </c>
      <c r="GU6" s="30">
        <f t="shared" ca="1" si="20"/>
        <v>5.4939816182735857E-2</v>
      </c>
      <c r="GV6" s="30">
        <f t="shared" ca="1" si="20"/>
        <v>8.7392685075263401E-3</v>
      </c>
      <c r="GW6" s="30">
        <f t="shared" ca="1" si="20"/>
        <v>-9.7757698512861667E-3</v>
      </c>
      <c r="GX6" s="30">
        <f t="shared" ca="1" si="20"/>
        <v>2.8975616388399832E-2</v>
      </c>
      <c r="GY6" s="30">
        <f t="shared" ca="1" si="20"/>
        <v>9.6017792512960651E-2</v>
      </c>
      <c r="GZ6" s="30">
        <f t="shared" ca="1" si="20"/>
        <v>7.2228436805011828E-3</v>
      </c>
      <c r="HA6" s="30">
        <f t="shared" ca="1" si="20"/>
        <v>3.5167639935274046E-2</v>
      </c>
      <c r="HB6" s="30">
        <f t="shared" ca="1" si="20"/>
        <v>-7.5345879610820177E-2</v>
      </c>
      <c r="HC6" s="30">
        <f t="shared" ca="1" si="20"/>
        <v>-2.9184742030357501E-2</v>
      </c>
      <c r="HD6" s="30">
        <f t="shared" ca="1" si="20"/>
        <v>-4.8812228440644048E-2</v>
      </c>
      <c r="HE6" s="30">
        <f t="shared" ca="1" si="20"/>
        <v>-3.3664285204089393E-2</v>
      </c>
      <c r="HF6" s="30">
        <f t="shared" ca="1" si="20"/>
        <v>-2.5691163511849299E-2</v>
      </c>
      <c r="HG6" s="30">
        <f t="shared" ca="1" si="20"/>
        <v>-1.9363191215309168E-2</v>
      </c>
      <c r="HH6" s="30">
        <f t="shared" ca="1" si="20"/>
        <v>2.4367426772559313E-2</v>
      </c>
      <c r="HI6" s="30">
        <f t="shared" ca="1" si="20"/>
        <v>3.8203047217742502E-2</v>
      </c>
      <c r="HJ6" s="30">
        <f t="shared" ca="1" si="20"/>
        <v>2.2708323934533394E-2</v>
      </c>
      <c r="HK6" s="30">
        <f t="shared" ca="1" si="20"/>
        <v>6.7199027945258213E-2</v>
      </c>
      <c r="HL6" s="30">
        <f t="shared" ca="1" si="20"/>
        <v>3.8894659307982041E-2</v>
      </c>
      <c r="HM6" s="30">
        <f t="shared" ca="1" si="20"/>
        <v>1.1233711188878311E-2</v>
      </c>
      <c r="HN6" s="30">
        <f t="shared" ca="1" si="20"/>
        <v>-9.6377839644204051E-3</v>
      </c>
      <c r="HO6" s="30">
        <f t="shared" ca="1" si="20"/>
        <v>6.0158802390772703E-2</v>
      </c>
      <c r="HP6" s="30">
        <f t="shared" ca="1" si="20"/>
        <v>4.7379807835857851E-2</v>
      </c>
      <c r="HQ6" s="30">
        <f t="shared" ca="1" si="20"/>
        <v>-4.1492240362364902E-2</v>
      </c>
      <c r="HR6" s="30">
        <f t="shared" ca="1" si="20"/>
        <v>3.9258761529837753E-2</v>
      </c>
      <c r="HS6" s="30">
        <f t="shared" ca="1" si="20"/>
        <v>5.2071539974961979E-2</v>
      </c>
      <c r="HT6" s="30">
        <f t="shared" ca="1" si="20"/>
        <v>-1.5397468690432001E-2</v>
      </c>
      <c r="HU6" s="30">
        <f t="shared" ca="1" si="20"/>
        <v>-1.3420159024912875E-2</v>
      </c>
      <c r="HV6" s="30">
        <f t="shared" ca="1" si="20"/>
        <v>-5.1479419031872448E-2</v>
      </c>
      <c r="HW6" s="30">
        <f t="shared" ca="1" si="20"/>
        <v>3.9031360504313731E-2</v>
      </c>
      <c r="HX6" s="30">
        <f t="shared" ca="1" si="20"/>
        <v>4.8254034105276677E-2</v>
      </c>
      <c r="HY6" s="30">
        <f t="shared" ca="1" si="20"/>
        <v>2.3277319253956572E-3</v>
      </c>
      <c r="HZ6" s="30">
        <f t="shared" ca="1" si="20"/>
        <v>3.8006473252473166E-2</v>
      </c>
      <c r="IA6" s="30">
        <f t="shared" ca="1" si="20"/>
        <v>5.9982611396173892E-3</v>
      </c>
      <c r="IB6" s="30">
        <f t="shared" ca="1" si="20"/>
        <v>5.4206441080338575E-3</v>
      </c>
      <c r="IC6" s="30">
        <f t="shared" ca="1" si="20"/>
        <v>-4.7472186733349651E-3</v>
      </c>
      <c r="ID6" s="30">
        <f t="shared" ca="1" si="20"/>
        <v>5.9109216181493222E-2</v>
      </c>
      <c r="IE6" s="30">
        <f t="shared" ca="1" si="20"/>
        <v>0.10817415070333199</v>
      </c>
      <c r="IF6" s="30">
        <f t="shared" ca="1" si="20"/>
        <v>-8.7869749843444173E-2</v>
      </c>
      <c r="IG6" s="30">
        <f t="shared" ca="1" si="20"/>
        <v>-1.1702244491480336E-2</v>
      </c>
      <c r="IH6" s="30">
        <f t="shared" ca="1" si="20"/>
        <v>-1.6721901449447418E-2</v>
      </c>
      <c r="II6" s="30">
        <f t="shared" ca="1" si="20"/>
        <v>2.6390779944133178E-2</v>
      </c>
      <c r="IJ6" s="30">
        <f t="shared" ca="1" si="20"/>
        <v>1.3109485751320019E-2</v>
      </c>
      <c r="IK6" s="30">
        <f t="shared" ca="1" si="20"/>
        <v>-4.6853204767846775E-2</v>
      </c>
      <c r="IL6" s="30">
        <f t="shared" ca="1" si="20"/>
        <v>2.3666860173329533E-2</v>
      </c>
      <c r="IM6" s="30">
        <f t="shared" ca="1" si="20"/>
        <v>2.5185160820579779E-2</v>
      </c>
      <c r="IN6" s="30">
        <f t="shared" ca="1" si="20"/>
        <v>5.1077106106109946E-3</v>
      </c>
      <c r="IO6" s="30">
        <f t="shared" ca="1" si="20"/>
        <v>9.9402369244662621E-3</v>
      </c>
      <c r="IP6" s="30">
        <f t="shared" ca="1" si="20"/>
        <v>2.6872524810957466E-2</v>
      </c>
      <c r="IQ6" s="30">
        <f t="shared" ca="1" si="20"/>
        <v>-2.9311655128992252E-3</v>
      </c>
      <c r="IR6" s="30">
        <f t="shared" ca="1" si="20"/>
        <v>-2.6742928232513685E-2</v>
      </c>
      <c r="IS6" s="30">
        <f t="shared" ca="1" si="20"/>
        <v>-1.6556984090632728E-3</v>
      </c>
      <c r="IT6" s="30">
        <f t="shared" ca="1" si="20"/>
        <v>-4.7558471877852143E-2</v>
      </c>
      <c r="IU6" s="30">
        <f t="shared" ca="1" si="20"/>
        <v>-7.0962829773798225E-2</v>
      </c>
      <c r="IV6" s="30">
        <f t="shared" ca="1" si="20"/>
        <v>-3.1209059208466158E-2</v>
      </c>
      <c r="IW6" s="30">
        <f t="shared" ca="1" si="20"/>
        <v>-7.7571400738069105E-2</v>
      </c>
      <c r="IX6" s="30">
        <f t="shared" ca="1" si="20"/>
        <v>-4.7681133275219011E-3</v>
      </c>
      <c r="IY6" s="30">
        <f t="shared" ca="1" si="20"/>
        <v>3.0161565428588825E-2</v>
      </c>
      <c r="IZ6" s="30">
        <f t="shared" ca="1" si="20"/>
        <v>8.2837498162524545E-2</v>
      </c>
      <c r="JA6" s="30">
        <f t="shared" ca="1" si="20"/>
        <v>-3.810144564107487E-3</v>
      </c>
      <c r="JB6" s="30">
        <f t="shared" ca="1" si="20"/>
        <v>9.393826745872573E-3</v>
      </c>
      <c r="JC6" s="30">
        <f t="shared" ca="1" si="20"/>
        <v>5.992901945489422E-2</v>
      </c>
      <c r="JD6" s="30">
        <f t="shared" ca="1" si="21"/>
        <v>6.76364510903113E-3</v>
      </c>
      <c r="JE6" s="30">
        <f t="shared" ca="1" si="21"/>
        <v>3.2654061670809441E-2</v>
      </c>
      <c r="JF6" s="30">
        <f t="shared" ca="1" si="21"/>
        <v>5.9838951962943858E-2</v>
      </c>
      <c r="JG6" s="30">
        <f t="shared" ca="1" si="21"/>
        <v>-1.5000806123285949E-2</v>
      </c>
      <c r="JH6" s="30">
        <f t="shared" ca="1" si="21"/>
        <v>1.4045548099159E-2</v>
      </c>
      <c r="JI6" s="30">
        <f t="shared" ca="1" si="21"/>
        <v>5.1884405744190794E-2</v>
      </c>
      <c r="JJ6" s="30">
        <f t="shared" ca="1" si="21"/>
        <v>1.8980307434199255E-2</v>
      </c>
      <c r="JK6" s="30">
        <f t="shared" ca="1" si="21"/>
        <v>-1.5637302667472583E-2</v>
      </c>
      <c r="JL6" s="30">
        <f t="shared" ca="1" si="21"/>
        <v>-4.7462522147051073E-2</v>
      </c>
      <c r="JM6" s="30">
        <f t="shared" ca="1" si="21"/>
        <v>4.2729479986364826E-3</v>
      </c>
      <c r="JN6" s="30">
        <f t="shared" ca="1" si="21"/>
        <v>8.5868624117494494E-3</v>
      </c>
      <c r="JO6" s="30">
        <f t="shared" ca="1" si="21"/>
        <v>1.9933719228096097E-2</v>
      </c>
      <c r="JP6" s="30">
        <f t="shared" ca="1" si="21"/>
        <v>2.5856867473717855E-2</v>
      </c>
      <c r="JQ6" s="30">
        <f t="shared" ca="1" si="21"/>
        <v>-5.2867963378129983E-2</v>
      </c>
      <c r="JR6" s="30">
        <f t="shared" ca="1" si="21"/>
        <v>-6.8191485546080025E-3</v>
      </c>
      <c r="JS6" s="30">
        <f t="shared" ca="1" si="21"/>
        <v>5.8092256076739323E-4</v>
      </c>
      <c r="JT6" s="30">
        <f t="shared" ca="1" si="21"/>
        <v>4.4908951781827196E-2</v>
      </c>
      <c r="JU6" s="30">
        <f t="shared" ca="1" si="21"/>
        <v>1.9598140886924343E-3</v>
      </c>
      <c r="JV6" s="30">
        <f t="shared" ca="1" si="21"/>
        <v>4.9150438841558661E-2</v>
      </c>
      <c r="JW6" s="30">
        <f t="shared" ca="1" si="21"/>
        <v>-9.8352646191146825E-4</v>
      </c>
      <c r="JX6" s="30">
        <f t="shared" ca="1" si="21"/>
        <v>-2.7459284103020627E-2</v>
      </c>
      <c r="JY6" s="30">
        <f t="shared" ca="1" si="21"/>
        <v>2.5095294856388489E-2</v>
      </c>
      <c r="JZ6" s="30">
        <f t="shared" ca="1" si="21"/>
        <v>3.873811314420407E-2</v>
      </c>
      <c r="KA6" s="30">
        <f t="shared" ca="1" si="21"/>
        <v>-5.8945261660958953E-2</v>
      </c>
      <c r="KB6" s="30">
        <f t="shared" ca="1" si="21"/>
        <v>2.159084256560001E-2</v>
      </c>
      <c r="KC6" s="30">
        <f t="shared" ca="1" si="21"/>
        <v>3.4908340288069589E-3</v>
      </c>
      <c r="KD6" s="30">
        <f t="shared" ca="1" si="21"/>
        <v>2.5020169937448808E-2</v>
      </c>
      <c r="KE6" s="30">
        <f t="shared" ca="1" si="21"/>
        <v>6.461970418859854E-3</v>
      </c>
      <c r="KF6" s="30">
        <f t="shared" ca="1" si="21"/>
        <v>-3.6036087147838132E-5</v>
      </c>
      <c r="KG6" s="30">
        <f t="shared" ca="1" si="21"/>
        <v>6.3015697380610955E-2</v>
      </c>
      <c r="KH6" s="30">
        <f t="shared" ca="1" si="21"/>
        <v>4.172132557892911E-3</v>
      </c>
      <c r="KI6" s="30">
        <f t="shared" ca="1" si="21"/>
        <v>-5.9085795008356111E-2</v>
      </c>
      <c r="KJ6" s="30">
        <f t="shared" ca="1" si="21"/>
        <v>7.6382710269553289E-2</v>
      </c>
      <c r="KK6" s="30">
        <f t="shared" ca="1" si="21"/>
        <v>2.6061109680558421E-2</v>
      </c>
      <c r="KL6" s="30">
        <f t="shared" ca="1" si="21"/>
        <v>-3.695889558523148E-2</v>
      </c>
      <c r="KM6" s="30">
        <f t="shared" ca="1" si="21"/>
        <v>-8.6519464527879484E-3</v>
      </c>
      <c r="KN6" s="30">
        <f t="shared" ca="1" si="21"/>
        <v>-1.3817664679668532E-2</v>
      </c>
      <c r="KO6" s="30">
        <f t="shared" ca="1" si="21"/>
        <v>1.530115188014964E-2</v>
      </c>
      <c r="KP6" s="30">
        <f t="shared" ca="1" si="21"/>
        <v>-4.7716916326071279E-3</v>
      </c>
      <c r="KQ6" s="30">
        <f t="shared" ca="1" si="21"/>
        <v>4.6386313601569154E-2</v>
      </c>
      <c r="KR6" s="30">
        <f t="shared" ca="1" si="21"/>
        <v>-2.5298683855999017E-2</v>
      </c>
      <c r="KS6" s="30">
        <f t="shared" ca="1" si="21"/>
        <v>-7.9737570106927502E-2</v>
      </c>
      <c r="KT6" s="30">
        <f t="shared" ca="1" si="21"/>
        <v>-3.3494354644021493E-2</v>
      </c>
      <c r="KU6" s="30">
        <f t="shared" ca="1" si="21"/>
        <v>-4.7476534170348098E-2</v>
      </c>
      <c r="KV6" s="30">
        <f t="shared" ca="1" si="21"/>
        <v>-1.3133814799134154E-2</v>
      </c>
      <c r="KW6" s="30">
        <f t="shared" ca="1" si="21"/>
        <v>2.0765511682105352E-3</v>
      </c>
      <c r="KX6" s="30">
        <f t="shared" ca="1" si="21"/>
        <v>-1.954925435023426E-2</v>
      </c>
      <c r="KY6" s="30">
        <f t="shared" ca="1" si="21"/>
        <v>-3.2912100694697403E-2</v>
      </c>
      <c r="KZ6" s="30">
        <f t="shared" ca="1" si="21"/>
        <v>-5.8686779612598203E-2</v>
      </c>
      <c r="LA6" s="30">
        <f t="shared" ca="1" si="21"/>
        <v>-1.7809952287498949E-2</v>
      </c>
      <c r="LB6" s="30">
        <f t="shared" ca="1" si="21"/>
        <v>-9.3074782656480236E-3</v>
      </c>
      <c r="LC6" s="30">
        <f t="shared" ca="1" si="21"/>
        <v>4.5990995156748975E-2</v>
      </c>
      <c r="LD6" s="30">
        <f t="shared" ca="1" si="21"/>
        <v>-4.0198984597203086E-2</v>
      </c>
      <c r="LE6" s="30">
        <f t="shared" ca="1" si="21"/>
        <v>4.181143429983137E-2</v>
      </c>
      <c r="LF6" s="30">
        <f t="shared" ca="1" si="21"/>
        <v>-5.0388551779159227E-2</v>
      </c>
      <c r="LG6" s="30">
        <f t="shared" ca="1" si="21"/>
        <v>-2.0062038020703856E-2</v>
      </c>
      <c r="LH6" s="30">
        <f t="shared" ca="1" si="21"/>
        <v>-3.3523457741474791E-2</v>
      </c>
      <c r="LI6" s="30">
        <f t="shared" ca="1" si="21"/>
        <v>-6.237736107208193E-2</v>
      </c>
      <c r="LJ6" s="30">
        <f t="shared" ca="1" si="21"/>
        <v>-3.7898798918051466E-2</v>
      </c>
      <c r="LK6" s="30">
        <f t="shared" ca="1" si="21"/>
        <v>-3.6813804118374566E-2</v>
      </c>
      <c r="LL6" s="30">
        <f t="shared" ca="1" si="21"/>
        <v>-3.9021764818351665E-2</v>
      </c>
      <c r="LM6" s="30">
        <f t="shared" ca="1" si="21"/>
        <v>5.2519206189145538E-2</v>
      </c>
      <c r="LN6" s="30">
        <f t="shared" ca="1" si="21"/>
        <v>0.10085495870510322</v>
      </c>
      <c r="LO6" s="30">
        <f t="shared" ca="1" si="21"/>
        <v>6.5218915884319204E-2</v>
      </c>
      <c r="LP6" s="30">
        <f t="shared" ca="1" si="22"/>
        <v>-9.8113702623959478E-2</v>
      </c>
      <c r="LQ6" s="30">
        <f t="shared" ca="1" si="22"/>
        <v>-2.1201602080414593E-3</v>
      </c>
      <c r="LR6" s="30">
        <f t="shared" ca="1" si="22"/>
        <v>-4.4329464085677103E-2</v>
      </c>
      <c r="LS6" s="30">
        <f t="shared" ca="1" si="22"/>
        <v>2.8293060957234349E-2</v>
      </c>
      <c r="LT6" s="30">
        <f t="shared" ca="1" si="22"/>
        <v>-2.7001685639609823E-3</v>
      </c>
      <c r="LU6" s="30">
        <f t="shared" ca="1" si="22"/>
        <v>-2.8194764715585028E-3</v>
      </c>
      <c r="LV6" s="30">
        <f t="shared" ca="1" si="22"/>
        <v>4.175569530273001E-2</v>
      </c>
      <c r="LW6" s="30">
        <f t="shared" ca="1" si="22"/>
        <v>-1.830295368841079E-3</v>
      </c>
      <c r="LX6" s="30">
        <f t="shared" ca="1" si="22"/>
        <v>0.10677068499035394</v>
      </c>
      <c r="LY6" s="30">
        <f t="shared" ca="1" si="22"/>
        <v>1.6999334092898659E-2</v>
      </c>
      <c r="LZ6" s="30">
        <f t="shared" ca="1" si="22"/>
        <v>5.6202227774283797E-2</v>
      </c>
      <c r="MA6" s="30">
        <f t="shared" ca="1" si="22"/>
        <v>-4.0697707369018683E-2</v>
      </c>
      <c r="MB6" s="30">
        <f t="shared" ca="1" si="22"/>
        <v>2.6762604513587335E-2</v>
      </c>
      <c r="MC6" s="30">
        <f t="shared" ca="1" si="22"/>
        <v>1.137198327677459E-2</v>
      </c>
      <c r="MD6" s="30">
        <f t="shared" ca="1" si="22"/>
        <v>-7.5184124546469652E-2</v>
      </c>
      <c r="ME6" s="30">
        <f t="shared" ca="1" si="22"/>
        <v>-5.9656505685828094E-2</v>
      </c>
      <c r="MF6" s="30">
        <f t="shared" ca="1" si="22"/>
        <v>-4.789768438647303E-2</v>
      </c>
      <c r="MG6" s="30">
        <f t="shared" ca="1" si="22"/>
        <v>-6.3503935117651192E-3</v>
      </c>
      <c r="MH6" s="30">
        <f t="shared" ca="1" si="22"/>
        <v>-6.3100063279568838E-2</v>
      </c>
      <c r="MI6" s="30">
        <f t="shared" ca="1" si="22"/>
        <v>-6.7980372596238473E-2</v>
      </c>
      <c r="MJ6" s="30">
        <f t="shared" ca="1" si="22"/>
        <v>-1.1966269130046159E-2</v>
      </c>
      <c r="MK6" s="30">
        <f t="shared" ca="1" si="22"/>
        <v>6.4112102676950264E-2</v>
      </c>
      <c r="ML6" s="30">
        <f t="shared" ca="1" si="22"/>
        <v>-2.1716195183129471E-2</v>
      </c>
      <c r="MM6" s="30">
        <f t="shared" ca="1" si="22"/>
        <v>-1.1508850860182339E-3</v>
      </c>
      <c r="MN6" s="30">
        <f t="shared" ca="1" si="22"/>
        <v>-5.4780231788261219E-2</v>
      </c>
      <c r="MO6" s="30">
        <f t="shared" ca="1" si="22"/>
        <v>-2.7217116431665574E-2</v>
      </c>
      <c r="MP6" s="30">
        <f t="shared" ca="1" si="22"/>
        <v>-1.0906937537521977E-2</v>
      </c>
      <c r="MQ6" s="30">
        <f t="shared" ca="1" si="22"/>
        <v>-6.1783199086358678E-3</v>
      </c>
      <c r="MR6" s="30">
        <f t="shared" ca="1" si="22"/>
        <v>-1.7386660315788404E-2</v>
      </c>
      <c r="MS6" s="30">
        <f t="shared" ca="1" si="22"/>
        <v>-1.9044496608336851E-2</v>
      </c>
      <c r="MT6" s="30">
        <f t="shared" ca="1" si="22"/>
        <v>-4.1403857585503259E-2</v>
      </c>
      <c r="MU6" s="30">
        <f t="shared" ca="1" si="22"/>
        <v>5.3490191557395296E-2</v>
      </c>
      <c r="MV6" s="30">
        <f t="shared" ca="1" si="22"/>
        <v>6.4805874600946695E-2</v>
      </c>
      <c r="MW6" s="30">
        <f t="shared" ca="1" si="22"/>
        <v>1.693841295392113E-2</v>
      </c>
      <c r="MX6" s="30">
        <f t="shared" ca="1" si="22"/>
        <v>2.5468467894746456E-2</v>
      </c>
      <c r="MY6" s="30">
        <f t="shared" ca="1" si="22"/>
        <v>7.6799457962069837E-3</v>
      </c>
      <c r="MZ6" s="30">
        <f t="shared" ca="1" si="22"/>
        <v>5.5413282840029734E-2</v>
      </c>
      <c r="NA6" s="30">
        <f t="shared" ca="1" si="22"/>
        <v>6.5902564489095136E-2</v>
      </c>
      <c r="NB6" s="30">
        <f t="shared" ca="1" si="22"/>
        <v>-1.3580748927699289E-2</v>
      </c>
      <c r="NC6" s="30">
        <f t="shared" ca="1" si="22"/>
        <v>1.6373773679914477E-2</v>
      </c>
      <c r="ND6" s="30">
        <f t="shared" ca="1" si="22"/>
        <v>1.3293803981140816E-2</v>
      </c>
      <c r="NE6" s="30">
        <f t="shared" ca="1" si="22"/>
        <v>4.2855344723260871E-2</v>
      </c>
      <c r="NF6" s="30">
        <f t="shared" ca="1" si="22"/>
        <v>1.545974459783577E-2</v>
      </c>
      <c r="NG6" s="30">
        <f t="shared" ca="1" si="22"/>
        <v>-1.2673646377554816E-2</v>
      </c>
      <c r="NH6" s="30">
        <f t="shared" ca="1" si="22"/>
        <v>5.0616809723612148E-2</v>
      </c>
      <c r="NI6" s="30">
        <f t="shared" ca="1" si="22"/>
        <v>-9.9701228741209316E-3</v>
      </c>
      <c r="NJ6" s="30">
        <f t="shared" ca="1" si="22"/>
        <v>3.6725076700272953E-2</v>
      </c>
      <c r="NK6" s="30">
        <f t="shared" ca="1" si="22"/>
        <v>4.8622544322245158E-2</v>
      </c>
      <c r="NL6" s="30">
        <f t="shared" ca="1" si="22"/>
        <v>-7.8409840904294661E-2</v>
      </c>
      <c r="NM6" s="30">
        <f t="shared" ca="1" si="22"/>
        <v>3.6134671782223952E-2</v>
      </c>
      <c r="NN6" s="30">
        <f t="shared" ca="1" si="22"/>
        <v>3.2301666756185801E-2</v>
      </c>
      <c r="NO6" s="30">
        <f t="shared" ca="1" si="22"/>
        <v>1.9021431198828716E-2</v>
      </c>
      <c r="NP6" s="30">
        <f t="shared" ca="1" si="22"/>
        <v>-2.1126024791138613E-2</v>
      </c>
      <c r="NQ6" s="30">
        <f t="shared" ca="1" si="22"/>
        <v>-8.1254184501495574E-2</v>
      </c>
      <c r="NR6" s="30">
        <f t="shared" ca="1" si="22"/>
        <v>7.7623601632803825E-3</v>
      </c>
      <c r="NS6" s="30">
        <f t="shared" ca="1" si="22"/>
        <v>9.1942209695646173E-3</v>
      </c>
      <c r="NT6" s="30">
        <f t="shared" ca="1" si="22"/>
        <v>4.3981748658220556E-2</v>
      </c>
      <c r="NU6" s="30">
        <f t="shared" ca="1" si="22"/>
        <v>2.7124460179343876E-2</v>
      </c>
      <c r="NV6" s="30">
        <f t="shared" ca="1" si="22"/>
        <v>-2.0695415430607166E-2</v>
      </c>
      <c r="NW6" s="30">
        <f t="shared" ca="1" si="22"/>
        <v>-5.417534858368446E-2</v>
      </c>
      <c r="NX6" s="30">
        <f t="shared" ca="1" si="22"/>
        <v>3.4241981870294876E-2</v>
      </c>
      <c r="NY6" s="30">
        <f t="shared" ca="1" si="22"/>
        <v>2.8795782059114422E-3</v>
      </c>
      <c r="NZ6" s="30">
        <f t="shared" ca="1" si="22"/>
        <v>-1.6114835767365637E-2</v>
      </c>
      <c r="OA6" s="30">
        <f t="shared" ca="1" si="22"/>
        <v>-7.9072108174387715E-2</v>
      </c>
      <c r="OB6" s="30">
        <f t="shared" ca="1" si="23"/>
        <v>3.1480327906878866E-2</v>
      </c>
      <c r="OC6" s="30">
        <f t="shared" ca="1" si="23"/>
        <v>-3.9124542704821748E-2</v>
      </c>
      <c r="OD6" s="30">
        <f t="shared" ca="1" si="23"/>
        <v>3.2837662937252494E-2</v>
      </c>
      <c r="OE6" s="30">
        <f t="shared" ca="1" si="23"/>
        <v>6.4701702005484155E-2</v>
      </c>
      <c r="OF6" s="30">
        <f t="shared" ca="1" si="23"/>
        <v>-1.7392667052192515E-2</v>
      </c>
      <c r="OG6" s="30">
        <f t="shared" ca="1" si="23"/>
        <v>3.6703268835762963E-2</v>
      </c>
      <c r="OH6" s="30">
        <f t="shared" ca="1" si="23"/>
        <v>2.6129913463817569E-2</v>
      </c>
      <c r="OI6" s="30">
        <f t="shared" ca="1" si="23"/>
        <v>1.8358918174582926E-2</v>
      </c>
      <c r="OJ6" s="30">
        <f t="shared" ca="1" si="23"/>
        <v>-6.7340209668435153E-2</v>
      </c>
      <c r="OK6" s="30">
        <f t="shared" ca="1" si="23"/>
        <v>-8.8708840529861288E-4</v>
      </c>
      <c r="OL6" s="30">
        <f t="shared" ca="1" si="23"/>
        <v>-1.9917731526966239E-2</v>
      </c>
      <c r="OM6" s="30">
        <f t="shared" ca="1" si="23"/>
        <v>1.6902100867450466E-3</v>
      </c>
      <c r="ON6" s="30">
        <f t="shared" ca="1" si="23"/>
        <v>-1.430932218051742E-3</v>
      </c>
      <c r="OO6" s="30">
        <f t="shared" ca="1" si="23"/>
        <v>5.7441955551284776E-3</v>
      </c>
      <c r="OP6" s="30">
        <f t="shared" ca="1" si="23"/>
        <v>-2.5708784900730225E-3</v>
      </c>
      <c r="OQ6" s="30">
        <f t="shared" ca="1" si="23"/>
        <v>-5.1688059329683768E-2</v>
      </c>
      <c r="OR6" s="30">
        <f t="shared" ca="1" si="23"/>
        <v>5.6372609966643304E-2</v>
      </c>
      <c r="OS6" s="30">
        <f t="shared" ca="1" si="23"/>
        <v>2.4291109699011793E-3</v>
      </c>
      <c r="OT6" s="30">
        <f t="shared" ca="1" si="23"/>
        <v>9.0896179774368601E-3</v>
      </c>
      <c r="OU6" s="30">
        <f t="shared" ca="1" si="23"/>
        <v>-7.1445561173287472E-3</v>
      </c>
      <c r="OV6" s="30">
        <f t="shared" ca="1" si="23"/>
        <v>-2.3927104130971009E-2</v>
      </c>
      <c r="OW6" s="30">
        <f t="shared" ca="1" si="23"/>
        <v>-2.3437392822404434E-2</v>
      </c>
      <c r="OX6" s="30">
        <f t="shared" ca="1" si="23"/>
        <v>5.485432827846172E-2</v>
      </c>
      <c r="OY6" s="30">
        <f t="shared" ca="1" si="23"/>
        <v>5.1272825914321106E-2</v>
      </c>
      <c r="OZ6" s="30">
        <f t="shared" ca="1" si="23"/>
        <v>2.7846119119926845E-2</v>
      </c>
      <c r="PA6" s="30">
        <f t="shared" ca="1" si="23"/>
        <v>-6.7318718385138629E-2</v>
      </c>
      <c r="PB6" s="30">
        <f t="shared" ca="1" si="23"/>
        <v>-6.8831140718750086E-2</v>
      </c>
      <c r="PC6" s="30">
        <f t="shared" ca="1" si="23"/>
        <v>-3.6249820707252904E-2</v>
      </c>
      <c r="PD6" s="30">
        <f t="shared" ca="1" si="23"/>
        <v>1.6923635672712427E-2</v>
      </c>
      <c r="PE6" s="30">
        <f t="shared" ca="1" si="23"/>
        <v>-8.6616731595219165E-3</v>
      </c>
      <c r="PF6" s="30">
        <f t="shared" ca="1" si="23"/>
        <v>-3.725960326478555E-2</v>
      </c>
      <c r="PG6" s="30">
        <f t="shared" ca="1" si="23"/>
        <v>-7.7092606951902787E-2</v>
      </c>
      <c r="PH6" s="30">
        <f t="shared" ca="1" si="23"/>
        <v>-0.10131869412329288</v>
      </c>
      <c r="PI6" s="30">
        <f t="shared" ca="1" si="23"/>
        <v>2.2353181794652611E-2</v>
      </c>
      <c r="PJ6" s="30">
        <f t="shared" ca="1" si="23"/>
        <v>4.5152448293202384E-2</v>
      </c>
      <c r="PK6" s="30">
        <f t="shared" ca="1" si="23"/>
        <v>-1.413315922360573E-2</v>
      </c>
      <c r="PL6" s="30">
        <f t="shared" ca="1" si="23"/>
        <v>4.0413199930248243E-2</v>
      </c>
      <c r="PM6" s="30">
        <f t="shared" ca="1" si="23"/>
        <v>-5.6987598737179013E-3</v>
      </c>
      <c r="PN6" s="30">
        <f t="shared" ca="1" si="23"/>
        <v>-6.0014111613521963E-3</v>
      </c>
      <c r="PO6" s="30">
        <f t="shared" ca="1" si="23"/>
        <v>1.3429038343101014E-2</v>
      </c>
      <c r="PP6" s="30">
        <f t="shared" ca="1" si="23"/>
        <v>6.1125303172961817E-2</v>
      </c>
      <c r="PQ6" s="30">
        <f t="shared" ca="1" si="23"/>
        <v>2.536553576753477E-2</v>
      </c>
      <c r="PR6" s="30">
        <f t="shared" ca="1" si="23"/>
        <v>2.2347715397241171E-2</v>
      </c>
      <c r="PS6" s="30">
        <f t="shared" ca="1" si="23"/>
        <v>3.1072424671726669E-2</v>
      </c>
      <c r="PT6" s="30">
        <f t="shared" ca="1" si="23"/>
        <v>1.1250666860479399E-2</v>
      </c>
      <c r="PU6" s="30">
        <f t="shared" ca="1" si="23"/>
        <v>3.4174088158617257E-2</v>
      </c>
      <c r="PV6" s="30">
        <f t="shared" ca="1" si="23"/>
        <v>1.6574345649834513E-2</v>
      </c>
      <c r="PW6" s="30">
        <f t="shared" ca="1" si="23"/>
        <v>-4.7093979057983806E-2</v>
      </c>
      <c r="PX6" s="30">
        <f t="shared" ca="1" si="23"/>
        <v>6.3464826195328589E-2</v>
      </c>
      <c r="PY6" s="30">
        <f t="shared" ca="1" si="23"/>
        <v>2.3570302473146523E-2</v>
      </c>
      <c r="PZ6" s="30">
        <f t="shared" ca="1" si="23"/>
        <v>4.0993885286943199E-2</v>
      </c>
      <c r="QA6" s="30">
        <f t="shared" ca="1" si="23"/>
        <v>3.8428108865868831E-2</v>
      </c>
      <c r="QB6" s="30">
        <f t="shared" ca="1" si="23"/>
        <v>-8.2614155840672072E-3</v>
      </c>
      <c r="QC6" s="30">
        <f t="shared" ca="1" si="23"/>
        <v>6.0923087035679856E-2</v>
      </c>
      <c r="QD6" s="30">
        <f t="shared" ca="1" si="23"/>
        <v>-2.0788989213746636E-2</v>
      </c>
      <c r="QE6" s="30">
        <f t="shared" ca="1" si="23"/>
        <v>8.0558320809426182E-2</v>
      </c>
      <c r="QF6" s="30">
        <f t="shared" ca="1" si="23"/>
        <v>7.3647301000926341E-2</v>
      </c>
      <c r="QG6" s="30">
        <f t="shared" ca="1" si="23"/>
        <v>8.6320904201208221E-3</v>
      </c>
      <c r="QH6" s="30">
        <f t="shared" ca="1" si="23"/>
        <v>-3.6570761997513655E-2</v>
      </c>
      <c r="QI6" s="30">
        <f t="shared" ca="1" si="23"/>
        <v>-3.1142339900187693E-2</v>
      </c>
      <c r="QJ6" s="30">
        <f t="shared" ca="1" si="23"/>
        <v>-5.8342265591875084E-3</v>
      </c>
      <c r="QK6" s="30">
        <f t="shared" ca="1" si="23"/>
        <v>1.6785590660888888E-2</v>
      </c>
      <c r="QL6" s="30">
        <f t="shared" ca="1" si="23"/>
        <v>4.6646180319030665E-2</v>
      </c>
      <c r="QM6" s="30">
        <f t="shared" ca="1" si="23"/>
        <v>2.7377465036880846E-2</v>
      </c>
      <c r="QN6" s="30">
        <f t="shared" ca="1" si="24"/>
        <v>-1.3501709859064083E-2</v>
      </c>
      <c r="QO6" s="30">
        <f t="shared" ca="1" si="24"/>
        <v>-6.5696599222833923E-3</v>
      </c>
      <c r="QP6" s="30">
        <f t="shared" ca="1" si="24"/>
        <v>7.458235233708238E-2</v>
      </c>
      <c r="QQ6" s="30">
        <f t="shared" ca="1" si="24"/>
        <v>-4.0932065054375591E-2</v>
      </c>
      <c r="QR6" s="30">
        <f t="shared" ca="1" si="24"/>
        <v>-4.8360572302521825E-2</v>
      </c>
      <c r="QS6" s="30">
        <f t="shared" ca="1" si="24"/>
        <v>-4.8090104736099815E-2</v>
      </c>
      <c r="QT6" s="30">
        <f t="shared" ca="1" si="24"/>
        <v>-3.6587503410927764E-2</v>
      </c>
      <c r="QU6" s="30">
        <f t="shared" ca="1" si="24"/>
        <v>-2.7972236529339948E-3</v>
      </c>
      <c r="QV6" s="30">
        <f t="shared" ca="1" si="24"/>
        <v>-1.0905911916857846E-2</v>
      </c>
      <c r="QW6" s="30">
        <f t="shared" ca="1" si="24"/>
        <v>-4.7084585685738282E-3</v>
      </c>
      <c r="QX6" s="30">
        <f t="shared" ca="1" si="24"/>
        <v>-2.8038959873770416E-2</v>
      </c>
      <c r="QY6" s="30">
        <f t="shared" ca="1" si="24"/>
        <v>4.030713087990101E-2</v>
      </c>
      <c r="QZ6" s="30">
        <f t="shared" ca="1" si="24"/>
        <v>3.5915371632139117E-3</v>
      </c>
      <c r="RA6" s="30">
        <f t="shared" ca="1" si="24"/>
        <v>-3.3973643457104373E-2</v>
      </c>
      <c r="RB6" s="30">
        <f t="shared" ca="1" si="24"/>
        <v>5.463986806437944E-2</v>
      </c>
      <c r="RC6" s="30">
        <f t="shared" ca="1" si="24"/>
        <v>-2.741142920978527E-2</v>
      </c>
      <c r="RD6" s="30">
        <f t="shared" ca="1" si="24"/>
        <v>2.189506642267848E-2</v>
      </c>
      <c r="RE6" s="30">
        <f t="shared" ca="1" si="24"/>
        <v>2.2819030135545915E-2</v>
      </c>
      <c r="RF6" s="30">
        <f t="shared" ca="1" si="24"/>
        <v>-1.8500197760076609E-2</v>
      </c>
      <c r="RG6" s="30">
        <f t="shared" ca="1" si="24"/>
        <v>-1.6337288745238179E-2</v>
      </c>
      <c r="RH6" s="30">
        <f t="shared" ca="1" si="24"/>
        <v>2.9909265284417483E-3</v>
      </c>
      <c r="RI6" s="30">
        <f t="shared" ca="1" si="24"/>
        <v>2.1567374752047633E-2</v>
      </c>
      <c r="RJ6" s="30">
        <f t="shared" ca="1" si="24"/>
        <v>-7.3422228166549679E-4</v>
      </c>
      <c r="RK6" s="30">
        <f t="shared" ca="1" si="24"/>
        <v>3.4108961080261445E-3</v>
      </c>
      <c r="RL6" s="30">
        <f t="shared" ca="1" si="24"/>
        <v>-3.9588576817015601E-2</v>
      </c>
      <c r="RM6" s="30">
        <f t="shared" ca="1" si="24"/>
        <v>4.1569342491138491E-4</v>
      </c>
      <c r="RN6" s="30">
        <f t="shared" ca="1" si="24"/>
        <v>-6.407010603928566E-2</v>
      </c>
      <c r="RO6" s="30">
        <f t="shared" ca="1" si="24"/>
        <v>-3.8105633696518842E-2</v>
      </c>
      <c r="RP6" s="30">
        <f t="shared" ca="1" si="24"/>
        <v>-2.8652828620651391E-3</v>
      </c>
      <c r="RQ6" s="30">
        <f t="shared" ca="1" si="24"/>
        <v>-3.7448207029557389E-2</v>
      </c>
      <c r="RR6" s="30">
        <f t="shared" ca="1" si="24"/>
        <v>7.4964966069166221E-3</v>
      </c>
      <c r="RS6" s="30">
        <f t="shared" ca="1" si="24"/>
        <v>5.356133981845747E-3</v>
      </c>
      <c r="RT6" s="30">
        <f t="shared" ca="1" si="24"/>
        <v>-4.8440429398041239E-2</v>
      </c>
      <c r="RU6" s="30">
        <f t="shared" ca="1" si="24"/>
        <v>7.5494094536618581E-2</v>
      </c>
      <c r="RV6" s="30">
        <f t="shared" ca="1" si="24"/>
        <v>-4.3857990203889752E-2</v>
      </c>
      <c r="RW6" s="30">
        <f t="shared" ca="1" si="24"/>
        <v>-2.6949096702950499E-2</v>
      </c>
      <c r="RX6" s="30">
        <f t="shared" ca="1" si="24"/>
        <v>2.3971996157054681E-2</v>
      </c>
      <c r="RY6" s="30">
        <f t="shared" ca="1" si="24"/>
        <v>1.0337970658171589E-2</v>
      </c>
      <c r="RZ6" s="30">
        <f t="shared" ca="1" si="24"/>
        <v>-2.7487840615755517E-3</v>
      </c>
      <c r="SA6" s="30">
        <f t="shared" ca="1" si="24"/>
        <v>1.1190010893810352E-2</v>
      </c>
      <c r="SB6" s="30">
        <f t="shared" ca="1" si="24"/>
        <v>-3.8109365558317279E-3</v>
      </c>
      <c r="SC6" s="30">
        <f t="shared" ca="1" si="24"/>
        <v>-1.061752202773905E-2</v>
      </c>
      <c r="SD6" s="30">
        <f t="shared" ca="1" si="24"/>
        <v>-6.1825834410609043E-2</v>
      </c>
      <c r="SE6" s="30">
        <f t="shared" ca="1" si="24"/>
        <v>-4.1155966796987721E-2</v>
      </c>
      <c r="SF6" s="30">
        <f t="shared" ca="1" si="24"/>
        <v>-5.123970742804991E-2</v>
      </c>
      <c r="SG6" s="30">
        <f t="shared" ca="1" si="24"/>
        <v>-0.15267002287450993</v>
      </c>
      <c r="SH6" s="30">
        <f t="shared" ca="1" si="24"/>
        <v>3.3278946317604217E-2</v>
      </c>
      <c r="SI6" s="30">
        <f t="shared" ca="1" si="24"/>
        <v>6.5910893945075544E-2</v>
      </c>
      <c r="SJ6" s="30">
        <f t="shared" ca="1" si="24"/>
        <v>4.4200829442488439E-2</v>
      </c>
      <c r="SK6" s="30">
        <f t="shared" ca="1" si="24"/>
        <v>-2.3104961481202221E-2</v>
      </c>
      <c r="SL6" s="30">
        <f t="shared" ca="1" si="24"/>
        <v>-2.7615834898895669E-2</v>
      </c>
      <c r="SM6" s="30">
        <f t="shared" ca="1" si="24"/>
        <v>9.4051092317533665E-3</v>
      </c>
      <c r="SN6" s="30">
        <f t="shared" ca="1" si="24"/>
        <v>-4.3568448855905106E-2</v>
      </c>
      <c r="SO6" s="30">
        <f t="shared" ca="1" si="24"/>
        <v>-2.6704361451704735E-2</v>
      </c>
      <c r="SP6" s="30">
        <f t="shared" ca="1" si="24"/>
        <v>-5.3310086092044386E-3</v>
      </c>
      <c r="SQ6" s="30">
        <f t="shared" ca="1" si="24"/>
        <v>-4.1515293331563827E-2</v>
      </c>
      <c r="SR6" s="30">
        <f t="shared" ca="1" si="24"/>
        <v>3.219998502158896E-2</v>
      </c>
      <c r="SS6" s="30">
        <f t="shared" ca="1" si="24"/>
        <v>5.8571209949760082E-3</v>
      </c>
      <c r="ST6" s="30">
        <f t="shared" ca="1" si="24"/>
        <v>-4.7471501423335082E-2</v>
      </c>
      <c r="SU6" s="30">
        <f t="shared" ca="1" si="24"/>
        <v>1.1247119091445726E-2</v>
      </c>
      <c r="SV6" s="30">
        <f t="shared" ca="1" si="24"/>
        <v>7.6731164589942877E-2</v>
      </c>
      <c r="SW6" s="30">
        <f t="shared" ca="1" si="24"/>
        <v>-9.370518023905379E-2</v>
      </c>
      <c r="SX6" s="30">
        <f t="shared" ca="1" si="24"/>
        <v>-3.6427912561447617E-2</v>
      </c>
      <c r="SY6" s="30">
        <f t="shared" ca="1" si="24"/>
        <v>6.1304690345118942E-2</v>
      </c>
      <c r="SZ6" s="30">
        <f t="shared" ca="1" si="25"/>
        <v>2.7483110745906047E-2</v>
      </c>
      <c r="TA6" s="30">
        <f t="shared" ca="1" si="25"/>
        <v>9.9482592714436038E-4</v>
      </c>
      <c r="TB6" s="30">
        <f t="shared" ca="1" si="25"/>
        <v>5.3432963532902208E-2</v>
      </c>
      <c r="TC6" s="30">
        <f t="shared" ca="1" si="25"/>
        <v>3.41319462878256E-2</v>
      </c>
      <c r="TD6" s="30">
        <f t="shared" ca="1" si="25"/>
        <v>-1.6039065324596855E-2</v>
      </c>
      <c r="TE6" s="30">
        <f t="shared" ca="1" si="25"/>
        <v>2.5317011622263425E-2</v>
      </c>
      <c r="TF6" s="30">
        <f t="shared" ca="1" si="25"/>
        <v>3.0385679338369833E-3</v>
      </c>
      <c r="TG6" s="30">
        <f t="shared" ca="1" si="25"/>
        <v>-3.204385044520571E-3</v>
      </c>
      <c r="TH6" s="30">
        <f t="shared" ca="1" si="25"/>
        <v>2.0710384410772088E-2</v>
      </c>
      <c r="TI6" s="30">
        <f t="shared" ca="1" si="25"/>
        <v>-3.2206774318136816E-2</v>
      </c>
      <c r="TJ6" s="30">
        <f t="shared" ca="1" si="25"/>
        <v>5.2510170224535906E-2</v>
      </c>
      <c r="TK6" s="30">
        <f t="shared" ca="1" si="25"/>
        <v>2.1030108206099969E-2</v>
      </c>
      <c r="TL6" s="30">
        <f t="shared" ca="1" si="25"/>
        <v>-4.4259717907847267E-2</v>
      </c>
      <c r="TM6" s="30">
        <f t="shared" ca="1" si="25"/>
        <v>-1.5691349574265374E-3</v>
      </c>
      <c r="TN6" s="30">
        <f t="shared" ca="1" si="25"/>
        <v>5.372719565246406E-2</v>
      </c>
      <c r="TO6" s="30">
        <f t="shared" ca="1" si="25"/>
        <v>7.0130746854203977E-3</v>
      </c>
      <c r="TP6" s="30">
        <f t="shared" ca="1" si="25"/>
        <v>2.0133785452176923E-3</v>
      </c>
      <c r="TQ6" s="30">
        <f t="shared" ca="1" si="25"/>
        <v>5.6072190947642313E-2</v>
      </c>
      <c r="TR6" s="30">
        <f t="shared" ca="1" si="25"/>
        <v>1.4537384658185212E-2</v>
      </c>
      <c r="TS6" s="30">
        <f t="shared" ca="1" si="25"/>
        <v>-8.3858397469990451E-3</v>
      </c>
      <c r="TT6" s="30">
        <f t="shared" ca="1" si="25"/>
        <v>1.5468013358644618E-2</v>
      </c>
      <c r="TU6" s="30">
        <f t="shared" ca="1" si="25"/>
        <v>4.0905634896681961E-2</v>
      </c>
      <c r="TV6" s="30">
        <f t="shared" ca="1" si="25"/>
        <v>-3.6989409729997799E-2</v>
      </c>
      <c r="TW6" s="30">
        <f t="shared" ca="1" si="25"/>
        <v>-3.3840010000503358E-2</v>
      </c>
      <c r="TX6" s="30">
        <f t="shared" ca="1" si="25"/>
        <v>3.2384675961164219E-2</v>
      </c>
      <c r="TY6" s="30">
        <f t="shared" ca="1" si="25"/>
        <v>5.860338145997937E-2</v>
      </c>
      <c r="TZ6" s="30">
        <f t="shared" ca="1" si="25"/>
        <v>3.0662278635008051E-2</v>
      </c>
      <c r="UA6" s="30">
        <f t="shared" ca="1" si="25"/>
        <v>-5.6436155310593795E-2</v>
      </c>
      <c r="UB6" s="30">
        <f t="shared" ca="1" si="25"/>
        <v>1.0123461282928884E-2</v>
      </c>
      <c r="UC6" s="30">
        <f t="shared" ca="1" si="25"/>
        <v>4.4746617581112341E-2</v>
      </c>
      <c r="UD6" s="30">
        <f t="shared" ca="1" si="25"/>
        <v>1.426147623499519E-2</v>
      </c>
      <c r="UE6" s="30">
        <f t="shared" ca="1" si="25"/>
        <v>-3.8287469598637771E-3</v>
      </c>
      <c r="UF6" s="30">
        <f t="shared" ca="1" si="25"/>
        <v>-4.3666450453153267E-2</v>
      </c>
      <c r="UG6" s="30">
        <f t="shared" ca="1" si="25"/>
        <v>-3.0234889793040419E-2</v>
      </c>
      <c r="UH6" s="30">
        <f t="shared" ca="1" si="25"/>
        <v>-5.3798446498977637E-2</v>
      </c>
      <c r="UI6" s="30">
        <f t="shared" ca="1" si="25"/>
        <v>9.0971707818453713E-3</v>
      </c>
      <c r="UJ6" s="30">
        <f t="shared" ca="1" si="25"/>
        <v>1.3456856167708649E-2</v>
      </c>
      <c r="UK6" s="30">
        <f t="shared" ca="1" si="25"/>
        <v>-0.10547081017958183</v>
      </c>
      <c r="UL6" s="30">
        <f t="shared" ca="1" si="25"/>
        <v>-3.472236454139143E-2</v>
      </c>
      <c r="UM6" s="30">
        <f t="shared" ca="1" si="25"/>
        <v>-2.3622801055657783E-2</v>
      </c>
      <c r="UN6" s="30">
        <f t="shared" ca="1" si="25"/>
        <v>-1.2014992098086958E-3</v>
      </c>
      <c r="UO6" s="30">
        <f t="shared" ca="1" si="25"/>
        <v>-8.5154073634538419E-2</v>
      </c>
      <c r="UP6" s="30">
        <f t="shared" ca="1" si="25"/>
        <v>0.10317438601151806</v>
      </c>
      <c r="UQ6" s="30">
        <f t="shared" ca="1" si="25"/>
        <v>-3.0792508131211309E-2</v>
      </c>
      <c r="UR6" s="30">
        <f t="shared" ca="1" si="25"/>
        <v>-6.3485401621794946E-2</v>
      </c>
      <c r="US6" s="30">
        <f t="shared" ca="1" si="25"/>
        <v>-9.5984414775349865E-3</v>
      </c>
      <c r="UT6" s="30">
        <f t="shared" ca="1" si="25"/>
        <v>5.3396312465965143E-2</v>
      </c>
      <c r="UU6" s="30">
        <f t="shared" ca="1" si="25"/>
        <v>-4.3324715710951506E-2</v>
      </c>
      <c r="UV6" s="30">
        <f t="shared" ca="1" si="25"/>
        <v>-7.5019171069173926E-2</v>
      </c>
      <c r="UW6" s="30">
        <f t="shared" ca="1" si="25"/>
        <v>-3.6444752939998826E-2</v>
      </c>
      <c r="UX6" s="30">
        <f t="shared" ca="1" si="25"/>
        <v>-3.2597574807673675E-2</v>
      </c>
      <c r="UY6" s="30">
        <f t="shared" ca="1" si="25"/>
        <v>-7.9493593043829507E-3</v>
      </c>
      <c r="UZ6" s="30">
        <f t="shared" ca="1" si="25"/>
        <v>-2.5042480066813842E-2</v>
      </c>
      <c r="VA6" s="30">
        <f t="shared" ca="1" si="25"/>
        <v>9.3599285796076015E-2</v>
      </c>
      <c r="VB6" s="30">
        <f t="shared" ca="1" si="25"/>
        <v>-2.5150486462506828E-2</v>
      </c>
      <c r="VC6" s="30">
        <f t="shared" ca="1" si="25"/>
        <v>1.0025508470546493E-2</v>
      </c>
      <c r="VD6" s="30">
        <f t="shared" ca="1" si="25"/>
        <v>-6.0233609119376468E-2</v>
      </c>
      <c r="VE6" s="30">
        <f t="shared" ca="1" si="25"/>
        <v>-3.9494205759806437E-3</v>
      </c>
      <c r="VF6" s="30">
        <f t="shared" ca="1" si="25"/>
        <v>-4.8815097260937093E-2</v>
      </c>
      <c r="VG6" s="30">
        <f t="shared" ca="1" si="25"/>
        <v>-2.6944367936284658E-2</v>
      </c>
      <c r="VH6" s="30">
        <f t="shared" ca="1" si="25"/>
        <v>-3.7798622218109347E-2</v>
      </c>
      <c r="VI6" s="30">
        <f t="shared" ca="1" si="25"/>
        <v>1.1961343492259708E-2</v>
      </c>
      <c r="VJ6" s="30">
        <f t="shared" ca="1" si="25"/>
        <v>5.4728416425310109E-2</v>
      </c>
      <c r="VK6" s="30">
        <f t="shared" ca="1" si="25"/>
        <v>3.0195246933658132E-2</v>
      </c>
      <c r="VL6" s="30">
        <f t="shared" ca="1" si="26"/>
        <v>-1.7140667866605799E-2</v>
      </c>
      <c r="VM6" s="30">
        <f t="shared" ca="1" si="26"/>
        <v>1.135719442093998E-2</v>
      </c>
      <c r="VN6" s="30">
        <f t="shared" ca="1" si="26"/>
        <v>1.3264177418773887E-2</v>
      </c>
      <c r="VO6" s="30">
        <f t="shared" ca="1" si="26"/>
        <v>8.3988323227760821E-4</v>
      </c>
      <c r="VP6" s="30">
        <f t="shared" ca="1" si="26"/>
        <v>7.8609914381496102E-2</v>
      </c>
      <c r="VQ6" s="30">
        <f t="shared" ca="1" si="26"/>
        <v>2.8555690958299478E-3</v>
      </c>
      <c r="VR6" s="30">
        <f t="shared" ca="1" si="26"/>
        <v>4.7358224837838477E-2</v>
      </c>
      <c r="VS6" s="30">
        <f t="shared" ca="1" si="26"/>
        <v>9.1700395163831883E-2</v>
      </c>
      <c r="VT6" s="30">
        <f t="shared" ca="1" si="26"/>
        <v>-3.1984524937033933E-3</v>
      </c>
      <c r="VU6" s="30">
        <f t="shared" ca="1" si="26"/>
        <v>1.6636345939290555E-2</v>
      </c>
      <c r="VV6" s="30">
        <f t="shared" ca="1" si="26"/>
        <v>-4.1174719470529836E-2</v>
      </c>
      <c r="VW6" s="30">
        <f t="shared" ca="1" si="26"/>
        <v>-1.0978348579008161E-2</v>
      </c>
      <c r="VX6" s="30">
        <f t="shared" ca="1" si="26"/>
        <v>-6.3077693166919233E-2</v>
      </c>
      <c r="VY6" s="30">
        <f t="shared" ca="1" si="26"/>
        <v>3.3671795415534125E-2</v>
      </c>
      <c r="VZ6" s="30">
        <f t="shared" ca="1" si="26"/>
        <v>-3.5363231440765815E-2</v>
      </c>
      <c r="WA6" s="30">
        <f t="shared" ca="1" si="26"/>
        <v>-7.9005340364539378E-2</v>
      </c>
      <c r="WB6" s="30">
        <f t="shared" ca="1" si="26"/>
        <v>-2.3253867619003533E-2</v>
      </c>
      <c r="WC6" s="30">
        <f t="shared" ca="1" si="26"/>
        <v>-1.3111047424605027E-2</v>
      </c>
      <c r="WD6" s="30">
        <f t="shared" ca="1" si="26"/>
        <v>2.5656174745016417E-2</v>
      </c>
      <c r="WE6" s="30">
        <f t="shared" ca="1" si="26"/>
        <v>-5.4297660534721546E-3</v>
      </c>
      <c r="WF6" s="30">
        <f t="shared" ca="1" si="26"/>
        <v>1.4975653844706723E-2</v>
      </c>
      <c r="WG6" s="30">
        <f t="shared" ca="1" si="26"/>
        <v>-3.4957320104689396E-3</v>
      </c>
      <c r="WH6" s="30">
        <f t="shared" ca="1" si="26"/>
        <v>5.9439424890353552E-2</v>
      </c>
      <c r="WI6" s="30">
        <f t="shared" ca="1" si="26"/>
        <v>1.2092769661298046E-2</v>
      </c>
      <c r="WJ6" s="30">
        <f t="shared" ca="1" si="26"/>
        <v>-2.6252455689326687E-2</v>
      </c>
      <c r="WK6" s="30">
        <f t="shared" ca="1" si="26"/>
        <v>2.8621396110547963E-2</v>
      </c>
      <c r="WL6" s="30">
        <f t="shared" ca="1" si="26"/>
        <v>-1.6626553435417371E-2</v>
      </c>
      <c r="WM6" s="30">
        <f t="shared" ca="1" si="26"/>
        <v>-6.6405943252524947E-3</v>
      </c>
      <c r="WN6" s="30">
        <f t="shared" ca="1" si="26"/>
        <v>1.3593972964937305E-2</v>
      </c>
      <c r="WO6" s="30">
        <f t="shared" ca="1" si="26"/>
        <v>-4.8500751715600157E-2</v>
      </c>
      <c r="WP6" s="30">
        <f t="shared" ca="1" si="26"/>
        <v>-1.581806032151889E-2</v>
      </c>
      <c r="WQ6" s="30">
        <f t="shared" ca="1" si="26"/>
        <v>1.5532920353298623E-3</v>
      </c>
      <c r="WR6" s="30">
        <f t="shared" ca="1" si="26"/>
        <v>4.8145617979151387E-2</v>
      </c>
      <c r="WS6" s="30">
        <f t="shared" ca="1" si="26"/>
        <v>-4.007062005339096E-2</v>
      </c>
      <c r="WT6" s="30">
        <f t="shared" ca="1" si="26"/>
        <v>8.245081880995056E-2</v>
      </c>
      <c r="WU6" s="30">
        <f t="shared" ca="1" si="26"/>
        <v>2.016108847357978E-2</v>
      </c>
      <c r="WV6" s="30">
        <f t="shared" ca="1" si="26"/>
        <v>-6.5552764305951652E-2</v>
      </c>
      <c r="WW6" s="30">
        <f t="shared" ca="1" si="26"/>
        <v>-9.0197369156673132E-3</v>
      </c>
      <c r="WX6" s="30">
        <f t="shared" ca="1" si="26"/>
        <v>2.018080082028896E-2</v>
      </c>
      <c r="WY6" s="30">
        <f t="shared" ca="1" si="26"/>
        <v>-3.3726995807758016E-2</v>
      </c>
      <c r="WZ6" s="30">
        <f t="shared" ca="1" si="26"/>
        <v>3.4686522402036138E-2</v>
      </c>
      <c r="XA6" s="30">
        <f t="shared" ca="1" si="26"/>
        <v>-5.0423381119114506E-2</v>
      </c>
      <c r="XB6" s="30">
        <f t="shared" ca="1" si="26"/>
        <v>-3.7503679676269851E-2</v>
      </c>
      <c r="XC6" s="30">
        <f t="shared" ca="1" si="26"/>
        <v>3.0582763215098143E-2</v>
      </c>
      <c r="XD6" s="30">
        <f t="shared" ca="1" si="26"/>
        <v>-2.9680570182900989E-2</v>
      </c>
      <c r="XE6" s="30">
        <f t="shared" ca="1" si="26"/>
        <v>3.5661379697307018E-2</v>
      </c>
      <c r="XF6" s="30">
        <f t="shared" ca="1" si="26"/>
        <v>4.7915845595138423E-2</v>
      </c>
      <c r="XG6" s="30">
        <f t="shared" ca="1" si="26"/>
        <v>2.9851013771273458E-3</v>
      </c>
      <c r="XH6" s="30">
        <f t="shared" ca="1" si="26"/>
        <v>4.028001219542026E-2</v>
      </c>
      <c r="XI6" s="30">
        <f t="shared" ca="1" si="26"/>
        <v>-6.7239040118530682E-3</v>
      </c>
      <c r="XJ6" s="30">
        <f t="shared" ca="1" si="26"/>
        <v>-6.899352864099316E-2</v>
      </c>
      <c r="XK6" s="30">
        <f t="shared" ca="1" si="26"/>
        <v>-2.7308403525138591E-2</v>
      </c>
      <c r="XL6" s="30">
        <f t="shared" ca="1" si="26"/>
        <v>3.4621485029982468E-2</v>
      </c>
      <c r="XM6" s="30">
        <f t="shared" ca="1" si="26"/>
        <v>-1.527904543677706E-2</v>
      </c>
      <c r="XN6" s="30">
        <f t="shared" ca="1" si="26"/>
        <v>5.9180818774061006E-2</v>
      </c>
      <c r="XO6" s="30">
        <f t="shared" ca="1" si="26"/>
        <v>-2.4755890505261526E-2</v>
      </c>
      <c r="XP6" s="30">
        <f t="shared" ca="1" si="26"/>
        <v>3.4146131834641609E-2</v>
      </c>
      <c r="XQ6" s="30">
        <f t="shared" ca="1" si="26"/>
        <v>-2.1661034316001342E-2</v>
      </c>
      <c r="XR6" s="30">
        <f t="shared" ca="1" si="26"/>
        <v>1.6760620249483736E-2</v>
      </c>
      <c r="XS6" s="30">
        <f t="shared" ca="1" si="26"/>
        <v>-8.3911382614647326E-2</v>
      </c>
      <c r="XT6" s="30">
        <f t="shared" ca="1" si="26"/>
        <v>2.564083145806843E-2</v>
      </c>
      <c r="XU6" s="30">
        <f t="shared" ca="1" si="26"/>
        <v>-5.6618141759288754E-2</v>
      </c>
      <c r="XV6" s="30">
        <f t="shared" ca="1" si="26"/>
        <v>6.6952891329832755E-5</v>
      </c>
      <c r="XW6" s="30">
        <f t="shared" ca="1" si="26"/>
        <v>1.9567044454512881E-2</v>
      </c>
      <c r="XX6" s="30">
        <f t="shared" ca="1" si="27"/>
        <v>-2.4312066002956673E-2</v>
      </c>
      <c r="XY6" s="30">
        <f t="shared" ca="1" si="27"/>
        <v>-2.336319076724654E-2</v>
      </c>
      <c r="XZ6" s="30">
        <f t="shared" ca="1" si="27"/>
        <v>2.144097428034265E-2</v>
      </c>
      <c r="YA6" s="30">
        <f t="shared" ca="1" si="27"/>
        <v>6.6392549639282358E-2</v>
      </c>
      <c r="YB6" s="30">
        <f t="shared" ca="1" si="27"/>
        <v>-5.7257479504667461E-2</v>
      </c>
      <c r="YC6" s="30">
        <f t="shared" ca="1" si="27"/>
        <v>2.7201091391513065E-2</v>
      </c>
      <c r="YD6" s="30">
        <f t="shared" ca="1" si="27"/>
        <v>9.6968956688359143E-2</v>
      </c>
      <c r="YE6" s="30">
        <f t="shared" ca="1" si="27"/>
        <v>-2.4922273225239804E-2</v>
      </c>
      <c r="YF6" s="30">
        <f t="shared" ca="1" si="27"/>
        <v>1.6322571117288891E-2</v>
      </c>
      <c r="YG6" s="30">
        <f t="shared" ca="1" si="27"/>
        <v>-2.0248856953803532E-2</v>
      </c>
      <c r="YH6" s="30">
        <f t="shared" ca="1" si="27"/>
        <v>2.9503395907778677E-2</v>
      </c>
      <c r="YI6" s="30">
        <f t="shared" ca="1" si="27"/>
        <v>-2.8644993233904969E-2</v>
      </c>
      <c r="YJ6" s="30">
        <f t="shared" ca="1" si="27"/>
        <v>1.7864076570966187E-2</v>
      </c>
      <c r="YK6" s="30">
        <f t="shared" ca="1" si="27"/>
        <v>1.7207742687772733E-2</v>
      </c>
      <c r="YL6" s="30">
        <f t="shared" ca="1" si="27"/>
        <v>-2.7448161291241013E-2</v>
      </c>
      <c r="YM6" s="30">
        <f t="shared" ca="1" si="27"/>
        <v>-1.4604946684052249E-2</v>
      </c>
      <c r="YN6" s="30">
        <f t="shared" ca="1" si="27"/>
        <v>4.3294672394354854E-2</v>
      </c>
      <c r="YO6" s="30">
        <f t="shared" ca="1" si="27"/>
        <v>-9.1848116480741759E-2</v>
      </c>
      <c r="YP6" s="30">
        <f t="shared" ca="1" si="27"/>
        <v>6.3793560195691351E-2</v>
      </c>
      <c r="YQ6" s="30">
        <f t="shared" ca="1" si="27"/>
        <v>-2.5621401700649922E-2</v>
      </c>
      <c r="YR6" s="30">
        <f t="shared" ca="1" si="27"/>
        <v>-9.1803570679224233E-2</v>
      </c>
      <c r="YS6" s="30">
        <f t="shared" ca="1" si="27"/>
        <v>4.2994699607391135E-2</v>
      </c>
      <c r="YT6" s="30">
        <f t="shared" ca="1" si="27"/>
        <v>-3.8171760948628251E-2</v>
      </c>
      <c r="YU6" s="30">
        <f t="shared" ca="1" si="27"/>
        <v>-1.5418728933456007E-2</v>
      </c>
      <c r="YV6" s="30">
        <f t="shared" ca="1" si="27"/>
        <v>1.4219518452175207E-2</v>
      </c>
      <c r="YW6" s="30">
        <f t="shared" ca="1" si="27"/>
        <v>-8.1655897768328059E-2</v>
      </c>
      <c r="YX6" s="30">
        <f t="shared" ca="1" si="27"/>
        <v>-2.3476774440605658E-2</v>
      </c>
      <c r="YY6" s="30">
        <f t="shared" ca="1" si="27"/>
        <v>-3.962964332153289E-2</v>
      </c>
      <c r="YZ6" s="30">
        <f t="shared" ca="1" si="27"/>
        <v>-3.925831293521434E-3</v>
      </c>
      <c r="ZA6" s="30">
        <f t="shared" ca="1" si="27"/>
        <v>-5.5577085537106115E-2</v>
      </c>
      <c r="ZB6" s="30">
        <f t="shared" ca="1" si="27"/>
        <v>6.1325420375807425E-2</v>
      </c>
      <c r="ZC6" s="30">
        <f t="shared" ca="1" si="27"/>
        <v>-8.9944033277412627E-2</v>
      </c>
      <c r="ZD6" s="30">
        <f t="shared" ca="1" si="27"/>
        <v>-6.9909952366062813E-3</v>
      </c>
      <c r="ZE6" s="30">
        <f t="shared" ca="1" si="27"/>
        <v>-2.8055647995292671E-2</v>
      </c>
      <c r="ZF6" s="30">
        <f t="shared" ca="1" si="27"/>
        <v>0.14046172428774875</v>
      </c>
      <c r="ZG6" s="30">
        <f t="shared" ca="1" si="27"/>
        <v>-2.9917581762308958E-2</v>
      </c>
      <c r="ZH6" s="30">
        <f t="shared" ca="1" si="27"/>
        <v>1.2320255164621298E-2</v>
      </c>
      <c r="ZI6" s="30">
        <f t="shared" ca="1" si="27"/>
        <v>7.9404402444250288E-2</v>
      </c>
      <c r="ZJ6" s="30">
        <f t="shared" ca="1" si="27"/>
        <v>-2.0778894315336936E-2</v>
      </c>
      <c r="ZK6" s="30">
        <f t="shared" ca="1" si="27"/>
        <v>3.7833342916640228E-2</v>
      </c>
      <c r="ZL6" s="30">
        <f t="shared" ca="1" si="27"/>
        <v>5.6988086826151682E-2</v>
      </c>
      <c r="ZM6" s="30">
        <f t="shared" ca="1" si="27"/>
        <v>-3.8572254873606481E-3</v>
      </c>
      <c r="ZN6" s="30">
        <f t="shared" ca="1" si="27"/>
        <v>1.1028960880753601E-2</v>
      </c>
      <c r="ZO6" s="30">
        <f t="shared" ca="1" si="27"/>
        <v>-7.5958136183009603E-2</v>
      </c>
      <c r="ZP6" s="30">
        <f t="shared" ca="1" si="27"/>
        <v>4.4660813010142922E-2</v>
      </c>
      <c r="ZQ6" s="30">
        <f t="shared" ca="1" si="27"/>
        <v>7.031116169851824E-2</v>
      </c>
      <c r="ZR6" s="30">
        <f t="shared" ca="1" si="27"/>
        <v>9.9614751928759297E-3</v>
      </c>
      <c r="ZS6" s="30">
        <f t="shared" ca="1" si="27"/>
        <v>2.3313827337097439E-3</v>
      </c>
      <c r="ZT6" s="30">
        <f t="shared" ca="1" si="27"/>
        <v>-3.6142398494789445E-2</v>
      </c>
      <c r="ZU6" s="30">
        <f t="shared" ca="1" si="27"/>
        <v>2.4987518358534715E-3</v>
      </c>
      <c r="ZV6" s="30">
        <f t="shared" ca="1" si="27"/>
        <v>3.4386688375071563E-2</v>
      </c>
      <c r="ZW6" s="30">
        <f t="shared" ca="1" si="27"/>
        <v>-6.0200619029443566E-3</v>
      </c>
      <c r="ZX6" s="30">
        <f t="shared" ca="1" si="27"/>
        <v>-1.1367134003831367E-2</v>
      </c>
      <c r="ZY6" s="30">
        <f t="shared" ca="1" si="27"/>
        <v>-5.1057126505756022E-2</v>
      </c>
      <c r="ZZ6" s="30">
        <f t="shared" ca="1" si="27"/>
        <v>6.8982366347175347E-2</v>
      </c>
      <c r="AAA6" s="30">
        <f t="shared" ca="1" si="27"/>
        <v>4.546381894137609E-3</v>
      </c>
      <c r="AAB6" s="30">
        <f t="shared" ca="1" si="27"/>
        <v>2.1172113549297943E-2</v>
      </c>
      <c r="AAC6" s="30">
        <f t="shared" ca="1" si="27"/>
        <v>3.2985961548221393E-2</v>
      </c>
      <c r="AAD6" s="30">
        <f t="shared" ca="1" si="27"/>
        <v>3.64339403019673E-3</v>
      </c>
      <c r="AAE6" s="30">
        <f t="shared" ca="1" si="27"/>
        <v>-1.3247702152828405E-2</v>
      </c>
      <c r="AAF6" s="30">
        <f t="shared" ca="1" si="27"/>
        <v>-3.3201109189094087E-2</v>
      </c>
      <c r="AAG6" s="30">
        <f t="shared" ca="1" si="27"/>
        <v>-5.2870272380149172E-2</v>
      </c>
      <c r="AAH6" s="30">
        <f t="shared" ca="1" si="27"/>
        <v>1.4606469528245127E-2</v>
      </c>
      <c r="AAI6" s="30">
        <f t="shared" ca="1" si="27"/>
        <v>5.6393427493040327E-2</v>
      </c>
      <c r="AAJ6" s="30">
        <f t="shared" ca="1" si="28"/>
        <v>2.0013437884624678E-2</v>
      </c>
      <c r="AAK6" s="30">
        <f t="shared" ca="1" si="28"/>
        <v>-1.2230973182478068E-2</v>
      </c>
      <c r="AAL6" s="30">
        <f t="shared" ca="1" si="28"/>
        <v>-1.0095406783798069E-2</v>
      </c>
      <c r="AAM6" s="30">
        <f t="shared" ca="1" si="28"/>
        <v>-5.1226938990924779E-2</v>
      </c>
      <c r="AAN6" s="30">
        <f t="shared" ca="1" si="28"/>
        <v>-5.0554755189549886E-3</v>
      </c>
      <c r="AAO6" s="30">
        <f t="shared" ca="1" si="28"/>
        <v>5.5228710412158405E-2</v>
      </c>
      <c r="AAP6" s="30">
        <f t="shared" ca="1" si="28"/>
        <v>-6.0667184344946924E-3</v>
      </c>
      <c r="AAQ6" s="30">
        <f t="shared" ca="1" si="28"/>
        <v>1.1331791908086362E-2</v>
      </c>
      <c r="AAR6" s="30">
        <f t="shared" ca="1" si="28"/>
        <v>2.5021768622874455E-3</v>
      </c>
      <c r="AAS6" s="30">
        <f t="shared" ca="1" si="28"/>
        <v>3.2653212321795015E-2</v>
      </c>
      <c r="AAT6" s="30">
        <f t="shared" ca="1" si="28"/>
        <v>-3.4062340998107739E-2</v>
      </c>
      <c r="AAU6" s="30">
        <f t="shared" ca="1" si="28"/>
        <v>1.9871332742559859E-2</v>
      </c>
      <c r="AAV6" s="30">
        <f t="shared" ca="1" si="28"/>
        <v>2.3094387839300633E-3</v>
      </c>
      <c r="AAW6" s="30">
        <f t="shared" ca="1" si="28"/>
        <v>1.0895346309012415E-3</v>
      </c>
      <c r="AAX6" s="30">
        <f t="shared" ca="1" si="28"/>
        <v>5.8253687883891431E-3</v>
      </c>
      <c r="AAY6" s="30">
        <f t="shared" ca="1" si="28"/>
        <v>4.0864076603913176E-2</v>
      </c>
      <c r="AAZ6" s="30">
        <f t="shared" ca="1" si="28"/>
        <v>3.6179247580644572E-2</v>
      </c>
      <c r="ABA6" s="30">
        <f t="shared" ca="1" si="28"/>
        <v>1.4199150012202597E-2</v>
      </c>
      <c r="ABB6" s="30">
        <f t="shared" ca="1" si="28"/>
        <v>-3.4932316336756204E-2</v>
      </c>
      <c r="ABC6" s="30">
        <f t="shared" ca="1" si="28"/>
        <v>-6.0487149968648573E-3</v>
      </c>
      <c r="ABD6" s="30">
        <f t="shared" ca="1" si="28"/>
        <v>1.1127993115869186E-3</v>
      </c>
      <c r="ABE6" s="30">
        <f t="shared" ca="1" si="28"/>
        <v>1.1195637690054234E-2</v>
      </c>
      <c r="ABF6" s="30">
        <f t="shared" ca="1" si="28"/>
        <v>-3.8759472263817561E-2</v>
      </c>
      <c r="ABG6" s="30">
        <f t="shared" ca="1" si="28"/>
        <v>4.4974543944698462E-3</v>
      </c>
      <c r="ABH6" s="30">
        <f t="shared" ca="1" si="28"/>
        <v>1.434994247450006E-3</v>
      </c>
      <c r="ABI6" s="30">
        <f t="shared" ca="1" si="28"/>
        <v>-7.7491082900583638E-2</v>
      </c>
      <c r="ABJ6" s="30">
        <f t="shared" ca="1" si="28"/>
        <v>-7.7526233178018392E-2</v>
      </c>
      <c r="ABK6" s="30">
        <f t="shared" ca="1" si="28"/>
        <v>-2.0124925191439515E-2</v>
      </c>
      <c r="ABL6" s="30">
        <f t="shared" ca="1" si="28"/>
        <v>2.7949154479765832E-2</v>
      </c>
      <c r="ABM6" s="30">
        <f t="shared" ca="1" si="28"/>
        <v>1.2600577886191467E-3</v>
      </c>
      <c r="ABN6" s="30">
        <f t="shared" ca="1" si="28"/>
        <v>4.2993760962119008E-2</v>
      </c>
      <c r="ABO6" s="30">
        <f t="shared" ca="1" si="28"/>
        <v>4.6870749749519922E-2</v>
      </c>
      <c r="ABP6" s="30">
        <f t="shared" ca="1" si="28"/>
        <v>2.7174546168032356E-2</v>
      </c>
      <c r="ABQ6" s="30">
        <f t="shared" ca="1" si="28"/>
        <v>-1.5569889688501565E-2</v>
      </c>
      <c r="ABR6" s="30">
        <f t="shared" ca="1" si="28"/>
        <v>4.1147655380454375E-2</v>
      </c>
      <c r="ABS6" s="30">
        <f t="shared" ca="1" si="28"/>
        <v>5.2225027022075869E-2</v>
      </c>
      <c r="ABT6" s="30">
        <f t="shared" ca="1" si="28"/>
        <v>2.8488383526487238E-2</v>
      </c>
      <c r="ABU6" s="30">
        <f t="shared" ca="1" si="28"/>
        <v>1.0124406172618321E-2</v>
      </c>
      <c r="ABV6" s="30">
        <f t="shared" ca="1" si="28"/>
        <v>-2.8353295707741203E-2</v>
      </c>
      <c r="ABW6" s="30">
        <f t="shared" ca="1" si="28"/>
        <v>-2.4056325128458685E-2</v>
      </c>
      <c r="ABX6" s="30">
        <f t="shared" ca="1" si="28"/>
        <v>3.2786432338534166E-3</v>
      </c>
      <c r="ABY6" s="30">
        <f t="shared" ca="1" si="28"/>
        <v>2.0158386174910971E-2</v>
      </c>
      <c r="ABZ6" s="30">
        <f t="shared" ca="1" si="28"/>
        <v>4.7249128827601419E-2</v>
      </c>
      <c r="ACA6" s="30">
        <f t="shared" ca="1" si="28"/>
        <v>2.1595245182521325E-4</v>
      </c>
      <c r="ACB6" s="30">
        <f t="shared" ca="1" si="28"/>
        <v>0.11525293024692972</v>
      </c>
      <c r="ACC6" s="30">
        <f t="shared" ca="1" si="28"/>
        <v>3.5214515824683171E-2</v>
      </c>
      <c r="ACD6" s="30">
        <f t="shared" ca="1" si="28"/>
        <v>-1.1405583799944193E-2</v>
      </c>
      <c r="ACE6" s="30">
        <f t="shared" ca="1" si="28"/>
        <v>3.5343968490588407E-2</v>
      </c>
      <c r="ACF6" s="30">
        <f t="shared" ca="1" si="28"/>
        <v>-3.0482805084147573E-2</v>
      </c>
      <c r="ACG6" s="30">
        <f t="shared" ca="1" si="28"/>
        <v>-4.875082101780049E-2</v>
      </c>
      <c r="ACH6" s="30">
        <f t="shared" ca="1" si="28"/>
        <v>5.0223042098249765E-2</v>
      </c>
      <c r="ACI6" s="30">
        <f t="shared" ca="1" si="28"/>
        <v>1.392789918494268E-2</v>
      </c>
      <c r="ACJ6" s="30">
        <f t="shared" ca="1" si="28"/>
        <v>3.3913027860314804E-2</v>
      </c>
      <c r="ACK6" s="30">
        <f t="shared" ca="1" si="28"/>
        <v>4.790129048738509E-2</v>
      </c>
      <c r="ACL6" s="30">
        <f t="shared" ca="1" si="28"/>
        <v>-4.6879378249947742E-2</v>
      </c>
      <c r="ACM6" s="30">
        <f t="shared" ca="1" si="28"/>
        <v>-3.0660696148421901E-2</v>
      </c>
      <c r="ACN6" s="30">
        <f t="shared" ca="1" si="28"/>
        <v>-4.1467284393571502E-2</v>
      </c>
      <c r="ACO6" s="30">
        <f t="shared" ca="1" si="28"/>
        <v>-5.1693677357408357E-3</v>
      </c>
      <c r="ACP6" s="30">
        <f t="shared" ca="1" si="28"/>
        <v>-2.2834669580717167E-2</v>
      </c>
      <c r="ACQ6" s="30">
        <f t="shared" ca="1" si="28"/>
        <v>5.0000359140874532E-3</v>
      </c>
      <c r="ACR6" s="30">
        <f t="shared" ca="1" si="28"/>
        <v>-5.5313986733233421E-2</v>
      </c>
      <c r="ACS6" s="30">
        <f t="shared" ca="1" si="28"/>
        <v>-2.5291328944489103E-2</v>
      </c>
      <c r="ACT6" s="30">
        <f t="shared" ca="1" si="28"/>
        <v>1.2361890297122827E-2</v>
      </c>
      <c r="ACU6" s="30">
        <f t="shared" ca="1" si="28"/>
        <v>-2.8802291154860379E-2</v>
      </c>
      <c r="ACV6" s="30">
        <f t="shared" ca="1" si="29"/>
        <v>1.3611833967687701E-2</v>
      </c>
      <c r="ACW6" s="30">
        <f t="shared" ca="1" si="29"/>
        <v>6.8279726972036159E-2</v>
      </c>
      <c r="ACX6" s="30">
        <f t="shared" ca="1" si="29"/>
        <v>3.1132609460881908E-2</v>
      </c>
      <c r="ACY6" s="30">
        <f t="shared" ca="1" si="29"/>
        <v>-1.425393864152524E-2</v>
      </c>
      <c r="ACZ6" s="30">
        <f t="shared" ca="1" si="29"/>
        <v>5.1514249754873731E-2</v>
      </c>
      <c r="ADA6" s="30">
        <f t="shared" ca="1" si="29"/>
        <v>6.9400861115747767E-2</v>
      </c>
      <c r="ADB6" s="30">
        <f t="shared" ca="1" si="29"/>
        <v>6.7396189370108925E-2</v>
      </c>
      <c r="ADC6" s="30">
        <f t="shared" ca="1" si="29"/>
        <v>7.2631727206523292E-2</v>
      </c>
      <c r="ADD6" s="30">
        <f t="shared" ca="1" si="29"/>
        <v>-4.0285865338200263E-2</v>
      </c>
      <c r="ADE6" s="30">
        <f t="shared" ca="1" si="29"/>
        <v>6.8865982092690334E-2</v>
      </c>
      <c r="ADF6" s="30">
        <f t="shared" ca="1" si="29"/>
        <v>6.488096072237784E-2</v>
      </c>
      <c r="ADG6" s="30">
        <f t="shared" ca="1" si="29"/>
        <v>-1.1942850634650216E-2</v>
      </c>
      <c r="ADH6" s="30">
        <f t="shared" ca="1" si="29"/>
        <v>-8.331353046842585E-3</v>
      </c>
      <c r="ADI6" s="30">
        <f t="shared" ca="1" si="29"/>
        <v>-5.2495436940587621E-2</v>
      </c>
      <c r="ADJ6" s="30">
        <f t="shared" ca="1" si="29"/>
        <v>-3.9896312711601635E-2</v>
      </c>
      <c r="ADK6" s="30">
        <f t="shared" ca="1" si="29"/>
        <v>-3.1076127659063389E-2</v>
      </c>
      <c r="ADL6" s="30">
        <f t="shared" ca="1" si="29"/>
        <v>2.8433997171877907E-2</v>
      </c>
      <c r="ADM6" s="30">
        <f t="shared" ca="1" si="29"/>
        <v>6.9472192916498976E-2</v>
      </c>
      <c r="ADN6" s="30">
        <f t="shared" ca="1" si="29"/>
        <v>-2.2239943815765953E-2</v>
      </c>
      <c r="ADO6" s="30">
        <f t="shared" ca="1" si="29"/>
        <v>-8.5561517241824675E-2</v>
      </c>
      <c r="ADP6" s="30">
        <f t="shared" ca="1" si="29"/>
        <v>-4.7834980200206358E-2</v>
      </c>
      <c r="ADQ6" s="30">
        <f t="shared" ca="1" si="29"/>
        <v>-1.2551322206823996E-3</v>
      </c>
      <c r="ADR6" s="30">
        <f t="shared" ca="1" si="29"/>
        <v>5.6726482114184004E-2</v>
      </c>
      <c r="ADS6" s="30">
        <f t="shared" ca="1" si="29"/>
        <v>-1.0246018339365458E-2</v>
      </c>
      <c r="ADT6" s="30">
        <f t="shared" ca="1" si="29"/>
        <v>-3.2449292253866488E-2</v>
      </c>
      <c r="ADU6" s="30">
        <f t="shared" ca="1" si="29"/>
        <v>-7.0960026794448905E-2</v>
      </c>
      <c r="ADV6" s="30">
        <f t="shared" ca="1" si="29"/>
        <v>4.1862356067141865E-2</v>
      </c>
      <c r="ADW6" s="30">
        <f t="shared" ca="1" si="29"/>
        <v>1.7481124247157715E-2</v>
      </c>
      <c r="ADX6" s="30">
        <f t="shared" ca="1" si="29"/>
        <v>0.14405234025477562</v>
      </c>
      <c r="ADY6" s="30">
        <f t="shared" ca="1" si="29"/>
        <v>-5.3981579372683495E-3</v>
      </c>
      <c r="ADZ6" s="30">
        <f t="shared" ca="1" si="29"/>
        <v>-8.7856685716248099E-3</v>
      </c>
      <c r="AEA6" s="30">
        <f t="shared" ca="1" si="29"/>
        <v>2.5357709939108797E-2</v>
      </c>
      <c r="AEB6" s="30">
        <f t="shared" ca="1" si="29"/>
        <v>3.8186180143486112E-2</v>
      </c>
      <c r="AEC6" s="30">
        <f t="shared" ca="1" si="29"/>
        <v>1.4690167030956231E-2</v>
      </c>
      <c r="AED6" s="30">
        <f t="shared" ca="1" si="29"/>
        <v>1.4637227975338308E-2</v>
      </c>
      <c r="AEE6" s="30">
        <f t="shared" ca="1" si="29"/>
        <v>1.0256283905375196E-2</v>
      </c>
      <c r="AEF6" s="30">
        <f t="shared" ca="1" si="29"/>
        <v>-4.6691809983089992E-2</v>
      </c>
      <c r="AEG6" s="30">
        <f t="shared" ca="1" si="29"/>
        <v>-2.6339296925201469E-2</v>
      </c>
      <c r="AEH6" s="30">
        <f t="shared" ca="1" si="29"/>
        <v>5.0570740148743715E-2</v>
      </c>
      <c r="AEI6" s="30">
        <f t="shared" ca="1" si="29"/>
        <v>2.576268672667701E-2</v>
      </c>
      <c r="AEJ6" s="30">
        <f t="shared" ca="1" si="29"/>
        <v>3.2308641184258816E-2</v>
      </c>
      <c r="AEK6" s="30">
        <f t="shared" ca="1" si="29"/>
        <v>2.7350916040956852E-2</v>
      </c>
      <c r="AEL6" s="30">
        <f t="shared" ca="1" si="29"/>
        <v>5.9016793342291374E-2</v>
      </c>
      <c r="AEM6" s="30">
        <f t="shared" ca="1" si="29"/>
        <v>9.4520512754338537E-2</v>
      </c>
      <c r="AEN6" s="30">
        <f t="shared" ca="1" si="29"/>
        <v>5.9222114534838222E-2</v>
      </c>
      <c r="AEO6" s="30">
        <f t="shared" ca="1" si="29"/>
        <v>3.9993797506614234E-2</v>
      </c>
      <c r="AEP6" s="30">
        <f t="shared" ca="1" si="29"/>
        <v>-4.4101545678874067E-2</v>
      </c>
      <c r="AEQ6" s="30">
        <f t="shared" ca="1" si="29"/>
        <v>-4.1690639685098757E-2</v>
      </c>
      <c r="AER6" s="30">
        <f t="shared" ca="1" si="29"/>
        <v>-4.3196836449116212E-2</v>
      </c>
      <c r="AES6" s="30">
        <f t="shared" ca="1" si="29"/>
        <v>-3.6070883425004627E-2</v>
      </c>
      <c r="AET6" s="30">
        <f t="shared" ca="1" si="29"/>
        <v>4.0331612710133052E-2</v>
      </c>
      <c r="AEU6" s="30">
        <f t="shared" ca="1" si="29"/>
        <v>-2.669401918293612E-2</v>
      </c>
      <c r="AEV6" s="30">
        <f t="shared" ca="1" si="29"/>
        <v>2.6906483834158987E-2</v>
      </c>
      <c r="AEW6" s="30">
        <f t="shared" ca="1" si="29"/>
        <v>-3.0923132655421834E-2</v>
      </c>
      <c r="AEX6" s="30">
        <f t="shared" ca="1" si="29"/>
        <v>1.8571525501269923E-2</v>
      </c>
      <c r="AEY6" s="30">
        <f t="shared" ca="1" si="29"/>
        <v>-7.7806280293477841E-3</v>
      </c>
      <c r="AEZ6" s="30">
        <f t="shared" ca="1" si="29"/>
        <v>-1.2440415301985374E-2</v>
      </c>
      <c r="AFA6" s="30">
        <f t="shared" ca="1" si="29"/>
        <v>-5.0932768271405318E-2</v>
      </c>
      <c r="AFB6" s="30">
        <f t="shared" ca="1" si="29"/>
        <v>-6.8537276199565234E-2</v>
      </c>
      <c r="AFC6" s="30">
        <f t="shared" ca="1" si="29"/>
        <v>-2.8909519139091198E-2</v>
      </c>
      <c r="AFD6" s="30">
        <f t="shared" ca="1" si="29"/>
        <v>-6.6294804178605671E-2</v>
      </c>
      <c r="AFE6" s="30">
        <f t="shared" ca="1" si="29"/>
        <v>-8.9162403515971652E-3</v>
      </c>
      <c r="AFF6" s="30">
        <f t="shared" ca="1" si="29"/>
        <v>5.1083460550076815E-2</v>
      </c>
      <c r="AFG6" s="30">
        <f t="shared" ca="1" si="29"/>
        <v>2.1737081468054201E-2</v>
      </c>
      <c r="AFH6" s="30">
        <f t="shared" ca="1" si="30"/>
        <v>-3.5190641835609562E-2</v>
      </c>
      <c r="AFI6" s="30">
        <f t="shared" ca="1" si="30"/>
        <v>-6.9478699329206903E-2</v>
      </c>
      <c r="AFJ6" s="30">
        <f t="shared" ca="1" si="30"/>
        <v>-5.1964786350423883E-2</v>
      </c>
      <c r="AFK6" s="30">
        <f t="shared" ca="1" si="30"/>
        <v>-8.2564858862989698E-2</v>
      </c>
      <c r="AFL6" s="30">
        <f t="shared" ca="1" si="30"/>
        <v>-5.269043197444466E-2</v>
      </c>
      <c r="AFM6" s="30">
        <f t="shared" ca="1" si="30"/>
        <v>7.8818497016963016E-3</v>
      </c>
      <c r="AFN6" s="30">
        <f t="shared" ca="1" si="30"/>
        <v>3.5421827683734766E-2</v>
      </c>
      <c r="AFO6" s="30">
        <f t="shared" ca="1" si="30"/>
        <v>-2.5721262824807169E-2</v>
      </c>
      <c r="AFP6" s="30">
        <f t="shared" ca="1" si="30"/>
        <v>4.4941257878220786E-2</v>
      </c>
      <c r="AFQ6" s="30">
        <f t="shared" ca="1" si="30"/>
        <v>4.134742141270966E-2</v>
      </c>
      <c r="AFR6" s="30">
        <f t="shared" ca="1" si="30"/>
        <v>1.6879218740654751E-2</v>
      </c>
      <c r="AFS6" s="30">
        <f t="shared" ca="1" si="30"/>
        <v>-1.1896575903582092E-2</v>
      </c>
      <c r="AFT6" s="30">
        <f t="shared" ca="1" si="30"/>
        <v>-1.783850805950803E-2</v>
      </c>
      <c r="AFU6" s="30">
        <f t="shared" ca="1" si="30"/>
        <v>-2.5309321891254215E-2</v>
      </c>
      <c r="AFV6" s="30">
        <f t="shared" ca="1" si="30"/>
        <v>5.1662649145345395E-3</v>
      </c>
      <c r="AFW6" s="30">
        <f t="shared" ca="1" si="30"/>
        <v>2.8431414099658461E-2</v>
      </c>
      <c r="AFX6" s="30">
        <f t="shared" ca="1" si="30"/>
        <v>0.11537912283309379</v>
      </c>
      <c r="AFY6" s="30">
        <f t="shared" ca="1" si="30"/>
        <v>-2.668769209456107E-2</v>
      </c>
      <c r="AFZ6" s="30">
        <f t="shared" ca="1" si="30"/>
        <v>-1.1237138617845803E-3</v>
      </c>
      <c r="AGA6" s="30">
        <f t="shared" ca="1" si="30"/>
        <v>3.7361309655417244E-2</v>
      </c>
      <c r="AGB6" s="30">
        <f t="shared" ca="1" si="30"/>
        <v>6.6226536072857695E-2</v>
      </c>
      <c r="AGC6" s="30">
        <f t="shared" ca="1" si="30"/>
        <v>2.8393062239242928E-2</v>
      </c>
      <c r="AGD6" s="30">
        <f t="shared" ca="1" si="30"/>
        <v>-4.7864808229090672E-2</v>
      </c>
      <c r="AGE6" s="30">
        <f t="shared" ca="1" si="30"/>
        <v>9.8114329445708373E-2</v>
      </c>
      <c r="AGF6" s="30">
        <f t="shared" ca="1" si="30"/>
        <v>-4.8290938205572717E-2</v>
      </c>
      <c r="AGG6" s="30">
        <f t="shared" ca="1" si="30"/>
        <v>-1.7321456430372147E-2</v>
      </c>
      <c r="AGH6" s="30">
        <f t="shared" ca="1" si="30"/>
        <v>-3.742801433048859E-2</v>
      </c>
      <c r="AGI6" s="30">
        <f t="shared" ca="1" si="30"/>
        <v>-7.2495951684837332E-3</v>
      </c>
      <c r="AGJ6" s="30">
        <f t="shared" ca="1" si="30"/>
        <v>5.2686802659661643E-2</v>
      </c>
      <c r="AGK6" s="30">
        <f t="shared" ca="1" si="30"/>
        <v>5.931262347315823E-2</v>
      </c>
      <c r="AGL6" s="30">
        <f t="shared" ca="1" si="30"/>
        <v>-2.8130932285811511E-2</v>
      </c>
      <c r="AGM6" s="30">
        <f t="shared" ca="1" si="30"/>
        <v>-1.9166941928031603E-2</v>
      </c>
      <c r="AGN6" s="30">
        <f t="shared" ca="1" si="30"/>
        <v>4.3386077099308688E-2</v>
      </c>
      <c r="AGO6" s="30">
        <f t="shared" ca="1" si="30"/>
        <v>-5.6694928456272296E-2</v>
      </c>
      <c r="AGP6" s="30">
        <f t="shared" ca="1" si="30"/>
        <v>-4.6871175235737361E-2</v>
      </c>
      <c r="AGQ6" s="30">
        <f t="shared" ca="1" si="30"/>
        <v>-9.373573406861218E-3</v>
      </c>
      <c r="AGR6" s="30">
        <f t="shared" ca="1" si="30"/>
        <v>8.1268840949279178E-2</v>
      </c>
      <c r="AGS6" s="30">
        <f t="shared" ca="1" si="30"/>
        <v>-1.8551354714150106E-2</v>
      </c>
      <c r="AGT6" s="30">
        <f t="shared" ca="1" si="30"/>
        <v>-9.7989948933406047E-3</v>
      </c>
      <c r="AGU6" s="30">
        <f t="shared" ca="1" si="30"/>
        <v>-3.3535387271378107E-2</v>
      </c>
      <c r="AGV6" s="30">
        <f t="shared" ca="1" si="30"/>
        <v>-3.9192274429843384E-3</v>
      </c>
      <c r="AGW6" s="30">
        <f t="shared" ca="1" si="30"/>
        <v>1.2423588158475458E-2</v>
      </c>
      <c r="AGX6" s="30">
        <f t="shared" ca="1" si="30"/>
        <v>-4.5557730450996778E-4</v>
      </c>
      <c r="AGY6" s="30">
        <f t="shared" ca="1" si="30"/>
        <v>3.2673561613444084E-2</v>
      </c>
      <c r="AGZ6" s="30">
        <f t="shared" ca="1" si="30"/>
        <v>-3.2035290832596222E-2</v>
      </c>
      <c r="AHA6" s="30">
        <f t="shared" ca="1" si="30"/>
        <v>7.1968832760910068E-2</v>
      </c>
      <c r="AHB6" s="30">
        <f t="shared" ca="1" si="30"/>
        <v>8.4558953905303352E-3</v>
      </c>
      <c r="AHC6" s="30">
        <f t="shared" ca="1" si="30"/>
        <v>-7.6373773646435019E-3</v>
      </c>
      <c r="AHD6" s="30">
        <f t="shared" ca="1" si="30"/>
        <v>-4.4229994201422117E-2</v>
      </c>
      <c r="AHE6" s="30">
        <f t="shared" ca="1" si="30"/>
        <v>5.3422632797300022E-2</v>
      </c>
      <c r="AHF6" s="30">
        <f t="shared" ca="1" si="30"/>
        <v>6.5186150760426498E-2</v>
      </c>
      <c r="AHG6" s="30">
        <f t="shared" ca="1" si="30"/>
        <v>-8.3112438367492575E-2</v>
      </c>
      <c r="AHH6" s="30">
        <f t="shared" ca="1" si="30"/>
        <v>3.9086869297117854E-2</v>
      </c>
      <c r="AHI6" s="30">
        <f t="shared" ca="1" si="30"/>
        <v>-6.3095055653942505E-3</v>
      </c>
      <c r="AHJ6" s="30">
        <f t="shared" ca="1" si="30"/>
        <v>2.5134285276569402E-2</v>
      </c>
      <c r="AHK6" s="30">
        <f t="shared" ca="1" si="30"/>
        <v>-1.7718595995583227E-3</v>
      </c>
      <c r="AHL6" s="30">
        <f t="shared" ca="1" si="30"/>
        <v>3.3443107465531183E-2</v>
      </c>
      <c r="AHM6" s="30">
        <f t="shared" ca="1" si="30"/>
        <v>9.1217889139478016E-3</v>
      </c>
      <c r="AHN6" s="30">
        <f t="shared" ca="1" si="30"/>
        <v>7.1381598888511796E-2</v>
      </c>
      <c r="AHO6" s="30">
        <f t="shared" ca="1" si="30"/>
        <v>-3.061336890359221E-2</v>
      </c>
      <c r="AHP6" s="30">
        <f t="shared" ca="1" si="30"/>
        <v>-5.7727517231196436E-2</v>
      </c>
      <c r="AHQ6" s="30">
        <f t="shared" ca="1" si="30"/>
        <v>3.8629508350997439E-2</v>
      </c>
      <c r="AHR6" s="30">
        <f t="shared" ca="1" si="30"/>
        <v>-1.7138013261538645E-2</v>
      </c>
      <c r="AHS6" s="30">
        <f t="shared" ca="1" si="30"/>
        <v>4.116942439259124E-2</v>
      </c>
      <c r="AHT6" s="30">
        <f t="shared" ca="1" si="31"/>
        <v>-1.7253772095133634E-2</v>
      </c>
      <c r="AHU6" s="30">
        <f t="shared" ca="1" si="31"/>
        <v>-7.1907233641514828E-2</v>
      </c>
      <c r="AHV6" s="30">
        <f t="shared" ca="1" si="31"/>
        <v>3.6274487804451042E-2</v>
      </c>
      <c r="AHW6" s="30">
        <f t="shared" ca="1" si="31"/>
        <v>-5.0079117306035745E-2</v>
      </c>
      <c r="AHX6" s="30">
        <f t="shared" ca="1" si="31"/>
        <v>-2.9107217811882469E-2</v>
      </c>
      <c r="AHY6" s="30">
        <f t="shared" ca="1" si="31"/>
        <v>4.0481366857256333E-2</v>
      </c>
      <c r="AHZ6" s="30">
        <f t="shared" ca="1" si="31"/>
        <v>-6.433828467955845E-3</v>
      </c>
      <c r="AIA6" s="30">
        <f t="shared" ca="1" si="31"/>
        <v>-3.8021413675120332E-2</v>
      </c>
      <c r="AIB6" s="30">
        <f t="shared" ca="1" si="31"/>
        <v>0.11165255024357294</v>
      </c>
      <c r="AIC6" s="30">
        <f t="shared" ca="1" si="31"/>
        <v>-8.6836104505193801E-2</v>
      </c>
      <c r="AID6" s="30">
        <f t="shared" ca="1" si="31"/>
        <v>0.11580356548179829</v>
      </c>
      <c r="AIE6" s="30">
        <f t="shared" ca="1" si="31"/>
        <v>7.556563475711349E-2</v>
      </c>
      <c r="AIF6" s="30">
        <f t="shared" ca="1" si="31"/>
        <v>-4.9189257896700478E-2</v>
      </c>
      <c r="AIG6" s="30">
        <f t="shared" ca="1" si="31"/>
        <v>-3.1593578904613645E-2</v>
      </c>
      <c r="AIH6" s="30">
        <f t="shared" ca="1" si="31"/>
        <v>-2.7001975965192593E-2</v>
      </c>
      <c r="AII6" s="30">
        <f t="shared" ca="1" si="31"/>
        <v>-1.2666804248822781E-3</v>
      </c>
      <c r="AIJ6" s="30">
        <f t="shared" ca="1" si="31"/>
        <v>4.7196137221236195E-2</v>
      </c>
      <c r="AIK6" s="30">
        <f t="shared" ca="1" si="31"/>
        <v>3.7324937649543193E-2</v>
      </c>
      <c r="AIL6" s="30">
        <f t="shared" ca="1" si="31"/>
        <v>-1.6039806155128726E-2</v>
      </c>
      <c r="AIM6" s="30">
        <f t="shared" ca="1" si="31"/>
        <v>-2.1097607984917253E-2</v>
      </c>
      <c r="AIN6" s="30">
        <f t="shared" ca="1" si="31"/>
        <v>1.790012232032694E-2</v>
      </c>
      <c r="AIO6" s="30">
        <f t="shared" ca="1" si="31"/>
        <v>1.8979439406229228E-2</v>
      </c>
      <c r="AIP6" s="30">
        <f t="shared" ca="1" si="31"/>
        <v>1.7539813185704183E-2</v>
      </c>
      <c r="AIQ6" s="30">
        <f t="shared" ca="1" si="31"/>
        <v>-7.4577470406201486E-3</v>
      </c>
      <c r="AIR6" s="30">
        <f t="shared" ca="1" si="31"/>
        <v>-4.3966285494309344E-2</v>
      </c>
      <c r="AIS6" s="30">
        <f t="shared" ca="1" si="31"/>
        <v>-1.0946128586228218E-2</v>
      </c>
      <c r="AIT6" s="30">
        <f t="shared" ca="1" si="31"/>
        <v>-6.7285006360109506E-2</v>
      </c>
      <c r="AIU6" s="30">
        <f t="shared" ca="1" si="31"/>
        <v>-3.2651922469182783E-2</v>
      </c>
      <c r="AIV6" s="30">
        <f t="shared" ca="1" si="31"/>
        <v>7.004107407070384E-2</v>
      </c>
      <c r="AIW6" s="30">
        <f t="shared" ca="1" si="31"/>
        <v>1.0086706276351718E-2</v>
      </c>
      <c r="AIX6" s="30">
        <f t="shared" ca="1" si="31"/>
        <v>2.2112521831295678E-2</v>
      </c>
      <c r="AIY6" s="30">
        <f t="shared" ca="1" si="31"/>
        <v>-7.9201877030247753E-2</v>
      </c>
      <c r="AIZ6" s="30">
        <f t="shared" ca="1" si="31"/>
        <v>4.205884500230065E-2</v>
      </c>
      <c r="AJA6" s="30">
        <f t="shared" ca="1" si="31"/>
        <v>1.7044721102400354E-2</v>
      </c>
      <c r="AJB6" s="30">
        <f t="shared" ca="1" si="31"/>
        <v>3.5079434594521189E-2</v>
      </c>
      <c r="AJC6" s="30">
        <f t="shared" ca="1" si="31"/>
        <v>4.5638717959071247E-3</v>
      </c>
      <c r="AJD6" s="30">
        <f t="shared" ca="1" si="31"/>
        <v>4.3655146077448415E-2</v>
      </c>
      <c r="AJE6" s="30">
        <f t="shared" ca="1" si="31"/>
        <v>1.2123314698264588E-2</v>
      </c>
      <c r="AJF6" s="30">
        <f t="shared" ca="1" si="31"/>
        <v>4.5346035330050501E-2</v>
      </c>
      <c r="AJG6" s="30">
        <f t="shared" ca="1" si="31"/>
        <v>-4.3415111997085032E-2</v>
      </c>
      <c r="AJH6" s="30">
        <f t="shared" ca="1" si="31"/>
        <v>6.1902119499776479E-3</v>
      </c>
      <c r="AJI6" s="30">
        <f t="shared" ca="1" si="31"/>
        <v>3.1747900140487041E-2</v>
      </c>
      <c r="AJJ6" s="30">
        <f t="shared" ca="1" si="31"/>
        <v>4.0858040966999139E-2</v>
      </c>
      <c r="AJK6" s="30">
        <f t="shared" ca="1" si="31"/>
        <v>-7.5918782653490984E-3</v>
      </c>
      <c r="AJL6" s="30">
        <f t="shared" ca="1" si="31"/>
        <v>1.8565983980053682E-2</v>
      </c>
      <c r="AJM6" s="30">
        <f t="shared" ca="1" si="31"/>
        <v>7.2021375732763706E-4</v>
      </c>
      <c r="AJN6" s="30">
        <f t="shared" ca="1" si="31"/>
        <v>8.9498869646057785E-2</v>
      </c>
      <c r="AJO6" s="30">
        <f t="shared" ca="1" si="31"/>
        <v>-3.9830036270973548E-2</v>
      </c>
      <c r="AJP6" s="30">
        <f t="shared" ca="1" si="31"/>
        <v>8.5219695440298792E-3</v>
      </c>
      <c r="AJQ6" s="30">
        <f t="shared" ca="1" si="31"/>
        <v>7.0052215426053867E-3</v>
      </c>
      <c r="AJR6" s="30">
        <f t="shared" ca="1" si="31"/>
        <v>-3.7777954786892935E-2</v>
      </c>
      <c r="AJS6" s="30">
        <f t="shared" ca="1" si="31"/>
        <v>-3.8677185474990931E-2</v>
      </c>
      <c r="AJT6" s="30">
        <f t="shared" ca="1" si="31"/>
        <v>-3.9292883262120562E-2</v>
      </c>
      <c r="AJU6" s="30">
        <f t="shared" ca="1" si="31"/>
        <v>2.7981998862813391E-2</v>
      </c>
      <c r="AJV6" s="30">
        <f t="shared" ca="1" si="31"/>
        <v>1.9469028105286362E-2</v>
      </c>
      <c r="AJW6" s="30">
        <f t="shared" ca="1" si="31"/>
        <v>3.7909962358569721E-2</v>
      </c>
      <c r="AJX6" s="30">
        <f t="shared" ca="1" si="31"/>
        <v>-3.4960681699138067E-2</v>
      </c>
      <c r="AJY6" s="30">
        <f t="shared" ca="1" si="31"/>
        <v>-3.5370821544592028E-2</v>
      </c>
      <c r="AJZ6" s="30">
        <f t="shared" ca="1" si="31"/>
        <v>2.1082374868956255E-2</v>
      </c>
      <c r="AKA6" s="30">
        <f t="shared" ca="1" si="31"/>
        <v>1.8763776758892806E-2</v>
      </c>
      <c r="AKB6" s="30">
        <f t="shared" ca="1" si="31"/>
        <v>-4.5939525215014397E-2</v>
      </c>
      <c r="AKC6" s="30">
        <f t="shared" ca="1" si="31"/>
        <v>7.1088084103231877E-2</v>
      </c>
      <c r="AKD6" s="30">
        <f t="shared" ca="1" si="31"/>
        <v>-4.1468398415036793E-2</v>
      </c>
      <c r="AKE6" s="30">
        <f t="shared" ca="1" si="31"/>
        <v>-2.9912581333824607E-2</v>
      </c>
      <c r="AKF6" s="30">
        <f t="shared" ca="1" si="32"/>
        <v>-3.008230399838821E-2</v>
      </c>
      <c r="AKG6" s="30">
        <f t="shared" ca="1" si="32"/>
        <v>-7.5484686678831542E-2</v>
      </c>
      <c r="AKH6" s="30">
        <f t="shared" ca="1" si="32"/>
        <v>6.1770301452882079E-2</v>
      </c>
      <c r="AKI6" s="30">
        <f t="shared" ca="1" si="32"/>
        <v>-4.31765150575599E-2</v>
      </c>
      <c r="AKJ6" s="30">
        <f t="shared" ca="1" si="32"/>
        <v>4.1925231407319699E-2</v>
      </c>
      <c r="AKK6" s="30">
        <f t="shared" ca="1" si="32"/>
        <v>8.6475389777378332E-3</v>
      </c>
      <c r="AKL6" s="30">
        <f t="shared" ca="1" si="32"/>
        <v>1.6146795205986133E-2</v>
      </c>
      <c r="AKM6" s="30">
        <f t="shared" ca="1" si="32"/>
        <v>-1.4805394757327502E-2</v>
      </c>
      <c r="AKN6" s="30">
        <f t="shared" ca="1" si="32"/>
        <v>5.4590090953358407E-3</v>
      </c>
      <c r="AKO6" s="30">
        <f t="shared" ca="1" si="32"/>
        <v>-1.182317244502575E-2</v>
      </c>
      <c r="AKP6" s="30">
        <f t="shared" ca="1" si="32"/>
        <v>1.6564980954636807E-2</v>
      </c>
      <c r="AKQ6" s="30">
        <f t="shared" ca="1" si="32"/>
        <v>-1.224686655321542E-2</v>
      </c>
      <c r="AKR6" s="30">
        <f t="shared" ca="1" si="32"/>
        <v>-5.2162718863354933E-2</v>
      </c>
      <c r="AKS6" s="30">
        <f t="shared" ca="1" si="32"/>
        <v>1.4153041269204521E-2</v>
      </c>
      <c r="AKT6" s="30">
        <f t="shared" ca="1" si="32"/>
        <v>-2.7239405704406364E-2</v>
      </c>
      <c r="AKU6" s="30">
        <f t="shared" ca="1" si="32"/>
        <v>-2.305964340623275E-2</v>
      </c>
      <c r="AKV6" s="30">
        <f t="shared" ca="1" si="32"/>
        <v>1.3221028688696268E-2</v>
      </c>
      <c r="AKW6" s="30">
        <f t="shared" ca="1" si="32"/>
        <v>4.6756803377396725E-2</v>
      </c>
      <c r="AKX6" s="30">
        <f t="shared" ca="1" si="32"/>
        <v>-4.0726847870380086E-3</v>
      </c>
      <c r="AKY6" s="30">
        <f t="shared" ca="1" si="32"/>
        <v>-5.8499933978097537E-2</v>
      </c>
      <c r="AKZ6" s="30">
        <f t="shared" ca="1" si="32"/>
        <v>-5.7217785633499593E-2</v>
      </c>
      <c r="ALA6" s="30">
        <f t="shared" ca="1" si="32"/>
        <v>3.2593354866827566E-2</v>
      </c>
      <c r="ALB6" s="30">
        <f t="shared" ca="1" si="32"/>
        <v>-2.3273042973753325E-2</v>
      </c>
      <c r="ALC6" s="30">
        <f t="shared" ca="1" si="32"/>
        <v>-1.7635792811794088E-2</v>
      </c>
      <c r="ALD6" s="30">
        <f t="shared" ca="1" si="32"/>
        <v>2.1353908478397653E-2</v>
      </c>
      <c r="ALE6" s="30">
        <f t="shared" ca="1" si="32"/>
        <v>7.1697138620364517E-2</v>
      </c>
      <c r="ALF6" s="30">
        <f t="shared" ca="1" si="32"/>
        <v>-5.9907173107499156E-2</v>
      </c>
      <c r="ALG6" s="30">
        <f t="shared" ca="1" si="32"/>
        <v>-5.8576243883186494E-3</v>
      </c>
      <c r="ALH6" s="30">
        <f t="shared" ca="1" si="32"/>
        <v>-5.8811015456391419E-2</v>
      </c>
      <c r="ALI6" s="30">
        <f t="shared" ca="1" si="32"/>
        <v>-7.809993688890704E-2</v>
      </c>
      <c r="ALJ6" s="30">
        <f t="shared" ca="1" si="32"/>
        <v>-1.261280160966155E-2</v>
      </c>
      <c r="ALK6" s="30">
        <f t="shared" ca="1" si="32"/>
        <v>8.05308083230655E-2</v>
      </c>
      <c r="ALL6" s="30">
        <f t="shared" ca="1" si="32"/>
        <v>2.2078870492858629E-2</v>
      </c>
      <c r="ALM6" s="30">
        <f t="shared" ca="1" si="32"/>
        <v>1.0942301133716158E-2</v>
      </c>
      <c r="ALN6" s="30">
        <f t="shared" ca="1" si="32"/>
        <v>-2.1086845594954835E-2</v>
      </c>
      <c r="ALO6" s="30">
        <f t="shared" ca="1" si="32"/>
        <v>8.8166572216928571E-2</v>
      </c>
      <c r="ALP6" s="30">
        <f t="shared" ca="1" si="32"/>
        <v>-2.54822990825973E-2</v>
      </c>
      <c r="ALQ6" s="30">
        <f t="shared" ca="1" si="32"/>
        <v>3.1076273966788533E-2</v>
      </c>
      <c r="ALR6" s="30">
        <f t="shared" ca="1" si="32"/>
        <v>4.8752114347624109E-3</v>
      </c>
    </row>
    <row r="7" spans="2:1006" s="29" customFormat="1" x14ac:dyDescent="0.2">
      <c r="B7" s="63" t="s">
        <v>1532</v>
      </c>
      <c r="C7" s="63"/>
      <c r="D7" s="28" t="s">
        <v>1551</v>
      </c>
      <c r="F7" s="32">
        <f t="shared" ref="F7:F15" si="35">F6+1</f>
        <v>4</v>
      </c>
      <c r="G7" s="30">
        <f t="shared" ca="1" si="33"/>
        <v>-2.3345935930530252E-2</v>
      </c>
      <c r="H7" s="30">
        <f t="shared" ca="1" si="34"/>
        <v>-3.6197958863018784E-2</v>
      </c>
      <c r="I7" s="30">
        <f t="shared" ca="1" si="34"/>
        <v>-3.0864239203508323E-2</v>
      </c>
      <c r="J7" s="30">
        <f t="shared" ca="1" si="34"/>
        <v>-1.580588573747602E-2</v>
      </c>
      <c r="K7" s="30">
        <f t="shared" ca="1" si="34"/>
        <v>2.5570977755666E-3</v>
      </c>
      <c r="L7" s="30">
        <f t="shared" ca="1" si="34"/>
        <v>1.0065413092863884E-2</v>
      </c>
      <c r="M7" s="30">
        <f t="shared" ca="1" si="34"/>
        <v>4.2586188722322997E-2</v>
      </c>
      <c r="N7" s="30">
        <f t="shared" ca="1" si="34"/>
        <v>1.9893019747163811E-2</v>
      </c>
      <c r="O7" s="30">
        <f t="shared" ca="1" si="34"/>
        <v>-3.9313223804933288E-2</v>
      </c>
      <c r="P7" s="30">
        <f t="shared" ca="1" si="34"/>
        <v>0.14843604643261288</v>
      </c>
      <c r="Q7" s="30">
        <f t="shared" ca="1" si="34"/>
        <v>2.5163357112821575E-3</v>
      </c>
      <c r="R7" s="30">
        <f t="shared" ca="1" si="34"/>
        <v>1.9145719236602163E-2</v>
      </c>
      <c r="S7" s="30">
        <f t="shared" ca="1" si="34"/>
        <v>7.2449106769558597E-3</v>
      </c>
      <c r="T7" s="30">
        <f t="shared" ca="1" si="34"/>
        <v>-2.3338073700405002E-2</v>
      </c>
      <c r="U7" s="30">
        <f t="shared" ca="1" si="34"/>
        <v>-1.5971090432338821E-2</v>
      </c>
      <c r="V7" s="30">
        <f t="shared" ca="1" si="34"/>
        <v>-2.4396849343599671E-2</v>
      </c>
      <c r="W7" s="30">
        <f t="shared" ca="1" si="34"/>
        <v>5.8480279119750761E-2</v>
      </c>
      <c r="X7" s="30">
        <f t="shared" ca="1" si="34"/>
        <v>1.4594642994036049E-3</v>
      </c>
      <c r="Y7" s="30">
        <f t="shared" ca="1" si="34"/>
        <v>-4.6666029765203947E-2</v>
      </c>
      <c r="Z7" s="30">
        <f t="shared" ca="1" si="34"/>
        <v>8.4864120658222457E-3</v>
      </c>
      <c r="AA7" s="30">
        <f t="shared" ca="1" si="34"/>
        <v>3.6082285260151177E-2</v>
      </c>
      <c r="AB7" s="30">
        <f t="shared" ca="1" si="34"/>
        <v>-1.4670067298817979E-2</v>
      </c>
      <c r="AC7" s="30">
        <f t="shared" ca="1" si="34"/>
        <v>-4.2602837556986135E-2</v>
      </c>
      <c r="AD7" s="30">
        <f t="shared" ca="1" si="34"/>
        <v>-3.2060327392775333E-2</v>
      </c>
      <c r="AE7" s="30">
        <f t="shared" ca="1" si="34"/>
        <v>9.0704250645758044E-2</v>
      </c>
      <c r="AF7" s="30">
        <f t="shared" ca="1" si="34"/>
        <v>3.107340007154023E-2</v>
      </c>
      <c r="AG7" s="30">
        <f t="shared" ca="1" si="34"/>
        <v>7.4332203854423601E-2</v>
      </c>
      <c r="AH7" s="30">
        <f t="shared" ca="1" si="34"/>
        <v>1.3972977747113719E-2</v>
      </c>
      <c r="AI7" s="30">
        <f t="shared" ca="1" si="34"/>
        <v>-2.6972468200450652E-3</v>
      </c>
      <c r="AJ7" s="30">
        <f t="shared" ca="1" si="34"/>
        <v>-2.1932392768042416E-2</v>
      </c>
      <c r="AK7" s="30">
        <f t="shared" ca="1" si="34"/>
        <v>-3.9342124532952015E-2</v>
      </c>
      <c r="AL7" s="30">
        <f t="shared" ca="1" si="34"/>
        <v>-1.2621840471015494E-2</v>
      </c>
      <c r="AM7" s="30">
        <f t="shared" ca="1" si="34"/>
        <v>4.5124314470680688E-2</v>
      </c>
      <c r="AN7" s="30">
        <f t="shared" ca="1" si="34"/>
        <v>1.1043385195521721E-2</v>
      </c>
      <c r="AO7" s="30">
        <f t="shared" ca="1" si="34"/>
        <v>-2.2489970974889327E-2</v>
      </c>
      <c r="AP7" s="30">
        <f t="shared" ca="1" si="34"/>
        <v>-5.0423779980020809E-2</v>
      </c>
      <c r="AQ7" s="30">
        <f t="shared" ca="1" si="34"/>
        <v>-4.5381552115000244E-2</v>
      </c>
      <c r="AR7" s="30">
        <f t="shared" ca="1" si="34"/>
        <v>-1.4009058131826953E-2</v>
      </c>
      <c r="AS7" s="30">
        <f t="shared" ca="1" si="34"/>
        <v>-4.4890993345541849E-2</v>
      </c>
      <c r="AT7" s="30">
        <f t="shared" ca="1" si="34"/>
        <v>3.0142833083275991E-3</v>
      </c>
      <c r="AU7" s="30">
        <f t="shared" ca="1" si="34"/>
        <v>-1.8986402832537753E-2</v>
      </c>
      <c r="AV7" s="30">
        <f t="shared" ca="1" si="34"/>
        <v>0.11229118545394277</v>
      </c>
      <c r="AW7" s="30">
        <f t="shared" ca="1" si="34"/>
        <v>3.4910713367552533E-2</v>
      </c>
      <c r="AX7" s="30">
        <f t="shared" ca="1" si="34"/>
        <v>6.9820739544328866E-2</v>
      </c>
      <c r="AY7" s="30">
        <f t="shared" ca="1" si="34"/>
        <v>-7.9353422166369994E-2</v>
      </c>
      <c r="AZ7" s="30">
        <f t="shared" ca="1" si="34"/>
        <v>-5.953939354158333E-2</v>
      </c>
      <c r="BA7" s="30">
        <f t="shared" ca="1" si="34"/>
        <v>2.9576019478525895E-2</v>
      </c>
      <c r="BB7" s="30">
        <f t="shared" ca="1" si="34"/>
        <v>2.9957582524089185E-2</v>
      </c>
      <c r="BC7" s="30">
        <f t="shared" ca="1" si="34"/>
        <v>-9.5977173402543248E-2</v>
      </c>
      <c r="BD7" s="30">
        <f t="shared" ca="1" si="34"/>
        <v>-2.4272811611939404E-2</v>
      </c>
      <c r="BE7" s="30">
        <f t="shared" ca="1" si="34"/>
        <v>-5.6801217928821514E-2</v>
      </c>
      <c r="BF7" s="30">
        <f t="shared" ca="1" si="34"/>
        <v>4.448330504594103E-2</v>
      </c>
      <c r="BG7" s="30">
        <f t="shared" ca="1" si="34"/>
        <v>-5.4784394815015298E-2</v>
      </c>
      <c r="BH7" s="30">
        <f t="shared" ca="1" si="34"/>
        <v>-9.260402098965146E-3</v>
      </c>
      <c r="BI7" s="30">
        <f t="shared" ca="1" si="34"/>
        <v>-1.4485750509087091E-2</v>
      </c>
      <c r="BJ7" s="30">
        <f t="shared" ca="1" si="34"/>
        <v>-2.4850159834303436E-2</v>
      </c>
      <c r="BK7" s="30">
        <f t="shared" ca="1" si="34"/>
        <v>-3.8134504220223055E-2</v>
      </c>
      <c r="BL7" s="30">
        <f t="shared" ca="1" si="34"/>
        <v>1.4235678852556317E-2</v>
      </c>
      <c r="BM7" s="30">
        <f t="shared" ca="1" si="34"/>
        <v>6.5493592577986551E-2</v>
      </c>
      <c r="BN7" s="30">
        <f t="shared" ca="1" si="34"/>
        <v>3.106781059180529E-2</v>
      </c>
      <c r="BO7" s="30">
        <f t="shared" ca="1" si="34"/>
        <v>2.9391216912625917E-2</v>
      </c>
      <c r="BP7" s="30">
        <f t="shared" ca="1" si="34"/>
        <v>2.101413183453682E-2</v>
      </c>
      <c r="BQ7" s="30">
        <f t="shared" ca="1" si="34"/>
        <v>-3.7632794695817214E-2</v>
      </c>
      <c r="BR7" s="30">
        <f t="shared" ca="1" si="34"/>
        <v>3.7690545350037514E-3</v>
      </c>
      <c r="BS7" s="30">
        <f t="shared" ca="1" si="34"/>
        <v>-3.8925646834325082E-2</v>
      </c>
      <c r="BT7" s="30">
        <f t="shared" ca="1" si="18"/>
        <v>-1.8176263169390333E-2</v>
      </c>
      <c r="BU7" s="30">
        <f t="shared" ca="1" si="18"/>
        <v>2.6967435829237735E-2</v>
      </c>
      <c r="BV7" s="30">
        <f t="shared" ca="1" si="18"/>
        <v>5.466443962732076E-2</v>
      </c>
      <c r="BW7" s="30">
        <f t="shared" ca="1" si="18"/>
        <v>-5.5170279168682612E-2</v>
      </c>
      <c r="BX7" s="30">
        <f t="shared" ca="1" si="18"/>
        <v>-1.8029685064724767E-2</v>
      </c>
      <c r="BY7" s="30">
        <f t="shared" ca="1" si="18"/>
        <v>-1.49253733853996E-2</v>
      </c>
      <c r="BZ7" s="30">
        <f t="shared" ca="1" si="18"/>
        <v>0.10475140371544754</v>
      </c>
      <c r="CA7" s="30">
        <f t="shared" ca="1" si="18"/>
        <v>2.2515418374455393E-2</v>
      </c>
      <c r="CB7" s="30">
        <f t="shared" ca="1" si="18"/>
        <v>3.1585012369789313E-2</v>
      </c>
      <c r="CC7" s="30">
        <f t="shared" ca="1" si="18"/>
        <v>-4.4830497868830727E-2</v>
      </c>
      <c r="CD7" s="30">
        <f t="shared" ca="1" si="18"/>
        <v>4.8510851877156431E-2</v>
      </c>
      <c r="CE7" s="30">
        <f t="shared" ca="1" si="18"/>
        <v>-7.4566106247634462E-2</v>
      </c>
      <c r="CF7" s="30">
        <f t="shared" ca="1" si="18"/>
        <v>4.1821532883723138E-2</v>
      </c>
      <c r="CG7" s="30">
        <f t="shared" ca="1" si="18"/>
        <v>-5.5108190746349227E-2</v>
      </c>
      <c r="CH7" s="30">
        <f t="shared" ca="1" si="18"/>
        <v>-3.1156950983786923E-2</v>
      </c>
      <c r="CI7" s="30">
        <f t="shared" ca="1" si="18"/>
        <v>-4.0797544808949079E-2</v>
      </c>
      <c r="CJ7" s="30">
        <f t="shared" ca="1" si="18"/>
        <v>3.8828690610962641E-2</v>
      </c>
      <c r="CK7" s="30">
        <f t="shared" ca="1" si="18"/>
        <v>6.4875277085758173E-2</v>
      </c>
      <c r="CL7" s="30">
        <f t="shared" ca="1" si="18"/>
        <v>9.1492375905208534E-2</v>
      </c>
      <c r="CM7" s="30">
        <f t="shared" ca="1" si="18"/>
        <v>1.8932902215462406E-2</v>
      </c>
      <c r="CN7" s="30">
        <f t="shared" ca="1" si="18"/>
        <v>-4.2529563842342286E-2</v>
      </c>
      <c r="CO7" s="30">
        <f t="shared" ca="1" si="18"/>
        <v>-1.8448168353743577E-2</v>
      </c>
      <c r="CP7" s="30">
        <f t="shared" ca="1" si="18"/>
        <v>3.3953921014250432E-2</v>
      </c>
      <c r="CQ7" s="30">
        <f t="shared" ca="1" si="18"/>
        <v>2.7838389724455875E-2</v>
      </c>
      <c r="CR7" s="30">
        <f t="shared" ca="1" si="18"/>
        <v>1.6677093090321518E-2</v>
      </c>
      <c r="CS7" s="30">
        <f t="shared" ca="1" si="18"/>
        <v>3.4157001175106096E-3</v>
      </c>
      <c r="CT7" s="30">
        <f t="shared" ca="1" si="18"/>
        <v>5.3276100848182732E-2</v>
      </c>
      <c r="CU7" s="30">
        <f t="shared" ca="1" si="18"/>
        <v>5.1070918043735314E-2</v>
      </c>
      <c r="CV7" s="30">
        <f t="shared" ca="1" si="18"/>
        <v>-8.5384700593612584E-2</v>
      </c>
      <c r="CW7" s="30">
        <f t="shared" ca="1" si="18"/>
        <v>-5.6547599540108283E-3</v>
      </c>
      <c r="CX7" s="30">
        <f t="shared" ca="1" si="18"/>
        <v>1.9542227732780817E-2</v>
      </c>
      <c r="CY7" s="30">
        <f t="shared" ca="1" si="18"/>
        <v>1.8444399219467486E-2</v>
      </c>
      <c r="CZ7" s="30">
        <f t="shared" ca="1" si="18"/>
        <v>-1.7222577397895639E-2</v>
      </c>
      <c r="DA7" s="30">
        <f t="shared" ca="1" si="18"/>
        <v>6.0939097824496934E-3</v>
      </c>
      <c r="DB7" s="30">
        <f t="shared" ca="1" si="18"/>
        <v>5.2152236098098308E-3</v>
      </c>
      <c r="DC7" s="30">
        <f t="shared" ca="1" si="18"/>
        <v>-5.7604291361284934E-2</v>
      </c>
      <c r="DD7" s="30">
        <f t="shared" ca="1" si="18"/>
        <v>-4.0107412784849097E-2</v>
      </c>
      <c r="DE7" s="30">
        <f t="shared" ca="1" si="18"/>
        <v>4.4789601015256895E-3</v>
      </c>
      <c r="DF7" s="30">
        <f t="shared" ca="1" si="18"/>
        <v>-1.3338364220944313E-2</v>
      </c>
      <c r="DG7" s="30">
        <f t="shared" ca="1" si="18"/>
        <v>-6.4518416516935476E-2</v>
      </c>
      <c r="DH7" s="30">
        <f t="shared" ca="1" si="18"/>
        <v>3.9905718075604835E-2</v>
      </c>
      <c r="DI7" s="30">
        <f t="shared" ca="1" si="18"/>
        <v>-2.4125338349071945E-2</v>
      </c>
      <c r="DJ7" s="30">
        <f t="shared" ca="1" si="18"/>
        <v>-3.8894846773502162E-2</v>
      </c>
      <c r="DK7" s="30">
        <f t="shared" ca="1" si="18"/>
        <v>-6.1891951166861909E-3</v>
      </c>
      <c r="DL7" s="30">
        <f t="shared" ca="1" si="18"/>
        <v>5.3486058780167125E-3</v>
      </c>
      <c r="DM7" s="30">
        <f t="shared" ca="1" si="18"/>
        <v>3.5310090346826889E-2</v>
      </c>
      <c r="DN7" s="30">
        <f t="shared" ca="1" si="18"/>
        <v>-2.1129395567188812E-2</v>
      </c>
      <c r="DO7" s="30">
        <f t="shared" ca="1" si="18"/>
        <v>4.5581966614191345E-2</v>
      </c>
      <c r="DP7" s="30">
        <f t="shared" ca="1" si="18"/>
        <v>3.3965054806606415E-2</v>
      </c>
      <c r="DQ7" s="30">
        <f t="shared" ca="1" si="18"/>
        <v>-2.8567203527313418E-2</v>
      </c>
      <c r="DR7" s="30">
        <f t="shared" ca="1" si="18"/>
        <v>-4.1064026798242399E-2</v>
      </c>
      <c r="DS7" s="30">
        <f t="shared" ca="1" si="18"/>
        <v>4.4055283213155903E-2</v>
      </c>
      <c r="DT7" s="30">
        <f t="shared" ca="1" si="18"/>
        <v>1.9204024561173788E-2</v>
      </c>
      <c r="DU7" s="30">
        <f t="shared" ca="1" si="18"/>
        <v>-3.0533455832095713E-2</v>
      </c>
      <c r="DV7" s="30">
        <f t="shared" ca="1" si="18"/>
        <v>2.6914624712986206E-2</v>
      </c>
      <c r="DW7" s="30">
        <f t="shared" ca="1" si="18"/>
        <v>-2.4065230187460727E-2</v>
      </c>
      <c r="DX7" s="30">
        <f t="shared" ca="1" si="18"/>
        <v>-3.4942369134583436E-2</v>
      </c>
      <c r="DY7" s="30">
        <f t="shared" ca="1" si="18"/>
        <v>4.6297194958458882E-2</v>
      </c>
      <c r="DZ7" s="30">
        <f t="shared" ca="1" si="18"/>
        <v>-2.6949951308611168E-2</v>
      </c>
      <c r="EA7" s="30">
        <f t="shared" ca="1" si="18"/>
        <v>2.6974322249082725E-2</v>
      </c>
      <c r="EB7" s="30">
        <f t="shared" ca="1" si="18"/>
        <v>7.4621587589755733E-2</v>
      </c>
      <c r="EC7" s="30">
        <f t="shared" ca="1" si="18"/>
        <v>-2.360505862864011E-2</v>
      </c>
      <c r="ED7" s="30">
        <f t="shared" ca="1" si="18"/>
        <v>6.6883418893907087E-2</v>
      </c>
      <c r="EE7" s="30">
        <f t="shared" ref="EE7:GP11" ca="1" si="36">_xlfn.NORM.INV(RAND(),$C$8,$C$9)</f>
        <v>-2.5969527141277909E-2</v>
      </c>
      <c r="EF7" s="30">
        <f t="shared" ca="1" si="36"/>
        <v>-2.1976396828630829E-2</v>
      </c>
      <c r="EG7" s="30">
        <f t="shared" ca="1" si="36"/>
        <v>-8.9022031723955553E-3</v>
      </c>
      <c r="EH7" s="30">
        <f t="shared" ca="1" si="36"/>
        <v>1.0370007176206316E-2</v>
      </c>
      <c r="EI7" s="30">
        <f t="shared" ca="1" si="36"/>
        <v>2.0420390071941807E-2</v>
      </c>
      <c r="EJ7" s="30">
        <f t="shared" ca="1" si="36"/>
        <v>4.5450500367679329E-2</v>
      </c>
      <c r="EK7" s="30">
        <f t="shared" ca="1" si="36"/>
        <v>1.1546438221207753E-2</v>
      </c>
      <c r="EL7" s="30">
        <f t="shared" ca="1" si="36"/>
        <v>4.0328613248823045E-2</v>
      </c>
      <c r="EM7" s="30">
        <f t="shared" ca="1" si="36"/>
        <v>-2.4778397124301021E-2</v>
      </c>
      <c r="EN7" s="30">
        <f t="shared" ca="1" si="36"/>
        <v>4.4136968703090175E-2</v>
      </c>
      <c r="EO7" s="30">
        <f t="shared" ca="1" si="36"/>
        <v>-1.8482294921262323E-2</v>
      </c>
      <c r="EP7" s="30">
        <f t="shared" ca="1" si="36"/>
        <v>2.6696253437846668E-2</v>
      </c>
      <c r="EQ7" s="30">
        <f t="shared" ca="1" si="36"/>
        <v>3.3009048086592031E-2</v>
      </c>
      <c r="ER7" s="30">
        <f t="shared" ca="1" si="36"/>
        <v>2.9446908846144648E-2</v>
      </c>
      <c r="ES7" s="30">
        <f t="shared" ca="1" si="36"/>
        <v>2.1968673287199479E-3</v>
      </c>
      <c r="ET7" s="30">
        <f t="shared" ca="1" si="36"/>
        <v>2.1429035070213306E-3</v>
      </c>
      <c r="EU7" s="30">
        <f t="shared" ca="1" si="36"/>
        <v>2.1425863834351574E-2</v>
      </c>
      <c r="EV7" s="30">
        <f t="shared" ca="1" si="36"/>
        <v>-3.100225960213062E-2</v>
      </c>
      <c r="EW7" s="30">
        <f t="shared" ca="1" si="36"/>
        <v>-4.8120174764995404E-3</v>
      </c>
      <c r="EX7" s="30">
        <f t="shared" ca="1" si="36"/>
        <v>3.6793233985076702E-2</v>
      </c>
      <c r="EY7" s="30">
        <f t="shared" ca="1" si="36"/>
        <v>8.2746071886933583E-4</v>
      </c>
      <c r="EZ7" s="30">
        <f t="shared" ca="1" si="36"/>
        <v>-6.5536534485942325E-3</v>
      </c>
      <c r="FA7" s="30">
        <f t="shared" ca="1" si="36"/>
        <v>-4.8258490405726842E-2</v>
      </c>
      <c r="FB7" s="30">
        <f t="shared" ca="1" si="36"/>
        <v>-2.2699642862007343E-2</v>
      </c>
      <c r="FC7" s="30">
        <f t="shared" ca="1" si="36"/>
        <v>-1.9255115769522716E-2</v>
      </c>
      <c r="FD7" s="30">
        <f t="shared" ca="1" si="36"/>
        <v>-6.2685432766389233E-3</v>
      </c>
      <c r="FE7" s="30">
        <f t="shared" ca="1" si="36"/>
        <v>-3.5617937517297311E-3</v>
      </c>
      <c r="FF7" s="30">
        <f t="shared" ca="1" si="36"/>
        <v>-2.2186372063324831E-2</v>
      </c>
      <c r="FG7" s="30">
        <f t="shared" ca="1" si="36"/>
        <v>-7.0189508605169482E-2</v>
      </c>
      <c r="FH7" s="30">
        <f t="shared" ca="1" si="36"/>
        <v>1.014482014252736E-2</v>
      </c>
      <c r="FI7" s="30">
        <f t="shared" ca="1" si="36"/>
        <v>4.7850698989370381E-2</v>
      </c>
      <c r="FJ7" s="30">
        <f t="shared" ca="1" si="36"/>
        <v>4.6004173058956703E-2</v>
      </c>
      <c r="FK7" s="30">
        <f t="shared" ca="1" si="36"/>
        <v>9.2391348094981694E-3</v>
      </c>
      <c r="FL7" s="30">
        <f t="shared" ca="1" si="36"/>
        <v>-3.5751170734794134E-2</v>
      </c>
      <c r="FM7" s="30">
        <f t="shared" ca="1" si="36"/>
        <v>-1.2869515871655267E-2</v>
      </c>
      <c r="FN7" s="30">
        <f t="shared" ca="1" si="36"/>
        <v>-3.6188962071299268E-3</v>
      </c>
      <c r="FO7" s="30">
        <f t="shared" ca="1" si="36"/>
        <v>3.4357961094517282E-2</v>
      </c>
      <c r="FP7" s="30">
        <f t="shared" ca="1" si="36"/>
        <v>3.3307685080563351E-2</v>
      </c>
      <c r="FQ7" s="30">
        <f t="shared" ca="1" si="36"/>
        <v>0.13073465428283054</v>
      </c>
      <c r="FR7" s="30">
        <f t="shared" ca="1" si="36"/>
        <v>-4.8241636426723168E-2</v>
      </c>
      <c r="FS7" s="30">
        <f t="shared" ca="1" si="36"/>
        <v>-4.1385819622978194E-2</v>
      </c>
      <c r="FT7" s="30">
        <f t="shared" ca="1" si="36"/>
        <v>-4.7601887783560289E-2</v>
      </c>
      <c r="FU7" s="30">
        <f t="shared" ca="1" si="36"/>
        <v>-8.6860653762828779E-3</v>
      </c>
      <c r="FV7" s="30">
        <f t="shared" ca="1" si="36"/>
        <v>-3.567570011928442E-2</v>
      </c>
      <c r="FW7" s="30">
        <f t="shared" ca="1" si="36"/>
        <v>2.3156241012549733E-2</v>
      </c>
      <c r="FX7" s="30">
        <f t="shared" ca="1" si="36"/>
        <v>1.6717578090907605E-2</v>
      </c>
      <c r="FY7" s="30">
        <f t="shared" ca="1" si="36"/>
        <v>1.5039734226903837E-2</v>
      </c>
      <c r="FZ7" s="30">
        <f t="shared" ca="1" si="36"/>
        <v>6.6346662847898266E-2</v>
      </c>
      <c r="GA7" s="30">
        <f t="shared" ca="1" si="36"/>
        <v>1.2522405759842786E-2</v>
      </c>
      <c r="GB7" s="30">
        <f t="shared" ca="1" si="36"/>
        <v>-7.1332866220279196E-3</v>
      </c>
      <c r="GC7" s="30">
        <f t="shared" ca="1" si="36"/>
        <v>3.7985863276001688E-2</v>
      </c>
      <c r="GD7" s="30">
        <f t="shared" ca="1" si="36"/>
        <v>-2.8565155295700483E-2</v>
      </c>
      <c r="GE7" s="30">
        <f t="shared" ca="1" si="36"/>
        <v>3.2565322343228918E-2</v>
      </c>
      <c r="GF7" s="30">
        <f t="shared" ca="1" si="36"/>
        <v>-2.4830474538567893E-2</v>
      </c>
      <c r="GG7" s="30">
        <f t="shared" ca="1" si="36"/>
        <v>-1.4750371901851914E-2</v>
      </c>
      <c r="GH7" s="30">
        <f t="shared" ca="1" si="36"/>
        <v>7.5393194932122602E-3</v>
      </c>
      <c r="GI7" s="30">
        <f t="shared" ca="1" si="36"/>
        <v>-1.8222596125665503E-2</v>
      </c>
      <c r="GJ7" s="30">
        <f t="shared" ca="1" si="36"/>
        <v>2.4078226532502543E-2</v>
      </c>
      <c r="GK7" s="30">
        <f t="shared" ca="1" si="36"/>
        <v>-5.2583492947758229E-2</v>
      </c>
      <c r="GL7" s="30">
        <f t="shared" ca="1" si="36"/>
        <v>-7.8392786244054297E-2</v>
      </c>
      <c r="GM7" s="30">
        <f t="shared" ca="1" si="36"/>
        <v>-0.1266949713904556</v>
      </c>
      <c r="GN7" s="30">
        <f t="shared" ca="1" si="36"/>
        <v>2.9846301368952225E-2</v>
      </c>
      <c r="GO7" s="30">
        <f t="shared" ca="1" si="36"/>
        <v>0.11317930075781099</v>
      </c>
      <c r="GP7" s="30">
        <f t="shared" ca="1" si="36"/>
        <v>-0.10035906596445372</v>
      </c>
      <c r="GQ7" s="30">
        <f t="shared" ca="1" si="19"/>
        <v>8.2479193194137674E-3</v>
      </c>
      <c r="GR7" s="30">
        <f t="shared" ca="1" si="20"/>
        <v>-6.8094272826041177E-2</v>
      </c>
      <c r="GS7" s="30">
        <f t="shared" ca="1" si="20"/>
        <v>-2.9199369899902228E-2</v>
      </c>
      <c r="GT7" s="30">
        <f t="shared" ca="1" si="20"/>
        <v>-3.9890688002535632E-2</v>
      </c>
      <c r="GU7" s="30">
        <f t="shared" ca="1" si="20"/>
        <v>-2.3958832332081025E-2</v>
      </c>
      <c r="GV7" s="30">
        <f t="shared" ca="1" si="20"/>
        <v>2.6745316239823853E-2</v>
      </c>
      <c r="GW7" s="30">
        <f t="shared" ca="1" si="20"/>
        <v>1.3252973763717545E-4</v>
      </c>
      <c r="GX7" s="30">
        <f t="shared" ca="1" si="20"/>
        <v>-4.5327115981964199E-2</v>
      </c>
      <c r="GY7" s="30">
        <f t="shared" ca="1" si="20"/>
        <v>9.8115550257995964E-3</v>
      </c>
      <c r="GZ7" s="30">
        <f t="shared" ca="1" si="20"/>
        <v>-1.9168733517043464E-2</v>
      </c>
      <c r="HA7" s="30">
        <f t="shared" ca="1" si="20"/>
        <v>4.9334504605634336E-2</v>
      </c>
      <c r="HB7" s="30">
        <f t="shared" ca="1" si="20"/>
        <v>1.7761664944818432E-2</v>
      </c>
      <c r="HC7" s="30">
        <f t="shared" ca="1" si="20"/>
        <v>1.6787824427050558E-2</v>
      </c>
      <c r="HD7" s="30">
        <f t="shared" ca="1" si="20"/>
        <v>-6.8639938951185586E-2</v>
      </c>
      <c r="HE7" s="30">
        <f t="shared" ca="1" si="20"/>
        <v>-0.10683748611732978</v>
      </c>
      <c r="HF7" s="30">
        <f t="shared" ca="1" si="20"/>
        <v>2.1274601834714584E-4</v>
      </c>
      <c r="HG7" s="30">
        <f t="shared" ca="1" si="20"/>
        <v>-8.1820097052312024E-2</v>
      </c>
      <c r="HH7" s="30">
        <f t="shared" ca="1" si="20"/>
        <v>1.200673750995432E-2</v>
      </c>
      <c r="HI7" s="30">
        <f t="shared" ca="1" si="20"/>
        <v>3.0588824353817838E-4</v>
      </c>
      <c r="HJ7" s="30">
        <f t="shared" ca="1" si="20"/>
        <v>5.9477568723489069E-2</v>
      </c>
      <c r="HK7" s="30">
        <f t="shared" ca="1" si="20"/>
        <v>1.5358553038342939E-2</v>
      </c>
      <c r="HL7" s="30">
        <f t="shared" ca="1" si="20"/>
        <v>8.586040707616727E-3</v>
      </c>
      <c r="HM7" s="30">
        <f t="shared" ca="1" si="20"/>
        <v>4.1670494794748174E-3</v>
      </c>
      <c r="HN7" s="30">
        <f t="shared" ca="1" si="20"/>
        <v>1.6335666515470894E-2</v>
      </c>
      <c r="HO7" s="30">
        <f t="shared" ca="1" si="20"/>
        <v>0.10820191412388444</v>
      </c>
      <c r="HP7" s="30">
        <f t="shared" ca="1" si="20"/>
        <v>1.9129025232977964E-2</v>
      </c>
      <c r="HQ7" s="30">
        <f t="shared" ca="1" si="20"/>
        <v>3.2711660164412466E-2</v>
      </c>
      <c r="HR7" s="30">
        <f t="shared" ca="1" si="20"/>
        <v>4.9517551705296085E-2</v>
      </c>
      <c r="HS7" s="30">
        <f t="shared" ca="1" si="20"/>
        <v>3.1336799542790172E-2</v>
      </c>
      <c r="HT7" s="30">
        <f t="shared" ca="1" si="20"/>
        <v>2.1609968863301514E-2</v>
      </c>
      <c r="HU7" s="30">
        <f t="shared" ca="1" si="20"/>
        <v>2.7767859745140899E-2</v>
      </c>
      <c r="HV7" s="30">
        <f t="shared" ca="1" si="20"/>
        <v>-7.3831316944835096E-4</v>
      </c>
      <c r="HW7" s="30">
        <f t="shared" ca="1" si="20"/>
        <v>-4.1595019792772428E-2</v>
      </c>
      <c r="HX7" s="30">
        <f t="shared" ca="1" si="20"/>
        <v>-1.1428699164556714E-2</v>
      </c>
      <c r="HY7" s="30">
        <f t="shared" ca="1" si="20"/>
        <v>-9.5934252385784652E-3</v>
      </c>
      <c r="HZ7" s="30">
        <f t="shared" ca="1" si="20"/>
        <v>-3.9340120889476977E-2</v>
      </c>
      <c r="IA7" s="30">
        <f t="shared" ca="1" si="20"/>
        <v>-6.4372501817525421E-2</v>
      </c>
      <c r="IB7" s="30">
        <f t="shared" ca="1" si="20"/>
        <v>3.1815312476111607E-2</v>
      </c>
      <c r="IC7" s="30">
        <f t="shared" ca="1" si="20"/>
        <v>5.2956934216270367E-2</v>
      </c>
      <c r="ID7" s="30">
        <f t="shared" ca="1" si="20"/>
        <v>5.5223470953899761E-2</v>
      </c>
      <c r="IE7" s="30">
        <f t="shared" ca="1" si="20"/>
        <v>-1.0717012124810492E-2</v>
      </c>
      <c r="IF7" s="30">
        <f t="shared" ca="1" si="20"/>
        <v>-2.4285496393671276E-2</v>
      </c>
      <c r="IG7" s="30">
        <f t="shared" ca="1" si="20"/>
        <v>3.399676961298654E-2</v>
      </c>
      <c r="IH7" s="30">
        <f t="shared" ca="1" si="20"/>
        <v>2.4432333629341853E-4</v>
      </c>
      <c r="II7" s="30">
        <f t="shared" ca="1" si="20"/>
        <v>4.0541059160054668E-2</v>
      </c>
      <c r="IJ7" s="30">
        <f t="shared" ca="1" si="20"/>
        <v>9.9704993991329045E-3</v>
      </c>
      <c r="IK7" s="30">
        <f t="shared" ca="1" si="20"/>
        <v>4.6712886689194502E-2</v>
      </c>
      <c r="IL7" s="30">
        <f t="shared" ca="1" si="20"/>
        <v>0.10818110202368998</v>
      </c>
      <c r="IM7" s="30">
        <f t="shared" ca="1" si="20"/>
        <v>-4.9374781922368959E-2</v>
      </c>
      <c r="IN7" s="30">
        <f t="shared" ca="1" si="20"/>
        <v>1.2419766028451143E-2</v>
      </c>
      <c r="IO7" s="30">
        <f t="shared" ca="1" si="20"/>
        <v>9.6499145595200248E-3</v>
      </c>
      <c r="IP7" s="30">
        <f t="shared" ca="1" si="20"/>
        <v>3.8239246261922905E-2</v>
      </c>
      <c r="IQ7" s="30">
        <f t="shared" ca="1" si="20"/>
        <v>-2.8140965883517589E-2</v>
      </c>
      <c r="IR7" s="30">
        <f t="shared" ca="1" si="20"/>
        <v>3.787101645739014E-2</v>
      </c>
      <c r="IS7" s="30">
        <f t="shared" ca="1" si="20"/>
        <v>-5.6535604144072334E-2</v>
      </c>
      <c r="IT7" s="30">
        <f t="shared" ca="1" si="20"/>
        <v>2.4016800582985089E-2</v>
      </c>
      <c r="IU7" s="30">
        <f t="shared" ca="1" si="20"/>
        <v>7.8632178333897212E-2</v>
      </c>
      <c r="IV7" s="30">
        <f t="shared" ca="1" si="20"/>
        <v>-3.2738026400036561E-3</v>
      </c>
      <c r="IW7" s="30">
        <f t="shared" ca="1" si="20"/>
        <v>-2.8826333651489448E-2</v>
      </c>
      <c r="IX7" s="30">
        <f t="shared" ca="1" si="20"/>
        <v>2.0715295241937663E-2</v>
      </c>
      <c r="IY7" s="30">
        <f t="shared" ca="1" si="20"/>
        <v>4.9002747586617576E-4</v>
      </c>
      <c r="IZ7" s="30">
        <f t="shared" ca="1" si="20"/>
        <v>7.307739382840471E-2</v>
      </c>
      <c r="JA7" s="30">
        <f t="shared" ca="1" si="20"/>
        <v>1.6543634498344718E-2</v>
      </c>
      <c r="JB7" s="30">
        <f t="shared" ca="1" si="20"/>
        <v>7.0601897099440572E-3</v>
      </c>
      <c r="JC7" s="30">
        <f t="shared" ref="JC7:LN11" ca="1" si="37">_xlfn.NORM.INV(RAND(),$C$8,$C$9)</f>
        <v>3.3694928298757032E-2</v>
      </c>
      <c r="JD7" s="30">
        <f t="shared" ca="1" si="37"/>
        <v>3.0029920400589726E-2</v>
      </c>
      <c r="JE7" s="30">
        <f t="shared" ca="1" si="37"/>
        <v>9.7771458863177164E-3</v>
      </c>
      <c r="JF7" s="30">
        <f t="shared" ca="1" si="37"/>
        <v>-4.1327211806414015E-2</v>
      </c>
      <c r="JG7" s="30">
        <f t="shared" ca="1" si="37"/>
        <v>3.8785292866338368E-3</v>
      </c>
      <c r="JH7" s="30">
        <f t="shared" ca="1" si="37"/>
        <v>-4.8574830135790347E-3</v>
      </c>
      <c r="JI7" s="30">
        <f t="shared" ca="1" si="37"/>
        <v>6.9677908299667912E-3</v>
      </c>
      <c r="JJ7" s="30">
        <f t="shared" ca="1" si="37"/>
        <v>-4.3693399019406311E-2</v>
      </c>
      <c r="JK7" s="30">
        <f t="shared" ca="1" si="37"/>
        <v>5.4228068834954492E-2</v>
      </c>
      <c r="JL7" s="30">
        <f t="shared" ca="1" si="37"/>
        <v>-6.7190794909478373E-3</v>
      </c>
      <c r="JM7" s="30">
        <f t="shared" ca="1" si="37"/>
        <v>-2.8479772998205401E-2</v>
      </c>
      <c r="JN7" s="30">
        <f t="shared" ca="1" si="37"/>
        <v>-5.9772477662436624E-2</v>
      </c>
      <c r="JO7" s="30">
        <f t="shared" ca="1" si="37"/>
        <v>-2.1546110853011839E-2</v>
      </c>
      <c r="JP7" s="30">
        <f t="shared" ca="1" si="37"/>
        <v>-5.5254696720184265E-2</v>
      </c>
      <c r="JQ7" s="30">
        <f t="shared" ca="1" si="37"/>
        <v>3.0174571741740413E-2</v>
      </c>
      <c r="JR7" s="30">
        <f t="shared" ca="1" si="37"/>
        <v>-2.8057459554027452E-2</v>
      </c>
      <c r="JS7" s="30">
        <f t="shared" ca="1" si="37"/>
        <v>1.1279074973023108E-2</v>
      </c>
      <c r="JT7" s="30">
        <f t="shared" ca="1" si="37"/>
        <v>-1.8812028630416137E-2</v>
      </c>
      <c r="JU7" s="30">
        <f t="shared" ca="1" si="37"/>
        <v>2.864579743376269E-2</v>
      </c>
      <c r="JV7" s="30">
        <f t="shared" ca="1" si="37"/>
        <v>-1.4157117463912215E-2</v>
      </c>
      <c r="JW7" s="30">
        <f t="shared" ca="1" si="37"/>
        <v>8.7649805463595465E-2</v>
      </c>
      <c r="JX7" s="30">
        <f t="shared" ca="1" si="37"/>
        <v>3.819501669921746E-2</v>
      </c>
      <c r="JY7" s="30">
        <f t="shared" ca="1" si="37"/>
        <v>6.1752357672770979E-2</v>
      </c>
      <c r="JZ7" s="30">
        <f t="shared" ca="1" si="37"/>
        <v>-3.5327590219799733E-3</v>
      </c>
      <c r="KA7" s="30">
        <f t="shared" ca="1" si="37"/>
        <v>-2.1848881942117648E-2</v>
      </c>
      <c r="KB7" s="30">
        <f t="shared" ca="1" si="37"/>
        <v>-2.9066848575899501E-2</v>
      </c>
      <c r="KC7" s="30">
        <f t="shared" ca="1" si="37"/>
        <v>-2.000816048044619E-2</v>
      </c>
      <c r="KD7" s="30">
        <f t="shared" ca="1" si="37"/>
        <v>-4.5732381048340327E-2</v>
      </c>
      <c r="KE7" s="30">
        <f t="shared" ca="1" si="37"/>
        <v>-2.8713711658704209E-2</v>
      </c>
      <c r="KF7" s="30">
        <f t="shared" ca="1" si="37"/>
        <v>3.2483707430157438E-2</v>
      </c>
      <c r="KG7" s="30">
        <f t="shared" ca="1" si="37"/>
        <v>1.9559703258766045E-2</v>
      </c>
      <c r="KH7" s="30">
        <f t="shared" ca="1" si="37"/>
        <v>-1.0726247494841976E-2</v>
      </c>
      <c r="KI7" s="30">
        <f t="shared" ca="1" si="37"/>
        <v>7.8318275850449218E-3</v>
      </c>
      <c r="KJ7" s="30">
        <f t="shared" ca="1" si="37"/>
        <v>-5.5388490194546648E-2</v>
      </c>
      <c r="KK7" s="30">
        <f t="shared" ca="1" si="37"/>
        <v>5.8537209512404813E-2</v>
      </c>
      <c r="KL7" s="30">
        <f t="shared" ca="1" si="37"/>
        <v>-6.8160005141332761E-2</v>
      </c>
      <c r="KM7" s="30">
        <f t="shared" ca="1" si="37"/>
        <v>-5.1821570206636122E-2</v>
      </c>
      <c r="KN7" s="30">
        <f t="shared" ca="1" si="37"/>
        <v>-1.3359163991072889E-2</v>
      </c>
      <c r="KO7" s="30">
        <f t="shared" ca="1" si="37"/>
        <v>3.9865762894611613E-2</v>
      </c>
      <c r="KP7" s="30">
        <f t="shared" ca="1" si="37"/>
        <v>-6.9435007608448535E-2</v>
      </c>
      <c r="KQ7" s="30">
        <f t="shared" ca="1" si="37"/>
        <v>5.1314601091611872E-2</v>
      </c>
      <c r="KR7" s="30">
        <f t="shared" ca="1" si="37"/>
        <v>-1.225205812874996E-2</v>
      </c>
      <c r="KS7" s="30">
        <f t="shared" ca="1" si="37"/>
        <v>-1.646284123147836E-2</v>
      </c>
      <c r="KT7" s="30">
        <f t="shared" ca="1" si="37"/>
        <v>2.8496671342669297E-2</v>
      </c>
      <c r="KU7" s="30">
        <f t="shared" ca="1" si="37"/>
        <v>2.4128492017359126E-2</v>
      </c>
      <c r="KV7" s="30">
        <f t="shared" ca="1" si="37"/>
        <v>1.8185138886570307E-2</v>
      </c>
      <c r="KW7" s="30">
        <f t="shared" ca="1" si="37"/>
        <v>-7.6404263036336031E-2</v>
      </c>
      <c r="KX7" s="30">
        <f t="shared" ca="1" si="37"/>
        <v>5.9598504089375406E-2</v>
      </c>
      <c r="KY7" s="30">
        <f t="shared" ca="1" si="37"/>
        <v>-9.5716623781975374E-2</v>
      </c>
      <c r="KZ7" s="30">
        <f t="shared" ca="1" si="37"/>
        <v>8.4592028838046215E-2</v>
      </c>
      <c r="LA7" s="30">
        <f t="shared" ca="1" si="37"/>
        <v>7.5112883576059469E-2</v>
      </c>
      <c r="LB7" s="30">
        <f t="shared" ca="1" si="37"/>
        <v>-9.8182799444716432E-2</v>
      </c>
      <c r="LC7" s="30">
        <f t="shared" ca="1" si="37"/>
        <v>-4.7637241581406836E-2</v>
      </c>
      <c r="LD7" s="30">
        <f t="shared" ca="1" si="37"/>
        <v>-4.867545751543912E-2</v>
      </c>
      <c r="LE7" s="30">
        <f t="shared" ca="1" si="37"/>
        <v>6.9750586489315675E-2</v>
      </c>
      <c r="LF7" s="30">
        <f t="shared" ca="1" si="37"/>
        <v>1.1928438655873482E-2</v>
      </c>
      <c r="LG7" s="30">
        <f t="shared" ca="1" si="37"/>
        <v>6.0633560132489127E-2</v>
      </c>
      <c r="LH7" s="30">
        <f t="shared" ca="1" si="37"/>
        <v>2.8676744561553667E-3</v>
      </c>
      <c r="LI7" s="30">
        <f t="shared" ca="1" si="37"/>
        <v>7.3357062394316767E-3</v>
      </c>
      <c r="LJ7" s="30">
        <f t="shared" ca="1" si="37"/>
        <v>-1.0283150742678075E-2</v>
      </c>
      <c r="LK7" s="30">
        <f t="shared" ca="1" si="37"/>
        <v>4.6310198600350155E-3</v>
      </c>
      <c r="LL7" s="30">
        <f t="shared" ca="1" si="37"/>
        <v>-7.2917710915378312E-2</v>
      </c>
      <c r="LM7" s="30">
        <f t="shared" ca="1" si="37"/>
        <v>6.454851296053668E-2</v>
      </c>
      <c r="LN7" s="30">
        <f t="shared" ca="1" si="37"/>
        <v>2.8282045565421646E-2</v>
      </c>
      <c r="LO7" s="30">
        <f t="shared" ca="1" si="21"/>
        <v>-3.4944902594912348E-2</v>
      </c>
      <c r="LP7" s="30">
        <f t="shared" ca="1" si="22"/>
        <v>-8.2196872170973751E-4</v>
      </c>
      <c r="LQ7" s="30">
        <f t="shared" ca="1" si="22"/>
        <v>-7.943733376987365E-2</v>
      </c>
      <c r="LR7" s="30">
        <f t="shared" ca="1" si="22"/>
        <v>2.2679611636120828E-2</v>
      </c>
      <c r="LS7" s="30">
        <f t="shared" ca="1" si="22"/>
        <v>-6.999268712278077E-2</v>
      </c>
      <c r="LT7" s="30">
        <f t="shared" ca="1" si="22"/>
        <v>-1.4836825835113678E-2</v>
      </c>
      <c r="LU7" s="30">
        <f t="shared" ca="1" si="22"/>
        <v>4.0981844981602948E-2</v>
      </c>
      <c r="LV7" s="30">
        <f t="shared" ca="1" si="22"/>
        <v>2.8192015816818423E-2</v>
      </c>
      <c r="LW7" s="30">
        <f t="shared" ca="1" si="22"/>
        <v>-3.4536622919825802E-2</v>
      </c>
      <c r="LX7" s="30">
        <f t="shared" ca="1" si="22"/>
        <v>2.5861745468910473E-3</v>
      </c>
      <c r="LY7" s="30">
        <f t="shared" ca="1" si="22"/>
        <v>2.2517379948049768E-2</v>
      </c>
      <c r="LZ7" s="30">
        <f t="shared" ca="1" si="22"/>
        <v>4.8687038356823108E-2</v>
      </c>
      <c r="MA7" s="30">
        <f t="shared" ca="1" si="22"/>
        <v>-3.0200469984202366E-2</v>
      </c>
      <c r="MB7" s="30">
        <f t="shared" ca="1" si="22"/>
        <v>3.8687557601497738E-2</v>
      </c>
      <c r="MC7" s="30">
        <f t="shared" ca="1" si="22"/>
        <v>-4.699547432628666E-2</v>
      </c>
      <c r="MD7" s="30">
        <f t="shared" ca="1" si="22"/>
        <v>1.5812102391578986E-2</v>
      </c>
      <c r="ME7" s="30">
        <f t="shared" ca="1" si="22"/>
        <v>9.3423713103623993E-3</v>
      </c>
      <c r="MF7" s="30">
        <f t="shared" ca="1" si="22"/>
        <v>-2.5991382947732556E-2</v>
      </c>
      <c r="MG7" s="30">
        <f t="shared" ca="1" si="22"/>
        <v>-3.4403205794931897E-2</v>
      </c>
      <c r="MH7" s="30">
        <f t="shared" ca="1" si="22"/>
        <v>4.9517048537749145E-2</v>
      </c>
      <c r="MI7" s="30">
        <f t="shared" ca="1" si="22"/>
        <v>-3.0816334467219986E-2</v>
      </c>
      <c r="MJ7" s="30">
        <f t="shared" ca="1" si="22"/>
        <v>-6.4397230534996422E-2</v>
      </c>
      <c r="MK7" s="30">
        <f t="shared" ca="1" si="22"/>
        <v>-2.4908352569649416E-2</v>
      </c>
      <c r="ML7" s="30">
        <f t="shared" ca="1" si="22"/>
        <v>9.5324863113592836E-3</v>
      </c>
      <c r="MM7" s="30">
        <f t="shared" ca="1" si="22"/>
        <v>-2.8127674123174032E-2</v>
      </c>
      <c r="MN7" s="30">
        <f t="shared" ca="1" si="22"/>
        <v>-2.2485574749888455E-2</v>
      </c>
      <c r="MO7" s="30">
        <f t="shared" ca="1" si="22"/>
        <v>-3.754018297045171E-2</v>
      </c>
      <c r="MP7" s="30">
        <f t="shared" ca="1" si="22"/>
        <v>-4.6956616186386822E-2</v>
      </c>
      <c r="MQ7" s="30">
        <f t="shared" ca="1" si="22"/>
        <v>-1.2383772303412392E-2</v>
      </c>
      <c r="MR7" s="30">
        <f t="shared" ca="1" si="22"/>
        <v>-2.7412053476640261E-2</v>
      </c>
      <c r="MS7" s="30">
        <f t="shared" ca="1" si="22"/>
        <v>-4.518393875593775E-2</v>
      </c>
      <c r="MT7" s="30">
        <f t="shared" ca="1" si="22"/>
        <v>1.4076088848934527E-2</v>
      </c>
      <c r="MU7" s="30">
        <f t="shared" ca="1" si="22"/>
        <v>0.10278091371018984</v>
      </c>
      <c r="MV7" s="30">
        <f t="shared" ca="1" si="22"/>
        <v>-6.4653159311509806E-2</v>
      </c>
      <c r="MW7" s="30">
        <f t="shared" ca="1" si="22"/>
        <v>1.9028451480365461E-2</v>
      </c>
      <c r="MX7" s="30">
        <f t="shared" ca="1" si="22"/>
        <v>5.8175565846816171E-2</v>
      </c>
      <c r="MY7" s="30">
        <f t="shared" ca="1" si="22"/>
        <v>-9.1056415671738916E-2</v>
      </c>
      <c r="MZ7" s="30">
        <f t="shared" ca="1" si="22"/>
        <v>-2.4603969938399695E-2</v>
      </c>
      <c r="NA7" s="30">
        <f t="shared" ca="1" si="22"/>
        <v>-4.4303702378258323E-3</v>
      </c>
      <c r="NB7" s="30">
        <f t="shared" ca="1" si="22"/>
        <v>7.2300654545614657E-3</v>
      </c>
      <c r="NC7" s="30">
        <f t="shared" ca="1" si="22"/>
        <v>-2.4420951730766759E-2</v>
      </c>
      <c r="ND7" s="30">
        <f t="shared" ca="1" si="22"/>
        <v>-1.7177216184097038E-2</v>
      </c>
      <c r="NE7" s="30">
        <f t="shared" ca="1" si="22"/>
        <v>-8.4480484999613845E-3</v>
      </c>
      <c r="NF7" s="30">
        <f t="shared" ca="1" si="22"/>
        <v>1.9123136097319776E-2</v>
      </c>
      <c r="NG7" s="30">
        <f t="shared" ca="1" si="22"/>
        <v>-4.6437184360271135E-3</v>
      </c>
      <c r="NH7" s="30">
        <f t="shared" ca="1" si="22"/>
        <v>-1.9005109435125789E-2</v>
      </c>
      <c r="NI7" s="30">
        <f t="shared" ca="1" si="22"/>
        <v>4.8421832289382953E-2</v>
      </c>
      <c r="NJ7" s="30">
        <f t="shared" ca="1" si="22"/>
        <v>-4.0221123662636644E-2</v>
      </c>
      <c r="NK7" s="30">
        <f t="shared" ca="1" si="22"/>
        <v>-9.4781003502641872E-3</v>
      </c>
      <c r="NL7" s="30">
        <f t="shared" ca="1" si="22"/>
        <v>6.798708505264428E-3</v>
      </c>
      <c r="NM7" s="30">
        <f t="shared" ca="1" si="22"/>
        <v>1.6013819013747741E-2</v>
      </c>
      <c r="NN7" s="30">
        <f t="shared" ca="1" si="22"/>
        <v>-5.7978151197845745E-2</v>
      </c>
      <c r="NO7" s="30">
        <f t="shared" ca="1" si="22"/>
        <v>2.4755248400127213E-2</v>
      </c>
      <c r="NP7" s="30">
        <f t="shared" ca="1" si="22"/>
        <v>-4.6493838089467165E-2</v>
      </c>
      <c r="NQ7" s="30">
        <f t="shared" ca="1" si="22"/>
        <v>1.6930011304480408E-2</v>
      </c>
      <c r="NR7" s="30">
        <f t="shared" ca="1" si="22"/>
        <v>3.0972864425043219E-2</v>
      </c>
      <c r="NS7" s="30">
        <f t="shared" ca="1" si="22"/>
        <v>-4.2426302013184106E-2</v>
      </c>
      <c r="NT7" s="30">
        <f t="shared" ca="1" si="22"/>
        <v>2.1536514338700422E-2</v>
      </c>
      <c r="NU7" s="30">
        <f t="shared" ca="1" si="22"/>
        <v>-3.109760154024809E-3</v>
      </c>
      <c r="NV7" s="30">
        <f t="shared" ca="1" si="22"/>
        <v>-1.1609204069925461E-2</v>
      </c>
      <c r="NW7" s="30">
        <f t="shared" ca="1" si="22"/>
        <v>-1.0557944011052861E-2</v>
      </c>
      <c r="NX7" s="30">
        <f t="shared" ca="1" si="22"/>
        <v>1.9722763563567943E-2</v>
      </c>
      <c r="NY7" s="30">
        <f t="shared" ca="1" si="22"/>
        <v>9.3802461359061479E-2</v>
      </c>
      <c r="NZ7" s="30">
        <f t="shared" ca="1" si="22"/>
        <v>5.597315984695108E-2</v>
      </c>
      <c r="OA7" s="30">
        <f t="shared" ref="OA7:QL11" ca="1" si="38">_xlfn.NORM.INV(RAND(),$C$8,$C$9)</f>
        <v>-9.1939569389727957E-2</v>
      </c>
      <c r="OB7" s="30">
        <f t="shared" ca="1" si="38"/>
        <v>3.7981725231491688E-2</v>
      </c>
      <c r="OC7" s="30">
        <f t="shared" ca="1" si="38"/>
        <v>-8.1751085738971854E-3</v>
      </c>
      <c r="OD7" s="30">
        <f t="shared" ca="1" si="38"/>
        <v>-5.1072768537808434E-2</v>
      </c>
      <c r="OE7" s="30">
        <f t="shared" ca="1" si="38"/>
        <v>2.7416021624339443E-2</v>
      </c>
      <c r="OF7" s="30">
        <f t="shared" ca="1" si="38"/>
        <v>7.6060535586804617E-2</v>
      </c>
      <c r="OG7" s="30">
        <f t="shared" ca="1" si="38"/>
        <v>2.6372557105741785E-2</v>
      </c>
      <c r="OH7" s="30">
        <f t="shared" ca="1" si="38"/>
        <v>-9.9000211704015021E-3</v>
      </c>
      <c r="OI7" s="30">
        <f t="shared" ca="1" si="38"/>
        <v>2.0960802384860058E-2</v>
      </c>
      <c r="OJ7" s="30">
        <f t="shared" ca="1" si="38"/>
        <v>2.8580532172879331E-2</v>
      </c>
      <c r="OK7" s="30">
        <f t="shared" ca="1" si="38"/>
        <v>5.5628949537275159E-2</v>
      </c>
      <c r="OL7" s="30">
        <f t="shared" ca="1" si="38"/>
        <v>6.5041887895977035E-2</v>
      </c>
      <c r="OM7" s="30">
        <f t="shared" ca="1" si="38"/>
        <v>1.2904402945247912E-5</v>
      </c>
      <c r="ON7" s="30">
        <f t="shared" ca="1" si="38"/>
        <v>2.9799094974967393E-2</v>
      </c>
      <c r="OO7" s="30">
        <f t="shared" ca="1" si="38"/>
        <v>2.1116245265412207E-3</v>
      </c>
      <c r="OP7" s="30">
        <f t="shared" ca="1" si="38"/>
        <v>9.9326671547059764E-3</v>
      </c>
      <c r="OQ7" s="30">
        <f t="shared" ca="1" si="38"/>
        <v>-3.1053135931014199E-2</v>
      </c>
      <c r="OR7" s="30">
        <f t="shared" ca="1" si="38"/>
        <v>-5.0155878747904371E-2</v>
      </c>
      <c r="OS7" s="30">
        <f t="shared" ca="1" si="38"/>
        <v>6.4222608080091751E-3</v>
      </c>
      <c r="OT7" s="30">
        <f t="shared" ca="1" si="38"/>
        <v>-6.6933774248168848E-2</v>
      </c>
      <c r="OU7" s="30">
        <f t="shared" ca="1" si="38"/>
        <v>1.0642622996326029E-3</v>
      </c>
      <c r="OV7" s="30">
        <f t="shared" ca="1" si="38"/>
        <v>-2.0998125874161572E-2</v>
      </c>
      <c r="OW7" s="30">
        <f t="shared" ca="1" si="38"/>
        <v>-5.2342863148105274E-2</v>
      </c>
      <c r="OX7" s="30">
        <f t="shared" ca="1" si="38"/>
        <v>3.0496857284286992E-2</v>
      </c>
      <c r="OY7" s="30">
        <f t="shared" ca="1" si="38"/>
        <v>-2.2877709106608499E-2</v>
      </c>
      <c r="OZ7" s="30">
        <f t="shared" ca="1" si="38"/>
        <v>-1.4100546181760692E-2</v>
      </c>
      <c r="PA7" s="30">
        <f t="shared" ca="1" si="38"/>
        <v>1.2784783120900549E-2</v>
      </c>
      <c r="PB7" s="30">
        <f t="shared" ca="1" si="38"/>
        <v>3.8556051215351474E-2</v>
      </c>
      <c r="PC7" s="30">
        <f t="shared" ca="1" si="38"/>
        <v>-3.4553621054674383E-2</v>
      </c>
      <c r="PD7" s="30">
        <f t="shared" ca="1" si="38"/>
        <v>-2.6779031971286824E-2</v>
      </c>
      <c r="PE7" s="30">
        <f t="shared" ca="1" si="38"/>
        <v>-3.2101390795243344E-2</v>
      </c>
      <c r="PF7" s="30">
        <f t="shared" ca="1" si="38"/>
        <v>2.18040646640347E-2</v>
      </c>
      <c r="PG7" s="30">
        <f t="shared" ca="1" si="38"/>
        <v>5.873468609444786E-2</v>
      </c>
      <c r="PH7" s="30">
        <f t="shared" ca="1" si="38"/>
        <v>-1.7590657088855318E-2</v>
      </c>
      <c r="PI7" s="30">
        <f t="shared" ca="1" si="38"/>
        <v>2.0421937628397637E-2</v>
      </c>
      <c r="PJ7" s="30">
        <f t="shared" ca="1" si="38"/>
        <v>1.2947245830017841E-2</v>
      </c>
      <c r="PK7" s="30">
        <f t="shared" ca="1" si="38"/>
        <v>1.9331874023994226E-2</v>
      </c>
      <c r="PL7" s="30">
        <f t="shared" ca="1" si="38"/>
        <v>-1.1847174501338284E-2</v>
      </c>
      <c r="PM7" s="30">
        <f t="shared" ca="1" si="38"/>
        <v>7.7208981607935198E-2</v>
      </c>
      <c r="PN7" s="30">
        <f t="shared" ca="1" si="38"/>
        <v>4.2812604740587359E-2</v>
      </c>
      <c r="PO7" s="30">
        <f t="shared" ca="1" si="38"/>
        <v>-3.2588091451292066E-2</v>
      </c>
      <c r="PP7" s="30">
        <f t="shared" ca="1" si="38"/>
        <v>1.1235044280107727E-2</v>
      </c>
      <c r="PQ7" s="30">
        <f t="shared" ca="1" si="38"/>
        <v>-1.1885180810058481E-2</v>
      </c>
      <c r="PR7" s="30">
        <f t="shared" ca="1" si="38"/>
        <v>-4.7771626518304758E-2</v>
      </c>
      <c r="PS7" s="30">
        <f t="shared" ca="1" si="38"/>
        <v>6.6869529833371512E-4</v>
      </c>
      <c r="PT7" s="30">
        <f t="shared" ca="1" si="38"/>
        <v>-3.7175102657879874E-3</v>
      </c>
      <c r="PU7" s="30">
        <f t="shared" ca="1" si="38"/>
        <v>1.4378843534253418E-2</v>
      </c>
      <c r="PV7" s="30">
        <f t="shared" ca="1" si="38"/>
        <v>3.9706588401292216E-2</v>
      </c>
      <c r="PW7" s="30">
        <f t="shared" ca="1" si="38"/>
        <v>-3.1748684311179498E-2</v>
      </c>
      <c r="PX7" s="30">
        <f t="shared" ca="1" si="38"/>
        <v>5.1927593195325458E-2</v>
      </c>
      <c r="PY7" s="30">
        <f t="shared" ca="1" si="38"/>
        <v>1.0471369333250909E-2</v>
      </c>
      <c r="PZ7" s="30">
        <f t="shared" ca="1" si="38"/>
        <v>2.9391768395353279E-4</v>
      </c>
      <c r="QA7" s="30">
        <f t="shared" ca="1" si="38"/>
        <v>3.823720723662119E-3</v>
      </c>
      <c r="QB7" s="30">
        <f t="shared" ca="1" si="38"/>
        <v>-7.788315187835175E-2</v>
      </c>
      <c r="QC7" s="30">
        <f t="shared" ca="1" si="38"/>
        <v>2.9680866482085049E-2</v>
      </c>
      <c r="QD7" s="30">
        <f t="shared" ca="1" si="38"/>
        <v>-7.4359769578801221E-2</v>
      </c>
      <c r="QE7" s="30">
        <f t="shared" ca="1" si="38"/>
        <v>-1.6372070789888778E-2</v>
      </c>
      <c r="QF7" s="30">
        <f t="shared" ca="1" si="38"/>
        <v>-0.10366131801524817</v>
      </c>
      <c r="QG7" s="30">
        <f t="shared" ca="1" si="38"/>
        <v>-3.2862888769101081E-2</v>
      </c>
      <c r="QH7" s="30">
        <f t="shared" ca="1" si="38"/>
        <v>-2.4010894490326895E-2</v>
      </c>
      <c r="QI7" s="30">
        <f t="shared" ca="1" si="38"/>
        <v>-1.1423867044889898E-2</v>
      </c>
      <c r="QJ7" s="30">
        <f t="shared" ca="1" si="38"/>
        <v>-1.5507137542629768E-2</v>
      </c>
      <c r="QK7" s="30">
        <f t="shared" ca="1" si="38"/>
        <v>3.8543163559773405E-3</v>
      </c>
      <c r="QL7" s="30">
        <f t="shared" ca="1" si="38"/>
        <v>-1.6887548345923639E-2</v>
      </c>
      <c r="QM7" s="30">
        <f t="shared" ca="1" si="23"/>
        <v>-1.9485448022345225E-2</v>
      </c>
      <c r="QN7" s="30">
        <f t="shared" ca="1" si="24"/>
        <v>-1.8919672741565759E-2</v>
      </c>
      <c r="QO7" s="30">
        <f t="shared" ca="1" si="24"/>
        <v>3.1931762519296018E-2</v>
      </c>
      <c r="QP7" s="30">
        <f t="shared" ca="1" si="24"/>
        <v>-4.1437257544243676E-3</v>
      </c>
      <c r="QQ7" s="30">
        <f t="shared" ca="1" si="24"/>
        <v>-4.2314034253735977E-2</v>
      </c>
      <c r="QR7" s="30">
        <f t="shared" ca="1" si="24"/>
        <v>3.2066710483172348E-2</v>
      </c>
      <c r="QS7" s="30">
        <f t="shared" ca="1" si="24"/>
        <v>4.6304175589079392E-2</v>
      </c>
      <c r="QT7" s="30">
        <f t="shared" ca="1" si="24"/>
        <v>2.6474091973264724E-2</v>
      </c>
      <c r="QU7" s="30">
        <f t="shared" ca="1" si="24"/>
        <v>6.2384156389464797E-2</v>
      </c>
      <c r="QV7" s="30">
        <f t="shared" ca="1" si="24"/>
        <v>3.0283200031190713E-2</v>
      </c>
      <c r="QW7" s="30">
        <f t="shared" ca="1" si="24"/>
        <v>-6.2181781659138846E-3</v>
      </c>
      <c r="QX7" s="30">
        <f t="shared" ca="1" si="24"/>
        <v>5.8118859271250968E-2</v>
      </c>
      <c r="QY7" s="30">
        <f t="shared" ca="1" si="24"/>
        <v>5.3372918168999887E-3</v>
      </c>
      <c r="QZ7" s="30">
        <f t="shared" ca="1" si="24"/>
        <v>6.263721094051164E-2</v>
      </c>
      <c r="RA7" s="30">
        <f t="shared" ca="1" si="24"/>
        <v>-7.3166835433033706E-2</v>
      </c>
      <c r="RB7" s="30">
        <f t="shared" ca="1" si="24"/>
        <v>7.2404154716621802E-2</v>
      </c>
      <c r="RC7" s="30">
        <f t="shared" ca="1" si="24"/>
        <v>8.6750656806240084E-2</v>
      </c>
      <c r="RD7" s="30">
        <f t="shared" ca="1" si="24"/>
        <v>3.7398767248886397E-2</v>
      </c>
      <c r="RE7" s="30">
        <f t="shared" ca="1" si="24"/>
        <v>-1.0982395019196536E-3</v>
      </c>
      <c r="RF7" s="30">
        <f t="shared" ca="1" si="24"/>
        <v>4.8375405646865058E-2</v>
      </c>
      <c r="RG7" s="30">
        <f t="shared" ca="1" si="24"/>
        <v>-1.8763894785470841E-2</v>
      </c>
      <c r="RH7" s="30">
        <f t="shared" ca="1" si="24"/>
        <v>-7.5469998711012759E-2</v>
      </c>
      <c r="RI7" s="30">
        <f t="shared" ca="1" si="24"/>
        <v>8.4472897425602239E-2</v>
      </c>
      <c r="RJ7" s="30">
        <f t="shared" ca="1" si="24"/>
        <v>-8.1717490998331616E-3</v>
      </c>
      <c r="RK7" s="30">
        <f t="shared" ca="1" si="24"/>
        <v>7.4703538348987047E-2</v>
      </c>
      <c r="RL7" s="30">
        <f t="shared" ca="1" si="24"/>
        <v>7.441998491598098E-2</v>
      </c>
      <c r="RM7" s="30">
        <f t="shared" ca="1" si="24"/>
        <v>-6.771798110846608E-2</v>
      </c>
      <c r="RN7" s="30">
        <f t="shared" ca="1" si="24"/>
        <v>-2.8346598321950241E-2</v>
      </c>
      <c r="RO7" s="30">
        <f t="shared" ca="1" si="24"/>
        <v>-5.4867526983803976E-2</v>
      </c>
      <c r="RP7" s="30">
        <f t="shared" ca="1" si="24"/>
        <v>8.5856315925911975E-2</v>
      </c>
      <c r="RQ7" s="30">
        <f t="shared" ca="1" si="24"/>
        <v>-1.9094950008081219E-2</v>
      </c>
      <c r="RR7" s="30">
        <f t="shared" ca="1" si="24"/>
        <v>-1.9081589248936687E-2</v>
      </c>
      <c r="RS7" s="30">
        <f t="shared" ca="1" si="24"/>
        <v>9.0174238965534184E-2</v>
      </c>
      <c r="RT7" s="30">
        <f t="shared" ca="1" si="24"/>
        <v>1.8309672103257199E-3</v>
      </c>
      <c r="RU7" s="30">
        <f t="shared" ca="1" si="24"/>
        <v>-8.9541577496327386E-3</v>
      </c>
      <c r="RV7" s="30">
        <f t="shared" ca="1" si="24"/>
        <v>-8.3236345244321469E-3</v>
      </c>
      <c r="RW7" s="30">
        <f t="shared" ca="1" si="24"/>
        <v>5.1829613814110567E-2</v>
      </c>
      <c r="RX7" s="30">
        <f t="shared" ca="1" si="24"/>
        <v>5.8649730901569906E-2</v>
      </c>
      <c r="RY7" s="30">
        <f t="shared" ca="1" si="24"/>
        <v>3.6883851754573066E-2</v>
      </c>
      <c r="RZ7" s="30">
        <f t="shared" ca="1" si="24"/>
        <v>3.167990770644942E-2</v>
      </c>
      <c r="SA7" s="30">
        <f t="shared" ca="1" si="24"/>
        <v>-5.8232428655677444E-3</v>
      </c>
      <c r="SB7" s="30">
        <f t="shared" ca="1" si="24"/>
        <v>7.3990631483630637E-2</v>
      </c>
      <c r="SC7" s="30">
        <f t="shared" ca="1" si="24"/>
        <v>-1.5610680669232234E-2</v>
      </c>
      <c r="SD7" s="30">
        <f t="shared" ca="1" si="24"/>
        <v>-4.8421679140057516E-2</v>
      </c>
      <c r="SE7" s="30">
        <f t="shared" ca="1" si="24"/>
        <v>-2.7154803881329945E-2</v>
      </c>
      <c r="SF7" s="30">
        <f t="shared" ca="1" si="24"/>
        <v>4.9617089314987678E-2</v>
      </c>
      <c r="SG7" s="30">
        <f t="shared" ca="1" si="24"/>
        <v>2.0942520667294944E-2</v>
      </c>
      <c r="SH7" s="30">
        <f t="shared" ca="1" si="24"/>
        <v>-3.2596594174769566E-2</v>
      </c>
      <c r="SI7" s="30">
        <f t="shared" ca="1" si="24"/>
        <v>3.0864067124765377E-2</v>
      </c>
      <c r="SJ7" s="30">
        <f t="shared" ca="1" si="24"/>
        <v>-2.081280169461559E-2</v>
      </c>
      <c r="SK7" s="30">
        <f t="shared" ca="1" si="24"/>
        <v>1.8912258559437088E-2</v>
      </c>
      <c r="SL7" s="30">
        <f t="shared" ca="1" si="24"/>
        <v>-3.3030974042612141E-2</v>
      </c>
      <c r="SM7" s="30">
        <f t="shared" ca="1" si="24"/>
        <v>-3.4928633917937706E-2</v>
      </c>
      <c r="SN7" s="30">
        <f t="shared" ca="1" si="24"/>
        <v>-2.7873916840463865E-3</v>
      </c>
      <c r="SO7" s="30">
        <f t="shared" ca="1" si="24"/>
        <v>3.7191579388676586E-2</v>
      </c>
      <c r="SP7" s="30">
        <f t="shared" ca="1" si="24"/>
        <v>2.7501647775840288E-2</v>
      </c>
      <c r="SQ7" s="30">
        <f t="shared" ca="1" si="24"/>
        <v>-1.2798477297615856E-2</v>
      </c>
      <c r="SR7" s="30">
        <f t="shared" ca="1" si="24"/>
        <v>9.4584924085317386E-3</v>
      </c>
      <c r="SS7" s="30">
        <f t="shared" ca="1" si="24"/>
        <v>8.564381229267188E-3</v>
      </c>
      <c r="ST7" s="30">
        <f t="shared" ca="1" si="24"/>
        <v>3.1505531909554893E-2</v>
      </c>
      <c r="SU7" s="30">
        <f t="shared" ca="1" si="24"/>
        <v>2.6392016408035297E-2</v>
      </c>
      <c r="SV7" s="30">
        <f t="shared" ca="1" si="24"/>
        <v>-2.5905683840915277E-2</v>
      </c>
      <c r="SW7" s="30">
        <f t="shared" ca="1" si="24"/>
        <v>-2.4886795567953326E-2</v>
      </c>
      <c r="SX7" s="30">
        <f t="shared" ca="1" si="24"/>
        <v>-4.5310219290241031E-2</v>
      </c>
      <c r="SY7" s="30">
        <f t="shared" ref="SY7:VJ11" ca="1" si="39">_xlfn.NORM.INV(RAND(),$C$8,$C$9)</f>
        <v>4.5841136517345282E-2</v>
      </c>
      <c r="SZ7" s="30">
        <f t="shared" ca="1" si="39"/>
        <v>1.8656716588272143E-2</v>
      </c>
      <c r="TA7" s="30">
        <f t="shared" ca="1" si="39"/>
        <v>-3.119817253917076E-2</v>
      </c>
      <c r="TB7" s="30">
        <f t="shared" ca="1" si="39"/>
        <v>-3.8794999128613497E-3</v>
      </c>
      <c r="TC7" s="30">
        <f t="shared" ca="1" si="39"/>
        <v>8.6134693752302566E-2</v>
      </c>
      <c r="TD7" s="30">
        <f t="shared" ca="1" si="39"/>
        <v>-1.8006418102339234E-2</v>
      </c>
      <c r="TE7" s="30">
        <f t="shared" ca="1" si="39"/>
        <v>9.1033079759687986E-3</v>
      </c>
      <c r="TF7" s="30">
        <f t="shared" ca="1" si="39"/>
        <v>5.3790258313177894E-2</v>
      </c>
      <c r="TG7" s="30">
        <f t="shared" ca="1" si="39"/>
        <v>-2.9766929941711782E-2</v>
      </c>
      <c r="TH7" s="30">
        <f t="shared" ca="1" si="39"/>
        <v>-7.4851148807746529E-2</v>
      </c>
      <c r="TI7" s="30">
        <f t="shared" ca="1" si="39"/>
        <v>-5.1803190414354355E-2</v>
      </c>
      <c r="TJ7" s="30">
        <f t="shared" ca="1" si="39"/>
        <v>-3.9120745821415615E-2</v>
      </c>
      <c r="TK7" s="30">
        <f t="shared" ca="1" si="39"/>
        <v>-1.562935312401172E-2</v>
      </c>
      <c r="TL7" s="30">
        <f t="shared" ca="1" si="39"/>
        <v>1.1737683687835579E-2</v>
      </c>
      <c r="TM7" s="30">
        <f t="shared" ca="1" si="39"/>
        <v>2.5392100791221686E-2</v>
      </c>
      <c r="TN7" s="30">
        <f t="shared" ca="1" si="39"/>
        <v>-7.6716661644789838E-2</v>
      </c>
      <c r="TO7" s="30">
        <f t="shared" ca="1" si="39"/>
        <v>-1.4162319684746735E-2</v>
      </c>
      <c r="TP7" s="30">
        <f t="shared" ca="1" si="39"/>
        <v>-7.1841723938620733E-2</v>
      </c>
      <c r="TQ7" s="30">
        <f t="shared" ca="1" si="39"/>
        <v>3.190906839742854E-2</v>
      </c>
      <c r="TR7" s="30">
        <f t="shared" ca="1" si="39"/>
        <v>-7.665760348842145E-3</v>
      </c>
      <c r="TS7" s="30">
        <f t="shared" ca="1" si="39"/>
        <v>-5.9931547809887832E-2</v>
      </c>
      <c r="TT7" s="30">
        <f t="shared" ca="1" si="39"/>
        <v>-7.4138967355466805E-3</v>
      </c>
      <c r="TU7" s="30">
        <f t="shared" ca="1" si="39"/>
        <v>4.0039301505519161E-2</v>
      </c>
      <c r="TV7" s="30">
        <f t="shared" ca="1" si="39"/>
        <v>1.2145780486405812E-2</v>
      </c>
      <c r="TW7" s="30">
        <f t="shared" ca="1" si="39"/>
        <v>-5.172820531676714E-2</v>
      </c>
      <c r="TX7" s="30">
        <f t="shared" ca="1" si="39"/>
        <v>4.9586051214967945E-2</v>
      </c>
      <c r="TY7" s="30">
        <f t="shared" ca="1" si="39"/>
        <v>-8.3619166531464038E-3</v>
      </c>
      <c r="TZ7" s="30">
        <f t="shared" ca="1" si="39"/>
        <v>-1.5285126279703177E-2</v>
      </c>
      <c r="UA7" s="30">
        <f t="shared" ca="1" si="39"/>
        <v>-5.0953665537341597E-3</v>
      </c>
      <c r="UB7" s="30">
        <f t="shared" ca="1" si="39"/>
        <v>5.4463418398147397E-2</v>
      </c>
      <c r="UC7" s="30">
        <f t="shared" ca="1" si="39"/>
        <v>5.16825061106891E-2</v>
      </c>
      <c r="UD7" s="30">
        <f t="shared" ca="1" si="39"/>
        <v>7.9044552054005589E-3</v>
      </c>
      <c r="UE7" s="30">
        <f t="shared" ca="1" si="39"/>
        <v>1.6294341773438529E-2</v>
      </c>
      <c r="UF7" s="30">
        <f t="shared" ca="1" si="39"/>
        <v>0.10666379390254511</v>
      </c>
      <c r="UG7" s="30">
        <f t="shared" ca="1" si="39"/>
        <v>3.0225890047104947E-2</v>
      </c>
      <c r="UH7" s="30">
        <f t="shared" ca="1" si="39"/>
        <v>1.2958717258265227E-2</v>
      </c>
      <c r="UI7" s="30">
        <f t="shared" ca="1" si="39"/>
        <v>1.6836628926219593E-2</v>
      </c>
      <c r="UJ7" s="30">
        <f t="shared" ca="1" si="39"/>
        <v>1.18783374891183E-3</v>
      </c>
      <c r="UK7" s="30">
        <f t="shared" ca="1" si="39"/>
        <v>2.408015366426073E-2</v>
      </c>
      <c r="UL7" s="30">
        <f t="shared" ca="1" si="39"/>
        <v>-1.7831564421662029E-2</v>
      </c>
      <c r="UM7" s="30">
        <f t="shared" ca="1" si="39"/>
        <v>3.415762799082165E-2</v>
      </c>
      <c r="UN7" s="30">
        <f t="shared" ca="1" si="39"/>
        <v>-5.2567010045597863E-2</v>
      </c>
      <c r="UO7" s="30">
        <f t="shared" ca="1" si="39"/>
        <v>-8.6333198458703967E-3</v>
      </c>
      <c r="UP7" s="30">
        <f t="shared" ca="1" si="39"/>
        <v>-2.5171303754814165E-2</v>
      </c>
      <c r="UQ7" s="30">
        <f t="shared" ca="1" si="39"/>
        <v>-2.3861916382341464E-2</v>
      </c>
      <c r="UR7" s="30">
        <f t="shared" ca="1" si="39"/>
        <v>9.114889632387424E-2</v>
      </c>
      <c r="US7" s="30">
        <f t="shared" ca="1" si="39"/>
        <v>-2.7391157988612334E-2</v>
      </c>
      <c r="UT7" s="30">
        <f t="shared" ca="1" si="39"/>
        <v>-4.2276077932446046E-2</v>
      </c>
      <c r="UU7" s="30">
        <f t="shared" ca="1" si="39"/>
        <v>2.0071032262004785E-2</v>
      </c>
      <c r="UV7" s="30">
        <f t="shared" ca="1" si="39"/>
        <v>5.8709442785379616E-2</v>
      </c>
      <c r="UW7" s="30">
        <f t="shared" ca="1" si="39"/>
        <v>-2.2229953017078696E-2</v>
      </c>
      <c r="UX7" s="30">
        <f t="shared" ca="1" si="39"/>
        <v>2.0334365622214166E-2</v>
      </c>
      <c r="UY7" s="30">
        <f t="shared" ca="1" si="39"/>
        <v>-2.3518551862879461E-2</v>
      </c>
      <c r="UZ7" s="30">
        <f t="shared" ca="1" si="39"/>
        <v>2.2544925905595686E-2</v>
      </c>
      <c r="VA7" s="30">
        <f t="shared" ca="1" si="39"/>
        <v>9.7067558538388221E-2</v>
      </c>
      <c r="VB7" s="30">
        <f t="shared" ca="1" si="39"/>
        <v>4.7945403307291204E-2</v>
      </c>
      <c r="VC7" s="30">
        <f t="shared" ca="1" si="39"/>
        <v>8.8024107073121586E-3</v>
      </c>
      <c r="VD7" s="30">
        <f t="shared" ca="1" si="39"/>
        <v>4.5362693596678834E-2</v>
      </c>
      <c r="VE7" s="30">
        <f t="shared" ca="1" si="39"/>
        <v>-3.9429292367220835E-2</v>
      </c>
      <c r="VF7" s="30">
        <f t="shared" ca="1" si="39"/>
        <v>-2.7852942310495872E-3</v>
      </c>
      <c r="VG7" s="30">
        <f t="shared" ca="1" si="39"/>
        <v>2.7640633836244929E-2</v>
      </c>
      <c r="VH7" s="30">
        <f t="shared" ca="1" si="39"/>
        <v>-2.5346040712647708E-2</v>
      </c>
      <c r="VI7" s="30">
        <f t="shared" ca="1" si="39"/>
        <v>4.9639768483210481E-3</v>
      </c>
      <c r="VJ7" s="30">
        <f t="shared" ca="1" si="39"/>
        <v>5.5616696527684785E-2</v>
      </c>
      <c r="VK7" s="30">
        <f t="shared" ca="1" si="25"/>
        <v>-3.5783969898311209E-3</v>
      </c>
      <c r="VL7" s="30">
        <f t="shared" ca="1" si="26"/>
        <v>-8.720730222435304E-3</v>
      </c>
      <c r="VM7" s="30">
        <f t="shared" ca="1" si="26"/>
        <v>5.3983750899930801E-2</v>
      </c>
      <c r="VN7" s="30">
        <f t="shared" ca="1" si="26"/>
        <v>3.2951113290037401E-2</v>
      </c>
      <c r="VO7" s="30">
        <f t="shared" ca="1" si="26"/>
        <v>-1.3794524081582601E-2</v>
      </c>
      <c r="VP7" s="30">
        <f t="shared" ca="1" si="26"/>
        <v>-6.9464804500269824E-3</v>
      </c>
      <c r="VQ7" s="30">
        <f t="shared" ca="1" si="26"/>
        <v>-5.220811868109633E-2</v>
      </c>
      <c r="VR7" s="30">
        <f t="shared" ca="1" si="26"/>
        <v>4.4193022375009989E-3</v>
      </c>
      <c r="VS7" s="30">
        <f t="shared" ca="1" si="26"/>
        <v>-1.6552531603750725E-2</v>
      </c>
      <c r="VT7" s="30">
        <f t="shared" ca="1" si="26"/>
        <v>-3.5969903603987247E-2</v>
      </c>
      <c r="VU7" s="30">
        <f t="shared" ca="1" si="26"/>
        <v>-1.3661688368640172E-2</v>
      </c>
      <c r="VV7" s="30">
        <f t="shared" ca="1" si="26"/>
        <v>3.4793399261148265E-2</v>
      </c>
      <c r="VW7" s="30">
        <f t="shared" ca="1" si="26"/>
        <v>9.0951246543194506E-3</v>
      </c>
      <c r="VX7" s="30">
        <f t="shared" ca="1" si="26"/>
        <v>8.3998253970942616E-3</v>
      </c>
      <c r="VY7" s="30">
        <f t="shared" ca="1" si="26"/>
        <v>1.8408516229337778E-2</v>
      </c>
      <c r="VZ7" s="30">
        <f t="shared" ca="1" si="26"/>
        <v>3.5743162287821227E-2</v>
      </c>
      <c r="WA7" s="30">
        <f t="shared" ca="1" si="26"/>
        <v>9.3865284603772397E-3</v>
      </c>
      <c r="WB7" s="30">
        <f t="shared" ca="1" si="26"/>
        <v>-3.1656298912672021E-3</v>
      </c>
      <c r="WC7" s="30">
        <f t="shared" ca="1" si="26"/>
        <v>-3.3430535386732026E-2</v>
      </c>
      <c r="WD7" s="30">
        <f t="shared" ca="1" si="26"/>
        <v>-5.203135327390941E-3</v>
      </c>
      <c r="WE7" s="30">
        <f t="shared" ca="1" si="26"/>
        <v>9.9048679081796195E-3</v>
      </c>
      <c r="WF7" s="30">
        <f t="shared" ca="1" si="26"/>
        <v>-7.6589338889743504E-3</v>
      </c>
      <c r="WG7" s="30">
        <f t="shared" ca="1" si="26"/>
        <v>2.4292443864059772E-2</v>
      </c>
      <c r="WH7" s="30">
        <f t="shared" ca="1" si="26"/>
        <v>9.8071202233993519E-3</v>
      </c>
      <c r="WI7" s="30">
        <f t="shared" ca="1" si="26"/>
        <v>-3.6287816010562614E-2</v>
      </c>
      <c r="WJ7" s="30">
        <f t="shared" ca="1" si="26"/>
        <v>-8.1772466599761021E-2</v>
      </c>
      <c r="WK7" s="30">
        <f t="shared" ca="1" si="26"/>
        <v>-4.4367551449651765E-2</v>
      </c>
      <c r="WL7" s="30">
        <f t="shared" ca="1" si="26"/>
        <v>4.787361526163577E-2</v>
      </c>
      <c r="WM7" s="30">
        <f t="shared" ca="1" si="26"/>
        <v>-5.1881369397310119E-2</v>
      </c>
      <c r="WN7" s="30">
        <f t="shared" ca="1" si="26"/>
        <v>-3.1075650646688401E-2</v>
      </c>
      <c r="WO7" s="30">
        <f t="shared" ca="1" si="26"/>
        <v>-2.5451799709516179E-2</v>
      </c>
      <c r="WP7" s="30">
        <f t="shared" ca="1" si="26"/>
        <v>1.6530361528482158E-2</v>
      </c>
      <c r="WQ7" s="30">
        <f t="shared" ca="1" si="26"/>
        <v>-2.4197899412315659E-2</v>
      </c>
      <c r="WR7" s="30">
        <f t="shared" ca="1" si="26"/>
        <v>-7.9386209647393444E-2</v>
      </c>
      <c r="WS7" s="30">
        <f t="shared" ca="1" si="26"/>
        <v>1.7636743304903179E-2</v>
      </c>
      <c r="WT7" s="30">
        <f t="shared" ca="1" si="26"/>
        <v>4.2154843184667922E-3</v>
      </c>
      <c r="WU7" s="30">
        <f t="shared" ca="1" si="26"/>
        <v>-1.4060809516199934E-2</v>
      </c>
      <c r="WV7" s="30">
        <f t="shared" ca="1" si="26"/>
        <v>-3.6780663164763271E-2</v>
      </c>
      <c r="WW7" s="30">
        <f t="shared" ca="1" si="26"/>
        <v>2.7635322147884379E-2</v>
      </c>
      <c r="WX7" s="30">
        <f t="shared" ca="1" si="26"/>
        <v>8.0076406158198835E-4</v>
      </c>
      <c r="WY7" s="30">
        <f t="shared" ca="1" si="26"/>
        <v>6.0976958977979633E-2</v>
      </c>
      <c r="WZ7" s="30">
        <f t="shared" ca="1" si="26"/>
        <v>4.9207857323615344E-2</v>
      </c>
      <c r="XA7" s="30">
        <f t="shared" ca="1" si="26"/>
        <v>2.4084831846231294E-2</v>
      </c>
      <c r="XB7" s="30">
        <f t="shared" ca="1" si="26"/>
        <v>-4.6157871957255257E-2</v>
      </c>
      <c r="XC7" s="30">
        <f t="shared" ca="1" si="26"/>
        <v>2.8880773026650552E-2</v>
      </c>
      <c r="XD7" s="30">
        <f t="shared" ca="1" si="26"/>
        <v>1.4432174515557934E-2</v>
      </c>
      <c r="XE7" s="30">
        <f t="shared" ca="1" si="26"/>
        <v>3.826357831594069E-2</v>
      </c>
      <c r="XF7" s="30">
        <f t="shared" ca="1" si="26"/>
        <v>-4.5658506638950502E-4</v>
      </c>
      <c r="XG7" s="30">
        <f t="shared" ca="1" si="26"/>
        <v>-1.6993222444304425E-2</v>
      </c>
      <c r="XH7" s="30">
        <f t="shared" ca="1" si="26"/>
        <v>5.637586771152165E-2</v>
      </c>
      <c r="XI7" s="30">
        <f t="shared" ca="1" si="26"/>
        <v>-5.6443127708890109E-2</v>
      </c>
      <c r="XJ7" s="30">
        <f t="shared" ca="1" si="26"/>
        <v>1.1974112796588613E-2</v>
      </c>
      <c r="XK7" s="30">
        <f t="shared" ca="1" si="26"/>
        <v>-4.1342415021868265E-2</v>
      </c>
      <c r="XL7" s="30">
        <f t="shared" ca="1" si="26"/>
        <v>-5.4423118908776456E-2</v>
      </c>
      <c r="XM7" s="30">
        <f t="shared" ca="1" si="26"/>
        <v>-1.1864198581835411E-2</v>
      </c>
      <c r="XN7" s="30">
        <f t="shared" ca="1" si="26"/>
        <v>-5.7079455104970471E-2</v>
      </c>
      <c r="XO7" s="30">
        <f t="shared" ca="1" si="26"/>
        <v>-2.0236442152583144E-2</v>
      </c>
      <c r="XP7" s="30">
        <f t="shared" ca="1" si="26"/>
        <v>3.5025623754631877E-2</v>
      </c>
      <c r="XQ7" s="30">
        <f t="shared" ca="1" si="26"/>
        <v>-1.7838071560663134E-2</v>
      </c>
      <c r="XR7" s="30">
        <f t="shared" ca="1" si="26"/>
        <v>-5.9606027608986858E-3</v>
      </c>
      <c r="XS7" s="30">
        <f t="shared" ca="1" si="26"/>
        <v>-2.3515611743769631E-2</v>
      </c>
      <c r="XT7" s="30">
        <f t="shared" ca="1" si="26"/>
        <v>3.4311176227257649E-2</v>
      </c>
      <c r="XU7" s="30">
        <f t="shared" ca="1" si="26"/>
        <v>1.4535615073219287E-3</v>
      </c>
      <c r="XV7" s="30">
        <f t="shared" ca="1" si="26"/>
        <v>-4.8257148275701267E-2</v>
      </c>
      <c r="XW7" s="30">
        <f t="shared" ref="XW7:AAH11" ca="1" si="40">_xlfn.NORM.INV(RAND(),$C$8,$C$9)</f>
        <v>-0.10476508085645243</v>
      </c>
      <c r="XX7" s="30">
        <f t="shared" ca="1" si="40"/>
        <v>-9.689975891019529E-3</v>
      </c>
      <c r="XY7" s="30">
        <f t="shared" ca="1" si="40"/>
        <v>-6.3227463860175012E-2</v>
      </c>
      <c r="XZ7" s="30">
        <f t="shared" ca="1" si="40"/>
        <v>-4.0892177779653364E-2</v>
      </c>
      <c r="YA7" s="30">
        <f t="shared" ca="1" si="40"/>
        <v>5.0765720228672637E-2</v>
      </c>
      <c r="YB7" s="30">
        <f t="shared" ca="1" si="40"/>
        <v>-6.5721938651329883E-3</v>
      </c>
      <c r="YC7" s="30">
        <f t="shared" ca="1" si="40"/>
        <v>6.7741147995136683E-2</v>
      </c>
      <c r="YD7" s="30">
        <f t="shared" ca="1" si="40"/>
        <v>-3.1029202794196427E-4</v>
      </c>
      <c r="YE7" s="30">
        <f t="shared" ca="1" si="40"/>
        <v>-5.0260817089159554E-2</v>
      </c>
      <c r="YF7" s="30">
        <f t="shared" ca="1" si="40"/>
        <v>6.0000930511553709E-4</v>
      </c>
      <c r="YG7" s="30">
        <f t="shared" ca="1" si="40"/>
        <v>3.8403699182890785E-2</v>
      </c>
      <c r="YH7" s="30">
        <f t="shared" ca="1" si="40"/>
        <v>0.10146763871196349</v>
      </c>
      <c r="YI7" s="30">
        <f t="shared" ca="1" si="40"/>
        <v>2.2928963338610386E-2</v>
      </c>
      <c r="YJ7" s="30">
        <f t="shared" ca="1" si="40"/>
        <v>-6.0925348767684351E-2</v>
      </c>
      <c r="YK7" s="30">
        <f t="shared" ca="1" si="40"/>
        <v>-3.1225864347638688E-2</v>
      </c>
      <c r="YL7" s="30">
        <f t="shared" ca="1" si="40"/>
        <v>-1.3189553031437765E-2</v>
      </c>
      <c r="YM7" s="30">
        <f t="shared" ca="1" si="40"/>
        <v>-4.3445862666527578E-2</v>
      </c>
      <c r="YN7" s="30">
        <f t="shared" ca="1" si="40"/>
        <v>-9.8857768115241263E-3</v>
      </c>
      <c r="YO7" s="30">
        <f t="shared" ca="1" si="40"/>
        <v>6.6338504988414145E-3</v>
      </c>
      <c r="YP7" s="30">
        <f t="shared" ca="1" si="40"/>
        <v>3.3990535045129618E-2</v>
      </c>
      <c r="YQ7" s="30">
        <f t="shared" ca="1" si="40"/>
        <v>8.0837964273751499E-3</v>
      </c>
      <c r="YR7" s="30">
        <f t="shared" ca="1" si="40"/>
        <v>-1.725460781232932E-2</v>
      </c>
      <c r="YS7" s="30">
        <f t="shared" ca="1" si="40"/>
        <v>-5.1511260768215161E-2</v>
      </c>
      <c r="YT7" s="30">
        <f t="shared" ca="1" si="40"/>
        <v>1.5025461145130085E-2</v>
      </c>
      <c r="YU7" s="30">
        <f t="shared" ca="1" si="40"/>
        <v>2.9957688214086248E-2</v>
      </c>
      <c r="YV7" s="30">
        <f t="shared" ca="1" si="40"/>
        <v>-1.3325386815983244E-2</v>
      </c>
      <c r="YW7" s="30">
        <f t="shared" ca="1" si="40"/>
        <v>-1.2779080672231161E-2</v>
      </c>
      <c r="YX7" s="30">
        <f t="shared" ca="1" si="40"/>
        <v>3.550281062379327E-2</v>
      </c>
      <c r="YY7" s="30">
        <f t="shared" ca="1" si="40"/>
        <v>-3.10000458055536E-2</v>
      </c>
      <c r="YZ7" s="30">
        <f t="shared" ca="1" si="40"/>
        <v>-1.8181944371237893E-2</v>
      </c>
      <c r="ZA7" s="30">
        <f t="shared" ca="1" si="40"/>
        <v>-2.1956971464080634E-2</v>
      </c>
      <c r="ZB7" s="30">
        <f t="shared" ca="1" si="40"/>
        <v>1.2421199731584504E-2</v>
      </c>
      <c r="ZC7" s="30">
        <f t="shared" ca="1" si="40"/>
        <v>-2.251357084132154E-2</v>
      </c>
      <c r="ZD7" s="30">
        <f t="shared" ca="1" si="40"/>
        <v>2.3985083787592732E-3</v>
      </c>
      <c r="ZE7" s="30">
        <f t="shared" ca="1" si="40"/>
        <v>3.2450028512471234E-3</v>
      </c>
      <c r="ZF7" s="30">
        <f t="shared" ca="1" si="40"/>
        <v>-1.4240995961400802E-2</v>
      </c>
      <c r="ZG7" s="30">
        <f t="shared" ca="1" si="40"/>
        <v>-6.4553491816392902E-2</v>
      </c>
      <c r="ZH7" s="30">
        <f t="shared" ca="1" si="40"/>
        <v>-0.10772826534552979</v>
      </c>
      <c r="ZI7" s="30">
        <f t="shared" ca="1" si="40"/>
        <v>1.0252206330455671E-2</v>
      </c>
      <c r="ZJ7" s="30">
        <f t="shared" ca="1" si="40"/>
        <v>-1.7089000521201198E-3</v>
      </c>
      <c r="ZK7" s="30">
        <f t="shared" ca="1" si="40"/>
        <v>-5.9295536775600219E-2</v>
      </c>
      <c r="ZL7" s="30">
        <f t="shared" ca="1" si="40"/>
        <v>7.4738063979574764E-3</v>
      </c>
      <c r="ZM7" s="30">
        <f t="shared" ca="1" si="40"/>
        <v>4.9888907923431043E-2</v>
      </c>
      <c r="ZN7" s="30">
        <f t="shared" ca="1" si="40"/>
        <v>-8.9737303173244104E-2</v>
      </c>
      <c r="ZO7" s="30">
        <f t="shared" ca="1" si="40"/>
        <v>1.3384017877726143E-2</v>
      </c>
      <c r="ZP7" s="30">
        <f t="shared" ca="1" si="40"/>
        <v>7.2817921744668695E-2</v>
      </c>
      <c r="ZQ7" s="30">
        <f t="shared" ca="1" si="40"/>
        <v>1.7353833516580725E-2</v>
      </c>
      <c r="ZR7" s="30">
        <f t="shared" ca="1" si="40"/>
        <v>-4.9265950506188136E-2</v>
      </c>
      <c r="ZS7" s="30">
        <f t="shared" ca="1" si="40"/>
        <v>6.532924364138501E-2</v>
      </c>
      <c r="ZT7" s="30">
        <f t="shared" ca="1" si="40"/>
        <v>-4.2063736020693694E-2</v>
      </c>
      <c r="ZU7" s="30">
        <f t="shared" ca="1" si="40"/>
        <v>4.7811566222861139E-2</v>
      </c>
      <c r="ZV7" s="30">
        <f t="shared" ca="1" si="40"/>
        <v>1.0419982383346677E-2</v>
      </c>
      <c r="ZW7" s="30">
        <f t="shared" ca="1" si="40"/>
        <v>1.4236143976401895E-2</v>
      </c>
      <c r="ZX7" s="30">
        <f t="shared" ca="1" si="40"/>
        <v>-9.8134514016256467E-3</v>
      </c>
      <c r="ZY7" s="30">
        <f t="shared" ca="1" si="40"/>
        <v>2.134240745301794E-2</v>
      </c>
      <c r="ZZ7" s="30">
        <f t="shared" ca="1" si="40"/>
        <v>-2.6370297574299227E-2</v>
      </c>
      <c r="AAA7" s="30">
        <f t="shared" ca="1" si="40"/>
        <v>-5.8589194240730065E-3</v>
      </c>
      <c r="AAB7" s="30">
        <f t="shared" ca="1" si="40"/>
        <v>2.0797025926019449E-2</v>
      </c>
      <c r="AAC7" s="30">
        <f t="shared" ca="1" si="40"/>
        <v>5.3086030503981883E-2</v>
      </c>
      <c r="AAD7" s="30">
        <f t="shared" ca="1" si="40"/>
        <v>-5.2927113787686123E-2</v>
      </c>
      <c r="AAE7" s="30">
        <f t="shared" ca="1" si="40"/>
        <v>1.0808237992204435E-2</v>
      </c>
      <c r="AAF7" s="30">
        <f t="shared" ca="1" si="40"/>
        <v>-3.7393787260437926E-2</v>
      </c>
      <c r="AAG7" s="30">
        <f t="shared" ca="1" si="40"/>
        <v>2.2110610653180544E-2</v>
      </c>
      <c r="AAH7" s="30">
        <f t="shared" ca="1" si="40"/>
        <v>1.9032010843231424E-2</v>
      </c>
      <c r="AAI7" s="30">
        <f t="shared" ca="1" si="27"/>
        <v>-2.2742894854890948E-3</v>
      </c>
      <c r="AAJ7" s="30">
        <f t="shared" ca="1" si="28"/>
        <v>2.2875207006842882E-2</v>
      </c>
      <c r="AAK7" s="30">
        <f t="shared" ca="1" si="28"/>
        <v>2.7154080401709968E-2</v>
      </c>
      <c r="AAL7" s="30">
        <f t="shared" ca="1" si="28"/>
        <v>-6.8601717857932672E-3</v>
      </c>
      <c r="AAM7" s="30">
        <f t="shared" ca="1" si="28"/>
        <v>-1.7916830892482385E-2</v>
      </c>
      <c r="AAN7" s="30">
        <f t="shared" ca="1" si="28"/>
        <v>1.9356549639329229E-2</v>
      </c>
      <c r="AAO7" s="30">
        <f t="shared" ca="1" si="28"/>
        <v>2.7013366828633003E-2</v>
      </c>
      <c r="AAP7" s="30">
        <f t="shared" ca="1" si="28"/>
        <v>-1.0690621314973494E-2</v>
      </c>
      <c r="AAQ7" s="30">
        <f t="shared" ca="1" si="28"/>
        <v>-2.9491873472032845E-2</v>
      </c>
      <c r="AAR7" s="30">
        <f t="shared" ca="1" si="28"/>
        <v>2.2714745998603358E-2</v>
      </c>
      <c r="AAS7" s="30">
        <f t="shared" ca="1" si="28"/>
        <v>6.8598587836369143E-2</v>
      </c>
      <c r="AAT7" s="30">
        <f t="shared" ca="1" si="28"/>
        <v>-2.9677051742578987E-2</v>
      </c>
      <c r="AAU7" s="30">
        <f t="shared" ca="1" si="28"/>
        <v>1.6949704557748014E-2</v>
      </c>
      <c r="AAV7" s="30">
        <f t="shared" ca="1" si="28"/>
        <v>-3.5869465294247516E-4</v>
      </c>
      <c r="AAW7" s="30">
        <f t="shared" ca="1" si="28"/>
        <v>4.3669329131737732E-2</v>
      </c>
      <c r="AAX7" s="30">
        <f t="shared" ca="1" si="28"/>
        <v>1.8938187235304621E-3</v>
      </c>
      <c r="AAY7" s="30">
        <f t="shared" ca="1" si="28"/>
        <v>5.3641239730986168E-2</v>
      </c>
      <c r="AAZ7" s="30">
        <f t="shared" ca="1" si="28"/>
        <v>-3.3876579083677166E-2</v>
      </c>
      <c r="ABA7" s="30">
        <f t="shared" ca="1" si="28"/>
        <v>2.1166553320507212E-2</v>
      </c>
      <c r="ABB7" s="30">
        <f t="shared" ca="1" si="28"/>
        <v>-3.3595019190648849E-3</v>
      </c>
      <c r="ABC7" s="30">
        <f t="shared" ca="1" si="28"/>
        <v>2.8095491242498806E-2</v>
      </c>
      <c r="ABD7" s="30">
        <f t="shared" ca="1" si="28"/>
        <v>-1.8902616116782612E-2</v>
      </c>
      <c r="ABE7" s="30">
        <f t="shared" ca="1" si="28"/>
        <v>2.1663265186012894E-2</v>
      </c>
      <c r="ABF7" s="30">
        <f t="shared" ca="1" si="28"/>
        <v>-2.5738314455869944E-2</v>
      </c>
      <c r="ABG7" s="30">
        <f t="shared" ca="1" si="28"/>
        <v>1.5520427297191854E-2</v>
      </c>
      <c r="ABH7" s="30">
        <f t="shared" ca="1" si="28"/>
        <v>2.3558437786704071E-2</v>
      </c>
      <c r="ABI7" s="30">
        <f t="shared" ca="1" si="28"/>
        <v>3.0441382577580035E-2</v>
      </c>
      <c r="ABJ7" s="30">
        <f t="shared" ca="1" si="28"/>
        <v>-1.0468358649449538E-2</v>
      </c>
      <c r="ABK7" s="30">
        <f t="shared" ca="1" si="28"/>
        <v>-4.3377715262314501E-2</v>
      </c>
      <c r="ABL7" s="30">
        <f t="shared" ca="1" si="28"/>
        <v>9.4238468478168233E-2</v>
      </c>
      <c r="ABM7" s="30">
        <f t="shared" ca="1" si="28"/>
        <v>6.0222808393135714E-3</v>
      </c>
      <c r="ABN7" s="30">
        <f t="shared" ca="1" si="28"/>
        <v>3.3046806908770487E-2</v>
      </c>
      <c r="ABO7" s="30">
        <f t="shared" ca="1" si="28"/>
        <v>-2.3248194577970661E-2</v>
      </c>
      <c r="ABP7" s="30">
        <f t="shared" ca="1" si="28"/>
        <v>-1.6519458139902991E-3</v>
      </c>
      <c r="ABQ7" s="30">
        <f t="shared" ca="1" si="28"/>
        <v>-4.7181535635754737E-2</v>
      </c>
      <c r="ABR7" s="30">
        <f t="shared" ca="1" si="28"/>
        <v>-3.2255272206878918E-2</v>
      </c>
      <c r="ABS7" s="30">
        <f t="shared" ca="1" si="28"/>
        <v>6.6681379621796211E-2</v>
      </c>
      <c r="ABT7" s="30">
        <f t="shared" ca="1" si="28"/>
        <v>-1.2941828189152318E-2</v>
      </c>
      <c r="ABU7" s="30">
        <f t="shared" ca="1" si="28"/>
        <v>3.5290184987994402E-3</v>
      </c>
      <c r="ABV7" s="30">
        <f t="shared" ca="1" si="28"/>
        <v>-6.7560386338416892E-2</v>
      </c>
      <c r="ABW7" s="30">
        <f t="shared" ca="1" si="28"/>
        <v>-1.1104266965630598E-2</v>
      </c>
      <c r="ABX7" s="30">
        <f t="shared" ca="1" si="28"/>
        <v>3.5019845420524386E-3</v>
      </c>
      <c r="ABY7" s="30">
        <f t="shared" ca="1" si="28"/>
        <v>-3.8396129380557101E-2</v>
      </c>
      <c r="ABZ7" s="30">
        <f t="shared" ca="1" si="28"/>
        <v>1.4790271602204991E-2</v>
      </c>
      <c r="ACA7" s="30">
        <f t="shared" ca="1" si="28"/>
        <v>-2.0046764852036509E-2</v>
      </c>
      <c r="ACB7" s="30">
        <f t="shared" ca="1" si="28"/>
        <v>-2.5195954429312134E-2</v>
      </c>
      <c r="ACC7" s="30">
        <f t="shared" ca="1" si="28"/>
        <v>3.9882156226986848E-2</v>
      </c>
      <c r="ACD7" s="30">
        <f t="shared" ca="1" si="28"/>
        <v>-5.3627716468277242E-2</v>
      </c>
      <c r="ACE7" s="30">
        <f t="shared" ca="1" si="28"/>
        <v>3.5516690091571775E-2</v>
      </c>
      <c r="ACF7" s="30">
        <f t="shared" ca="1" si="28"/>
        <v>-9.5636985834073318E-2</v>
      </c>
      <c r="ACG7" s="30">
        <f t="shared" ca="1" si="28"/>
        <v>2.771409727943738E-2</v>
      </c>
      <c r="ACH7" s="30">
        <f t="shared" ca="1" si="28"/>
        <v>-5.2787421484709787E-2</v>
      </c>
      <c r="ACI7" s="30">
        <f t="shared" ca="1" si="28"/>
        <v>-4.1507688780039374E-2</v>
      </c>
      <c r="ACJ7" s="30">
        <f t="shared" ca="1" si="28"/>
        <v>0.14859717528031685</v>
      </c>
      <c r="ACK7" s="30">
        <f t="shared" ca="1" si="28"/>
        <v>-7.2313127510138398E-3</v>
      </c>
      <c r="ACL7" s="30">
        <f t="shared" ca="1" si="28"/>
        <v>-8.2721916206224683E-2</v>
      </c>
      <c r="ACM7" s="30">
        <f t="shared" ca="1" si="28"/>
        <v>1.3789793884835633E-2</v>
      </c>
      <c r="ACN7" s="30">
        <f t="shared" ca="1" si="28"/>
        <v>2.8083848296132467E-2</v>
      </c>
      <c r="ACO7" s="30">
        <f t="shared" ca="1" si="28"/>
        <v>-8.2604085358538554E-2</v>
      </c>
      <c r="ACP7" s="30">
        <f t="shared" ca="1" si="28"/>
        <v>-3.551220967927439E-2</v>
      </c>
      <c r="ACQ7" s="30">
        <f t="shared" ca="1" si="28"/>
        <v>-2.2947225914425884E-2</v>
      </c>
      <c r="ACR7" s="30">
        <f t="shared" ca="1" si="28"/>
        <v>-4.4829176019026591E-2</v>
      </c>
      <c r="ACS7" s="30">
        <f t="shared" ca="1" si="28"/>
        <v>-2.301066698716325E-2</v>
      </c>
      <c r="ACT7" s="30">
        <f t="shared" ca="1" si="28"/>
        <v>-9.483002586094063E-3</v>
      </c>
      <c r="ACU7" s="30">
        <f t="shared" ref="ACU7:AFF11" ca="1" si="41">_xlfn.NORM.INV(RAND(),$C$8,$C$9)</f>
        <v>4.0705629576158274E-2</v>
      </c>
      <c r="ACV7" s="30">
        <f t="shared" ca="1" si="41"/>
        <v>-5.3817511512010578E-2</v>
      </c>
      <c r="ACW7" s="30">
        <f t="shared" ca="1" si="41"/>
        <v>4.3199075854729275E-3</v>
      </c>
      <c r="ACX7" s="30">
        <f t="shared" ca="1" si="41"/>
        <v>-8.6638514792496374E-2</v>
      </c>
      <c r="ACY7" s="30">
        <f t="shared" ca="1" si="41"/>
        <v>-2.5878222090749185E-2</v>
      </c>
      <c r="ACZ7" s="30">
        <f t="shared" ca="1" si="41"/>
        <v>-1.1793914686884977E-2</v>
      </c>
      <c r="ADA7" s="30">
        <f t="shared" ca="1" si="41"/>
        <v>5.7675565766226317E-2</v>
      </c>
      <c r="ADB7" s="30">
        <f t="shared" ca="1" si="41"/>
        <v>-3.0629983563791499E-2</v>
      </c>
      <c r="ADC7" s="30">
        <f t="shared" ca="1" si="41"/>
        <v>1.0613549443282133E-2</v>
      </c>
      <c r="ADD7" s="30">
        <f t="shared" ca="1" si="41"/>
        <v>-4.4668030015571007E-2</v>
      </c>
      <c r="ADE7" s="30">
        <f t="shared" ca="1" si="41"/>
        <v>4.0370808194140129E-2</v>
      </c>
      <c r="ADF7" s="30">
        <f t="shared" ca="1" si="41"/>
        <v>5.9523523680973758E-2</v>
      </c>
      <c r="ADG7" s="30">
        <f t="shared" ca="1" si="41"/>
        <v>5.62319765371605E-5</v>
      </c>
      <c r="ADH7" s="30">
        <f t="shared" ca="1" si="41"/>
        <v>5.6251702243348523E-2</v>
      </c>
      <c r="ADI7" s="30">
        <f t="shared" ca="1" si="41"/>
        <v>-3.4050848643275879E-2</v>
      </c>
      <c r="ADJ7" s="30">
        <f t="shared" ca="1" si="41"/>
        <v>5.1721687084978596E-2</v>
      </c>
      <c r="ADK7" s="30">
        <f t="shared" ca="1" si="41"/>
        <v>9.0917186873615656E-3</v>
      </c>
      <c r="ADL7" s="30">
        <f t="shared" ca="1" si="41"/>
        <v>-1.5218210120039009E-2</v>
      </c>
      <c r="ADM7" s="30">
        <f t="shared" ca="1" si="41"/>
        <v>-1.621600474535536E-2</v>
      </c>
      <c r="ADN7" s="30">
        <f t="shared" ca="1" si="41"/>
        <v>2.9410751131644194E-2</v>
      </c>
      <c r="ADO7" s="30">
        <f t="shared" ca="1" si="41"/>
        <v>1.0997990731546762E-2</v>
      </c>
      <c r="ADP7" s="30">
        <f t="shared" ca="1" si="41"/>
        <v>1.575612872190232E-2</v>
      </c>
      <c r="ADQ7" s="30">
        <f t="shared" ca="1" si="41"/>
        <v>-1.8161805096415871E-2</v>
      </c>
      <c r="ADR7" s="30">
        <f t="shared" ca="1" si="41"/>
        <v>4.3535615033162426E-3</v>
      </c>
      <c r="ADS7" s="30">
        <f t="shared" ca="1" si="41"/>
        <v>1.9005392521102331E-2</v>
      </c>
      <c r="ADT7" s="30">
        <f t="shared" ca="1" si="41"/>
        <v>6.609581024012252E-3</v>
      </c>
      <c r="ADU7" s="30">
        <f t="shared" ca="1" si="41"/>
        <v>4.4545148778229904E-2</v>
      </c>
      <c r="ADV7" s="30">
        <f t="shared" ca="1" si="41"/>
        <v>2.1601605233268328E-2</v>
      </c>
      <c r="ADW7" s="30">
        <f t="shared" ca="1" si="41"/>
        <v>-3.1514921840294363E-2</v>
      </c>
      <c r="ADX7" s="30">
        <f t="shared" ca="1" si="41"/>
        <v>-4.850042400879695E-2</v>
      </c>
      <c r="ADY7" s="30">
        <f t="shared" ca="1" si="41"/>
        <v>5.1566431783948551E-3</v>
      </c>
      <c r="ADZ7" s="30">
        <f t="shared" ca="1" si="41"/>
        <v>-6.0912359291722895E-2</v>
      </c>
      <c r="AEA7" s="30">
        <f t="shared" ca="1" si="41"/>
        <v>9.0938853298731716E-3</v>
      </c>
      <c r="AEB7" s="30">
        <f t="shared" ca="1" si="41"/>
        <v>-1.8435136365902442E-2</v>
      </c>
      <c r="AEC7" s="30">
        <f t="shared" ca="1" si="41"/>
        <v>1.0562692274202368E-3</v>
      </c>
      <c r="AED7" s="30">
        <f t="shared" ca="1" si="41"/>
        <v>-2.8516976813008936E-3</v>
      </c>
      <c r="AEE7" s="30">
        <f t="shared" ca="1" si="41"/>
        <v>2.5061084683119694E-2</v>
      </c>
      <c r="AEF7" s="30">
        <f t="shared" ca="1" si="41"/>
        <v>3.3842242663844731E-2</v>
      </c>
      <c r="AEG7" s="30">
        <f t="shared" ca="1" si="41"/>
        <v>3.3697060129712846E-2</v>
      </c>
      <c r="AEH7" s="30">
        <f t="shared" ca="1" si="41"/>
        <v>5.6774551315758412E-2</v>
      </c>
      <c r="AEI7" s="30">
        <f t="shared" ca="1" si="41"/>
        <v>8.422280834637039E-3</v>
      </c>
      <c r="AEJ7" s="30">
        <f t="shared" ca="1" si="41"/>
        <v>-1.6638084469255448E-2</v>
      </c>
      <c r="AEK7" s="30">
        <f t="shared" ca="1" si="41"/>
        <v>2.1130949722446238E-2</v>
      </c>
      <c r="AEL7" s="30">
        <f t="shared" ca="1" si="41"/>
        <v>-1.4758076422862157E-2</v>
      </c>
      <c r="AEM7" s="30">
        <f t="shared" ca="1" si="41"/>
        <v>8.2035708908867619E-2</v>
      </c>
      <c r="AEN7" s="30">
        <f t="shared" ca="1" si="41"/>
        <v>3.6960298951610217E-2</v>
      </c>
      <c r="AEO7" s="30">
        <f t="shared" ca="1" si="41"/>
        <v>7.4974775875397914E-2</v>
      </c>
      <c r="AEP7" s="30">
        <f t="shared" ca="1" si="41"/>
        <v>-1.091336887526626E-2</v>
      </c>
      <c r="AEQ7" s="30">
        <f t="shared" ca="1" si="41"/>
        <v>2.991202767538224E-2</v>
      </c>
      <c r="AER7" s="30">
        <f t="shared" ca="1" si="41"/>
        <v>-4.3009636143841554E-2</v>
      </c>
      <c r="AES7" s="30">
        <f t="shared" ca="1" si="41"/>
        <v>-6.5503794485499683E-3</v>
      </c>
      <c r="AET7" s="30">
        <f t="shared" ca="1" si="41"/>
        <v>5.5089417787224676E-2</v>
      </c>
      <c r="AEU7" s="30">
        <f t="shared" ca="1" si="41"/>
        <v>1.6187320917103554E-2</v>
      </c>
      <c r="AEV7" s="30">
        <f t="shared" ca="1" si="41"/>
        <v>4.3519104480088264E-2</v>
      </c>
      <c r="AEW7" s="30">
        <f t="shared" ca="1" si="41"/>
        <v>3.9843864164852284E-2</v>
      </c>
      <c r="AEX7" s="30">
        <f t="shared" ca="1" si="41"/>
        <v>-2.6841568419656823E-2</v>
      </c>
      <c r="AEY7" s="30">
        <f t="shared" ca="1" si="41"/>
        <v>-1.0497127366814879E-2</v>
      </c>
      <c r="AEZ7" s="30">
        <f t="shared" ca="1" si="41"/>
        <v>4.1332305309953646E-2</v>
      </c>
      <c r="AFA7" s="30">
        <f t="shared" ca="1" si="41"/>
        <v>-1.3821490324460046E-2</v>
      </c>
      <c r="AFB7" s="30">
        <f t="shared" ca="1" si="41"/>
        <v>-2.2167044392585215E-2</v>
      </c>
      <c r="AFC7" s="30">
        <f t="shared" ca="1" si="41"/>
        <v>-8.1330038093154599E-3</v>
      </c>
      <c r="AFD7" s="30">
        <f t="shared" ca="1" si="41"/>
        <v>7.0781332414344917E-3</v>
      </c>
      <c r="AFE7" s="30">
        <f t="shared" ca="1" si="41"/>
        <v>-2.9499360134464959E-2</v>
      </c>
      <c r="AFF7" s="30">
        <f t="shared" ca="1" si="41"/>
        <v>-2.7196851353275299E-3</v>
      </c>
      <c r="AFG7" s="30">
        <f t="shared" ca="1" si="29"/>
        <v>2.4045010924328786E-2</v>
      </c>
      <c r="AFH7" s="30">
        <f t="shared" ca="1" si="30"/>
        <v>-6.6998793064749027E-2</v>
      </c>
      <c r="AFI7" s="30">
        <f t="shared" ca="1" si="30"/>
        <v>-9.9647860743565686E-2</v>
      </c>
      <c r="AFJ7" s="30">
        <f t="shared" ca="1" si="30"/>
        <v>-2.1075748604901159E-2</v>
      </c>
      <c r="AFK7" s="30">
        <f t="shared" ca="1" si="30"/>
        <v>3.2057613690348513E-2</v>
      </c>
      <c r="AFL7" s="30">
        <f t="shared" ca="1" si="30"/>
        <v>1.0664814050615959E-2</v>
      </c>
      <c r="AFM7" s="30">
        <f t="shared" ca="1" si="30"/>
        <v>-6.7720559056200669E-2</v>
      </c>
      <c r="AFN7" s="30">
        <f t="shared" ca="1" si="30"/>
        <v>-9.1844730180563217E-2</v>
      </c>
      <c r="AFO7" s="30">
        <f t="shared" ca="1" si="30"/>
        <v>5.9925160093109227E-2</v>
      </c>
      <c r="AFP7" s="30">
        <f t="shared" ca="1" si="30"/>
        <v>1.2966080673258719E-2</v>
      </c>
      <c r="AFQ7" s="30">
        <f t="shared" ca="1" si="30"/>
        <v>-5.1362058254376544E-3</v>
      </c>
      <c r="AFR7" s="30">
        <f t="shared" ca="1" si="30"/>
        <v>-2.0824681137142916E-2</v>
      </c>
      <c r="AFS7" s="30">
        <f t="shared" ca="1" si="30"/>
        <v>-2.4206695417401846E-2</v>
      </c>
      <c r="AFT7" s="30">
        <f t="shared" ca="1" si="30"/>
        <v>2.8462817815004793E-3</v>
      </c>
      <c r="AFU7" s="30">
        <f t="shared" ca="1" si="30"/>
        <v>2.6206132520980134E-2</v>
      </c>
      <c r="AFV7" s="30">
        <f t="shared" ca="1" si="30"/>
        <v>-1.2462917334652716E-2</v>
      </c>
      <c r="AFW7" s="30">
        <f t="shared" ca="1" si="30"/>
        <v>-2.0304568369394312E-2</v>
      </c>
      <c r="AFX7" s="30">
        <f t="shared" ca="1" si="30"/>
        <v>1.5444616692153907E-2</v>
      </c>
      <c r="AFY7" s="30">
        <f t="shared" ca="1" si="30"/>
        <v>-2.9678408242438968E-2</v>
      </c>
      <c r="AFZ7" s="30">
        <f t="shared" ca="1" si="30"/>
        <v>3.5153585095905899E-3</v>
      </c>
      <c r="AGA7" s="30">
        <f t="shared" ca="1" si="30"/>
        <v>1.7597875026355035E-2</v>
      </c>
      <c r="AGB7" s="30">
        <f t="shared" ca="1" si="30"/>
        <v>-6.2145267925987263E-2</v>
      </c>
      <c r="AGC7" s="30">
        <f t="shared" ca="1" si="30"/>
        <v>-5.5672783255218726E-3</v>
      </c>
      <c r="AGD7" s="30">
        <f t="shared" ca="1" si="30"/>
        <v>-5.0481322786763962E-2</v>
      </c>
      <c r="AGE7" s="30">
        <f t="shared" ca="1" si="30"/>
        <v>-1.7257151371120577E-2</v>
      </c>
      <c r="AGF7" s="30">
        <f t="shared" ca="1" si="30"/>
        <v>3.5525497271350855E-2</v>
      </c>
      <c r="AGG7" s="30">
        <f t="shared" ca="1" si="30"/>
        <v>1.2883442670622308E-2</v>
      </c>
      <c r="AGH7" s="30">
        <f t="shared" ca="1" si="30"/>
        <v>5.9138952007026915E-2</v>
      </c>
      <c r="AGI7" s="30">
        <f t="shared" ca="1" si="30"/>
        <v>-5.3774153095407444E-2</v>
      </c>
      <c r="AGJ7" s="30">
        <f t="shared" ca="1" si="30"/>
        <v>1.0393863783166691E-2</v>
      </c>
      <c r="AGK7" s="30">
        <f t="shared" ca="1" si="30"/>
        <v>2.9353335444175403E-2</v>
      </c>
      <c r="AGL7" s="30">
        <f t="shared" ca="1" si="30"/>
        <v>-2.5915402420082792E-2</v>
      </c>
      <c r="AGM7" s="30">
        <f t="shared" ca="1" si="30"/>
        <v>-1.9537947959290643E-2</v>
      </c>
      <c r="AGN7" s="30">
        <f t="shared" ca="1" si="30"/>
        <v>6.2255862919904141E-2</v>
      </c>
      <c r="AGO7" s="30">
        <f t="shared" ca="1" si="30"/>
        <v>-9.8809167808176862E-2</v>
      </c>
      <c r="AGP7" s="30">
        <f t="shared" ca="1" si="30"/>
        <v>-2.9825053732016264E-2</v>
      </c>
      <c r="AGQ7" s="30">
        <f t="shared" ca="1" si="30"/>
        <v>-6.3995675355504426E-3</v>
      </c>
      <c r="AGR7" s="30">
        <f t="shared" ca="1" si="30"/>
        <v>1.4525393621593391E-2</v>
      </c>
      <c r="AGS7" s="30">
        <f t="shared" ca="1" si="30"/>
        <v>-2.2242355161941826E-2</v>
      </c>
      <c r="AGT7" s="30">
        <f t="shared" ca="1" si="30"/>
        <v>5.0932897205148785E-2</v>
      </c>
      <c r="AGU7" s="30">
        <f t="shared" ca="1" si="30"/>
        <v>3.5196491914232582E-2</v>
      </c>
      <c r="AGV7" s="30">
        <f t="shared" ca="1" si="30"/>
        <v>3.4965140126117678E-2</v>
      </c>
      <c r="AGW7" s="30">
        <f t="shared" ca="1" si="30"/>
        <v>-7.5019053689984766E-2</v>
      </c>
      <c r="AGX7" s="30">
        <f t="shared" ca="1" si="30"/>
        <v>-2.1136693022822711E-2</v>
      </c>
      <c r="AGY7" s="30">
        <f t="shared" ca="1" si="30"/>
        <v>2.202512860428445E-2</v>
      </c>
      <c r="AGZ7" s="30">
        <f t="shared" ca="1" si="30"/>
        <v>-1.6560935803557414E-2</v>
      </c>
      <c r="AHA7" s="30">
        <f t="shared" ca="1" si="30"/>
        <v>-9.9128959517001715E-3</v>
      </c>
      <c r="AHB7" s="30">
        <f t="shared" ca="1" si="30"/>
        <v>-3.3280181214276026E-2</v>
      </c>
      <c r="AHC7" s="30">
        <f t="shared" ca="1" si="30"/>
        <v>-2.9401393846024131E-2</v>
      </c>
      <c r="AHD7" s="30">
        <f t="shared" ca="1" si="30"/>
        <v>-4.9856304479969825E-2</v>
      </c>
      <c r="AHE7" s="30">
        <f t="shared" ca="1" si="30"/>
        <v>5.8057287153070028E-2</v>
      </c>
      <c r="AHF7" s="30">
        <f t="shared" ca="1" si="30"/>
        <v>-3.3580976510774074E-2</v>
      </c>
      <c r="AHG7" s="30">
        <f t="shared" ca="1" si="30"/>
        <v>-2.579496354946895E-2</v>
      </c>
      <c r="AHH7" s="30">
        <f t="shared" ca="1" si="30"/>
        <v>2.4620762250102624E-2</v>
      </c>
      <c r="AHI7" s="30">
        <f t="shared" ca="1" si="30"/>
        <v>2.7365691410342275E-2</v>
      </c>
      <c r="AHJ7" s="30">
        <f t="shared" ca="1" si="30"/>
        <v>8.6122849260997419E-2</v>
      </c>
      <c r="AHK7" s="30">
        <f t="shared" ca="1" si="30"/>
        <v>-2.0125693067202306E-2</v>
      </c>
      <c r="AHL7" s="30">
        <f t="shared" ca="1" si="30"/>
        <v>-3.7968673017483329E-2</v>
      </c>
      <c r="AHM7" s="30">
        <f t="shared" ca="1" si="30"/>
        <v>1.870009558855976E-2</v>
      </c>
      <c r="AHN7" s="30">
        <f t="shared" ca="1" si="30"/>
        <v>-2.8003994275975157E-2</v>
      </c>
      <c r="AHO7" s="30">
        <f t="shared" ca="1" si="30"/>
        <v>-2.6680847685430185E-3</v>
      </c>
      <c r="AHP7" s="30">
        <f t="shared" ca="1" si="30"/>
        <v>-4.5111909545707041E-2</v>
      </c>
      <c r="AHQ7" s="30">
        <f t="shared" ca="1" si="30"/>
        <v>-8.0258723684255538E-3</v>
      </c>
      <c r="AHR7" s="30">
        <f t="shared" ca="1" si="30"/>
        <v>4.946636123103279E-2</v>
      </c>
      <c r="AHS7" s="30">
        <f t="shared" ref="AHS7:AKD11" ca="1" si="42">_xlfn.NORM.INV(RAND(),$C$8,$C$9)</f>
        <v>-7.0557716291198308E-2</v>
      </c>
      <c r="AHT7" s="30">
        <f t="shared" ca="1" si="42"/>
        <v>3.1525262374454605E-2</v>
      </c>
      <c r="AHU7" s="30">
        <f t="shared" ca="1" si="42"/>
        <v>-1.4136420104651277E-2</v>
      </c>
      <c r="AHV7" s="30">
        <f t="shared" ca="1" si="42"/>
        <v>3.8310158543875972E-3</v>
      </c>
      <c r="AHW7" s="30">
        <f t="shared" ca="1" si="42"/>
        <v>1.6696304091540628E-2</v>
      </c>
      <c r="AHX7" s="30">
        <f t="shared" ca="1" si="42"/>
        <v>4.2509860671991619E-2</v>
      </c>
      <c r="AHY7" s="30">
        <f t="shared" ca="1" si="42"/>
        <v>4.4760075586269335E-3</v>
      </c>
      <c r="AHZ7" s="30">
        <f t="shared" ca="1" si="42"/>
        <v>1.867738202279641E-2</v>
      </c>
      <c r="AIA7" s="30">
        <f t="shared" ca="1" si="42"/>
        <v>-4.3567725527659321E-2</v>
      </c>
      <c r="AIB7" s="30">
        <f t="shared" ca="1" si="42"/>
        <v>-6.2081382680644837E-2</v>
      </c>
      <c r="AIC7" s="30">
        <f t="shared" ca="1" si="42"/>
        <v>2.4554566719570556E-2</v>
      </c>
      <c r="AID7" s="30">
        <f t="shared" ca="1" si="42"/>
        <v>-1.1464615430869336E-2</v>
      </c>
      <c r="AIE7" s="30">
        <f t="shared" ca="1" si="42"/>
        <v>-7.4280829166382512E-2</v>
      </c>
      <c r="AIF7" s="30">
        <f t="shared" ca="1" si="42"/>
        <v>-4.4928761717504789E-2</v>
      </c>
      <c r="AIG7" s="30">
        <f t="shared" ca="1" si="42"/>
        <v>-1.4505983314973939E-2</v>
      </c>
      <c r="AIH7" s="30">
        <f t="shared" ca="1" si="42"/>
        <v>-1.7865464500682361E-2</v>
      </c>
      <c r="AII7" s="30">
        <f t="shared" ca="1" si="42"/>
        <v>3.6460321818213084E-2</v>
      </c>
      <c r="AIJ7" s="30">
        <f t="shared" ca="1" si="42"/>
        <v>3.6532257615490275E-2</v>
      </c>
      <c r="AIK7" s="30">
        <f t="shared" ca="1" si="42"/>
        <v>3.6107510335745031E-2</v>
      </c>
      <c r="AIL7" s="30">
        <f t="shared" ca="1" si="42"/>
        <v>3.1407354210104585E-2</v>
      </c>
      <c r="AIM7" s="30">
        <f t="shared" ca="1" si="42"/>
        <v>-3.6262585381977276E-2</v>
      </c>
      <c r="AIN7" s="30">
        <f t="shared" ca="1" si="42"/>
        <v>5.3218442908041161E-3</v>
      </c>
      <c r="AIO7" s="30">
        <f t="shared" ca="1" si="42"/>
        <v>-1.3224136498481835E-2</v>
      </c>
      <c r="AIP7" s="30">
        <f t="shared" ca="1" si="42"/>
        <v>-1.5335030826156972E-2</v>
      </c>
      <c r="AIQ7" s="30">
        <f t="shared" ca="1" si="42"/>
        <v>2.443136638055584E-2</v>
      </c>
      <c r="AIR7" s="30">
        <f t="shared" ca="1" si="42"/>
        <v>5.3109978146933641E-2</v>
      </c>
      <c r="AIS7" s="30">
        <f t="shared" ca="1" si="42"/>
        <v>-8.4411768017051109E-2</v>
      </c>
      <c r="AIT7" s="30">
        <f t="shared" ca="1" si="42"/>
        <v>-8.1471369157683923E-2</v>
      </c>
      <c r="AIU7" s="30">
        <f t="shared" ca="1" si="42"/>
        <v>-1.8215302095141189E-2</v>
      </c>
      <c r="AIV7" s="30">
        <f t="shared" ca="1" si="42"/>
        <v>8.9444906180704067E-3</v>
      </c>
      <c r="AIW7" s="30">
        <f t="shared" ca="1" si="42"/>
        <v>5.5999324265191816E-2</v>
      </c>
      <c r="AIX7" s="30">
        <f t="shared" ca="1" si="42"/>
        <v>-7.4919699042287277E-2</v>
      </c>
      <c r="AIY7" s="30">
        <f t="shared" ca="1" si="42"/>
        <v>-2.3432685578620861E-2</v>
      </c>
      <c r="AIZ7" s="30">
        <f t="shared" ca="1" si="42"/>
        <v>4.1915224108170349E-2</v>
      </c>
      <c r="AJA7" s="30">
        <f t="shared" ca="1" si="42"/>
        <v>-2.2387280845345876E-2</v>
      </c>
      <c r="AJB7" s="30">
        <f t="shared" ca="1" si="42"/>
        <v>5.0159146838700255E-3</v>
      </c>
      <c r="AJC7" s="30">
        <f t="shared" ca="1" si="42"/>
        <v>-2.3211438799865428E-2</v>
      </c>
      <c r="AJD7" s="30">
        <f t="shared" ca="1" si="42"/>
        <v>5.1328682812071457E-3</v>
      </c>
      <c r="AJE7" s="30">
        <f t="shared" ca="1" si="42"/>
        <v>4.1616754232067739E-2</v>
      </c>
      <c r="AJF7" s="30">
        <f t="shared" ca="1" si="42"/>
        <v>-2.9702790734807603E-2</v>
      </c>
      <c r="AJG7" s="30">
        <f t="shared" ca="1" si="42"/>
        <v>6.8991439787753793E-3</v>
      </c>
      <c r="AJH7" s="30">
        <f t="shared" ca="1" si="42"/>
        <v>-1.7201154738704868E-2</v>
      </c>
      <c r="AJI7" s="30">
        <f t="shared" ca="1" si="42"/>
        <v>-9.0429804668323878E-3</v>
      </c>
      <c r="AJJ7" s="30">
        <f t="shared" ca="1" si="42"/>
        <v>3.4324602381059423E-2</v>
      </c>
      <c r="AJK7" s="30">
        <f t="shared" ca="1" si="42"/>
        <v>-3.9152075678567169E-2</v>
      </c>
      <c r="AJL7" s="30">
        <f t="shared" ca="1" si="42"/>
        <v>8.2474465213212434E-3</v>
      </c>
      <c r="AJM7" s="30">
        <f t="shared" ca="1" si="42"/>
        <v>-1.4418457412528153E-2</v>
      </c>
      <c r="AJN7" s="30">
        <f t="shared" ca="1" si="42"/>
        <v>3.5407005036342302E-4</v>
      </c>
      <c r="AJO7" s="30">
        <f t="shared" ca="1" si="42"/>
        <v>-3.4960529477400221E-2</v>
      </c>
      <c r="AJP7" s="30">
        <f t="shared" ca="1" si="42"/>
        <v>3.8998339909744328E-2</v>
      </c>
      <c r="AJQ7" s="30">
        <f t="shared" ca="1" si="42"/>
        <v>4.5318680509591515E-2</v>
      </c>
      <c r="AJR7" s="30">
        <f t="shared" ca="1" si="42"/>
        <v>2.9947095435654596E-2</v>
      </c>
      <c r="AJS7" s="30">
        <f t="shared" ca="1" si="42"/>
        <v>2.5548752532690948E-3</v>
      </c>
      <c r="AJT7" s="30">
        <f t="shared" ca="1" si="42"/>
        <v>3.5530196186374111E-2</v>
      </c>
      <c r="AJU7" s="30">
        <f t="shared" ca="1" si="42"/>
        <v>6.5380892454109454E-3</v>
      </c>
      <c r="AJV7" s="30">
        <f t="shared" ca="1" si="42"/>
        <v>1.1658864271174494E-2</v>
      </c>
      <c r="AJW7" s="30">
        <f t="shared" ca="1" si="42"/>
        <v>-6.8727793855303004E-2</v>
      </c>
      <c r="AJX7" s="30">
        <f t="shared" ca="1" si="42"/>
        <v>3.9350837253766748E-4</v>
      </c>
      <c r="AJY7" s="30">
        <f t="shared" ca="1" si="42"/>
        <v>0.12786040714918023</v>
      </c>
      <c r="AJZ7" s="30">
        <f t="shared" ca="1" si="42"/>
        <v>8.5641083751371569E-2</v>
      </c>
      <c r="AKA7" s="30">
        <f t="shared" ca="1" si="42"/>
        <v>3.9305270424458182E-3</v>
      </c>
      <c r="AKB7" s="30">
        <f t="shared" ca="1" si="42"/>
        <v>8.3040333586257842E-2</v>
      </c>
      <c r="AKC7" s="30">
        <f t="shared" ca="1" si="42"/>
        <v>-4.0013895595508213E-2</v>
      </c>
      <c r="AKD7" s="30">
        <f t="shared" ca="1" si="42"/>
        <v>-2.8217115220017405E-2</v>
      </c>
      <c r="AKE7" s="30">
        <f t="shared" ca="1" si="31"/>
        <v>-4.3360546180460306E-2</v>
      </c>
      <c r="AKF7" s="30">
        <f t="shared" ca="1" si="32"/>
        <v>2.7127393317085493E-2</v>
      </c>
      <c r="AKG7" s="30">
        <f t="shared" ca="1" si="32"/>
        <v>2.661140480791779E-2</v>
      </c>
      <c r="AKH7" s="30">
        <f t="shared" ca="1" si="32"/>
        <v>-2.8955815688676355E-2</v>
      </c>
      <c r="AKI7" s="30">
        <f t="shared" ca="1" si="32"/>
        <v>-2.5493520169362377E-2</v>
      </c>
      <c r="AKJ7" s="30">
        <f t="shared" ca="1" si="32"/>
        <v>-1.2829365781290564E-2</v>
      </c>
      <c r="AKK7" s="30">
        <f t="shared" ca="1" si="32"/>
        <v>1.4172390534500904E-2</v>
      </c>
      <c r="AKL7" s="30">
        <f t="shared" ca="1" si="32"/>
        <v>4.7771405639113258E-2</v>
      </c>
      <c r="AKM7" s="30">
        <f t="shared" ca="1" si="32"/>
        <v>-1.2936164391949251E-2</v>
      </c>
      <c r="AKN7" s="30">
        <f t="shared" ca="1" si="32"/>
        <v>2.5153741197157856E-2</v>
      </c>
      <c r="AKO7" s="30">
        <f t="shared" ca="1" si="32"/>
        <v>4.1632220688765167E-2</v>
      </c>
      <c r="AKP7" s="30">
        <f t="shared" ca="1" si="32"/>
        <v>-3.0882498029756469E-2</v>
      </c>
      <c r="AKQ7" s="30">
        <f t="shared" ca="1" si="32"/>
        <v>-5.3985838934573462E-2</v>
      </c>
      <c r="AKR7" s="30">
        <f t="shared" ca="1" si="32"/>
        <v>-5.1883547724397142E-2</v>
      </c>
      <c r="AKS7" s="30">
        <f t="shared" ca="1" si="32"/>
        <v>1.9121877735788283E-2</v>
      </c>
      <c r="AKT7" s="30">
        <f t="shared" ca="1" si="32"/>
        <v>-1.717493249553809E-2</v>
      </c>
      <c r="AKU7" s="30">
        <f t="shared" ca="1" si="32"/>
        <v>-7.1709415983254823E-2</v>
      </c>
      <c r="AKV7" s="30">
        <f t="shared" ca="1" si="32"/>
        <v>-7.0240469295867844E-2</v>
      </c>
      <c r="AKW7" s="30">
        <f t="shared" ca="1" si="32"/>
        <v>-1.811354893334902E-2</v>
      </c>
      <c r="AKX7" s="30">
        <f t="shared" ca="1" si="32"/>
        <v>8.1330167410178331E-2</v>
      </c>
      <c r="AKY7" s="30">
        <f t="shared" ca="1" si="32"/>
        <v>-3.3547424079154418E-2</v>
      </c>
      <c r="AKZ7" s="30">
        <f t="shared" ca="1" si="32"/>
        <v>6.1890533086729406E-2</v>
      </c>
      <c r="ALA7" s="30">
        <f t="shared" ca="1" si="32"/>
        <v>2.8096301128473746E-2</v>
      </c>
      <c r="ALB7" s="30">
        <f t="shared" ca="1" si="32"/>
        <v>3.2621710081767279E-2</v>
      </c>
      <c r="ALC7" s="30">
        <f t="shared" ca="1" si="32"/>
        <v>-4.8364482418541861E-3</v>
      </c>
      <c r="ALD7" s="30">
        <f t="shared" ca="1" si="32"/>
        <v>5.5258508948651003E-2</v>
      </c>
      <c r="ALE7" s="30">
        <f t="shared" ca="1" si="32"/>
        <v>-7.1216282148043999E-2</v>
      </c>
      <c r="ALF7" s="30">
        <f t="shared" ca="1" si="32"/>
        <v>1.4627942662346745E-2</v>
      </c>
      <c r="ALG7" s="30">
        <f t="shared" ca="1" si="32"/>
        <v>-1.6365220065175587E-2</v>
      </c>
      <c r="ALH7" s="30">
        <f t="shared" ca="1" si="32"/>
        <v>3.7668521396721213E-3</v>
      </c>
      <c r="ALI7" s="30">
        <f t="shared" ca="1" si="32"/>
        <v>8.1425421625540804E-3</v>
      </c>
      <c r="ALJ7" s="30">
        <f t="shared" ca="1" si="32"/>
        <v>-1.5547645476352883E-2</v>
      </c>
      <c r="ALK7" s="30">
        <f t="shared" ca="1" si="32"/>
        <v>5.8204083288718352E-2</v>
      </c>
      <c r="ALL7" s="30">
        <f t="shared" ca="1" si="32"/>
        <v>-8.4141984001724242E-3</v>
      </c>
      <c r="ALM7" s="30">
        <f t="shared" ca="1" si="32"/>
        <v>-2.7857338774805455E-2</v>
      </c>
      <c r="ALN7" s="30">
        <f t="shared" ca="1" si="32"/>
        <v>2.9962826638330251E-2</v>
      </c>
      <c r="ALO7" s="30">
        <f t="shared" ca="1" si="32"/>
        <v>3.2356177744223752E-2</v>
      </c>
      <c r="ALP7" s="30">
        <f t="shared" ca="1" si="32"/>
        <v>-7.6718828691858199E-2</v>
      </c>
      <c r="ALQ7" s="30">
        <f t="shared" ca="1" si="32"/>
        <v>-3.2325288401289912E-2</v>
      </c>
      <c r="ALR7" s="30">
        <f t="shared" ca="1" si="32"/>
        <v>-5.1554857309552928E-2</v>
      </c>
    </row>
    <row r="8" spans="2:1006" s="29" customFormat="1" x14ac:dyDescent="0.2">
      <c r="B8" s="28" t="s">
        <v>1528</v>
      </c>
      <c r="C8" s="43">
        <f>Parameters!F7</f>
        <v>1.6070639989917144E-3</v>
      </c>
      <c r="D8" s="28" t="s">
        <v>1552</v>
      </c>
      <c r="F8" s="32">
        <f t="shared" si="35"/>
        <v>5</v>
      </c>
      <c r="G8" s="30">
        <f t="shared" ca="1" si="33"/>
        <v>-1.9290159218561722E-2</v>
      </c>
      <c r="H8" s="30">
        <f t="shared" ca="1" si="34"/>
        <v>2.2597274728053179E-4</v>
      </c>
      <c r="I8" s="30">
        <f t="shared" ca="1" si="34"/>
        <v>1.7871668630224918E-2</v>
      </c>
      <c r="J8" s="30">
        <f t="shared" ca="1" si="34"/>
        <v>-4.6749893667529666E-3</v>
      </c>
      <c r="K8" s="30">
        <f t="shared" ca="1" si="34"/>
        <v>3.0295934053378021E-2</v>
      </c>
      <c r="L8" s="30">
        <f t="shared" ca="1" si="34"/>
        <v>-2.0414951785601584E-2</v>
      </c>
      <c r="M8" s="30">
        <f t="shared" ca="1" si="34"/>
        <v>-2.5349821078390622E-3</v>
      </c>
      <c r="N8" s="30">
        <f t="shared" ca="1" si="34"/>
        <v>2.5691287624916587E-2</v>
      </c>
      <c r="O8" s="30">
        <f t="shared" ca="1" si="34"/>
        <v>-8.876649559298495E-3</v>
      </c>
      <c r="P8" s="30">
        <f t="shared" ca="1" si="34"/>
        <v>1.9232189427248757E-2</v>
      </c>
      <c r="Q8" s="30">
        <f t="shared" ca="1" si="34"/>
        <v>5.1040693961954466E-2</v>
      </c>
      <c r="R8" s="30">
        <f t="shared" ca="1" si="34"/>
        <v>3.1993603108034889E-2</v>
      </c>
      <c r="S8" s="30">
        <f t="shared" ca="1" si="34"/>
        <v>2.2712885873113577E-2</v>
      </c>
      <c r="T8" s="30">
        <f t="shared" ca="1" si="34"/>
        <v>1.2292657543116774E-2</v>
      </c>
      <c r="U8" s="30">
        <f t="shared" ca="1" si="34"/>
        <v>-4.3970461886187528E-2</v>
      </c>
      <c r="V8" s="30">
        <f t="shared" ca="1" si="34"/>
        <v>2.733933310617322E-2</v>
      </c>
      <c r="W8" s="30">
        <f t="shared" ca="1" si="34"/>
        <v>-5.2319164862191431E-2</v>
      </c>
      <c r="X8" s="30">
        <f t="shared" ca="1" si="34"/>
        <v>-3.0499391723716514E-3</v>
      </c>
      <c r="Y8" s="30">
        <f t="shared" ca="1" si="34"/>
        <v>-6.6104953848461157E-2</v>
      </c>
      <c r="Z8" s="30">
        <f t="shared" ca="1" si="34"/>
        <v>3.9665137985974944E-2</v>
      </c>
      <c r="AA8" s="30">
        <f t="shared" ca="1" si="34"/>
        <v>7.3585015504601991E-3</v>
      </c>
      <c r="AB8" s="30">
        <f t="shared" ca="1" si="34"/>
        <v>-3.0253793557841642E-2</v>
      </c>
      <c r="AC8" s="30">
        <f t="shared" ca="1" si="34"/>
        <v>-8.2399102943205428E-4</v>
      </c>
      <c r="AD8" s="30">
        <f t="shared" ca="1" si="34"/>
        <v>5.2370872573605426E-2</v>
      </c>
      <c r="AE8" s="30">
        <f t="shared" ca="1" si="34"/>
        <v>-4.4164726462639671E-2</v>
      </c>
      <c r="AF8" s="30">
        <f t="shared" ca="1" si="34"/>
        <v>-7.6071963355602651E-2</v>
      </c>
      <c r="AG8" s="30">
        <f t="shared" ca="1" si="34"/>
        <v>-1.0288735915096667E-2</v>
      </c>
      <c r="AH8" s="30">
        <f t="shared" ca="1" si="34"/>
        <v>7.5242950299708265E-3</v>
      </c>
      <c r="AI8" s="30">
        <f t="shared" ca="1" si="34"/>
        <v>-2.078325213226485E-2</v>
      </c>
      <c r="AJ8" s="30">
        <f t="shared" ca="1" si="34"/>
        <v>7.3805965176456795E-3</v>
      </c>
      <c r="AK8" s="30">
        <f t="shared" ca="1" si="34"/>
        <v>8.2675774505168859E-3</v>
      </c>
      <c r="AL8" s="30">
        <f t="shared" ca="1" si="34"/>
        <v>3.8376506372703543E-3</v>
      </c>
      <c r="AM8" s="30">
        <f t="shared" ca="1" si="34"/>
        <v>1.9550173790847367E-2</v>
      </c>
      <c r="AN8" s="30">
        <f t="shared" ca="1" si="34"/>
        <v>-2.5382349650512854E-2</v>
      </c>
      <c r="AO8" s="30">
        <f t="shared" ca="1" si="34"/>
        <v>-2.5719115076662379E-2</v>
      </c>
      <c r="AP8" s="30">
        <f t="shared" ca="1" si="34"/>
        <v>6.0132271111269849E-2</v>
      </c>
      <c r="AQ8" s="30">
        <f t="shared" ca="1" si="34"/>
        <v>-2.9461458980617219E-2</v>
      </c>
      <c r="AR8" s="30">
        <f t="shared" ca="1" si="34"/>
        <v>2.0341926915985586E-2</v>
      </c>
      <c r="AS8" s="30">
        <f t="shared" ca="1" si="34"/>
        <v>8.3026685928791324E-2</v>
      </c>
      <c r="AT8" s="30">
        <f t="shared" ca="1" si="34"/>
        <v>4.2181212631575662E-2</v>
      </c>
      <c r="AU8" s="30">
        <f t="shared" ca="1" si="34"/>
        <v>1.3637420312921579E-3</v>
      </c>
      <c r="AV8" s="30">
        <f t="shared" ca="1" si="34"/>
        <v>5.8166556039874376E-2</v>
      </c>
      <c r="AW8" s="30">
        <f t="shared" ca="1" si="34"/>
        <v>-9.0043558235671506E-3</v>
      </c>
      <c r="AX8" s="30">
        <f t="shared" ca="1" si="34"/>
        <v>7.462862998135579E-2</v>
      </c>
      <c r="AY8" s="30">
        <f t="shared" ca="1" si="34"/>
        <v>1.4525205230558608E-2</v>
      </c>
      <c r="AZ8" s="30">
        <f t="shared" ca="1" si="34"/>
        <v>-2.4544270367831144E-2</v>
      </c>
      <c r="BA8" s="30">
        <f t="shared" ca="1" si="34"/>
        <v>2.2788339578262727E-2</v>
      </c>
      <c r="BB8" s="30">
        <f t="shared" ca="1" si="34"/>
        <v>4.8062912730468393E-3</v>
      </c>
      <c r="BC8" s="30">
        <f t="shared" ca="1" si="34"/>
        <v>2.9552229311420465E-2</v>
      </c>
      <c r="BD8" s="30">
        <f t="shared" ca="1" si="34"/>
        <v>4.0552563404262179E-2</v>
      </c>
      <c r="BE8" s="30">
        <f t="shared" ca="1" si="34"/>
        <v>-1.4159393736177486E-2</v>
      </c>
      <c r="BF8" s="30">
        <f t="shared" ca="1" si="34"/>
        <v>-6.7378645754692604E-3</v>
      </c>
      <c r="BG8" s="30">
        <f t="shared" ca="1" si="34"/>
        <v>2.024195994712083E-2</v>
      </c>
      <c r="BH8" s="30">
        <f t="shared" ca="1" si="34"/>
        <v>2.1050279370896509E-3</v>
      </c>
      <c r="BI8" s="30">
        <f t="shared" ca="1" si="34"/>
        <v>4.2728368753964817E-2</v>
      </c>
      <c r="BJ8" s="30">
        <f t="shared" ca="1" si="34"/>
        <v>7.3363943187733358E-2</v>
      </c>
      <c r="BK8" s="30">
        <f t="shared" ca="1" si="34"/>
        <v>3.1851630317366125E-2</v>
      </c>
      <c r="BL8" s="30">
        <f t="shared" ca="1" si="34"/>
        <v>7.2524814833501063E-3</v>
      </c>
      <c r="BM8" s="30">
        <f t="shared" ca="1" si="34"/>
        <v>2.3316957584228335E-2</v>
      </c>
      <c r="BN8" s="30">
        <f t="shared" ca="1" si="34"/>
        <v>2.8166348949827974E-2</v>
      </c>
      <c r="BO8" s="30">
        <f t="shared" ca="1" si="34"/>
        <v>2.2100910584830106E-2</v>
      </c>
      <c r="BP8" s="30">
        <f t="shared" ca="1" si="34"/>
        <v>3.7671770881590932E-2</v>
      </c>
      <c r="BQ8" s="30">
        <f t="shared" ca="1" si="34"/>
        <v>1.7987614128319316E-2</v>
      </c>
      <c r="BR8" s="30">
        <f t="shared" ca="1" si="34"/>
        <v>-1.6029958337724953E-2</v>
      </c>
      <c r="BS8" s="30">
        <f t="shared" ca="1" si="34"/>
        <v>-6.7495334578559774E-2</v>
      </c>
      <c r="BT8" s="30">
        <f t="shared" ref="BT8:EE15" ca="1" si="43">_xlfn.NORM.INV(RAND(),$C$8,$C$9)</f>
        <v>2.2322722325878619E-2</v>
      </c>
      <c r="BU8" s="30">
        <f t="shared" ca="1" si="43"/>
        <v>2.5447941965874313E-2</v>
      </c>
      <c r="BV8" s="30">
        <f t="shared" ca="1" si="43"/>
        <v>-2.0999950711457535E-2</v>
      </c>
      <c r="BW8" s="30">
        <f t="shared" ca="1" si="43"/>
        <v>5.3969342858781293E-3</v>
      </c>
      <c r="BX8" s="30">
        <f t="shared" ca="1" si="43"/>
        <v>1.5792413521072485E-2</v>
      </c>
      <c r="BY8" s="30">
        <f t="shared" ca="1" si="43"/>
        <v>-3.0231081758694843E-2</v>
      </c>
      <c r="BZ8" s="30">
        <f t="shared" ca="1" si="43"/>
        <v>-1.4098852481222363E-2</v>
      </c>
      <c r="CA8" s="30">
        <f t="shared" ca="1" si="43"/>
        <v>-4.6800912773428044E-2</v>
      </c>
      <c r="CB8" s="30">
        <f t="shared" ca="1" si="43"/>
        <v>-3.3628130787936014E-2</v>
      </c>
      <c r="CC8" s="30">
        <f t="shared" ca="1" si="43"/>
        <v>5.701457433873839E-2</v>
      </c>
      <c r="CD8" s="30">
        <f t="shared" ca="1" si="43"/>
        <v>-5.0287276252891915E-2</v>
      </c>
      <c r="CE8" s="30">
        <f t="shared" ca="1" si="43"/>
        <v>-7.4032251767970472E-2</v>
      </c>
      <c r="CF8" s="30">
        <f t="shared" ca="1" si="43"/>
        <v>5.3506186951467881E-2</v>
      </c>
      <c r="CG8" s="30">
        <f t="shared" ca="1" si="43"/>
        <v>7.0077607858649041E-2</v>
      </c>
      <c r="CH8" s="30">
        <f t="shared" ca="1" si="43"/>
        <v>-7.3701892645697126E-2</v>
      </c>
      <c r="CI8" s="30">
        <f t="shared" ca="1" si="43"/>
        <v>4.1892098997766601E-2</v>
      </c>
      <c r="CJ8" s="30">
        <f t="shared" ca="1" si="43"/>
        <v>-7.0786942893796029E-2</v>
      </c>
      <c r="CK8" s="30">
        <f t="shared" ca="1" si="43"/>
        <v>-5.622993795942683E-3</v>
      </c>
      <c r="CL8" s="30">
        <f t="shared" ca="1" si="43"/>
        <v>1.2374455158492071E-2</v>
      </c>
      <c r="CM8" s="30">
        <f t="shared" ca="1" si="43"/>
        <v>7.6164914182081239E-2</v>
      </c>
      <c r="CN8" s="30">
        <f t="shared" ca="1" si="43"/>
        <v>3.6979107139995249E-2</v>
      </c>
      <c r="CO8" s="30">
        <f t="shared" ca="1" si="43"/>
        <v>2.476540622762774E-2</v>
      </c>
      <c r="CP8" s="30">
        <f t="shared" ca="1" si="43"/>
        <v>-2.4198701960594808E-2</v>
      </c>
      <c r="CQ8" s="30">
        <f t="shared" ca="1" si="43"/>
        <v>-1.8955203766501862E-2</v>
      </c>
      <c r="CR8" s="30">
        <f t="shared" ca="1" si="43"/>
        <v>2.0652296624223628E-2</v>
      </c>
      <c r="CS8" s="30">
        <f t="shared" ca="1" si="43"/>
        <v>2.4219788541270014E-2</v>
      </c>
      <c r="CT8" s="30">
        <f t="shared" ca="1" si="43"/>
        <v>-4.3640816000168975E-2</v>
      </c>
      <c r="CU8" s="30">
        <f t="shared" ca="1" si="43"/>
        <v>2.2237077248287423E-2</v>
      </c>
      <c r="CV8" s="30">
        <f t="shared" ca="1" si="43"/>
        <v>-1.9854716512469475E-2</v>
      </c>
      <c r="CW8" s="30">
        <f t="shared" ca="1" si="43"/>
        <v>-5.6586197503588384E-2</v>
      </c>
      <c r="CX8" s="30">
        <f t="shared" ca="1" si="43"/>
        <v>8.7642977987930429E-2</v>
      </c>
      <c r="CY8" s="30">
        <f t="shared" ca="1" si="43"/>
        <v>1.4052106869529343E-2</v>
      </c>
      <c r="CZ8" s="30">
        <f t="shared" ca="1" si="43"/>
        <v>2.5523754046562944E-2</v>
      </c>
      <c r="DA8" s="30">
        <f t="shared" ca="1" si="43"/>
        <v>1.8048980283111572E-2</v>
      </c>
      <c r="DB8" s="30">
        <f t="shared" ca="1" si="43"/>
        <v>5.1871474527322832E-2</v>
      </c>
      <c r="DC8" s="30">
        <f t="shared" ca="1" si="43"/>
        <v>1.3562293813448931E-2</v>
      </c>
      <c r="DD8" s="30">
        <f t="shared" ca="1" si="43"/>
        <v>2.1682939334858063E-2</v>
      </c>
      <c r="DE8" s="30">
        <f t="shared" ca="1" si="43"/>
        <v>-2.0377132070089243E-4</v>
      </c>
      <c r="DF8" s="30">
        <f t="shared" ca="1" si="43"/>
        <v>-1.4531271997543192E-2</v>
      </c>
      <c r="DG8" s="30">
        <f t="shared" ca="1" si="43"/>
        <v>5.5734039530123325E-3</v>
      </c>
      <c r="DH8" s="30">
        <f t="shared" ca="1" si="43"/>
        <v>3.3003813280918109E-3</v>
      </c>
      <c r="DI8" s="30">
        <f t="shared" ca="1" si="43"/>
        <v>-6.2029549649651003E-2</v>
      </c>
      <c r="DJ8" s="30">
        <f t="shared" ca="1" si="43"/>
        <v>5.6740656090206003E-2</v>
      </c>
      <c r="DK8" s="30">
        <f t="shared" ca="1" si="43"/>
        <v>-6.891227274298703E-2</v>
      </c>
      <c r="DL8" s="30">
        <f t="shared" ca="1" si="43"/>
        <v>-5.1834136735677792E-2</v>
      </c>
      <c r="DM8" s="30">
        <f t="shared" ca="1" si="43"/>
        <v>0.10085385465664816</v>
      </c>
      <c r="DN8" s="30">
        <f t="shared" ca="1" si="43"/>
        <v>1.3697956874611885E-2</v>
      </c>
      <c r="DO8" s="30">
        <f t="shared" ca="1" si="43"/>
        <v>2.0511773187078097E-2</v>
      </c>
      <c r="DP8" s="30">
        <f t="shared" ca="1" si="43"/>
        <v>4.0216133883371516E-2</v>
      </c>
      <c r="DQ8" s="30">
        <f t="shared" ca="1" si="43"/>
        <v>2.3067777811467391E-2</v>
      </c>
      <c r="DR8" s="30">
        <f t="shared" ca="1" si="43"/>
        <v>-6.6499323656136741E-2</v>
      </c>
      <c r="DS8" s="30">
        <f t="shared" ca="1" si="43"/>
        <v>1.4997207307130724E-2</v>
      </c>
      <c r="DT8" s="30">
        <f t="shared" ca="1" si="43"/>
        <v>4.4270587795688576E-3</v>
      </c>
      <c r="DU8" s="30">
        <f t="shared" ca="1" si="43"/>
        <v>5.0575714279643604E-4</v>
      </c>
      <c r="DV8" s="30">
        <f t="shared" ca="1" si="43"/>
        <v>1.9287731575742446E-2</v>
      </c>
      <c r="DW8" s="30">
        <f t="shared" ca="1" si="43"/>
        <v>-2.2682809744982192E-2</v>
      </c>
      <c r="DX8" s="30">
        <f t="shared" ca="1" si="43"/>
        <v>7.3618533873221523E-2</v>
      </c>
      <c r="DY8" s="30">
        <f t="shared" ca="1" si="43"/>
        <v>-3.8195039494405413E-2</v>
      </c>
      <c r="DZ8" s="30">
        <f t="shared" ca="1" si="43"/>
        <v>-8.176848426582858E-3</v>
      </c>
      <c r="EA8" s="30">
        <f t="shared" ca="1" si="43"/>
        <v>4.0401039962374562E-2</v>
      </c>
      <c r="EB8" s="30">
        <f t="shared" ca="1" si="43"/>
        <v>-1.4332528772332549E-2</v>
      </c>
      <c r="EC8" s="30">
        <f t="shared" ca="1" si="43"/>
        <v>1.0655324718067353E-2</v>
      </c>
      <c r="ED8" s="30">
        <f t="shared" ca="1" si="43"/>
        <v>-1.3407639971719768E-2</v>
      </c>
      <c r="EE8" s="30">
        <f t="shared" ca="1" si="43"/>
        <v>3.2419560101324589E-5</v>
      </c>
      <c r="EF8" s="30">
        <f t="shared" ca="1" si="36"/>
        <v>-2.290232911590238E-2</v>
      </c>
      <c r="EG8" s="30">
        <f t="shared" ca="1" si="36"/>
        <v>3.084091081037537E-2</v>
      </c>
      <c r="EH8" s="30">
        <f t="shared" ca="1" si="36"/>
        <v>-7.7399711069851038E-2</v>
      </c>
      <c r="EI8" s="30">
        <f t="shared" ca="1" si="36"/>
        <v>-1.14659687869879E-2</v>
      </c>
      <c r="EJ8" s="30">
        <f t="shared" ca="1" si="36"/>
        <v>-3.0604134684827811E-2</v>
      </c>
      <c r="EK8" s="30">
        <f t="shared" ca="1" si="36"/>
        <v>-3.0821274241060445E-2</v>
      </c>
      <c r="EL8" s="30">
        <f t="shared" ca="1" si="36"/>
        <v>6.6192799698001986E-2</v>
      </c>
      <c r="EM8" s="30">
        <f t="shared" ca="1" si="36"/>
        <v>-1.2557608192546957E-2</v>
      </c>
      <c r="EN8" s="30">
        <f t="shared" ca="1" si="36"/>
        <v>-2.505965040529666E-2</v>
      </c>
      <c r="EO8" s="30">
        <f t="shared" ca="1" si="36"/>
        <v>-2.5907754185943779E-3</v>
      </c>
      <c r="EP8" s="30">
        <f t="shared" ca="1" si="36"/>
        <v>-9.4340747974211575E-3</v>
      </c>
      <c r="EQ8" s="30">
        <f t="shared" ca="1" si="36"/>
        <v>-5.1171281770838892E-2</v>
      </c>
      <c r="ER8" s="30">
        <f t="shared" ca="1" si="36"/>
        <v>3.7453374524488152E-2</v>
      </c>
      <c r="ES8" s="30">
        <f t="shared" ca="1" si="36"/>
        <v>3.1244657397556448E-2</v>
      </c>
      <c r="ET8" s="30">
        <f t="shared" ca="1" si="36"/>
        <v>4.8891307753670198E-2</v>
      </c>
      <c r="EU8" s="30">
        <f t="shared" ca="1" si="36"/>
        <v>1.8558862249542139E-2</v>
      </c>
      <c r="EV8" s="30">
        <f t="shared" ca="1" si="36"/>
        <v>7.0522015870830165E-2</v>
      </c>
      <c r="EW8" s="30">
        <f t="shared" ca="1" si="36"/>
        <v>-6.6888762047021978E-3</v>
      </c>
      <c r="EX8" s="30">
        <f t="shared" ca="1" si="36"/>
        <v>1.6441646261494629E-2</v>
      </c>
      <c r="EY8" s="30">
        <f t="shared" ca="1" si="36"/>
        <v>1.9559511226903754E-2</v>
      </c>
      <c r="EZ8" s="30">
        <f t="shared" ca="1" si="36"/>
        <v>-1.8693128378029122E-2</v>
      </c>
      <c r="FA8" s="30">
        <f t="shared" ca="1" si="36"/>
        <v>-7.096423460133261E-2</v>
      </c>
      <c r="FB8" s="30">
        <f t="shared" ca="1" si="36"/>
        <v>-3.3185013498093882E-4</v>
      </c>
      <c r="FC8" s="30">
        <f t="shared" ca="1" si="36"/>
        <v>2.3262294238081821E-2</v>
      </c>
      <c r="FD8" s="30">
        <f t="shared" ca="1" si="36"/>
        <v>-2.6650191684750253E-2</v>
      </c>
      <c r="FE8" s="30">
        <f t="shared" ca="1" si="36"/>
        <v>5.4336329868302308E-2</v>
      </c>
      <c r="FF8" s="30">
        <f t="shared" ca="1" si="36"/>
        <v>-4.6567966578772498E-2</v>
      </c>
      <c r="FG8" s="30">
        <f t="shared" ca="1" si="36"/>
        <v>-3.792063261347281E-2</v>
      </c>
      <c r="FH8" s="30">
        <f t="shared" ca="1" si="36"/>
        <v>6.4248832944185846E-2</v>
      </c>
      <c r="FI8" s="30">
        <f t="shared" ca="1" si="36"/>
        <v>7.0063101595063695E-2</v>
      </c>
      <c r="FJ8" s="30">
        <f t="shared" ca="1" si="36"/>
        <v>-1.2556545269321612E-2</v>
      </c>
      <c r="FK8" s="30">
        <f t="shared" ca="1" si="36"/>
        <v>3.6085066530861881E-2</v>
      </c>
      <c r="FL8" s="30">
        <f t="shared" ca="1" si="36"/>
        <v>-7.7919594392225899E-3</v>
      </c>
      <c r="FM8" s="30">
        <f t="shared" ca="1" si="36"/>
        <v>3.897296034825419E-2</v>
      </c>
      <c r="FN8" s="30">
        <f t="shared" ca="1" si="36"/>
        <v>-5.9392629009918471E-2</v>
      </c>
      <c r="FO8" s="30">
        <f t="shared" ca="1" si="36"/>
        <v>5.7552396690691579E-2</v>
      </c>
      <c r="FP8" s="30">
        <f t="shared" ca="1" si="36"/>
        <v>8.5606350563673106E-2</v>
      </c>
      <c r="FQ8" s="30">
        <f t="shared" ca="1" si="36"/>
        <v>-8.4168092286965465E-2</v>
      </c>
      <c r="FR8" s="30">
        <f t="shared" ca="1" si="36"/>
        <v>2.5164199223852018E-2</v>
      </c>
      <c r="FS8" s="30">
        <f t="shared" ca="1" si="36"/>
        <v>-2.672439602172428E-2</v>
      </c>
      <c r="FT8" s="30">
        <f t="shared" ca="1" si="36"/>
        <v>-5.6257224251476029E-2</v>
      </c>
      <c r="FU8" s="30">
        <f t="shared" ca="1" si="36"/>
        <v>1.020686671209744E-2</v>
      </c>
      <c r="FV8" s="30">
        <f t="shared" ca="1" si="36"/>
        <v>-2.4668469232325659E-3</v>
      </c>
      <c r="FW8" s="30">
        <f t="shared" ca="1" si="36"/>
        <v>0.1054483608644</v>
      </c>
      <c r="FX8" s="30">
        <f t="shared" ca="1" si="36"/>
        <v>2.0718166895289619E-4</v>
      </c>
      <c r="FY8" s="30">
        <f t="shared" ca="1" si="36"/>
        <v>-1.7979703527549573E-2</v>
      </c>
      <c r="FZ8" s="30">
        <f t="shared" ca="1" si="36"/>
        <v>8.1381444219430971E-2</v>
      </c>
      <c r="GA8" s="30">
        <f t="shared" ca="1" si="36"/>
        <v>-4.0358087684907147E-3</v>
      </c>
      <c r="GB8" s="30">
        <f t="shared" ca="1" si="36"/>
        <v>2.6262269460234008E-2</v>
      </c>
      <c r="GC8" s="30">
        <f t="shared" ca="1" si="36"/>
        <v>-5.3263554802394832E-3</v>
      </c>
      <c r="GD8" s="30">
        <f t="shared" ca="1" si="36"/>
        <v>-4.3487926934202864E-2</v>
      </c>
      <c r="GE8" s="30">
        <f t="shared" ca="1" si="36"/>
        <v>4.0963012993439083E-3</v>
      </c>
      <c r="GF8" s="30">
        <f t="shared" ca="1" si="36"/>
        <v>2.9130270097500348E-2</v>
      </c>
      <c r="GG8" s="30">
        <f t="shared" ca="1" si="36"/>
        <v>-0.10236942784258705</v>
      </c>
      <c r="GH8" s="30">
        <f t="shared" ca="1" si="36"/>
        <v>-6.6270355910283928E-3</v>
      </c>
      <c r="GI8" s="30">
        <f t="shared" ca="1" si="36"/>
        <v>-2.1116382791159856E-2</v>
      </c>
      <c r="GJ8" s="30">
        <f t="shared" ca="1" si="36"/>
        <v>-1.3517765056329633E-2</v>
      </c>
      <c r="GK8" s="30">
        <f t="shared" ca="1" si="36"/>
        <v>1.7919866214109684E-2</v>
      </c>
      <c r="GL8" s="30">
        <f t="shared" ca="1" si="36"/>
        <v>-1.614874996908261E-2</v>
      </c>
      <c r="GM8" s="30">
        <f t="shared" ca="1" si="36"/>
        <v>-5.0102123537109321E-2</v>
      </c>
      <c r="GN8" s="30">
        <f t="shared" ca="1" si="36"/>
        <v>1.1513250760283275E-2</v>
      </c>
      <c r="GO8" s="30">
        <f t="shared" ca="1" si="36"/>
        <v>5.1162170766619795E-2</v>
      </c>
      <c r="GP8" s="30">
        <f t="shared" ca="1" si="36"/>
        <v>2.3267113328532558E-3</v>
      </c>
      <c r="GQ8" s="30">
        <f t="shared" ca="1" si="19"/>
        <v>0.13449436307445431</v>
      </c>
      <c r="GR8" s="30">
        <f t="shared" ref="GR8:JC12" ca="1" si="44">_xlfn.NORM.INV(RAND(),$C$8,$C$9)</f>
        <v>6.7646955015606927E-2</v>
      </c>
      <c r="GS8" s="30">
        <f t="shared" ca="1" si="44"/>
        <v>-2.7055217715884847E-2</v>
      </c>
      <c r="GT8" s="30">
        <f t="shared" ca="1" si="44"/>
        <v>1.2330217930510569E-2</v>
      </c>
      <c r="GU8" s="30">
        <f t="shared" ca="1" si="44"/>
        <v>3.606262249745959E-2</v>
      </c>
      <c r="GV8" s="30">
        <f t="shared" ca="1" si="44"/>
        <v>-8.8038988795494221E-3</v>
      </c>
      <c r="GW8" s="30">
        <f t="shared" ca="1" si="44"/>
        <v>3.2486613258923366E-2</v>
      </c>
      <c r="GX8" s="30">
        <f t="shared" ca="1" si="44"/>
        <v>-1.429332469945185E-2</v>
      </c>
      <c r="GY8" s="30">
        <f t="shared" ca="1" si="44"/>
        <v>-3.5109741004560373E-2</v>
      </c>
      <c r="GZ8" s="30">
        <f t="shared" ca="1" si="44"/>
        <v>2.4682181839927087E-2</v>
      </c>
      <c r="HA8" s="30">
        <f t="shared" ca="1" si="44"/>
        <v>1.8537427790301396E-2</v>
      </c>
      <c r="HB8" s="30">
        <f t="shared" ca="1" si="44"/>
        <v>-4.100195119730058E-2</v>
      </c>
      <c r="HC8" s="30">
        <f t="shared" ca="1" si="44"/>
        <v>4.4372901954382392E-2</v>
      </c>
      <c r="HD8" s="30">
        <f t="shared" ca="1" si="44"/>
        <v>-3.5566823712287726E-2</v>
      </c>
      <c r="HE8" s="30">
        <f t="shared" ca="1" si="44"/>
        <v>-5.3391213304493666E-2</v>
      </c>
      <c r="HF8" s="30">
        <f t="shared" ca="1" si="44"/>
        <v>-9.606502671246081E-2</v>
      </c>
      <c r="HG8" s="30">
        <f t="shared" ca="1" si="44"/>
        <v>3.0205588182975213E-2</v>
      </c>
      <c r="HH8" s="30">
        <f t="shared" ca="1" si="44"/>
        <v>6.8372044125271508E-2</v>
      </c>
      <c r="HI8" s="30">
        <f t="shared" ca="1" si="44"/>
        <v>2.4545328027355102E-2</v>
      </c>
      <c r="HJ8" s="30">
        <f t="shared" ca="1" si="44"/>
        <v>-6.1682072992804413E-2</v>
      </c>
      <c r="HK8" s="30">
        <f t="shared" ca="1" si="44"/>
        <v>3.629702865908406E-2</v>
      </c>
      <c r="HL8" s="30">
        <f t="shared" ca="1" si="44"/>
        <v>2.0066729960054396E-2</v>
      </c>
      <c r="HM8" s="30">
        <f t="shared" ca="1" si="44"/>
        <v>6.1761585103040084E-2</v>
      </c>
      <c r="HN8" s="30">
        <f t="shared" ca="1" si="44"/>
        <v>1.1070885090566257E-2</v>
      </c>
      <c r="HO8" s="30">
        <f t="shared" ca="1" si="44"/>
        <v>5.7345391376335139E-2</v>
      </c>
      <c r="HP8" s="30">
        <f t="shared" ca="1" si="44"/>
        <v>8.7159249155975577E-3</v>
      </c>
      <c r="HQ8" s="30">
        <f t="shared" ca="1" si="44"/>
        <v>-3.9903112706342241E-3</v>
      </c>
      <c r="HR8" s="30">
        <f t="shared" ca="1" si="44"/>
        <v>5.6432445850477755E-2</v>
      </c>
      <c r="HS8" s="30">
        <f t="shared" ca="1" si="44"/>
        <v>-3.0855358587971123E-2</v>
      </c>
      <c r="HT8" s="30">
        <f t="shared" ca="1" si="44"/>
        <v>-2.8009621710912481E-4</v>
      </c>
      <c r="HU8" s="30">
        <f t="shared" ca="1" si="44"/>
        <v>6.0860464450053636E-3</v>
      </c>
      <c r="HV8" s="30">
        <f t="shared" ca="1" si="44"/>
        <v>-3.7762452015833149E-2</v>
      </c>
      <c r="HW8" s="30">
        <f t="shared" ca="1" si="44"/>
        <v>1.1607782092222201E-2</v>
      </c>
      <c r="HX8" s="30">
        <f t="shared" ca="1" si="44"/>
        <v>2.887701297819064E-3</v>
      </c>
      <c r="HY8" s="30">
        <f t="shared" ca="1" si="44"/>
        <v>-3.4788951016972713E-2</v>
      </c>
      <c r="HZ8" s="30">
        <f t="shared" ca="1" si="44"/>
        <v>8.9863418304393011E-2</v>
      </c>
      <c r="IA8" s="30">
        <f t="shared" ca="1" si="44"/>
        <v>-1.457684421982829E-2</v>
      </c>
      <c r="IB8" s="30">
        <f t="shared" ca="1" si="44"/>
        <v>-7.3861268795181012E-2</v>
      </c>
      <c r="IC8" s="30">
        <f t="shared" ca="1" si="44"/>
        <v>1.9657215553313775E-2</v>
      </c>
      <c r="ID8" s="30">
        <f t="shared" ca="1" si="44"/>
        <v>-1.2335606571627512E-2</v>
      </c>
      <c r="IE8" s="30">
        <f t="shared" ca="1" si="44"/>
        <v>-1.4635290253327531E-2</v>
      </c>
      <c r="IF8" s="30">
        <f t="shared" ca="1" si="44"/>
        <v>4.4647324740074164E-2</v>
      </c>
      <c r="IG8" s="30">
        <f t="shared" ca="1" si="44"/>
        <v>-4.4550848181764205E-2</v>
      </c>
      <c r="IH8" s="30">
        <f t="shared" ca="1" si="44"/>
        <v>7.6086758334043502E-4</v>
      </c>
      <c r="II8" s="30">
        <f t="shared" ca="1" si="44"/>
        <v>-4.4657607828241293E-3</v>
      </c>
      <c r="IJ8" s="30">
        <f t="shared" ca="1" si="44"/>
        <v>6.3058763325918102E-2</v>
      </c>
      <c r="IK8" s="30">
        <f t="shared" ca="1" si="44"/>
        <v>-3.6952781991696E-2</v>
      </c>
      <c r="IL8" s="30">
        <f t="shared" ca="1" si="44"/>
        <v>1.720053798988902E-2</v>
      </c>
      <c r="IM8" s="30">
        <f t="shared" ca="1" si="44"/>
        <v>6.4408272487399956E-2</v>
      </c>
      <c r="IN8" s="30">
        <f t="shared" ca="1" si="44"/>
        <v>-4.3894653529053619E-2</v>
      </c>
      <c r="IO8" s="30">
        <f t="shared" ca="1" si="44"/>
        <v>3.4861408888036648E-2</v>
      </c>
      <c r="IP8" s="30">
        <f t="shared" ca="1" si="44"/>
        <v>4.0723954683650247E-2</v>
      </c>
      <c r="IQ8" s="30">
        <f t="shared" ca="1" si="44"/>
        <v>2.5683447302926117E-3</v>
      </c>
      <c r="IR8" s="30">
        <f t="shared" ca="1" si="44"/>
        <v>-6.102019234599107E-2</v>
      </c>
      <c r="IS8" s="30">
        <f t="shared" ca="1" si="44"/>
        <v>3.9944846696652533E-2</v>
      </c>
      <c r="IT8" s="30">
        <f t="shared" ca="1" si="44"/>
        <v>-1.7991084253487076E-2</v>
      </c>
      <c r="IU8" s="30">
        <f t="shared" ca="1" si="44"/>
        <v>-1.9194840444540595E-3</v>
      </c>
      <c r="IV8" s="30">
        <f t="shared" ca="1" si="44"/>
        <v>5.219094779333909E-2</v>
      </c>
      <c r="IW8" s="30">
        <f t="shared" ca="1" si="44"/>
        <v>-5.6847418782775723E-2</v>
      </c>
      <c r="IX8" s="30">
        <f t="shared" ca="1" si="44"/>
        <v>4.7801956426541697E-2</v>
      </c>
      <c r="IY8" s="30">
        <f t="shared" ca="1" si="44"/>
        <v>-1.4807602481137487E-2</v>
      </c>
      <c r="IZ8" s="30">
        <f t="shared" ca="1" si="44"/>
        <v>4.2311906130220844E-2</v>
      </c>
      <c r="JA8" s="30">
        <f t="shared" ca="1" si="44"/>
        <v>2.3594827946629378E-2</v>
      </c>
      <c r="JB8" s="30">
        <f t="shared" ca="1" si="44"/>
        <v>-9.8236134002581271E-3</v>
      </c>
      <c r="JC8" s="30">
        <f t="shared" ca="1" si="44"/>
        <v>-1.6968644295303412E-2</v>
      </c>
      <c r="JD8" s="30">
        <f t="shared" ca="1" si="37"/>
        <v>-5.7614801520610097E-2</v>
      </c>
      <c r="JE8" s="30">
        <f t="shared" ca="1" si="37"/>
        <v>-2.0949196528726687E-2</v>
      </c>
      <c r="JF8" s="30">
        <f t="shared" ca="1" si="37"/>
        <v>2.9204908082599993E-4</v>
      </c>
      <c r="JG8" s="30">
        <f t="shared" ca="1" si="37"/>
        <v>1.9932188595401849E-2</v>
      </c>
      <c r="JH8" s="30">
        <f t="shared" ca="1" si="37"/>
        <v>9.3807772843354197E-3</v>
      </c>
      <c r="JI8" s="30">
        <f t="shared" ca="1" si="37"/>
        <v>1.6193298966464587E-2</v>
      </c>
      <c r="JJ8" s="30">
        <f t="shared" ca="1" si="37"/>
        <v>3.1375827006387448E-2</v>
      </c>
      <c r="JK8" s="30">
        <f t="shared" ca="1" si="37"/>
        <v>-6.3264335484151904E-2</v>
      </c>
      <c r="JL8" s="30">
        <f t="shared" ca="1" si="37"/>
        <v>5.5083566237214797E-2</v>
      </c>
      <c r="JM8" s="30">
        <f t="shared" ca="1" si="37"/>
        <v>-0.13059768660890955</v>
      </c>
      <c r="JN8" s="30">
        <f t="shared" ca="1" si="37"/>
        <v>6.53495200109388E-2</v>
      </c>
      <c r="JO8" s="30">
        <f t="shared" ca="1" si="37"/>
        <v>5.7722731262014465E-4</v>
      </c>
      <c r="JP8" s="30">
        <f t="shared" ca="1" si="37"/>
        <v>-1.8795653214743125E-2</v>
      </c>
      <c r="JQ8" s="30">
        <f t="shared" ca="1" si="37"/>
        <v>4.1489485639870718E-2</v>
      </c>
      <c r="JR8" s="30">
        <f t="shared" ca="1" si="37"/>
        <v>-2.5993590320874449E-2</v>
      </c>
      <c r="JS8" s="30">
        <f t="shared" ca="1" si="37"/>
        <v>-4.4878576948985317E-2</v>
      </c>
      <c r="JT8" s="30">
        <f t="shared" ca="1" si="37"/>
        <v>3.3811817569260764E-2</v>
      </c>
      <c r="JU8" s="30">
        <f t="shared" ca="1" si="37"/>
        <v>-3.3438297191411642E-2</v>
      </c>
      <c r="JV8" s="30">
        <f t="shared" ca="1" si="37"/>
        <v>-5.6808936671206227E-2</v>
      </c>
      <c r="JW8" s="30">
        <f t="shared" ca="1" si="37"/>
        <v>-2.3587053780994339E-2</v>
      </c>
      <c r="JX8" s="30">
        <f t="shared" ca="1" si="37"/>
        <v>5.6142827898045845E-3</v>
      </c>
      <c r="JY8" s="30">
        <f t="shared" ca="1" si="37"/>
        <v>-3.0820857562290617E-2</v>
      </c>
      <c r="JZ8" s="30">
        <f t="shared" ca="1" si="37"/>
        <v>-1.4591866404473606E-2</v>
      </c>
      <c r="KA8" s="30">
        <f t="shared" ca="1" si="37"/>
        <v>6.0724314813828478E-2</v>
      </c>
      <c r="KB8" s="30">
        <f t="shared" ca="1" si="37"/>
        <v>-1.0265964377940901E-2</v>
      </c>
      <c r="KC8" s="30">
        <f t="shared" ca="1" si="37"/>
        <v>1.978178850066686E-2</v>
      </c>
      <c r="KD8" s="30">
        <f t="shared" ca="1" si="37"/>
        <v>-2.0718417551934876E-2</v>
      </c>
      <c r="KE8" s="30">
        <f t="shared" ca="1" si="37"/>
        <v>-2.6416748551034284E-2</v>
      </c>
      <c r="KF8" s="30">
        <f t="shared" ca="1" si="37"/>
        <v>-4.2453894100444277E-2</v>
      </c>
      <c r="KG8" s="30">
        <f t="shared" ca="1" si="37"/>
        <v>3.6539940833234953E-2</v>
      </c>
      <c r="KH8" s="30">
        <f t="shared" ca="1" si="37"/>
        <v>7.3800340866947825E-2</v>
      </c>
      <c r="KI8" s="30">
        <f t="shared" ca="1" si="37"/>
        <v>5.7089095315509784E-2</v>
      </c>
      <c r="KJ8" s="30">
        <f t="shared" ca="1" si="37"/>
        <v>2.1071687119559063E-2</v>
      </c>
      <c r="KK8" s="30">
        <f t="shared" ca="1" si="37"/>
        <v>-4.7588183928567077E-2</v>
      </c>
      <c r="KL8" s="30">
        <f t="shared" ca="1" si="37"/>
        <v>-2.8859331801406908E-2</v>
      </c>
      <c r="KM8" s="30">
        <f t="shared" ca="1" si="37"/>
        <v>5.6166223002408894E-2</v>
      </c>
      <c r="KN8" s="30">
        <f t="shared" ca="1" si="37"/>
        <v>-3.4339114442525916E-2</v>
      </c>
      <c r="KO8" s="30">
        <f t="shared" ca="1" si="37"/>
        <v>-6.6266514246824684E-2</v>
      </c>
      <c r="KP8" s="30">
        <f t="shared" ca="1" si="37"/>
        <v>1.3473985344024407E-2</v>
      </c>
      <c r="KQ8" s="30">
        <f t="shared" ca="1" si="37"/>
        <v>-8.8351243833481394E-3</v>
      </c>
      <c r="KR8" s="30">
        <f t="shared" ca="1" si="37"/>
        <v>2.7943836466709299E-2</v>
      </c>
      <c r="KS8" s="30">
        <f t="shared" ca="1" si="37"/>
        <v>-4.9309799647699597E-2</v>
      </c>
      <c r="KT8" s="30">
        <f t="shared" ca="1" si="37"/>
        <v>7.6390961279122344E-3</v>
      </c>
      <c r="KU8" s="30">
        <f t="shared" ca="1" si="37"/>
        <v>3.3572835709051924E-2</v>
      </c>
      <c r="KV8" s="30">
        <f t="shared" ca="1" si="37"/>
        <v>-7.0321558459325081E-3</v>
      </c>
      <c r="KW8" s="30">
        <f t="shared" ca="1" si="37"/>
        <v>8.8077250229944472E-3</v>
      </c>
      <c r="KX8" s="30">
        <f t="shared" ca="1" si="37"/>
        <v>-2.3183236511157317E-2</v>
      </c>
      <c r="KY8" s="30">
        <f t="shared" ca="1" si="37"/>
        <v>2.5676420226577883E-2</v>
      </c>
      <c r="KZ8" s="30">
        <f t="shared" ca="1" si="37"/>
        <v>-2.2436396592352973E-2</v>
      </c>
      <c r="LA8" s="30">
        <f t="shared" ca="1" si="37"/>
        <v>-7.9270443605009816E-2</v>
      </c>
      <c r="LB8" s="30">
        <f t="shared" ca="1" si="37"/>
        <v>-1.5089996981431274E-2</v>
      </c>
      <c r="LC8" s="30">
        <f t="shared" ca="1" si="37"/>
        <v>1.1596298068210407E-2</v>
      </c>
      <c r="LD8" s="30">
        <f t="shared" ca="1" si="37"/>
        <v>7.2816760532897873E-2</v>
      </c>
      <c r="LE8" s="30">
        <f t="shared" ca="1" si="37"/>
        <v>5.5484106895253668E-2</v>
      </c>
      <c r="LF8" s="30">
        <f t="shared" ca="1" si="37"/>
        <v>-1.3379817246889488E-2</v>
      </c>
      <c r="LG8" s="30">
        <f t="shared" ca="1" si="37"/>
        <v>3.0703303923827627E-2</v>
      </c>
      <c r="LH8" s="30">
        <f t="shared" ca="1" si="37"/>
        <v>-1.2167068456985747E-2</v>
      </c>
      <c r="LI8" s="30">
        <f t="shared" ca="1" si="37"/>
        <v>8.3151820952739333E-2</v>
      </c>
      <c r="LJ8" s="30">
        <f t="shared" ca="1" si="37"/>
        <v>-1.6870036783298299E-3</v>
      </c>
      <c r="LK8" s="30">
        <f t="shared" ca="1" si="37"/>
        <v>4.7178698236004193E-2</v>
      </c>
      <c r="LL8" s="30">
        <f t="shared" ca="1" si="37"/>
        <v>-2.4066133174245444E-2</v>
      </c>
      <c r="LM8" s="30">
        <f t="shared" ca="1" si="37"/>
        <v>6.3208169269453954E-2</v>
      </c>
      <c r="LN8" s="30">
        <f t="shared" ca="1" si="37"/>
        <v>-6.5443563226975754E-2</v>
      </c>
      <c r="LO8" s="30">
        <f t="shared" ca="1" si="21"/>
        <v>-1.3045682464435621E-2</v>
      </c>
      <c r="LP8" s="30">
        <f t="shared" ref="LP8:OA12" ca="1" si="45">_xlfn.NORM.INV(RAND(),$C$8,$C$9)</f>
        <v>-5.1135074377599954E-2</v>
      </c>
      <c r="LQ8" s="30">
        <f t="shared" ca="1" si="45"/>
        <v>-6.0433863179018062E-2</v>
      </c>
      <c r="LR8" s="30">
        <f t="shared" ca="1" si="45"/>
        <v>-6.2613890527070198E-2</v>
      </c>
      <c r="LS8" s="30">
        <f t="shared" ca="1" si="45"/>
        <v>4.6067348526929952E-2</v>
      </c>
      <c r="LT8" s="30">
        <f t="shared" ca="1" si="45"/>
        <v>-1.1786809256254849E-2</v>
      </c>
      <c r="LU8" s="30">
        <f t="shared" ca="1" si="45"/>
        <v>8.4083375823543931E-4</v>
      </c>
      <c r="LV8" s="30">
        <f t="shared" ca="1" si="45"/>
        <v>-2.0900077303364954E-2</v>
      </c>
      <c r="LW8" s="30">
        <f t="shared" ca="1" si="45"/>
        <v>-9.3864213860946163E-2</v>
      </c>
      <c r="LX8" s="30">
        <f t="shared" ca="1" si="45"/>
        <v>3.4057251668182825E-2</v>
      </c>
      <c r="LY8" s="30">
        <f t="shared" ca="1" si="45"/>
        <v>8.0462848442698548E-2</v>
      </c>
      <c r="LZ8" s="30">
        <f t="shared" ca="1" si="45"/>
        <v>3.7588964764752791E-2</v>
      </c>
      <c r="MA8" s="30">
        <f t="shared" ca="1" si="45"/>
        <v>-7.993636506533483E-2</v>
      </c>
      <c r="MB8" s="30">
        <f t="shared" ca="1" si="45"/>
        <v>-3.5346815710006918E-2</v>
      </c>
      <c r="MC8" s="30">
        <f t="shared" ca="1" si="45"/>
        <v>-1.1449386724366559E-2</v>
      </c>
      <c r="MD8" s="30">
        <f t="shared" ca="1" si="45"/>
        <v>-7.4321850757646662E-2</v>
      </c>
      <c r="ME8" s="30">
        <f t="shared" ca="1" si="45"/>
        <v>1.6933194855124772E-2</v>
      </c>
      <c r="MF8" s="30">
        <f t="shared" ca="1" si="45"/>
        <v>-1.2090023890728097E-2</v>
      </c>
      <c r="MG8" s="30">
        <f t="shared" ca="1" si="45"/>
        <v>-2.7825841285349175E-2</v>
      </c>
      <c r="MH8" s="30">
        <f t="shared" ca="1" si="45"/>
        <v>3.0288802987084626E-2</v>
      </c>
      <c r="MI8" s="30">
        <f t="shared" ca="1" si="45"/>
        <v>2.6843550741624873E-2</v>
      </c>
      <c r="MJ8" s="30">
        <f t="shared" ca="1" si="45"/>
        <v>-2.3665293615298462E-2</v>
      </c>
      <c r="MK8" s="30">
        <f t="shared" ca="1" si="45"/>
        <v>5.428863105063024E-2</v>
      </c>
      <c r="ML8" s="30">
        <f t="shared" ca="1" si="45"/>
        <v>6.3463690309296703E-2</v>
      </c>
      <c r="MM8" s="30">
        <f t="shared" ca="1" si="45"/>
        <v>4.0176286832106563E-2</v>
      </c>
      <c r="MN8" s="30">
        <f t="shared" ca="1" si="45"/>
        <v>4.298240502678629E-2</v>
      </c>
      <c r="MO8" s="30">
        <f t="shared" ca="1" si="45"/>
        <v>-1.1686227322009624E-2</v>
      </c>
      <c r="MP8" s="30">
        <f t="shared" ca="1" si="45"/>
        <v>8.0916427939225016E-2</v>
      </c>
      <c r="MQ8" s="30">
        <f t="shared" ca="1" si="45"/>
        <v>5.5215018487659459E-2</v>
      </c>
      <c r="MR8" s="30">
        <f t="shared" ca="1" si="45"/>
        <v>2.64889725417842E-2</v>
      </c>
      <c r="MS8" s="30">
        <f t="shared" ca="1" si="45"/>
        <v>2.0805337753837961E-2</v>
      </c>
      <c r="MT8" s="30">
        <f t="shared" ca="1" si="45"/>
        <v>6.393075585990815E-2</v>
      </c>
      <c r="MU8" s="30">
        <f t="shared" ca="1" si="45"/>
        <v>-1.7761065448026841E-2</v>
      </c>
      <c r="MV8" s="30">
        <f t="shared" ca="1" si="45"/>
        <v>1.4070392554687301E-2</v>
      </c>
      <c r="MW8" s="30">
        <f t="shared" ca="1" si="45"/>
        <v>-2.0800973632205622E-2</v>
      </c>
      <c r="MX8" s="30">
        <f t="shared" ca="1" si="45"/>
        <v>-5.5831069492938659E-2</v>
      </c>
      <c r="MY8" s="30">
        <f t="shared" ca="1" si="45"/>
        <v>5.4832247110551159E-2</v>
      </c>
      <c r="MZ8" s="30">
        <f t="shared" ca="1" si="45"/>
        <v>6.4495060243867364E-2</v>
      </c>
      <c r="NA8" s="30">
        <f t="shared" ca="1" si="45"/>
        <v>2.2427271029849226E-2</v>
      </c>
      <c r="NB8" s="30">
        <f t="shared" ca="1" si="45"/>
        <v>-4.5951832883515242E-3</v>
      </c>
      <c r="NC8" s="30">
        <f t="shared" ca="1" si="45"/>
        <v>-2.9237747934248642E-2</v>
      </c>
      <c r="ND8" s="30">
        <f t="shared" ca="1" si="45"/>
        <v>5.6503241251656218E-3</v>
      </c>
      <c r="NE8" s="30">
        <f t="shared" ca="1" si="45"/>
        <v>-1.8390678376397886E-2</v>
      </c>
      <c r="NF8" s="30">
        <f t="shared" ca="1" si="45"/>
        <v>8.5521642238485102E-2</v>
      </c>
      <c r="NG8" s="30">
        <f t="shared" ca="1" si="45"/>
        <v>7.4124960771162499E-2</v>
      </c>
      <c r="NH8" s="30">
        <f t="shared" ca="1" si="45"/>
        <v>5.3223494050993123E-2</v>
      </c>
      <c r="NI8" s="30">
        <f t="shared" ca="1" si="45"/>
        <v>2.4760430114978606E-2</v>
      </c>
      <c r="NJ8" s="30">
        <f t="shared" ca="1" si="45"/>
        <v>3.8866595493040425E-2</v>
      </c>
      <c r="NK8" s="30">
        <f t="shared" ca="1" si="45"/>
        <v>1.8712871369358675E-2</v>
      </c>
      <c r="NL8" s="30">
        <f t="shared" ca="1" si="45"/>
        <v>1.8514555999960625E-3</v>
      </c>
      <c r="NM8" s="30">
        <f t="shared" ca="1" si="45"/>
        <v>5.624452548498466E-2</v>
      </c>
      <c r="NN8" s="30">
        <f t="shared" ca="1" si="45"/>
        <v>5.598018708760738E-2</v>
      </c>
      <c r="NO8" s="30">
        <f t="shared" ca="1" si="45"/>
        <v>-1.0345331384278398E-2</v>
      </c>
      <c r="NP8" s="30">
        <f t="shared" ca="1" si="45"/>
        <v>5.5083680365659436E-2</v>
      </c>
      <c r="NQ8" s="30">
        <f t="shared" ca="1" si="45"/>
        <v>-3.4742207722657029E-2</v>
      </c>
      <c r="NR8" s="30">
        <f t="shared" ca="1" si="45"/>
        <v>-8.3042669217529078E-2</v>
      </c>
      <c r="NS8" s="30">
        <f t="shared" ca="1" si="45"/>
        <v>-1.7873161510609498E-2</v>
      </c>
      <c r="NT8" s="30">
        <f t="shared" ca="1" si="45"/>
        <v>5.9498802078657653E-2</v>
      </c>
      <c r="NU8" s="30">
        <f t="shared" ca="1" si="45"/>
        <v>3.5735338515263226E-2</v>
      </c>
      <c r="NV8" s="30">
        <f t="shared" ca="1" si="45"/>
        <v>2.0964979991310987E-3</v>
      </c>
      <c r="NW8" s="30">
        <f t="shared" ca="1" si="45"/>
        <v>-5.9703387131807242E-2</v>
      </c>
      <c r="NX8" s="30">
        <f t="shared" ca="1" si="45"/>
        <v>4.5741717972922116E-3</v>
      </c>
      <c r="NY8" s="30">
        <f t="shared" ca="1" si="45"/>
        <v>-6.7500223358215542E-3</v>
      </c>
      <c r="NZ8" s="30">
        <f t="shared" ca="1" si="45"/>
        <v>3.0972102986128467E-3</v>
      </c>
      <c r="OA8" s="30">
        <f t="shared" ca="1" si="45"/>
        <v>5.0097824955692996E-2</v>
      </c>
      <c r="OB8" s="30">
        <f t="shared" ca="1" si="38"/>
        <v>1.3624568251323431E-2</v>
      </c>
      <c r="OC8" s="30">
        <f t="shared" ca="1" si="38"/>
        <v>-4.4176583088481873E-2</v>
      </c>
      <c r="OD8" s="30">
        <f t="shared" ca="1" si="38"/>
        <v>-3.2642159479379138E-2</v>
      </c>
      <c r="OE8" s="30">
        <f t="shared" ca="1" si="38"/>
        <v>-1.7772920968952364E-2</v>
      </c>
      <c r="OF8" s="30">
        <f t="shared" ca="1" si="38"/>
        <v>-7.930958453423155E-3</v>
      </c>
      <c r="OG8" s="30">
        <f t="shared" ca="1" si="38"/>
        <v>-5.3666450094992303E-2</v>
      </c>
      <c r="OH8" s="30">
        <f t="shared" ca="1" si="38"/>
        <v>1.3090439166272855E-2</v>
      </c>
      <c r="OI8" s="30">
        <f t="shared" ca="1" si="38"/>
        <v>-2.8374622831250661E-2</v>
      </c>
      <c r="OJ8" s="30">
        <f t="shared" ca="1" si="38"/>
        <v>3.7661940339746E-2</v>
      </c>
      <c r="OK8" s="30">
        <f t="shared" ca="1" si="38"/>
        <v>2.3383512350060301E-3</v>
      </c>
      <c r="OL8" s="30">
        <f t="shared" ca="1" si="38"/>
        <v>1.4531736304752435E-2</v>
      </c>
      <c r="OM8" s="30">
        <f t="shared" ca="1" si="38"/>
        <v>5.7351539492851274E-2</v>
      </c>
      <c r="ON8" s="30">
        <f t="shared" ca="1" si="38"/>
        <v>-4.9155578493684869E-2</v>
      </c>
      <c r="OO8" s="30">
        <f t="shared" ca="1" si="38"/>
        <v>3.8284031005080495E-2</v>
      </c>
      <c r="OP8" s="30">
        <f t="shared" ca="1" si="38"/>
        <v>-2.1845115018444956E-2</v>
      </c>
      <c r="OQ8" s="30">
        <f t="shared" ca="1" si="38"/>
        <v>-7.9071736180796048E-3</v>
      </c>
      <c r="OR8" s="30">
        <f t="shared" ca="1" si="38"/>
        <v>1.8492772024360973E-2</v>
      </c>
      <c r="OS8" s="30">
        <f t="shared" ca="1" si="38"/>
        <v>-1.1298121369259869E-2</v>
      </c>
      <c r="OT8" s="30">
        <f t="shared" ca="1" si="38"/>
        <v>-4.8065854135168472E-2</v>
      </c>
      <c r="OU8" s="30">
        <f t="shared" ca="1" si="38"/>
        <v>-4.7190915372436526E-2</v>
      </c>
      <c r="OV8" s="30">
        <f t="shared" ca="1" si="38"/>
        <v>-2.6066537218603573E-2</v>
      </c>
      <c r="OW8" s="30">
        <f t="shared" ca="1" si="38"/>
        <v>4.3956945482593879E-2</v>
      </c>
      <c r="OX8" s="30">
        <f t="shared" ca="1" si="38"/>
        <v>1.5600419585794075E-2</v>
      </c>
      <c r="OY8" s="30">
        <f t="shared" ca="1" si="38"/>
        <v>-4.0343006409943948E-2</v>
      </c>
      <c r="OZ8" s="30">
        <f t="shared" ca="1" si="38"/>
        <v>2.8552551397858315E-2</v>
      </c>
      <c r="PA8" s="30">
        <f t="shared" ca="1" si="38"/>
        <v>3.1596150421962441E-2</v>
      </c>
      <c r="PB8" s="30">
        <f t="shared" ca="1" si="38"/>
        <v>1.9448033230730255E-3</v>
      </c>
      <c r="PC8" s="30">
        <f t="shared" ca="1" si="38"/>
        <v>2.076455858186068E-2</v>
      </c>
      <c r="PD8" s="30">
        <f t="shared" ca="1" si="38"/>
        <v>-4.1729852572545247E-3</v>
      </c>
      <c r="PE8" s="30">
        <f t="shared" ca="1" si="38"/>
        <v>-3.0476458397615501E-2</v>
      </c>
      <c r="PF8" s="30">
        <f t="shared" ca="1" si="38"/>
        <v>-3.3281420077551378E-3</v>
      </c>
      <c r="PG8" s="30">
        <f t="shared" ca="1" si="38"/>
        <v>-3.0028999459659353E-2</v>
      </c>
      <c r="PH8" s="30">
        <f t="shared" ca="1" si="38"/>
        <v>5.4483203980451325E-2</v>
      </c>
      <c r="PI8" s="30">
        <f t="shared" ca="1" si="38"/>
        <v>-7.0547028162702016E-2</v>
      </c>
      <c r="PJ8" s="30">
        <f t="shared" ca="1" si="38"/>
        <v>2.4063367316482384E-2</v>
      </c>
      <c r="PK8" s="30">
        <f t="shared" ca="1" si="38"/>
        <v>-2.5785438170520272E-2</v>
      </c>
      <c r="PL8" s="30">
        <f t="shared" ca="1" si="38"/>
        <v>8.214546643326083E-2</v>
      </c>
      <c r="PM8" s="30">
        <f t="shared" ca="1" si="38"/>
        <v>7.6000952217546061E-2</v>
      </c>
      <c r="PN8" s="30">
        <f t="shared" ca="1" si="38"/>
        <v>1.264942350038444E-2</v>
      </c>
      <c r="PO8" s="30">
        <f t="shared" ca="1" si="38"/>
        <v>-4.649506769359156E-2</v>
      </c>
      <c r="PP8" s="30">
        <f t="shared" ca="1" si="38"/>
        <v>1.451485114285983E-2</v>
      </c>
      <c r="PQ8" s="30">
        <f t="shared" ca="1" si="38"/>
        <v>-1.5234580268061352E-2</v>
      </c>
      <c r="PR8" s="30">
        <f t="shared" ca="1" si="38"/>
        <v>-3.6018934783134365E-2</v>
      </c>
      <c r="PS8" s="30">
        <f t="shared" ca="1" si="38"/>
        <v>0.10839912323971025</v>
      </c>
      <c r="PT8" s="30">
        <f t="shared" ca="1" si="38"/>
        <v>-1.5086088147550317E-2</v>
      </c>
      <c r="PU8" s="30">
        <f t="shared" ca="1" si="38"/>
        <v>-1.8674407793280893E-2</v>
      </c>
      <c r="PV8" s="30">
        <f t="shared" ca="1" si="38"/>
        <v>-7.5362190496334455E-2</v>
      </c>
      <c r="PW8" s="30">
        <f t="shared" ca="1" si="38"/>
        <v>-4.2356850911984927E-2</v>
      </c>
      <c r="PX8" s="30">
        <f t="shared" ca="1" si="38"/>
        <v>-1.2884845885334846E-3</v>
      </c>
      <c r="PY8" s="30">
        <f t="shared" ca="1" si="38"/>
        <v>1.5157371520931117E-2</v>
      </c>
      <c r="PZ8" s="30">
        <f t="shared" ca="1" si="38"/>
        <v>8.5764539435490769E-3</v>
      </c>
      <c r="QA8" s="30">
        <f t="shared" ca="1" si="38"/>
        <v>-1.02436213452765E-2</v>
      </c>
      <c r="QB8" s="30">
        <f t="shared" ca="1" si="38"/>
        <v>-4.30605275392602E-2</v>
      </c>
      <c r="QC8" s="30">
        <f t="shared" ca="1" si="38"/>
        <v>1.0535261765958558E-2</v>
      </c>
      <c r="QD8" s="30">
        <f t="shared" ca="1" si="38"/>
        <v>-6.8518700193104548E-2</v>
      </c>
      <c r="QE8" s="30">
        <f t="shared" ca="1" si="38"/>
        <v>-0.11750400302542577</v>
      </c>
      <c r="QF8" s="30">
        <f t="shared" ca="1" si="38"/>
        <v>-8.2424246597712261E-2</v>
      </c>
      <c r="QG8" s="30">
        <f t="shared" ca="1" si="38"/>
        <v>1.3501702507813733E-2</v>
      </c>
      <c r="QH8" s="30">
        <f t="shared" ca="1" si="38"/>
        <v>-5.0804255056824142E-2</v>
      </c>
      <c r="QI8" s="30">
        <f t="shared" ca="1" si="38"/>
        <v>-7.7533855793606277E-2</v>
      </c>
      <c r="QJ8" s="30">
        <f t="shared" ca="1" si="38"/>
        <v>6.8511419413502094E-3</v>
      </c>
      <c r="QK8" s="30">
        <f t="shared" ca="1" si="38"/>
        <v>5.7422214134425199E-2</v>
      </c>
      <c r="QL8" s="30">
        <f t="shared" ca="1" si="38"/>
        <v>2.4626840490452755E-2</v>
      </c>
      <c r="QM8" s="30">
        <f t="shared" ca="1" si="23"/>
        <v>-2.2750173633441163E-2</v>
      </c>
      <c r="QN8" s="30">
        <f t="shared" ref="QN8:SY12" ca="1" si="46">_xlfn.NORM.INV(RAND(),$C$8,$C$9)</f>
        <v>5.2898963187720978E-2</v>
      </c>
      <c r="QO8" s="30">
        <f t="shared" ca="1" si="46"/>
        <v>7.1951721195238289E-3</v>
      </c>
      <c r="QP8" s="30">
        <f t="shared" ca="1" si="46"/>
        <v>-4.202508884798787E-2</v>
      </c>
      <c r="QQ8" s="30">
        <f t="shared" ca="1" si="46"/>
        <v>-8.2153027360624669E-3</v>
      </c>
      <c r="QR8" s="30">
        <f t="shared" ca="1" si="46"/>
        <v>5.1299409123797234E-2</v>
      </c>
      <c r="QS8" s="30">
        <f t="shared" ca="1" si="46"/>
        <v>-8.2520644282433414E-2</v>
      </c>
      <c r="QT8" s="30">
        <f t="shared" ca="1" si="46"/>
        <v>2.4500267504695798E-2</v>
      </c>
      <c r="QU8" s="30">
        <f t="shared" ca="1" si="46"/>
        <v>3.7988141396525656E-2</v>
      </c>
      <c r="QV8" s="30">
        <f t="shared" ca="1" si="46"/>
        <v>5.3629830698062195E-2</v>
      </c>
      <c r="QW8" s="30">
        <f t="shared" ca="1" si="46"/>
        <v>8.61932904336076E-2</v>
      </c>
      <c r="QX8" s="30">
        <f t="shared" ca="1" si="46"/>
        <v>9.2515720461866374E-3</v>
      </c>
      <c r="QY8" s="30">
        <f t="shared" ca="1" si="46"/>
        <v>4.3867753056749123E-3</v>
      </c>
      <c r="QZ8" s="30">
        <f t="shared" ca="1" si="46"/>
        <v>-3.0049529752061072E-2</v>
      </c>
      <c r="RA8" s="30">
        <f t="shared" ca="1" si="46"/>
        <v>-1.6136496043544994E-2</v>
      </c>
      <c r="RB8" s="30">
        <f t="shared" ca="1" si="46"/>
        <v>-2.0148039526020978E-3</v>
      </c>
      <c r="RC8" s="30">
        <f t="shared" ca="1" si="46"/>
        <v>4.694901757263481E-2</v>
      </c>
      <c r="RD8" s="30">
        <f t="shared" ca="1" si="46"/>
        <v>2.2642177378948657E-4</v>
      </c>
      <c r="RE8" s="30">
        <f t="shared" ca="1" si="46"/>
        <v>3.4807853517421931E-2</v>
      </c>
      <c r="RF8" s="30">
        <f t="shared" ca="1" si="46"/>
        <v>-1.5048100222684463E-4</v>
      </c>
      <c r="RG8" s="30">
        <f t="shared" ca="1" si="46"/>
        <v>-2.3831742304961139E-2</v>
      </c>
      <c r="RH8" s="30">
        <f t="shared" ca="1" si="46"/>
        <v>6.7662376013725156E-2</v>
      </c>
      <c r="RI8" s="30">
        <f t="shared" ca="1" si="46"/>
        <v>9.2463413056516307E-3</v>
      </c>
      <c r="RJ8" s="30">
        <f t="shared" ca="1" si="46"/>
        <v>-3.7866519059321653E-2</v>
      </c>
      <c r="RK8" s="30">
        <f t="shared" ca="1" si="46"/>
        <v>-2.8168629122130355E-2</v>
      </c>
      <c r="RL8" s="30">
        <f t="shared" ca="1" si="46"/>
        <v>-5.0563713212945727E-2</v>
      </c>
      <c r="RM8" s="30">
        <f t="shared" ca="1" si="46"/>
        <v>1.0713210088530141E-3</v>
      </c>
      <c r="RN8" s="30">
        <f t="shared" ca="1" si="46"/>
        <v>9.8161953562884943E-2</v>
      </c>
      <c r="RO8" s="30">
        <f t="shared" ca="1" si="46"/>
        <v>-2.2803100070175535E-2</v>
      </c>
      <c r="RP8" s="30">
        <f t="shared" ca="1" si="46"/>
        <v>2.2022539392186624E-2</v>
      </c>
      <c r="RQ8" s="30">
        <f t="shared" ca="1" si="46"/>
        <v>3.5336136446545876E-3</v>
      </c>
      <c r="RR8" s="30">
        <f t="shared" ca="1" si="46"/>
        <v>-4.0719844106360231E-2</v>
      </c>
      <c r="RS8" s="30">
        <f t="shared" ca="1" si="46"/>
        <v>5.3240120274451755E-2</v>
      </c>
      <c r="RT8" s="30">
        <f t="shared" ca="1" si="46"/>
        <v>6.9950125996482901E-4</v>
      </c>
      <c r="RU8" s="30">
        <f t="shared" ca="1" si="46"/>
        <v>-1.5163899820894264E-2</v>
      </c>
      <c r="RV8" s="30">
        <f t="shared" ca="1" si="46"/>
        <v>6.3528870117900036E-3</v>
      </c>
      <c r="RW8" s="30">
        <f t="shared" ca="1" si="46"/>
        <v>8.6065463829154615E-2</v>
      </c>
      <c r="RX8" s="30">
        <f t="shared" ca="1" si="46"/>
        <v>-2.6042305031354348E-2</v>
      </c>
      <c r="RY8" s="30">
        <f t="shared" ca="1" si="46"/>
        <v>-1.0706439499803863E-3</v>
      </c>
      <c r="RZ8" s="30">
        <f t="shared" ca="1" si="46"/>
        <v>4.6182837366666174E-2</v>
      </c>
      <c r="SA8" s="30">
        <f t="shared" ca="1" si="46"/>
        <v>2.916208219757464E-2</v>
      </c>
      <c r="SB8" s="30">
        <f t="shared" ca="1" si="46"/>
        <v>4.8559560346681047E-2</v>
      </c>
      <c r="SC8" s="30">
        <f t="shared" ca="1" si="46"/>
        <v>-4.4891267356354785E-2</v>
      </c>
      <c r="SD8" s="30">
        <f t="shared" ca="1" si="46"/>
        <v>4.8925615415733328E-2</v>
      </c>
      <c r="SE8" s="30">
        <f t="shared" ca="1" si="46"/>
        <v>3.278018605183456E-2</v>
      </c>
      <c r="SF8" s="30">
        <f t="shared" ca="1" si="46"/>
        <v>-3.2692350629746438E-2</v>
      </c>
      <c r="SG8" s="30">
        <f t="shared" ca="1" si="46"/>
        <v>-1.6422539226269638E-2</v>
      </c>
      <c r="SH8" s="30">
        <f t="shared" ca="1" si="46"/>
        <v>-1.6811194448922113E-2</v>
      </c>
      <c r="SI8" s="30">
        <f t="shared" ca="1" si="46"/>
        <v>6.0157801021920899E-2</v>
      </c>
      <c r="SJ8" s="30">
        <f t="shared" ca="1" si="46"/>
        <v>1.2840980719427171E-2</v>
      </c>
      <c r="SK8" s="30">
        <f t="shared" ca="1" si="46"/>
        <v>4.5304061380551694E-2</v>
      </c>
      <c r="SL8" s="30">
        <f t="shared" ca="1" si="46"/>
        <v>-4.1422880755103093E-2</v>
      </c>
      <c r="SM8" s="30">
        <f t="shared" ca="1" si="46"/>
        <v>-3.5306235744626879E-2</v>
      </c>
      <c r="SN8" s="30">
        <f t="shared" ca="1" si="46"/>
        <v>-3.7773733660711835E-3</v>
      </c>
      <c r="SO8" s="30">
        <f t="shared" ca="1" si="46"/>
        <v>2.7486842882671982E-2</v>
      </c>
      <c r="SP8" s="30">
        <f t="shared" ca="1" si="46"/>
        <v>6.5870741345388228E-2</v>
      </c>
      <c r="SQ8" s="30">
        <f t="shared" ca="1" si="46"/>
        <v>4.2302141793828423E-3</v>
      </c>
      <c r="SR8" s="30">
        <f t="shared" ca="1" si="46"/>
        <v>1.7542326917003147E-2</v>
      </c>
      <c r="SS8" s="30">
        <f t="shared" ca="1" si="46"/>
        <v>-1.4647703051258822E-2</v>
      </c>
      <c r="ST8" s="30">
        <f t="shared" ca="1" si="46"/>
        <v>0.11347478458915419</v>
      </c>
      <c r="SU8" s="30">
        <f t="shared" ca="1" si="46"/>
        <v>-2.9563161557646191E-2</v>
      </c>
      <c r="SV8" s="30">
        <f t="shared" ca="1" si="46"/>
        <v>7.9880277574181507E-3</v>
      </c>
      <c r="SW8" s="30">
        <f t="shared" ca="1" si="46"/>
        <v>-1.1438988981250437E-3</v>
      </c>
      <c r="SX8" s="30">
        <f t="shared" ca="1" si="46"/>
        <v>2.9498332202121075E-2</v>
      </c>
      <c r="SY8" s="30">
        <f t="shared" ca="1" si="46"/>
        <v>1.4333223666881681E-2</v>
      </c>
      <c r="SZ8" s="30">
        <f t="shared" ca="1" si="39"/>
        <v>-4.3107429521405472E-3</v>
      </c>
      <c r="TA8" s="30">
        <f t="shared" ca="1" si="39"/>
        <v>-1.4263199689090057E-2</v>
      </c>
      <c r="TB8" s="30">
        <f t="shared" ca="1" si="39"/>
        <v>-5.4905076474613887E-2</v>
      </c>
      <c r="TC8" s="30">
        <f t="shared" ca="1" si="39"/>
        <v>5.4090934001438683E-2</v>
      </c>
      <c r="TD8" s="30">
        <f t="shared" ca="1" si="39"/>
        <v>-5.2201926735062701E-2</v>
      </c>
      <c r="TE8" s="30">
        <f t="shared" ca="1" si="39"/>
        <v>8.0804887816045767E-4</v>
      </c>
      <c r="TF8" s="30">
        <f t="shared" ca="1" si="39"/>
        <v>7.7264363002467987E-2</v>
      </c>
      <c r="TG8" s="30">
        <f t="shared" ca="1" si="39"/>
        <v>1.2027783520829168E-2</v>
      </c>
      <c r="TH8" s="30">
        <f t="shared" ca="1" si="39"/>
        <v>-1.0099514576126132E-2</v>
      </c>
      <c r="TI8" s="30">
        <f t="shared" ca="1" si="39"/>
        <v>-1.5665220348919592E-2</v>
      </c>
      <c r="TJ8" s="30">
        <f t="shared" ca="1" si="39"/>
        <v>7.2235255710643098E-2</v>
      </c>
      <c r="TK8" s="30">
        <f t="shared" ca="1" si="39"/>
        <v>-1.3807297270055001E-2</v>
      </c>
      <c r="TL8" s="30">
        <f t="shared" ca="1" si="39"/>
        <v>1.4166515270861331E-2</v>
      </c>
      <c r="TM8" s="30">
        <f t="shared" ca="1" si="39"/>
        <v>1.1850850354563396E-2</v>
      </c>
      <c r="TN8" s="30">
        <f t="shared" ca="1" si="39"/>
        <v>-2.1115835451162794E-2</v>
      </c>
      <c r="TO8" s="30">
        <f t="shared" ca="1" si="39"/>
        <v>-2.1255657812935296E-2</v>
      </c>
      <c r="TP8" s="30">
        <f t="shared" ca="1" si="39"/>
        <v>-1.0764189316905183E-2</v>
      </c>
      <c r="TQ8" s="30">
        <f t="shared" ca="1" si="39"/>
        <v>-4.5117361116432941E-2</v>
      </c>
      <c r="TR8" s="30">
        <f t="shared" ca="1" si="39"/>
        <v>4.8192373230851626E-2</v>
      </c>
      <c r="TS8" s="30">
        <f t="shared" ca="1" si="39"/>
        <v>-3.6572243233379674E-2</v>
      </c>
      <c r="TT8" s="30">
        <f t="shared" ca="1" si="39"/>
        <v>-5.0903407778452418E-2</v>
      </c>
      <c r="TU8" s="30">
        <f t="shared" ca="1" si="39"/>
        <v>-7.7829924892622263E-2</v>
      </c>
      <c r="TV8" s="30">
        <f t="shared" ca="1" si="39"/>
        <v>1.3017013384714889E-2</v>
      </c>
      <c r="TW8" s="30">
        <f t="shared" ca="1" si="39"/>
        <v>-2.02209414280866E-2</v>
      </c>
      <c r="TX8" s="30">
        <f t="shared" ca="1" si="39"/>
        <v>1.8353617773604582E-2</v>
      </c>
      <c r="TY8" s="30">
        <f t="shared" ca="1" si="39"/>
        <v>4.9094807488706425E-3</v>
      </c>
      <c r="TZ8" s="30">
        <f t="shared" ca="1" si="39"/>
        <v>2.8960536602163439E-2</v>
      </c>
      <c r="UA8" s="30">
        <f t="shared" ca="1" si="39"/>
        <v>-8.4544442992033703E-2</v>
      </c>
      <c r="UB8" s="30">
        <f t="shared" ca="1" si="39"/>
        <v>-9.7920652709661497E-3</v>
      </c>
      <c r="UC8" s="30">
        <f t="shared" ca="1" si="39"/>
        <v>-9.26304681616055E-2</v>
      </c>
      <c r="UD8" s="30">
        <f t="shared" ca="1" si="39"/>
        <v>-3.3745164001913699E-2</v>
      </c>
      <c r="UE8" s="30">
        <f t="shared" ca="1" si="39"/>
        <v>-1.7878592056814052E-2</v>
      </c>
      <c r="UF8" s="30">
        <f t="shared" ca="1" si="39"/>
        <v>-5.3088532740709252E-2</v>
      </c>
      <c r="UG8" s="30">
        <f t="shared" ca="1" si="39"/>
        <v>2.1314641179900295E-2</v>
      </c>
      <c r="UH8" s="30">
        <f t="shared" ca="1" si="39"/>
        <v>2.735682524808538E-2</v>
      </c>
      <c r="UI8" s="30">
        <f t="shared" ca="1" si="39"/>
        <v>1.4543693528888387E-3</v>
      </c>
      <c r="UJ8" s="30">
        <f t="shared" ca="1" si="39"/>
        <v>-1.6929319124433701E-2</v>
      </c>
      <c r="UK8" s="30">
        <f t="shared" ca="1" si="39"/>
        <v>8.0784029371164991E-3</v>
      </c>
      <c r="UL8" s="30">
        <f t="shared" ca="1" si="39"/>
        <v>-1.9859490491549989E-2</v>
      </c>
      <c r="UM8" s="30">
        <f t="shared" ca="1" si="39"/>
        <v>-2.0390939795728071E-2</v>
      </c>
      <c r="UN8" s="30">
        <f t="shared" ca="1" si="39"/>
        <v>-7.2091858078344381E-2</v>
      </c>
      <c r="UO8" s="30">
        <f t="shared" ca="1" si="39"/>
        <v>8.0709669692226021E-3</v>
      </c>
      <c r="UP8" s="30">
        <f t="shared" ca="1" si="39"/>
        <v>-4.8116636886901182E-2</v>
      </c>
      <c r="UQ8" s="30">
        <f t="shared" ca="1" si="39"/>
        <v>2.9824886414917099E-2</v>
      </c>
      <c r="UR8" s="30">
        <f t="shared" ca="1" si="39"/>
        <v>1.2340085644414706E-2</v>
      </c>
      <c r="US8" s="30">
        <f t="shared" ca="1" si="39"/>
        <v>1.9080410750955405E-2</v>
      </c>
      <c r="UT8" s="30">
        <f t="shared" ca="1" si="39"/>
        <v>4.5922486112031993E-3</v>
      </c>
      <c r="UU8" s="30">
        <f t="shared" ca="1" si="39"/>
        <v>-6.1540409598641356E-3</v>
      </c>
      <c r="UV8" s="30">
        <f t="shared" ca="1" si="39"/>
        <v>5.6545817784467889E-4</v>
      </c>
      <c r="UW8" s="30">
        <f t="shared" ca="1" si="39"/>
        <v>-1.2537783054972709E-2</v>
      </c>
      <c r="UX8" s="30">
        <f t="shared" ca="1" si="39"/>
        <v>-2.2600413135400919E-4</v>
      </c>
      <c r="UY8" s="30">
        <f t="shared" ca="1" si="39"/>
        <v>-1.0538944068865322E-3</v>
      </c>
      <c r="UZ8" s="30">
        <f t="shared" ca="1" si="39"/>
        <v>2.047871427148228E-2</v>
      </c>
      <c r="VA8" s="30">
        <f t="shared" ca="1" si="39"/>
        <v>4.10188697967906E-3</v>
      </c>
      <c r="VB8" s="30">
        <f t="shared" ca="1" si="39"/>
        <v>-1.250769715080414E-2</v>
      </c>
      <c r="VC8" s="30">
        <f t="shared" ca="1" si="39"/>
        <v>-7.5370829595955216E-2</v>
      </c>
      <c r="VD8" s="30">
        <f t="shared" ca="1" si="39"/>
        <v>-1.1391608249565113E-2</v>
      </c>
      <c r="VE8" s="30">
        <f t="shared" ca="1" si="39"/>
        <v>-3.5735258631195081E-2</v>
      </c>
      <c r="VF8" s="30">
        <f t="shared" ca="1" si="39"/>
        <v>9.1096665564373291E-3</v>
      </c>
      <c r="VG8" s="30">
        <f t="shared" ca="1" si="39"/>
        <v>-3.3153670271097987E-2</v>
      </c>
      <c r="VH8" s="30">
        <f t="shared" ca="1" si="39"/>
        <v>-4.1443834590895255E-2</v>
      </c>
      <c r="VI8" s="30">
        <f t="shared" ca="1" si="39"/>
        <v>3.2744382886493908E-2</v>
      </c>
      <c r="VJ8" s="30">
        <f t="shared" ca="1" si="39"/>
        <v>-6.4679012975113581E-2</v>
      </c>
      <c r="VK8" s="30">
        <f t="shared" ca="1" si="25"/>
        <v>4.1576993742987706E-2</v>
      </c>
      <c r="VL8" s="30">
        <f t="shared" ref="VL8:XW12" ca="1" si="47">_xlfn.NORM.INV(RAND(),$C$8,$C$9)</f>
        <v>3.2209123624404673E-2</v>
      </c>
      <c r="VM8" s="30">
        <f t="shared" ca="1" si="47"/>
        <v>-2.3492472627998879E-2</v>
      </c>
      <c r="VN8" s="30">
        <f t="shared" ca="1" si="47"/>
        <v>-4.076014983767905E-3</v>
      </c>
      <c r="VO8" s="30">
        <f t="shared" ca="1" si="47"/>
        <v>-2.3894777038611092E-3</v>
      </c>
      <c r="VP8" s="30">
        <f t="shared" ca="1" si="47"/>
        <v>-4.2259699607100638E-2</v>
      </c>
      <c r="VQ8" s="30">
        <f t="shared" ca="1" si="47"/>
        <v>1.9565192999594215E-2</v>
      </c>
      <c r="VR8" s="30">
        <f t="shared" ca="1" si="47"/>
        <v>4.660312496751929E-2</v>
      </c>
      <c r="VS8" s="30">
        <f t="shared" ca="1" si="47"/>
        <v>1.8447951616209372E-2</v>
      </c>
      <c r="VT8" s="30">
        <f t="shared" ca="1" si="47"/>
        <v>-3.0468849015886292E-2</v>
      </c>
      <c r="VU8" s="30">
        <f t="shared" ca="1" si="47"/>
        <v>1.1871485229769765E-2</v>
      </c>
      <c r="VV8" s="30">
        <f t="shared" ca="1" si="47"/>
        <v>1.4049393787774202E-2</v>
      </c>
      <c r="VW8" s="30">
        <f t="shared" ca="1" si="47"/>
        <v>3.273072887086835E-2</v>
      </c>
      <c r="VX8" s="30">
        <f t="shared" ca="1" si="47"/>
        <v>0.11691823154018254</v>
      </c>
      <c r="VY8" s="30">
        <f t="shared" ca="1" si="47"/>
        <v>-8.0149430217705056E-2</v>
      </c>
      <c r="VZ8" s="30">
        <f t="shared" ca="1" si="47"/>
        <v>-4.8165213391226945E-2</v>
      </c>
      <c r="WA8" s="30">
        <f t="shared" ca="1" si="47"/>
        <v>2.6528282885444031E-2</v>
      </c>
      <c r="WB8" s="30">
        <f t="shared" ca="1" si="47"/>
        <v>-2.8031888183230123E-2</v>
      </c>
      <c r="WC8" s="30">
        <f t="shared" ca="1" si="47"/>
        <v>3.839936707078935E-2</v>
      </c>
      <c r="WD8" s="30">
        <f t="shared" ca="1" si="47"/>
        <v>-4.5738108842826542E-3</v>
      </c>
      <c r="WE8" s="30">
        <f t="shared" ca="1" si="47"/>
        <v>-5.4574235290744534E-4</v>
      </c>
      <c r="WF8" s="30">
        <f t="shared" ca="1" si="47"/>
        <v>6.443305146564382E-3</v>
      </c>
      <c r="WG8" s="30">
        <f t="shared" ca="1" si="47"/>
        <v>4.0563604055279421E-4</v>
      </c>
      <c r="WH8" s="30">
        <f t="shared" ca="1" si="47"/>
        <v>-2.9869446131562796E-2</v>
      </c>
      <c r="WI8" s="30">
        <f t="shared" ca="1" si="47"/>
        <v>-1.7507823494141227E-2</v>
      </c>
      <c r="WJ8" s="30">
        <f t="shared" ca="1" si="47"/>
        <v>-2.4473979068496262E-3</v>
      </c>
      <c r="WK8" s="30">
        <f t="shared" ca="1" si="47"/>
        <v>-4.2788915386674483E-3</v>
      </c>
      <c r="WL8" s="30">
        <f t="shared" ca="1" si="47"/>
        <v>-9.9584956794307941E-3</v>
      </c>
      <c r="WM8" s="30">
        <f t="shared" ca="1" si="47"/>
        <v>-1.7056242638905334E-2</v>
      </c>
      <c r="WN8" s="30">
        <f t="shared" ca="1" si="47"/>
        <v>1.579795309380708E-2</v>
      </c>
      <c r="WO8" s="30">
        <f t="shared" ca="1" si="47"/>
        <v>-4.1271015792793929E-2</v>
      </c>
      <c r="WP8" s="30">
        <f t="shared" ca="1" si="47"/>
        <v>-7.0845313385568924E-3</v>
      </c>
      <c r="WQ8" s="30">
        <f t="shared" ca="1" si="47"/>
        <v>3.3838477978092543E-2</v>
      </c>
      <c r="WR8" s="30">
        <f t="shared" ca="1" si="47"/>
        <v>-1.9346487646343564E-2</v>
      </c>
      <c r="WS8" s="30">
        <f t="shared" ca="1" si="47"/>
        <v>-5.3347910779325804E-2</v>
      </c>
      <c r="WT8" s="30">
        <f t="shared" ca="1" si="47"/>
        <v>-3.5479851059842658E-2</v>
      </c>
      <c r="WU8" s="30">
        <f t="shared" ca="1" si="47"/>
        <v>1.0426897512575578E-4</v>
      </c>
      <c r="WV8" s="30">
        <f t="shared" ca="1" si="47"/>
        <v>3.4449731087340799E-3</v>
      </c>
      <c r="WW8" s="30">
        <f t="shared" ca="1" si="47"/>
        <v>-4.4375581138450748E-2</v>
      </c>
      <c r="WX8" s="30">
        <f t="shared" ca="1" si="47"/>
        <v>2.0492581241935284E-2</v>
      </c>
      <c r="WY8" s="30">
        <f t="shared" ca="1" si="47"/>
        <v>5.1208686761346066E-2</v>
      </c>
      <c r="WZ8" s="30">
        <f t="shared" ca="1" si="47"/>
        <v>1.3906797421520033E-2</v>
      </c>
      <c r="XA8" s="30">
        <f t="shared" ca="1" si="47"/>
        <v>-8.9185095465687154E-3</v>
      </c>
      <c r="XB8" s="30">
        <f t="shared" ca="1" si="47"/>
        <v>1.1638788758757493E-2</v>
      </c>
      <c r="XC8" s="30">
        <f t="shared" ca="1" si="47"/>
        <v>4.9537670061147801E-2</v>
      </c>
      <c r="XD8" s="30">
        <f t="shared" ca="1" si="47"/>
        <v>3.5309457465368829E-2</v>
      </c>
      <c r="XE8" s="30">
        <f t="shared" ca="1" si="47"/>
        <v>2.9156601087817445E-2</v>
      </c>
      <c r="XF8" s="30">
        <f t="shared" ca="1" si="47"/>
        <v>-1.1799763228991109E-2</v>
      </c>
      <c r="XG8" s="30">
        <f t="shared" ca="1" si="47"/>
        <v>5.4682606214107178E-2</v>
      </c>
      <c r="XH8" s="30">
        <f t="shared" ca="1" si="47"/>
        <v>-1.556850725834474E-2</v>
      </c>
      <c r="XI8" s="30">
        <f t="shared" ca="1" si="47"/>
        <v>4.6719399982994977E-3</v>
      </c>
      <c r="XJ8" s="30">
        <f t="shared" ca="1" si="47"/>
        <v>-5.4070689270370453E-2</v>
      </c>
      <c r="XK8" s="30">
        <f t="shared" ca="1" si="47"/>
        <v>-1.4062123624415078E-2</v>
      </c>
      <c r="XL8" s="30">
        <f t="shared" ca="1" si="47"/>
        <v>1.1504340820863946E-2</v>
      </c>
      <c r="XM8" s="30">
        <f t="shared" ca="1" si="47"/>
        <v>-1.1775722859833518E-2</v>
      </c>
      <c r="XN8" s="30">
        <f t="shared" ca="1" si="47"/>
        <v>2.2527866624903664E-2</v>
      </c>
      <c r="XO8" s="30">
        <f t="shared" ca="1" si="47"/>
        <v>-2.4555772079064713E-2</v>
      </c>
      <c r="XP8" s="30">
        <f t="shared" ca="1" si="47"/>
        <v>4.167145011279319E-2</v>
      </c>
      <c r="XQ8" s="30">
        <f t="shared" ca="1" si="47"/>
        <v>-4.6582083044797024E-3</v>
      </c>
      <c r="XR8" s="30">
        <f t="shared" ca="1" si="47"/>
        <v>-9.6340911336539076E-2</v>
      </c>
      <c r="XS8" s="30">
        <f t="shared" ca="1" si="47"/>
        <v>-3.9133467469826218E-2</v>
      </c>
      <c r="XT8" s="30">
        <f t="shared" ca="1" si="47"/>
        <v>-3.9224801531187556E-2</v>
      </c>
      <c r="XU8" s="30">
        <f t="shared" ca="1" si="47"/>
        <v>-1.3042076957022964E-2</v>
      </c>
      <c r="XV8" s="30">
        <f t="shared" ca="1" si="47"/>
        <v>4.7733380187813777E-2</v>
      </c>
      <c r="XW8" s="30">
        <f t="shared" ca="1" si="47"/>
        <v>-4.104330551987781E-2</v>
      </c>
      <c r="XX8" s="30">
        <f t="shared" ca="1" si="40"/>
        <v>4.4496748260545324E-2</v>
      </c>
      <c r="XY8" s="30">
        <f t="shared" ca="1" si="40"/>
        <v>-7.4317911425808847E-2</v>
      </c>
      <c r="XZ8" s="30">
        <f t="shared" ca="1" si="40"/>
        <v>6.098217679068694E-3</v>
      </c>
      <c r="YA8" s="30">
        <f t="shared" ca="1" si="40"/>
        <v>-1.011529752101421E-3</v>
      </c>
      <c r="YB8" s="30">
        <f t="shared" ca="1" si="40"/>
        <v>4.086617726548674E-2</v>
      </c>
      <c r="YC8" s="30">
        <f t="shared" ca="1" si="40"/>
        <v>4.1643683160694903E-2</v>
      </c>
      <c r="YD8" s="30">
        <f t="shared" ca="1" si="40"/>
        <v>7.2526503433286538E-2</v>
      </c>
      <c r="YE8" s="30">
        <f t="shared" ca="1" si="40"/>
        <v>5.5727251092453779E-2</v>
      </c>
      <c r="YF8" s="30">
        <f t="shared" ca="1" si="40"/>
        <v>-5.7757948285077708E-2</v>
      </c>
      <c r="YG8" s="30">
        <f t="shared" ca="1" si="40"/>
        <v>-5.7178382833992465E-2</v>
      </c>
      <c r="YH8" s="30">
        <f t="shared" ca="1" si="40"/>
        <v>1.1319466078537808E-2</v>
      </c>
      <c r="YI8" s="30">
        <f t="shared" ca="1" si="40"/>
        <v>-4.8028046527713045E-2</v>
      </c>
      <c r="YJ8" s="30">
        <f t="shared" ca="1" si="40"/>
        <v>-5.3164493200713953E-2</v>
      </c>
      <c r="YK8" s="30">
        <f t="shared" ca="1" si="40"/>
        <v>-1.6682101979428071E-2</v>
      </c>
      <c r="YL8" s="30">
        <f t="shared" ca="1" si="40"/>
        <v>3.655547386209488E-2</v>
      </c>
      <c r="YM8" s="30">
        <f t="shared" ca="1" si="40"/>
        <v>-3.2811150691886032E-2</v>
      </c>
      <c r="YN8" s="30">
        <f t="shared" ca="1" si="40"/>
        <v>-4.9828327374217385E-2</v>
      </c>
      <c r="YO8" s="30">
        <f t="shared" ca="1" si="40"/>
        <v>-8.238004259016983E-2</v>
      </c>
      <c r="YP8" s="30">
        <f t="shared" ca="1" si="40"/>
        <v>-3.2612264610120366E-2</v>
      </c>
      <c r="YQ8" s="30">
        <f t="shared" ca="1" si="40"/>
        <v>5.4034806212947963E-2</v>
      </c>
      <c r="YR8" s="30">
        <f t="shared" ca="1" si="40"/>
        <v>5.3703289274511949E-2</v>
      </c>
      <c r="YS8" s="30">
        <f t="shared" ca="1" si="40"/>
        <v>-4.9341299409206146E-2</v>
      </c>
      <c r="YT8" s="30">
        <f t="shared" ca="1" si="40"/>
        <v>8.1389949668316891E-2</v>
      </c>
      <c r="YU8" s="30">
        <f t="shared" ca="1" si="40"/>
        <v>-3.0351869283951047E-2</v>
      </c>
      <c r="YV8" s="30">
        <f t="shared" ca="1" si="40"/>
        <v>-3.5863095303069442E-2</v>
      </c>
      <c r="YW8" s="30">
        <f t="shared" ca="1" si="40"/>
        <v>-4.8930598024452307E-2</v>
      </c>
      <c r="YX8" s="30">
        <f t="shared" ca="1" si="40"/>
        <v>1.088051573588451E-2</v>
      </c>
      <c r="YY8" s="30">
        <f t="shared" ca="1" si="40"/>
        <v>4.3640630145266077E-2</v>
      </c>
      <c r="YZ8" s="30">
        <f t="shared" ca="1" si="40"/>
        <v>4.5239810035383986E-2</v>
      </c>
      <c r="ZA8" s="30">
        <f t="shared" ca="1" si="40"/>
        <v>2.7880254324400909E-2</v>
      </c>
      <c r="ZB8" s="30">
        <f t="shared" ca="1" si="40"/>
        <v>-2.8097924900426688E-2</v>
      </c>
      <c r="ZC8" s="30">
        <f t="shared" ca="1" si="40"/>
        <v>1.5925003875461363E-2</v>
      </c>
      <c r="ZD8" s="30">
        <f t="shared" ca="1" si="40"/>
        <v>-2.5435774693985211E-2</v>
      </c>
      <c r="ZE8" s="30">
        <f t="shared" ca="1" si="40"/>
        <v>-2.5367009948420755E-2</v>
      </c>
      <c r="ZF8" s="30">
        <f t="shared" ca="1" si="40"/>
        <v>1.0342414550637179E-2</v>
      </c>
      <c r="ZG8" s="30">
        <f t="shared" ca="1" si="40"/>
        <v>1.51337845887024E-2</v>
      </c>
      <c r="ZH8" s="30">
        <f t="shared" ca="1" si="40"/>
        <v>2.5571819992680905E-2</v>
      </c>
      <c r="ZI8" s="30">
        <f t="shared" ca="1" si="40"/>
        <v>-6.8648261764930538E-2</v>
      </c>
      <c r="ZJ8" s="30">
        <f t="shared" ca="1" si="40"/>
        <v>1.3433346188132626E-3</v>
      </c>
      <c r="ZK8" s="30">
        <f t="shared" ca="1" si="40"/>
        <v>4.8729606950047522E-2</v>
      </c>
      <c r="ZL8" s="30">
        <f t="shared" ca="1" si="40"/>
        <v>9.7924621662414633E-3</v>
      </c>
      <c r="ZM8" s="30">
        <f t="shared" ca="1" si="40"/>
        <v>-1.4605527289160671E-2</v>
      </c>
      <c r="ZN8" s="30">
        <f t="shared" ca="1" si="40"/>
        <v>-1.5050880956980269E-3</v>
      </c>
      <c r="ZO8" s="30">
        <f t="shared" ca="1" si="40"/>
        <v>8.6506314069332863E-4</v>
      </c>
      <c r="ZP8" s="30">
        <f t="shared" ca="1" si="40"/>
        <v>1.9960493918830851E-2</v>
      </c>
      <c r="ZQ8" s="30">
        <f t="shared" ca="1" si="40"/>
        <v>-3.0403111205764818E-2</v>
      </c>
      <c r="ZR8" s="30">
        <f t="shared" ca="1" si="40"/>
        <v>-6.0644462865467957E-2</v>
      </c>
      <c r="ZS8" s="30">
        <f t="shared" ca="1" si="40"/>
        <v>-5.2273290126284469E-2</v>
      </c>
      <c r="ZT8" s="30">
        <f t="shared" ca="1" si="40"/>
        <v>4.8064017319350213E-2</v>
      </c>
      <c r="ZU8" s="30">
        <f t="shared" ca="1" si="40"/>
        <v>-2.5746611992990186E-2</v>
      </c>
      <c r="ZV8" s="30">
        <f t="shared" ca="1" si="40"/>
        <v>-6.4337955524646829E-4</v>
      </c>
      <c r="ZW8" s="30">
        <f t="shared" ca="1" si="40"/>
        <v>0.10370531874234272</v>
      </c>
      <c r="ZX8" s="30">
        <f t="shared" ca="1" si="40"/>
        <v>5.2054096648226661E-2</v>
      </c>
      <c r="ZY8" s="30">
        <f t="shared" ca="1" si="40"/>
        <v>-2.6471284136054308E-2</v>
      </c>
      <c r="ZZ8" s="30">
        <f t="shared" ca="1" si="40"/>
        <v>4.6292429204852444E-2</v>
      </c>
      <c r="AAA8" s="30">
        <f t="shared" ca="1" si="40"/>
        <v>2.9386689102919258E-3</v>
      </c>
      <c r="AAB8" s="30">
        <f t="shared" ca="1" si="40"/>
        <v>2.6923960413772489E-2</v>
      </c>
      <c r="AAC8" s="30">
        <f t="shared" ca="1" si="40"/>
        <v>3.6808233647985383E-2</v>
      </c>
      <c r="AAD8" s="30">
        <f t="shared" ca="1" si="40"/>
        <v>-4.1000453505973353E-2</v>
      </c>
      <c r="AAE8" s="30">
        <f t="shared" ca="1" si="40"/>
        <v>-2.3398451423158079E-2</v>
      </c>
      <c r="AAF8" s="30">
        <f t="shared" ca="1" si="40"/>
        <v>-7.4910222352499611E-2</v>
      </c>
      <c r="AAG8" s="30">
        <f t="shared" ca="1" si="40"/>
        <v>2.0208159942778969E-2</v>
      </c>
      <c r="AAH8" s="30">
        <f t="shared" ca="1" si="40"/>
        <v>3.925351257236364E-2</v>
      </c>
      <c r="AAI8" s="30">
        <f t="shared" ca="1" si="27"/>
        <v>7.408430418795113E-2</v>
      </c>
      <c r="AAJ8" s="30">
        <f t="shared" ref="AAJ8:ACU12" ca="1" si="48">_xlfn.NORM.INV(RAND(),$C$8,$C$9)</f>
        <v>1.529996938289638E-2</v>
      </c>
      <c r="AAK8" s="30">
        <f t="shared" ca="1" si="48"/>
        <v>5.8003317729288545E-2</v>
      </c>
      <c r="AAL8" s="30">
        <f t="shared" ca="1" si="48"/>
        <v>1.2088557000346523E-2</v>
      </c>
      <c r="AAM8" s="30">
        <f t="shared" ca="1" si="48"/>
        <v>7.3576977243457523E-4</v>
      </c>
      <c r="AAN8" s="30">
        <f t="shared" ca="1" si="48"/>
        <v>-5.4472996651026943E-2</v>
      </c>
      <c r="AAO8" s="30">
        <f t="shared" ca="1" si="48"/>
        <v>-4.1000900259928655E-2</v>
      </c>
      <c r="AAP8" s="30">
        <f t="shared" ca="1" si="48"/>
        <v>-1.0131800971240491E-2</v>
      </c>
      <c r="AAQ8" s="30">
        <f t="shared" ca="1" si="48"/>
        <v>5.5262611533064686E-2</v>
      </c>
      <c r="AAR8" s="30">
        <f t="shared" ca="1" si="48"/>
        <v>-1.8904914216903133E-2</v>
      </c>
      <c r="AAS8" s="30">
        <f t="shared" ca="1" si="48"/>
        <v>6.2716172287385533E-2</v>
      </c>
      <c r="AAT8" s="30">
        <f t="shared" ca="1" si="48"/>
        <v>4.1993548229013147E-2</v>
      </c>
      <c r="AAU8" s="30">
        <f t="shared" ca="1" si="48"/>
        <v>-3.0464680614238002E-2</v>
      </c>
      <c r="AAV8" s="30">
        <f t="shared" ca="1" si="48"/>
        <v>-2.9304015749293321E-2</v>
      </c>
      <c r="AAW8" s="30">
        <f t="shared" ca="1" si="48"/>
        <v>-1.5332904681462509E-2</v>
      </c>
      <c r="AAX8" s="30">
        <f t="shared" ca="1" si="48"/>
        <v>-1.5597839991506688E-2</v>
      </c>
      <c r="AAY8" s="30">
        <f t="shared" ca="1" si="48"/>
        <v>-2.8534247497773887E-2</v>
      </c>
      <c r="AAZ8" s="30">
        <f t="shared" ca="1" si="48"/>
        <v>5.3479977077094509E-2</v>
      </c>
      <c r="ABA8" s="30">
        <f t="shared" ca="1" si="48"/>
        <v>-1.2944396856154016E-2</v>
      </c>
      <c r="ABB8" s="30">
        <f t="shared" ca="1" si="48"/>
        <v>1.5898673086168571E-2</v>
      </c>
      <c r="ABC8" s="30">
        <f t="shared" ca="1" si="48"/>
        <v>9.3013990755738563E-3</v>
      </c>
      <c r="ABD8" s="30">
        <f t="shared" ca="1" si="48"/>
        <v>-9.9480091314296831E-2</v>
      </c>
      <c r="ABE8" s="30">
        <f t="shared" ca="1" si="48"/>
        <v>4.5245003351992007E-3</v>
      </c>
      <c r="ABF8" s="30">
        <f t="shared" ca="1" si="48"/>
        <v>2.0808784382207826E-3</v>
      </c>
      <c r="ABG8" s="30">
        <f t="shared" ca="1" si="48"/>
        <v>-2.475930151233981E-2</v>
      </c>
      <c r="ABH8" s="30">
        <f t="shared" ca="1" si="48"/>
        <v>4.4717146814623803E-3</v>
      </c>
      <c r="ABI8" s="30">
        <f t="shared" ca="1" si="48"/>
        <v>-2.1032754993822577E-2</v>
      </c>
      <c r="ABJ8" s="30">
        <f t="shared" ca="1" si="48"/>
        <v>7.0841989093810009E-2</v>
      </c>
      <c r="ABK8" s="30">
        <f t="shared" ca="1" si="48"/>
        <v>5.7332306455749153E-2</v>
      </c>
      <c r="ABL8" s="30">
        <f t="shared" ca="1" si="48"/>
        <v>-2.0356945278055608E-2</v>
      </c>
      <c r="ABM8" s="30">
        <f t="shared" ca="1" si="48"/>
        <v>2.3083390397655328E-2</v>
      </c>
      <c r="ABN8" s="30">
        <f t="shared" ca="1" si="48"/>
        <v>-2.005854954630187E-3</v>
      </c>
      <c r="ABO8" s="30">
        <f t="shared" ca="1" si="48"/>
        <v>-6.9193692339355434E-2</v>
      </c>
      <c r="ABP8" s="30">
        <f t="shared" ca="1" si="48"/>
        <v>1.1601821513868517E-2</v>
      </c>
      <c r="ABQ8" s="30">
        <f t="shared" ca="1" si="48"/>
        <v>-2.3866502678802064E-2</v>
      </c>
      <c r="ABR8" s="30">
        <f t="shared" ca="1" si="48"/>
        <v>2.4582345086540704E-3</v>
      </c>
      <c r="ABS8" s="30">
        <f t="shared" ca="1" si="48"/>
        <v>-5.7950924248457061E-2</v>
      </c>
      <c r="ABT8" s="30">
        <f t="shared" ca="1" si="48"/>
        <v>-2.3585196516239675E-2</v>
      </c>
      <c r="ABU8" s="30">
        <f t="shared" ca="1" si="48"/>
        <v>2.1676689090100131E-2</v>
      </c>
      <c r="ABV8" s="30">
        <f t="shared" ca="1" si="48"/>
        <v>1.1258782087074704E-2</v>
      </c>
      <c r="ABW8" s="30">
        <f t="shared" ca="1" si="48"/>
        <v>-2.3852092006658762E-2</v>
      </c>
      <c r="ABX8" s="30">
        <f t="shared" ca="1" si="48"/>
        <v>-6.7135666839855904E-2</v>
      </c>
      <c r="ABY8" s="30">
        <f t="shared" ca="1" si="48"/>
        <v>-4.0355280488251329E-2</v>
      </c>
      <c r="ABZ8" s="30">
        <f t="shared" ca="1" si="48"/>
        <v>-1.1721787007103544E-2</v>
      </c>
      <c r="ACA8" s="30">
        <f t="shared" ca="1" si="48"/>
        <v>4.3776608795364408E-2</v>
      </c>
      <c r="ACB8" s="30">
        <f t="shared" ca="1" si="48"/>
        <v>1.5019593019535052E-2</v>
      </c>
      <c r="ACC8" s="30">
        <f t="shared" ca="1" si="48"/>
        <v>-3.6478846584865984E-2</v>
      </c>
      <c r="ACD8" s="30">
        <f t="shared" ca="1" si="48"/>
        <v>-1.0024258330869928E-2</v>
      </c>
      <c r="ACE8" s="30">
        <f t="shared" ca="1" si="48"/>
        <v>6.9253424952568629E-2</v>
      </c>
      <c r="ACF8" s="30">
        <f t="shared" ca="1" si="48"/>
        <v>-2.2216930812520609E-2</v>
      </c>
      <c r="ACG8" s="30">
        <f t="shared" ca="1" si="48"/>
        <v>4.540802193726954E-2</v>
      </c>
      <c r="ACH8" s="30">
        <f t="shared" ca="1" si="48"/>
        <v>4.3293251435246899E-2</v>
      </c>
      <c r="ACI8" s="30">
        <f t="shared" ca="1" si="48"/>
        <v>2.1526252634562561E-2</v>
      </c>
      <c r="ACJ8" s="30">
        <f t="shared" ca="1" si="48"/>
        <v>7.2715501605708568E-2</v>
      </c>
      <c r="ACK8" s="30">
        <f t="shared" ca="1" si="48"/>
        <v>-5.0594531837769782E-2</v>
      </c>
      <c r="ACL8" s="30">
        <f t="shared" ca="1" si="48"/>
        <v>-1.6404289644692718E-2</v>
      </c>
      <c r="ACM8" s="30">
        <f t="shared" ca="1" si="48"/>
        <v>2.0766287941766777E-2</v>
      </c>
      <c r="ACN8" s="30">
        <f t="shared" ca="1" si="48"/>
        <v>-5.5819003794813256E-3</v>
      </c>
      <c r="ACO8" s="30">
        <f t="shared" ca="1" si="48"/>
        <v>-6.5848519491274612E-2</v>
      </c>
      <c r="ACP8" s="30">
        <f t="shared" ca="1" si="48"/>
        <v>-8.3118524299686334E-3</v>
      </c>
      <c r="ACQ8" s="30">
        <f t="shared" ca="1" si="48"/>
        <v>1.2202243173985538E-2</v>
      </c>
      <c r="ACR8" s="30">
        <f t="shared" ca="1" si="48"/>
        <v>4.6777278391194499E-2</v>
      </c>
      <c r="ACS8" s="30">
        <f t="shared" ca="1" si="48"/>
        <v>5.5857970580417797E-2</v>
      </c>
      <c r="ACT8" s="30">
        <f t="shared" ca="1" si="48"/>
        <v>1.4247748756283596E-2</v>
      </c>
      <c r="ACU8" s="30">
        <f t="shared" ca="1" si="48"/>
        <v>-4.4111151786720433E-2</v>
      </c>
      <c r="ACV8" s="30">
        <f t="shared" ca="1" si="41"/>
        <v>2.5994956139850086E-2</v>
      </c>
      <c r="ACW8" s="30">
        <f t="shared" ca="1" si="41"/>
        <v>-2.6649281850412258E-2</v>
      </c>
      <c r="ACX8" s="30">
        <f t="shared" ca="1" si="41"/>
        <v>2.8046091250097605E-2</v>
      </c>
      <c r="ACY8" s="30">
        <f t="shared" ca="1" si="41"/>
        <v>-7.1511080117043976E-2</v>
      </c>
      <c r="ACZ8" s="30">
        <f t="shared" ca="1" si="41"/>
        <v>1.2966991877002431E-2</v>
      </c>
      <c r="ADA8" s="30">
        <f t="shared" ca="1" si="41"/>
        <v>8.2062274226555251E-3</v>
      </c>
      <c r="ADB8" s="30">
        <f t="shared" ca="1" si="41"/>
        <v>-2.3223352234326405E-2</v>
      </c>
      <c r="ADC8" s="30">
        <f t="shared" ca="1" si="41"/>
        <v>-4.7739606178214863E-2</v>
      </c>
      <c r="ADD8" s="30">
        <f t="shared" ca="1" si="41"/>
        <v>-2.4007194250343568E-2</v>
      </c>
      <c r="ADE8" s="30">
        <f t="shared" ca="1" si="41"/>
        <v>5.0261266929924747E-2</v>
      </c>
      <c r="ADF8" s="30">
        <f t="shared" ca="1" si="41"/>
        <v>-1.0402620979480094E-2</v>
      </c>
      <c r="ADG8" s="30">
        <f t="shared" ca="1" si="41"/>
        <v>3.5577802221327753E-2</v>
      </c>
      <c r="ADH8" s="30">
        <f t="shared" ca="1" si="41"/>
        <v>3.2820284945105201E-2</v>
      </c>
      <c r="ADI8" s="30">
        <f t="shared" ca="1" si="41"/>
        <v>3.3364446358418788E-3</v>
      </c>
      <c r="ADJ8" s="30">
        <f t="shared" ca="1" si="41"/>
        <v>-3.7489057902981543E-2</v>
      </c>
      <c r="ADK8" s="30">
        <f t="shared" ca="1" si="41"/>
        <v>-5.7864358285397002E-2</v>
      </c>
      <c r="ADL8" s="30">
        <f t="shared" ca="1" si="41"/>
        <v>-4.7570685198732955E-2</v>
      </c>
      <c r="ADM8" s="30">
        <f t="shared" ca="1" si="41"/>
        <v>1.0464652293042734E-2</v>
      </c>
      <c r="ADN8" s="30">
        <f t="shared" ca="1" si="41"/>
        <v>-1.9894312410960674E-3</v>
      </c>
      <c r="ADO8" s="30">
        <f t="shared" ca="1" si="41"/>
        <v>5.500832481725567E-2</v>
      </c>
      <c r="ADP8" s="30">
        <f t="shared" ca="1" si="41"/>
        <v>2.6471373527918673E-2</v>
      </c>
      <c r="ADQ8" s="30">
        <f t="shared" ca="1" si="41"/>
        <v>-3.2926964562643712E-2</v>
      </c>
      <c r="ADR8" s="30">
        <f t="shared" ca="1" si="41"/>
        <v>6.8592940664220545E-2</v>
      </c>
      <c r="ADS8" s="30">
        <f t="shared" ca="1" si="41"/>
        <v>-4.673702323347935E-2</v>
      </c>
      <c r="ADT8" s="30">
        <f t="shared" ca="1" si="41"/>
        <v>5.0788995955201123E-2</v>
      </c>
      <c r="ADU8" s="30">
        <f t="shared" ca="1" si="41"/>
        <v>-1.1041878373608455E-2</v>
      </c>
      <c r="ADV8" s="30">
        <f t="shared" ca="1" si="41"/>
        <v>4.4260924466435467E-2</v>
      </c>
      <c r="ADW8" s="30">
        <f t="shared" ca="1" si="41"/>
        <v>-3.0203544372234322E-3</v>
      </c>
      <c r="ADX8" s="30">
        <f t="shared" ca="1" si="41"/>
        <v>-5.1278189342271095E-2</v>
      </c>
      <c r="ADY8" s="30">
        <f t="shared" ca="1" si="41"/>
        <v>-6.7883233442949473E-3</v>
      </c>
      <c r="ADZ8" s="30">
        <f t="shared" ca="1" si="41"/>
        <v>1.2895057355534718E-2</v>
      </c>
      <c r="AEA8" s="30">
        <f t="shared" ca="1" si="41"/>
        <v>-3.4913717370685049E-2</v>
      </c>
      <c r="AEB8" s="30">
        <f t="shared" ca="1" si="41"/>
        <v>3.4617060767633719E-2</v>
      </c>
      <c r="AEC8" s="30">
        <f t="shared" ca="1" si="41"/>
        <v>9.23854750267709E-2</v>
      </c>
      <c r="AED8" s="30">
        <f t="shared" ca="1" si="41"/>
        <v>4.6288419689844054E-2</v>
      </c>
      <c r="AEE8" s="30">
        <f t="shared" ca="1" si="41"/>
        <v>-4.2543313139539081E-2</v>
      </c>
      <c r="AEF8" s="30">
        <f t="shared" ca="1" si="41"/>
        <v>8.5469147095372164E-3</v>
      </c>
      <c r="AEG8" s="30">
        <f t="shared" ca="1" si="41"/>
        <v>1.0086352444428326E-2</v>
      </c>
      <c r="AEH8" s="30">
        <f t="shared" ca="1" si="41"/>
        <v>2.5480048132831515E-2</v>
      </c>
      <c r="AEI8" s="30">
        <f t="shared" ca="1" si="41"/>
        <v>-1.7136488597665551E-2</v>
      </c>
      <c r="AEJ8" s="30">
        <f t="shared" ca="1" si="41"/>
        <v>1.7722787252276655E-2</v>
      </c>
      <c r="AEK8" s="30">
        <f t="shared" ca="1" si="41"/>
        <v>8.2988332502715922E-2</v>
      </c>
      <c r="AEL8" s="30">
        <f t="shared" ca="1" si="41"/>
        <v>-3.0545319583989393E-2</v>
      </c>
      <c r="AEM8" s="30">
        <f t="shared" ca="1" si="41"/>
        <v>7.0359584677341463E-2</v>
      </c>
      <c r="AEN8" s="30">
        <f t="shared" ca="1" si="41"/>
        <v>1.6183495451024391E-2</v>
      </c>
      <c r="AEO8" s="30">
        <f t="shared" ca="1" si="41"/>
        <v>7.4311061668318718E-2</v>
      </c>
      <c r="AEP8" s="30">
        <f t="shared" ca="1" si="41"/>
        <v>6.1327846976116651E-3</v>
      </c>
      <c r="AEQ8" s="30">
        <f t="shared" ca="1" si="41"/>
        <v>-3.1731640001453232E-2</v>
      </c>
      <c r="AER8" s="30">
        <f t="shared" ca="1" si="41"/>
        <v>7.3845521302289052E-2</v>
      </c>
      <c r="AES8" s="30">
        <f t="shared" ca="1" si="41"/>
        <v>1.3086942464306209E-2</v>
      </c>
      <c r="AET8" s="30">
        <f t="shared" ca="1" si="41"/>
        <v>2.4916876030336543E-2</v>
      </c>
      <c r="AEU8" s="30">
        <f t="shared" ca="1" si="41"/>
        <v>6.586482623109649E-2</v>
      </c>
      <c r="AEV8" s="30">
        <f t="shared" ca="1" si="41"/>
        <v>2.9091291486022554E-2</v>
      </c>
      <c r="AEW8" s="30">
        <f t="shared" ca="1" si="41"/>
        <v>-2.3092022586220272E-3</v>
      </c>
      <c r="AEX8" s="30">
        <f t="shared" ca="1" si="41"/>
        <v>2.5603315640578333E-3</v>
      </c>
      <c r="AEY8" s="30">
        <f t="shared" ca="1" si="41"/>
        <v>1.3641759990412766E-2</v>
      </c>
      <c r="AEZ8" s="30">
        <f t="shared" ca="1" si="41"/>
        <v>2.0249136694007273E-2</v>
      </c>
      <c r="AFA8" s="30">
        <f t="shared" ca="1" si="41"/>
        <v>-1.379413239955274E-2</v>
      </c>
      <c r="AFB8" s="30">
        <f t="shared" ca="1" si="41"/>
        <v>4.4910371139970547E-2</v>
      </c>
      <c r="AFC8" s="30">
        <f t="shared" ca="1" si="41"/>
        <v>-2.7700577348840093E-2</v>
      </c>
      <c r="AFD8" s="30">
        <f t="shared" ca="1" si="41"/>
        <v>2.9140005940242845E-2</v>
      </c>
      <c r="AFE8" s="30">
        <f t="shared" ca="1" si="41"/>
        <v>-2.465794409302385E-2</v>
      </c>
      <c r="AFF8" s="30">
        <f t="shared" ca="1" si="41"/>
        <v>-2.3799832066064321E-2</v>
      </c>
      <c r="AFG8" s="30">
        <f t="shared" ca="1" si="29"/>
        <v>1.2640885795326394E-2</v>
      </c>
      <c r="AFH8" s="30">
        <f t="shared" ref="AFH8:AHS12" ca="1" si="49">_xlfn.NORM.INV(RAND(),$C$8,$C$9)</f>
        <v>6.1035326943209525E-2</v>
      </c>
      <c r="AFI8" s="30">
        <f t="shared" ca="1" si="49"/>
        <v>1.5306719719647203E-2</v>
      </c>
      <c r="AFJ8" s="30">
        <f t="shared" ca="1" si="49"/>
        <v>3.6811027155222727E-2</v>
      </c>
      <c r="AFK8" s="30">
        <f t="shared" ca="1" si="49"/>
        <v>4.0193802369697107E-2</v>
      </c>
      <c r="AFL8" s="30">
        <f t="shared" ca="1" si="49"/>
        <v>-6.236927365252988E-2</v>
      </c>
      <c r="AFM8" s="30">
        <f t="shared" ca="1" si="49"/>
        <v>-3.8279448151302471E-2</v>
      </c>
      <c r="AFN8" s="30">
        <f t="shared" ca="1" si="49"/>
        <v>-2.3317344190658196E-3</v>
      </c>
      <c r="AFO8" s="30">
        <f t="shared" ca="1" si="49"/>
        <v>-6.4233272908483061E-2</v>
      </c>
      <c r="AFP8" s="30">
        <f t="shared" ca="1" si="49"/>
        <v>9.7853227806099139E-4</v>
      </c>
      <c r="AFQ8" s="30">
        <f t="shared" ca="1" si="49"/>
        <v>-2.113120999987822E-2</v>
      </c>
      <c r="AFR8" s="30">
        <f t="shared" ca="1" si="49"/>
        <v>8.7194238942960273E-2</v>
      </c>
      <c r="AFS8" s="30">
        <f t="shared" ca="1" si="49"/>
        <v>-6.4932690776309879E-3</v>
      </c>
      <c r="AFT8" s="30">
        <f t="shared" ca="1" si="49"/>
        <v>5.1041482522955851E-2</v>
      </c>
      <c r="AFU8" s="30">
        <f t="shared" ca="1" si="49"/>
        <v>2.8827948891885197E-2</v>
      </c>
      <c r="AFV8" s="30">
        <f t="shared" ca="1" si="49"/>
        <v>3.0934448070383945E-2</v>
      </c>
      <c r="AFW8" s="30">
        <f t="shared" ca="1" si="49"/>
        <v>2.7343782736368644E-2</v>
      </c>
      <c r="AFX8" s="30">
        <f t="shared" ca="1" si="49"/>
        <v>-2.5135829993817419E-2</v>
      </c>
      <c r="AFY8" s="30">
        <f t="shared" ca="1" si="49"/>
        <v>-5.7296627171424606E-2</v>
      </c>
      <c r="AFZ8" s="30">
        <f t="shared" ca="1" si="49"/>
        <v>-4.8984876762587774E-2</v>
      </c>
      <c r="AGA8" s="30">
        <f t="shared" ca="1" si="49"/>
        <v>7.449194663153437E-2</v>
      </c>
      <c r="AGB8" s="30">
        <f t="shared" ca="1" si="49"/>
        <v>-1.0397759621581088E-2</v>
      </c>
      <c r="AGC8" s="30">
        <f t="shared" ca="1" si="49"/>
        <v>4.8068752294467595E-2</v>
      </c>
      <c r="AGD8" s="30">
        <f t="shared" ca="1" si="49"/>
        <v>-5.9763186264492209E-2</v>
      </c>
      <c r="AGE8" s="30">
        <f t="shared" ca="1" si="49"/>
        <v>-5.6077973832939249E-2</v>
      </c>
      <c r="AGF8" s="30">
        <f t="shared" ca="1" si="49"/>
        <v>-7.7006448742584568E-3</v>
      </c>
      <c r="AGG8" s="30">
        <f t="shared" ca="1" si="49"/>
        <v>2.6406743766447791E-2</v>
      </c>
      <c r="AGH8" s="30">
        <f t="shared" ca="1" si="49"/>
        <v>2.785715901449665E-2</v>
      </c>
      <c r="AGI8" s="30">
        <f t="shared" ca="1" si="49"/>
        <v>5.786051389880436E-2</v>
      </c>
      <c r="AGJ8" s="30">
        <f t="shared" ca="1" si="49"/>
        <v>-2.02682943564674E-2</v>
      </c>
      <c r="AGK8" s="30">
        <f t="shared" ca="1" si="49"/>
        <v>8.3105389004873895E-2</v>
      </c>
      <c r="AGL8" s="30">
        <f t="shared" ca="1" si="49"/>
        <v>8.0438188338247847E-3</v>
      </c>
      <c r="AGM8" s="30">
        <f t="shared" ca="1" si="49"/>
        <v>5.0941536397314614E-2</v>
      </c>
      <c r="AGN8" s="30">
        <f t="shared" ca="1" si="49"/>
        <v>-4.8222252070624042E-2</v>
      </c>
      <c r="AGO8" s="30">
        <f t="shared" ca="1" si="49"/>
        <v>-3.6877667320762537E-2</v>
      </c>
      <c r="AGP8" s="30">
        <f t="shared" ca="1" si="49"/>
        <v>6.707192451373295E-2</v>
      </c>
      <c r="AGQ8" s="30">
        <f t="shared" ca="1" si="49"/>
        <v>9.7106293902710958E-2</v>
      </c>
      <c r="AGR8" s="30">
        <f t="shared" ca="1" si="49"/>
        <v>2.6523125875631715E-2</v>
      </c>
      <c r="AGS8" s="30">
        <f t="shared" ca="1" si="49"/>
        <v>3.4561717481811895E-2</v>
      </c>
      <c r="AGT8" s="30">
        <f t="shared" ca="1" si="49"/>
        <v>1.4543984761333974E-2</v>
      </c>
      <c r="AGU8" s="30">
        <f t="shared" ca="1" si="49"/>
        <v>4.2995556184925367E-3</v>
      </c>
      <c r="AGV8" s="30">
        <f t="shared" ca="1" si="49"/>
        <v>3.9526788211802283E-3</v>
      </c>
      <c r="AGW8" s="30">
        <f t="shared" ca="1" si="49"/>
        <v>-3.6113562386899382E-2</v>
      </c>
      <c r="AGX8" s="30">
        <f t="shared" ca="1" si="49"/>
        <v>-5.775164754920045E-3</v>
      </c>
      <c r="AGY8" s="30">
        <f t="shared" ca="1" si="49"/>
        <v>7.2294917323552556E-3</v>
      </c>
      <c r="AGZ8" s="30">
        <f t="shared" ca="1" si="49"/>
        <v>-4.147819220325126E-2</v>
      </c>
      <c r="AHA8" s="30">
        <f t="shared" ca="1" si="49"/>
        <v>1.7020331678062557E-2</v>
      </c>
      <c r="AHB8" s="30">
        <f t="shared" ca="1" si="49"/>
        <v>-6.8167369419929888E-2</v>
      </c>
      <c r="AHC8" s="30">
        <f t="shared" ca="1" si="49"/>
        <v>4.9009725540027367E-2</v>
      </c>
      <c r="AHD8" s="30">
        <f t="shared" ca="1" si="49"/>
        <v>-5.0233490280381073E-3</v>
      </c>
      <c r="AHE8" s="30">
        <f t="shared" ca="1" si="49"/>
        <v>1.3990649621147279E-2</v>
      </c>
      <c r="AHF8" s="30">
        <f t="shared" ca="1" si="49"/>
        <v>7.2769960123037596E-3</v>
      </c>
      <c r="AHG8" s="30">
        <f t="shared" ca="1" si="49"/>
        <v>4.4186368121199367E-2</v>
      </c>
      <c r="AHH8" s="30">
        <f t="shared" ca="1" si="49"/>
        <v>1.2994354446062138E-2</v>
      </c>
      <c r="AHI8" s="30">
        <f t="shared" ca="1" si="49"/>
        <v>3.1630053939258867E-3</v>
      </c>
      <c r="AHJ8" s="30">
        <f t="shared" ca="1" si="49"/>
        <v>5.5080103412452133E-2</v>
      </c>
      <c r="AHK8" s="30">
        <f t="shared" ca="1" si="49"/>
        <v>1.1427999415113438E-3</v>
      </c>
      <c r="AHL8" s="30">
        <f t="shared" ca="1" si="49"/>
        <v>-2.4808227444605171E-2</v>
      </c>
      <c r="AHM8" s="30">
        <f t="shared" ca="1" si="49"/>
        <v>6.8873751667850369E-2</v>
      </c>
      <c r="AHN8" s="30">
        <f t="shared" ca="1" si="49"/>
        <v>3.8278190060750415E-2</v>
      </c>
      <c r="AHO8" s="30">
        <f t="shared" ca="1" si="49"/>
        <v>1.9177123314909107E-2</v>
      </c>
      <c r="AHP8" s="30">
        <f t="shared" ca="1" si="49"/>
        <v>3.553189556080031E-2</v>
      </c>
      <c r="AHQ8" s="30">
        <f t="shared" ca="1" si="49"/>
        <v>-5.6451672616374886E-4</v>
      </c>
      <c r="AHR8" s="30">
        <f t="shared" ca="1" si="49"/>
        <v>-3.1864074356932337E-2</v>
      </c>
      <c r="AHS8" s="30">
        <f t="shared" ca="1" si="49"/>
        <v>9.5287785039529904E-3</v>
      </c>
      <c r="AHT8" s="30">
        <f t="shared" ca="1" si="42"/>
        <v>7.4936237466852575E-3</v>
      </c>
      <c r="AHU8" s="30">
        <f t="shared" ca="1" si="42"/>
        <v>-6.3839899005192088E-2</v>
      </c>
      <c r="AHV8" s="30">
        <f t="shared" ca="1" si="42"/>
        <v>-2.7289678547670931E-2</v>
      </c>
      <c r="AHW8" s="30">
        <f t="shared" ca="1" si="42"/>
        <v>-1.4698316182200546E-2</v>
      </c>
      <c r="AHX8" s="30">
        <f t="shared" ca="1" si="42"/>
        <v>-6.1601634040322359E-2</v>
      </c>
      <c r="AHY8" s="30">
        <f t="shared" ca="1" si="42"/>
        <v>1.666139841629078E-2</v>
      </c>
      <c r="AHZ8" s="30">
        <f t="shared" ca="1" si="42"/>
        <v>2.7267889211376628E-2</v>
      </c>
      <c r="AIA8" s="30">
        <f t="shared" ca="1" si="42"/>
        <v>-2.7534922637320835E-2</v>
      </c>
      <c r="AIB8" s="30">
        <f t="shared" ca="1" si="42"/>
        <v>-3.5590757103377123E-3</v>
      </c>
      <c r="AIC8" s="30">
        <f t="shared" ca="1" si="42"/>
        <v>-2.6023667714378196E-2</v>
      </c>
      <c r="AID8" s="30">
        <f t="shared" ca="1" si="42"/>
        <v>-4.6549849714753368E-3</v>
      </c>
      <c r="AIE8" s="30">
        <f t="shared" ca="1" si="42"/>
        <v>3.5397321584558293E-2</v>
      </c>
      <c r="AIF8" s="30">
        <f t="shared" ca="1" si="42"/>
        <v>7.4466365447669977E-2</v>
      </c>
      <c r="AIG8" s="30">
        <f t="shared" ca="1" si="42"/>
        <v>0.11483556425539825</v>
      </c>
      <c r="AIH8" s="30">
        <f t="shared" ca="1" si="42"/>
        <v>-1.9631331009234823E-2</v>
      </c>
      <c r="AII8" s="30">
        <f t="shared" ca="1" si="42"/>
        <v>2.1967864814223768E-2</v>
      </c>
      <c r="AIJ8" s="30">
        <f t="shared" ca="1" si="42"/>
        <v>-5.8716564877659874E-2</v>
      </c>
      <c r="AIK8" s="30">
        <f t="shared" ca="1" si="42"/>
        <v>2.8195050405286436E-2</v>
      </c>
      <c r="AIL8" s="30">
        <f t="shared" ca="1" si="42"/>
        <v>-4.3939056881417964E-2</v>
      </c>
      <c r="AIM8" s="30">
        <f t="shared" ca="1" si="42"/>
        <v>-1.8857523312994947E-2</v>
      </c>
      <c r="AIN8" s="30">
        <f t="shared" ca="1" si="42"/>
        <v>2.452905293164374E-2</v>
      </c>
      <c r="AIO8" s="30">
        <f t="shared" ca="1" si="42"/>
        <v>-6.1735602886127214E-2</v>
      </c>
      <c r="AIP8" s="30">
        <f t="shared" ca="1" si="42"/>
        <v>8.5140158389579335E-2</v>
      </c>
      <c r="AIQ8" s="30">
        <f t="shared" ca="1" si="42"/>
        <v>-4.215720080200782E-2</v>
      </c>
      <c r="AIR8" s="30">
        <f t="shared" ca="1" si="42"/>
        <v>-2.9419641971182447E-2</v>
      </c>
      <c r="AIS8" s="30">
        <f t="shared" ca="1" si="42"/>
        <v>9.8790661100881753E-3</v>
      </c>
      <c r="AIT8" s="30">
        <f t="shared" ca="1" si="42"/>
        <v>-1.5121833146811807E-2</v>
      </c>
      <c r="AIU8" s="30">
        <f t="shared" ca="1" si="42"/>
        <v>-7.8514682700501076E-2</v>
      </c>
      <c r="AIV8" s="30">
        <f t="shared" ca="1" si="42"/>
        <v>-1.8874881417445619E-2</v>
      </c>
      <c r="AIW8" s="30">
        <f t="shared" ca="1" si="42"/>
        <v>-1.2918047526420486E-2</v>
      </c>
      <c r="AIX8" s="30">
        <f t="shared" ca="1" si="42"/>
        <v>5.1918272013563985E-2</v>
      </c>
      <c r="AIY8" s="30">
        <f t="shared" ca="1" si="42"/>
        <v>-3.2191953883864165E-2</v>
      </c>
      <c r="AIZ8" s="30">
        <f t="shared" ca="1" si="42"/>
        <v>9.9848780936416734E-3</v>
      </c>
      <c r="AJA8" s="30">
        <f t="shared" ca="1" si="42"/>
        <v>4.1827727400485263E-3</v>
      </c>
      <c r="AJB8" s="30">
        <f t="shared" ca="1" si="42"/>
        <v>1.3061554139224734E-2</v>
      </c>
      <c r="AJC8" s="30">
        <f t="shared" ca="1" si="42"/>
        <v>4.5891513765675225E-3</v>
      </c>
      <c r="AJD8" s="30">
        <f t="shared" ca="1" si="42"/>
        <v>-2.6009209513303162E-2</v>
      </c>
      <c r="AJE8" s="30">
        <f t="shared" ca="1" si="42"/>
        <v>-5.557659061479462E-2</v>
      </c>
      <c r="AJF8" s="30">
        <f t="shared" ca="1" si="42"/>
        <v>-2.785637565529293E-2</v>
      </c>
      <c r="AJG8" s="30">
        <f t="shared" ca="1" si="42"/>
        <v>2.2267310011434328E-2</v>
      </c>
      <c r="AJH8" s="30">
        <f t="shared" ca="1" si="42"/>
        <v>6.0162214862686886E-2</v>
      </c>
      <c r="AJI8" s="30">
        <f t="shared" ca="1" si="42"/>
        <v>-8.7421579658568394E-3</v>
      </c>
      <c r="AJJ8" s="30">
        <f t="shared" ca="1" si="42"/>
        <v>-5.5670534243589351E-2</v>
      </c>
      <c r="AJK8" s="30">
        <f t="shared" ca="1" si="42"/>
        <v>3.0651255868076103E-2</v>
      </c>
      <c r="AJL8" s="30">
        <f t="shared" ca="1" si="42"/>
        <v>-3.5445872122867664E-2</v>
      </c>
      <c r="AJM8" s="30">
        <f t="shared" ca="1" si="42"/>
        <v>5.6782848996887346E-3</v>
      </c>
      <c r="AJN8" s="30">
        <f t="shared" ca="1" si="42"/>
        <v>-7.7256933487454185E-3</v>
      </c>
      <c r="AJO8" s="30">
        <f t="shared" ca="1" si="42"/>
        <v>-2.1619742476899375E-2</v>
      </c>
      <c r="AJP8" s="30">
        <f t="shared" ca="1" si="42"/>
        <v>3.8543328584789788E-2</v>
      </c>
      <c r="AJQ8" s="30">
        <f t="shared" ca="1" si="42"/>
        <v>-7.4988024132080125E-2</v>
      </c>
      <c r="AJR8" s="30">
        <f t="shared" ca="1" si="42"/>
        <v>5.3815546093264485E-2</v>
      </c>
      <c r="AJS8" s="30">
        <f t="shared" ca="1" si="42"/>
        <v>-3.80825527302995E-2</v>
      </c>
      <c r="AJT8" s="30">
        <f t="shared" ca="1" si="42"/>
        <v>-1.5141374296627385E-2</v>
      </c>
      <c r="AJU8" s="30">
        <f t="shared" ca="1" si="42"/>
        <v>4.041754083435356E-2</v>
      </c>
      <c r="AJV8" s="30">
        <f t="shared" ca="1" si="42"/>
        <v>5.7577496284389905E-4</v>
      </c>
      <c r="AJW8" s="30">
        <f t="shared" ca="1" si="42"/>
        <v>-2.7559133256141791E-2</v>
      </c>
      <c r="AJX8" s="30">
        <f t="shared" ca="1" si="42"/>
        <v>-1.4492267206923967E-2</v>
      </c>
      <c r="AJY8" s="30">
        <f t="shared" ca="1" si="42"/>
        <v>-9.7944426970582362E-3</v>
      </c>
      <c r="AJZ8" s="30">
        <f t="shared" ca="1" si="42"/>
        <v>-6.5297146322658862E-3</v>
      </c>
      <c r="AKA8" s="30">
        <f t="shared" ca="1" si="42"/>
        <v>4.1982305879803249E-2</v>
      </c>
      <c r="AKB8" s="30">
        <f t="shared" ca="1" si="42"/>
        <v>-2.9370941930483799E-2</v>
      </c>
      <c r="AKC8" s="30">
        <f t="shared" ca="1" si="42"/>
        <v>-9.6261878136033791E-4</v>
      </c>
      <c r="AKD8" s="30">
        <f t="shared" ca="1" si="42"/>
        <v>4.8796226218291432E-2</v>
      </c>
      <c r="AKE8" s="30">
        <f t="shared" ca="1" si="31"/>
        <v>2.7052887952599466E-2</v>
      </c>
      <c r="AKF8" s="30">
        <f t="shared" ca="1" si="32"/>
        <v>-2.6168719851751072E-2</v>
      </c>
      <c r="AKG8" s="30">
        <f t="shared" ca="1" si="32"/>
        <v>1.3069726510751181E-2</v>
      </c>
      <c r="AKH8" s="30">
        <f t="shared" ca="1" si="32"/>
        <v>-1.6517120725780546E-2</v>
      </c>
      <c r="AKI8" s="30">
        <f t="shared" ca="1" si="32"/>
        <v>1.1304959870874006E-2</v>
      </c>
      <c r="AKJ8" s="30">
        <f t="shared" ca="1" si="32"/>
        <v>-3.3691486513886974E-2</v>
      </c>
      <c r="AKK8" s="30">
        <f t="shared" ca="1" si="32"/>
        <v>-6.3371423892955567E-2</v>
      </c>
      <c r="AKL8" s="30">
        <f t="shared" ca="1" si="32"/>
        <v>3.0593457950899485E-2</v>
      </c>
      <c r="AKM8" s="30">
        <f t="shared" ca="1" si="32"/>
        <v>1.3324169397437708E-2</v>
      </c>
      <c r="AKN8" s="30">
        <f t="shared" ca="1" si="32"/>
        <v>2.6419515020267976E-2</v>
      </c>
      <c r="AKO8" s="30">
        <f t="shared" ca="1" si="32"/>
        <v>1.1661498771094609E-2</v>
      </c>
      <c r="AKP8" s="30">
        <f t="shared" ca="1" si="32"/>
        <v>-6.0184147795240311E-2</v>
      </c>
      <c r="AKQ8" s="30">
        <f t="shared" ca="1" si="32"/>
        <v>4.390519458055E-3</v>
      </c>
      <c r="AKR8" s="30">
        <f t="shared" ca="1" si="32"/>
        <v>2.6502944028446853E-2</v>
      </c>
      <c r="AKS8" s="30">
        <f t="shared" ca="1" si="32"/>
        <v>3.3786413652197665E-2</v>
      </c>
      <c r="AKT8" s="30">
        <f t="shared" ca="1" si="32"/>
        <v>-2.4668714220723448E-2</v>
      </c>
      <c r="AKU8" s="30">
        <f t="shared" ca="1" si="32"/>
        <v>1.1059267483691109E-2</v>
      </c>
      <c r="AKV8" s="30">
        <f t="shared" ca="1" si="32"/>
        <v>2.0052492984962502E-2</v>
      </c>
      <c r="AKW8" s="30">
        <f t="shared" ca="1" si="32"/>
        <v>3.1690006453497302E-3</v>
      </c>
      <c r="AKX8" s="30">
        <f t="shared" ca="1" si="32"/>
        <v>6.2538269893896055E-3</v>
      </c>
      <c r="AKY8" s="30">
        <f t="shared" ca="1" si="32"/>
        <v>-1.9291522163451494E-2</v>
      </c>
      <c r="AKZ8" s="30">
        <f t="shared" ca="1" si="32"/>
        <v>-2.9826710305518754E-3</v>
      </c>
      <c r="ALA8" s="30">
        <f t="shared" ca="1" si="32"/>
        <v>8.8615839974145183E-3</v>
      </c>
      <c r="ALB8" s="30">
        <f t="shared" ca="1" si="32"/>
        <v>-1.3226473544321775E-3</v>
      </c>
      <c r="ALC8" s="30">
        <f t="shared" ca="1" si="32"/>
        <v>1.31516300449408E-2</v>
      </c>
      <c r="ALD8" s="30">
        <f t="shared" ca="1" si="32"/>
        <v>1.7684927083828749E-3</v>
      </c>
      <c r="ALE8" s="30">
        <f t="shared" ca="1" si="32"/>
        <v>-2.562525369105426E-2</v>
      </c>
      <c r="ALF8" s="30">
        <f t="shared" ca="1" si="32"/>
        <v>8.6158680118732789E-2</v>
      </c>
      <c r="ALG8" s="30">
        <f t="shared" ca="1" si="32"/>
        <v>-2.4886926720935454E-2</v>
      </c>
      <c r="ALH8" s="30">
        <f t="shared" ca="1" si="32"/>
        <v>1.8423850965188237E-2</v>
      </c>
      <c r="ALI8" s="30">
        <f t="shared" ca="1" si="32"/>
        <v>8.4024202090537847E-2</v>
      </c>
      <c r="ALJ8" s="30">
        <f t="shared" ca="1" si="32"/>
        <v>-1.4075556680615213E-2</v>
      </c>
      <c r="ALK8" s="30">
        <f t="shared" ca="1" si="32"/>
        <v>-2.634722509135966E-3</v>
      </c>
      <c r="ALL8" s="30">
        <f t="shared" ca="1" si="32"/>
        <v>6.3654787072987926E-2</v>
      </c>
      <c r="ALM8" s="30">
        <f t="shared" ca="1" si="32"/>
        <v>3.1700740902025779E-2</v>
      </c>
      <c r="ALN8" s="30">
        <f t="shared" ca="1" si="32"/>
        <v>2.0904791482431406E-2</v>
      </c>
      <c r="ALO8" s="30">
        <f t="shared" ca="1" si="32"/>
        <v>2.0087116458091268E-2</v>
      </c>
      <c r="ALP8" s="30">
        <f t="shared" ca="1" si="32"/>
        <v>2.0017494412091778E-2</v>
      </c>
      <c r="ALQ8" s="30">
        <f t="shared" ca="1" si="32"/>
        <v>-2.5164777353627783E-2</v>
      </c>
      <c r="ALR8" s="30">
        <f t="shared" ca="1" si="32"/>
        <v>4.340446250167853E-3</v>
      </c>
    </row>
    <row r="9" spans="2:1006" s="29" customFormat="1" x14ac:dyDescent="0.2">
      <c r="B9" s="28" t="s">
        <v>1529</v>
      </c>
      <c r="C9" s="43">
        <f>Parameters!F8</f>
        <v>4.0863727526658483E-2</v>
      </c>
      <c r="F9" s="32">
        <f t="shared" si="35"/>
        <v>6</v>
      </c>
      <c r="G9" s="30">
        <f t="shared" ca="1" si="33"/>
        <v>5.8029082766408245E-2</v>
      </c>
      <c r="H9" s="30">
        <f t="shared" ca="1" si="34"/>
        <v>-0.10782776745990032</v>
      </c>
      <c r="I9" s="30">
        <f t="shared" ca="1" si="34"/>
        <v>-2.0069066164196452E-2</v>
      </c>
      <c r="J9" s="30">
        <f t="shared" ca="1" si="34"/>
        <v>1.2786292132010669E-3</v>
      </c>
      <c r="K9" s="30">
        <f t="shared" ca="1" si="34"/>
        <v>1.863024575290358E-2</v>
      </c>
      <c r="L9" s="30">
        <f t="shared" ca="1" si="34"/>
        <v>7.4799616189333729E-2</v>
      </c>
      <c r="M9" s="30">
        <f t="shared" ca="1" si="34"/>
        <v>-1.7791819273241433E-2</v>
      </c>
      <c r="N9" s="30">
        <f t="shared" ca="1" si="34"/>
        <v>2.6797297491797926E-2</v>
      </c>
      <c r="O9" s="30">
        <f t="shared" ca="1" si="34"/>
        <v>1.8417351890340744E-2</v>
      </c>
      <c r="P9" s="30">
        <f t="shared" ca="1" si="34"/>
        <v>4.0827967978040905E-2</v>
      </c>
      <c r="Q9" s="30">
        <f t="shared" ca="1" si="34"/>
        <v>2.0612340161242287E-2</v>
      </c>
      <c r="R9" s="30">
        <f t="shared" ca="1" si="34"/>
        <v>-6.5096994934488603E-2</v>
      </c>
      <c r="S9" s="30">
        <f t="shared" ca="1" si="34"/>
        <v>8.4556083443167521E-3</v>
      </c>
      <c r="T9" s="30">
        <f t="shared" ca="1" si="34"/>
        <v>-3.5694156153490912E-2</v>
      </c>
      <c r="U9" s="30">
        <f t="shared" ca="1" si="34"/>
        <v>6.4219133491223296E-2</v>
      </c>
      <c r="V9" s="30">
        <f t="shared" ca="1" si="34"/>
        <v>-4.3775916434365004E-3</v>
      </c>
      <c r="W9" s="30">
        <f t="shared" ca="1" si="34"/>
        <v>3.4993595720708086E-2</v>
      </c>
      <c r="X9" s="30">
        <f t="shared" ca="1" si="34"/>
        <v>2.5604742216137844E-2</v>
      </c>
      <c r="Y9" s="30">
        <f t="shared" ca="1" si="34"/>
        <v>-1.1781785375442069E-2</v>
      </c>
      <c r="Z9" s="30">
        <f t="shared" ca="1" si="34"/>
        <v>-4.6785057990486482E-2</v>
      </c>
      <c r="AA9" s="30">
        <f t="shared" ca="1" si="34"/>
        <v>5.0406445272674481E-2</v>
      </c>
      <c r="AB9" s="30">
        <f t="shared" ca="1" si="34"/>
        <v>-2.6375948085397033E-2</v>
      </c>
      <c r="AC9" s="30">
        <f t="shared" ca="1" si="34"/>
        <v>4.5552270935771567E-3</v>
      </c>
      <c r="AD9" s="30">
        <f t="shared" ca="1" si="34"/>
        <v>2.0730017088273604E-2</v>
      </c>
      <c r="AE9" s="30">
        <f t="shared" ca="1" si="34"/>
        <v>6.2951283400949118E-2</v>
      </c>
      <c r="AF9" s="30">
        <f t="shared" ca="1" si="34"/>
        <v>7.6125932102097194E-3</v>
      </c>
      <c r="AG9" s="30">
        <f t="shared" ca="1" si="34"/>
        <v>-4.9981385101651662E-2</v>
      </c>
      <c r="AH9" s="30">
        <f t="shared" ca="1" si="34"/>
        <v>1.0830220056681831E-2</v>
      </c>
      <c r="AI9" s="30">
        <f t="shared" ca="1" si="34"/>
        <v>6.4118147014543422E-2</v>
      </c>
      <c r="AJ9" s="30">
        <f t="shared" ca="1" si="34"/>
        <v>-7.3683322948859512E-4</v>
      </c>
      <c r="AK9" s="30">
        <f t="shared" ca="1" si="34"/>
        <v>-1.666981684164931E-2</v>
      </c>
      <c r="AL9" s="30">
        <f t="shared" ca="1" si="34"/>
        <v>8.1539737397207136E-3</v>
      </c>
      <c r="AM9" s="30">
        <f t="shared" ca="1" si="34"/>
        <v>-1.048020784489374E-2</v>
      </c>
      <c r="AN9" s="30">
        <f t="shared" ca="1" si="34"/>
        <v>-2.2309202755458935E-2</v>
      </c>
      <c r="AO9" s="30">
        <f t="shared" ca="1" si="34"/>
        <v>1.9057394248255043E-2</v>
      </c>
      <c r="AP9" s="30">
        <f t="shared" ca="1" si="34"/>
        <v>-1.9840690452629157E-2</v>
      </c>
      <c r="AQ9" s="30">
        <f t="shared" ca="1" si="34"/>
        <v>-3.4979816450902049E-2</v>
      </c>
      <c r="AR9" s="30">
        <f t="shared" ca="1" si="34"/>
        <v>-2.7810450167473362E-2</v>
      </c>
      <c r="AS9" s="30">
        <f t="shared" ca="1" si="34"/>
        <v>4.2332405227172049E-2</v>
      </c>
      <c r="AT9" s="30">
        <f t="shared" ca="1" si="34"/>
        <v>1.3799421260281382E-2</v>
      </c>
      <c r="AU9" s="30">
        <f t="shared" ca="1" si="34"/>
        <v>-9.001300895255946E-3</v>
      </c>
      <c r="AV9" s="30">
        <f t="shared" ca="1" si="34"/>
        <v>-5.134127849313895E-2</v>
      </c>
      <c r="AW9" s="30">
        <f t="shared" ca="1" si="34"/>
        <v>-0.10856778131000482</v>
      </c>
      <c r="AX9" s="30">
        <f t="shared" ca="1" si="34"/>
        <v>1.3570971849963073E-2</v>
      </c>
      <c r="AY9" s="30">
        <f t="shared" ca="1" si="34"/>
        <v>-1.4586538215434784E-2</v>
      </c>
      <c r="AZ9" s="30">
        <f t="shared" ca="1" si="34"/>
        <v>4.1209215858039785E-2</v>
      </c>
      <c r="BA9" s="30">
        <f t="shared" ca="1" si="34"/>
        <v>-3.0299098715537563E-2</v>
      </c>
      <c r="BB9" s="30">
        <f t="shared" ca="1" si="34"/>
        <v>1.7837348867928659E-2</v>
      </c>
      <c r="BC9" s="30">
        <f t="shared" ca="1" si="34"/>
        <v>-3.4850252012948758E-2</v>
      </c>
      <c r="BD9" s="30">
        <f t="shared" ca="1" si="34"/>
        <v>-5.9933509699487818E-2</v>
      </c>
      <c r="BE9" s="30">
        <f t="shared" ca="1" si="34"/>
        <v>4.5328020015882174E-2</v>
      </c>
      <c r="BF9" s="30">
        <f t="shared" ca="1" si="34"/>
        <v>-7.1252980086072851E-2</v>
      </c>
      <c r="BG9" s="30">
        <f t="shared" ca="1" si="34"/>
        <v>-7.7213079318680142E-2</v>
      </c>
      <c r="BH9" s="30">
        <f t="shared" ca="1" si="34"/>
        <v>2.1209648948006796E-2</v>
      </c>
      <c r="BI9" s="30">
        <f t="shared" ca="1" si="34"/>
        <v>-8.5033455667223173E-3</v>
      </c>
      <c r="BJ9" s="30">
        <f t="shared" ca="1" si="34"/>
        <v>-3.4676188540288908E-2</v>
      </c>
      <c r="BK9" s="30">
        <f t="shared" ca="1" si="34"/>
        <v>-4.3717350529630369E-2</v>
      </c>
      <c r="BL9" s="30">
        <f t="shared" ca="1" si="34"/>
        <v>3.5413318690333442E-2</v>
      </c>
      <c r="BM9" s="30">
        <f t="shared" ca="1" si="34"/>
        <v>6.6926142768659561E-2</v>
      </c>
      <c r="BN9" s="30">
        <f t="shared" ca="1" si="34"/>
        <v>5.2927674836316461E-2</v>
      </c>
      <c r="BO9" s="30">
        <f t="shared" ca="1" si="34"/>
        <v>1.5096857857993836E-2</v>
      </c>
      <c r="BP9" s="30">
        <f t="shared" ca="1" si="34"/>
        <v>3.216179209141546E-2</v>
      </c>
      <c r="BQ9" s="30">
        <f t="shared" ca="1" si="34"/>
        <v>7.6291126389110578E-2</v>
      </c>
      <c r="BR9" s="30">
        <f t="shared" ca="1" si="34"/>
        <v>5.2572581967622656E-2</v>
      </c>
      <c r="BS9" s="30">
        <f t="shared" ref="BS9:ED12" ca="1" si="50">_xlfn.NORM.INV(RAND(),$C$8,$C$9)</f>
        <v>-4.0312866667972222E-2</v>
      </c>
      <c r="BT9" s="30">
        <f t="shared" ca="1" si="50"/>
        <v>-3.2850118343487528E-2</v>
      </c>
      <c r="BU9" s="30">
        <f t="shared" ca="1" si="50"/>
        <v>-3.3322217517839134E-2</v>
      </c>
      <c r="BV9" s="30">
        <f t="shared" ca="1" si="50"/>
        <v>-8.2958109051224221E-2</v>
      </c>
      <c r="BW9" s="30">
        <f t="shared" ca="1" si="50"/>
        <v>-5.6762029008242197E-2</v>
      </c>
      <c r="BX9" s="30">
        <f t="shared" ca="1" si="50"/>
        <v>4.8239535859701095E-2</v>
      </c>
      <c r="BY9" s="30">
        <f t="shared" ca="1" si="50"/>
        <v>-8.1269418222693086E-3</v>
      </c>
      <c r="BZ9" s="30">
        <f t="shared" ca="1" si="50"/>
        <v>-1.4102369856858483E-2</v>
      </c>
      <c r="CA9" s="30">
        <f t="shared" ca="1" si="50"/>
        <v>-9.7298048459626366E-3</v>
      </c>
      <c r="CB9" s="30">
        <f t="shared" ca="1" si="50"/>
        <v>2.8380870248322365E-2</v>
      </c>
      <c r="CC9" s="30">
        <f t="shared" ca="1" si="50"/>
        <v>3.5522833626441199E-3</v>
      </c>
      <c r="CD9" s="30">
        <f t="shared" ca="1" si="50"/>
        <v>2.7813947881189845E-2</v>
      </c>
      <c r="CE9" s="30">
        <f t="shared" ca="1" si="50"/>
        <v>-2.672807879995907E-2</v>
      </c>
      <c r="CF9" s="30">
        <f t="shared" ca="1" si="50"/>
        <v>-2.7680710179168976E-2</v>
      </c>
      <c r="CG9" s="30">
        <f t="shared" ca="1" si="50"/>
        <v>2.2351635867905974E-2</v>
      </c>
      <c r="CH9" s="30">
        <f t="shared" ca="1" si="50"/>
        <v>-3.8950780842796823E-2</v>
      </c>
      <c r="CI9" s="30">
        <f t="shared" ca="1" si="50"/>
        <v>0.12721098047382759</v>
      </c>
      <c r="CJ9" s="30">
        <f t="shared" ca="1" si="50"/>
        <v>2.0439526080325839E-2</v>
      </c>
      <c r="CK9" s="30">
        <f t="shared" ca="1" si="50"/>
        <v>-3.3253110558272722E-2</v>
      </c>
      <c r="CL9" s="30">
        <f t="shared" ca="1" si="50"/>
        <v>3.4808626907629842E-2</v>
      </c>
      <c r="CM9" s="30">
        <f t="shared" ca="1" si="50"/>
        <v>6.9202963144289892E-2</v>
      </c>
      <c r="CN9" s="30">
        <f t="shared" ca="1" si="50"/>
        <v>1.1197489359421943E-2</v>
      </c>
      <c r="CO9" s="30">
        <f t="shared" ca="1" si="50"/>
        <v>-1.50551956798348E-2</v>
      </c>
      <c r="CP9" s="30">
        <f t="shared" ca="1" si="50"/>
        <v>-1.2072946684167892E-2</v>
      </c>
      <c r="CQ9" s="30">
        <f t="shared" ca="1" si="50"/>
        <v>2.8256913529954738E-2</v>
      </c>
      <c r="CR9" s="30">
        <f t="shared" ca="1" si="50"/>
        <v>2.2633027770239081E-2</v>
      </c>
      <c r="CS9" s="30">
        <f t="shared" ca="1" si="50"/>
        <v>-1.3630473303469755E-2</v>
      </c>
      <c r="CT9" s="30">
        <f t="shared" ca="1" si="50"/>
        <v>6.5907668198736932E-2</v>
      </c>
      <c r="CU9" s="30">
        <f t="shared" ca="1" si="50"/>
        <v>-3.5902685190448633E-2</v>
      </c>
      <c r="CV9" s="30">
        <f t="shared" ca="1" si="50"/>
        <v>2.3475733202427448E-2</v>
      </c>
      <c r="CW9" s="30">
        <f t="shared" ca="1" si="50"/>
        <v>0.1351509386020841</v>
      </c>
      <c r="CX9" s="30">
        <f t="shared" ca="1" si="50"/>
        <v>6.5347106752519396E-2</v>
      </c>
      <c r="CY9" s="30">
        <f t="shared" ca="1" si="50"/>
        <v>-2.6784987774708436E-2</v>
      </c>
      <c r="CZ9" s="30">
        <f t="shared" ca="1" si="50"/>
        <v>-4.6056327615467692E-2</v>
      </c>
      <c r="DA9" s="30">
        <f t="shared" ca="1" si="50"/>
        <v>-1.0185232714478413E-2</v>
      </c>
      <c r="DB9" s="30">
        <f t="shared" ca="1" si="50"/>
        <v>-9.2191417966533531E-2</v>
      </c>
      <c r="DC9" s="30">
        <f t="shared" ca="1" si="50"/>
        <v>-1.4991121818029762E-2</v>
      </c>
      <c r="DD9" s="30">
        <f t="shared" ca="1" si="50"/>
        <v>6.6991939609314627E-2</v>
      </c>
      <c r="DE9" s="30">
        <f t="shared" ca="1" si="50"/>
        <v>6.3776219914710358E-2</v>
      </c>
      <c r="DF9" s="30">
        <f t="shared" ca="1" si="50"/>
        <v>-8.2858382305963443E-2</v>
      </c>
      <c r="DG9" s="30">
        <f t="shared" ca="1" si="50"/>
        <v>-5.0468819995699382E-2</v>
      </c>
      <c r="DH9" s="30">
        <f t="shared" ca="1" si="50"/>
        <v>4.3381221300878084E-2</v>
      </c>
      <c r="DI9" s="30">
        <f t="shared" ca="1" si="50"/>
        <v>-1.9438260744160527E-2</v>
      </c>
      <c r="DJ9" s="30">
        <f t="shared" ca="1" si="50"/>
        <v>-4.6778334334893971E-2</v>
      </c>
      <c r="DK9" s="30">
        <f t="shared" ca="1" si="50"/>
        <v>7.3653202770767121E-3</v>
      </c>
      <c r="DL9" s="30">
        <f t="shared" ca="1" si="50"/>
        <v>2.6008576757295454E-2</v>
      </c>
      <c r="DM9" s="30">
        <f t="shared" ca="1" si="50"/>
        <v>-2.9308992857240639E-2</v>
      </c>
      <c r="DN9" s="30">
        <f t="shared" ca="1" si="50"/>
        <v>6.4898158250860496E-2</v>
      </c>
      <c r="DO9" s="30">
        <f t="shared" ca="1" si="50"/>
        <v>3.6692465730613945E-2</v>
      </c>
      <c r="DP9" s="30">
        <f t="shared" ca="1" si="50"/>
        <v>4.7956047718959408E-2</v>
      </c>
      <c r="DQ9" s="30">
        <f t="shared" ca="1" si="50"/>
        <v>5.9672683551089858E-2</v>
      </c>
      <c r="DR9" s="30">
        <f t="shared" ca="1" si="50"/>
        <v>8.9099501113492324E-2</v>
      </c>
      <c r="DS9" s="30">
        <f t="shared" ca="1" si="50"/>
        <v>-1.5180003805768623E-2</v>
      </c>
      <c r="DT9" s="30">
        <f t="shared" ca="1" si="50"/>
        <v>-7.6948473709750869E-3</v>
      </c>
      <c r="DU9" s="30">
        <f t="shared" ca="1" si="50"/>
        <v>-2.2587439584257803E-2</v>
      </c>
      <c r="DV9" s="30">
        <f t="shared" ca="1" si="50"/>
        <v>4.9033666084915217E-2</v>
      </c>
      <c r="DW9" s="30">
        <f t="shared" ca="1" si="50"/>
        <v>1.0263665907835836E-2</v>
      </c>
      <c r="DX9" s="30">
        <f t="shared" ca="1" si="50"/>
        <v>2.3207867666882313E-2</v>
      </c>
      <c r="DY9" s="30">
        <f t="shared" ca="1" si="50"/>
        <v>3.0576019481276515E-2</v>
      </c>
      <c r="DZ9" s="30">
        <f t="shared" ca="1" si="50"/>
        <v>1.4769572569993266E-2</v>
      </c>
      <c r="EA9" s="30">
        <f t="shared" ca="1" si="50"/>
        <v>1.4184467609149102E-2</v>
      </c>
      <c r="EB9" s="30">
        <f t="shared" ca="1" si="50"/>
        <v>-8.17631295590188E-3</v>
      </c>
      <c r="EC9" s="30">
        <f t="shared" ca="1" si="50"/>
        <v>5.7291636990944764E-2</v>
      </c>
      <c r="ED9" s="30">
        <f t="shared" ca="1" si="50"/>
        <v>-3.2461136967167861E-2</v>
      </c>
      <c r="EE9" s="30">
        <f t="shared" ca="1" si="43"/>
        <v>6.098314582741321E-2</v>
      </c>
      <c r="EF9" s="30">
        <f t="shared" ca="1" si="36"/>
        <v>-4.5436636375417734E-2</v>
      </c>
      <c r="EG9" s="30">
        <f t="shared" ca="1" si="36"/>
        <v>-1.2780949967965789E-2</v>
      </c>
      <c r="EH9" s="30">
        <f t="shared" ca="1" si="36"/>
        <v>-4.1411783363108134E-2</v>
      </c>
      <c r="EI9" s="30">
        <f t="shared" ca="1" si="36"/>
        <v>-5.9170228584184879E-2</v>
      </c>
      <c r="EJ9" s="30">
        <f t="shared" ca="1" si="36"/>
        <v>2.3086509280437716E-2</v>
      </c>
      <c r="EK9" s="30">
        <f t="shared" ca="1" si="36"/>
        <v>-6.7946572537320296E-2</v>
      </c>
      <c r="EL9" s="30">
        <f t="shared" ca="1" si="36"/>
        <v>-1.5192256620215155E-2</v>
      </c>
      <c r="EM9" s="30">
        <f t="shared" ca="1" si="36"/>
        <v>1.1430091332980844E-2</v>
      </c>
      <c r="EN9" s="30">
        <f t="shared" ca="1" si="36"/>
        <v>4.8631035689375062E-3</v>
      </c>
      <c r="EO9" s="30">
        <f t="shared" ca="1" si="36"/>
        <v>2.6096477233488166E-2</v>
      </c>
      <c r="EP9" s="30">
        <f t="shared" ca="1" si="36"/>
        <v>-2.4554726586059415E-2</v>
      </c>
      <c r="EQ9" s="30">
        <f t="shared" ca="1" si="36"/>
        <v>-2.7337750019743721E-2</v>
      </c>
      <c r="ER9" s="30">
        <f t="shared" ca="1" si="36"/>
        <v>5.7046437875867106E-2</v>
      </c>
      <c r="ES9" s="30">
        <f t="shared" ca="1" si="36"/>
        <v>2.1516958767128971E-3</v>
      </c>
      <c r="ET9" s="30">
        <f t="shared" ca="1" si="36"/>
        <v>7.0705848081639086E-3</v>
      </c>
      <c r="EU9" s="30">
        <f t="shared" ca="1" si="36"/>
        <v>4.2032396428614408E-2</v>
      </c>
      <c r="EV9" s="30">
        <f t="shared" ca="1" si="36"/>
        <v>-5.4792220130729201E-3</v>
      </c>
      <c r="EW9" s="30">
        <f t="shared" ca="1" si="36"/>
        <v>-2.6344948563023614E-2</v>
      </c>
      <c r="EX9" s="30">
        <f t="shared" ca="1" si="36"/>
        <v>-2.6132835761478981E-2</v>
      </c>
      <c r="EY9" s="30">
        <f t="shared" ca="1" si="36"/>
        <v>-2.9375178729407744E-2</v>
      </c>
      <c r="EZ9" s="30">
        <f t="shared" ca="1" si="36"/>
        <v>-5.7064761792475195E-2</v>
      </c>
      <c r="FA9" s="30">
        <f t="shared" ca="1" si="36"/>
        <v>-6.1289368697254418E-2</v>
      </c>
      <c r="FB9" s="30">
        <f t="shared" ca="1" si="36"/>
        <v>1.0442830496652684E-2</v>
      </c>
      <c r="FC9" s="30">
        <f t="shared" ca="1" si="36"/>
        <v>4.2602813559959436E-2</v>
      </c>
      <c r="FD9" s="30">
        <f t="shared" ca="1" si="36"/>
        <v>1.1088881429902633E-2</v>
      </c>
      <c r="FE9" s="30">
        <f t="shared" ca="1" si="36"/>
        <v>-9.7189333854885672E-3</v>
      </c>
      <c r="FF9" s="30">
        <f t="shared" ca="1" si="36"/>
        <v>5.3682211091396932E-2</v>
      </c>
      <c r="FG9" s="30">
        <f t="shared" ca="1" si="36"/>
        <v>4.8262167149084621E-2</v>
      </c>
      <c r="FH9" s="30">
        <f t="shared" ca="1" si="36"/>
        <v>2.2364898645812682E-2</v>
      </c>
      <c r="FI9" s="30">
        <f t="shared" ca="1" si="36"/>
        <v>2.2566156517219101E-2</v>
      </c>
      <c r="FJ9" s="30">
        <f t="shared" ca="1" si="36"/>
        <v>-5.0729017242140961E-2</v>
      </c>
      <c r="FK9" s="30">
        <f t="shared" ca="1" si="36"/>
        <v>2.3047535967550426E-3</v>
      </c>
      <c r="FL9" s="30">
        <f t="shared" ca="1" si="36"/>
        <v>2.2994706921143332E-2</v>
      </c>
      <c r="FM9" s="30">
        <f t="shared" ca="1" si="36"/>
        <v>-4.9095134835031383E-2</v>
      </c>
      <c r="FN9" s="30">
        <f t="shared" ca="1" si="36"/>
        <v>2.7114040923311749E-2</v>
      </c>
      <c r="FO9" s="30">
        <f t="shared" ca="1" si="36"/>
        <v>4.4789895685722808E-2</v>
      </c>
      <c r="FP9" s="30">
        <f t="shared" ca="1" si="36"/>
        <v>-3.6757484020757937E-2</v>
      </c>
      <c r="FQ9" s="30">
        <f t="shared" ca="1" si="36"/>
        <v>2.6267871128170805E-3</v>
      </c>
      <c r="FR9" s="30">
        <f t="shared" ca="1" si="36"/>
        <v>7.4800745302446417E-2</v>
      </c>
      <c r="FS9" s="30">
        <f t="shared" ca="1" si="36"/>
        <v>-2.2669354039659646E-2</v>
      </c>
      <c r="FT9" s="30">
        <f t="shared" ca="1" si="36"/>
        <v>2.8695310339474801E-3</v>
      </c>
      <c r="FU9" s="30">
        <f t="shared" ca="1" si="36"/>
        <v>3.4849551487062799E-2</v>
      </c>
      <c r="FV9" s="30">
        <f t="shared" ca="1" si="36"/>
        <v>-9.4341894690022198E-3</v>
      </c>
      <c r="FW9" s="30">
        <f t="shared" ca="1" si="36"/>
        <v>5.1936271344522493E-2</v>
      </c>
      <c r="FX9" s="30">
        <f t="shared" ca="1" si="36"/>
        <v>-3.7019226632878807E-2</v>
      </c>
      <c r="FY9" s="30">
        <f t="shared" ca="1" si="36"/>
        <v>3.6376101310921387E-2</v>
      </c>
      <c r="FZ9" s="30">
        <f t="shared" ca="1" si="36"/>
        <v>3.5266408299736478E-2</v>
      </c>
      <c r="GA9" s="30">
        <f t="shared" ca="1" si="36"/>
        <v>7.7822764470023259E-2</v>
      </c>
      <c r="GB9" s="30">
        <f t="shared" ca="1" si="36"/>
        <v>-1.3547628312262697E-2</v>
      </c>
      <c r="GC9" s="30">
        <f t="shared" ca="1" si="36"/>
        <v>-1.7122346649452079E-2</v>
      </c>
      <c r="GD9" s="30">
        <f t="shared" ca="1" si="36"/>
        <v>-5.3563062599909742E-2</v>
      </c>
      <c r="GE9" s="30">
        <f t="shared" ca="1" si="36"/>
        <v>9.5054748035518933E-3</v>
      </c>
      <c r="GF9" s="30">
        <f t="shared" ca="1" si="36"/>
        <v>-7.658966862194137E-3</v>
      </c>
      <c r="GG9" s="30">
        <f t="shared" ca="1" si="36"/>
        <v>-1.7479607481795143E-2</v>
      </c>
      <c r="GH9" s="30">
        <f t="shared" ca="1" si="36"/>
        <v>-8.3827377197408931E-3</v>
      </c>
      <c r="GI9" s="30">
        <f t="shared" ca="1" si="36"/>
        <v>1.953253310109649E-2</v>
      </c>
      <c r="GJ9" s="30">
        <f t="shared" ca="1" si="36"/>
        <v>4.7187307073840709E-2</v>
      </c>
      <c r="GK9" s="30">
        <f t="shared" ca="1" si="36"/>
        <v>-1.883663434140417E-4</v>
      </c>
      <c r="GL9" s="30">
        <f t="shared" ca="1" si="36"/>
        <v>3.5396241386163471E-2</v>
      </c>
      <c r="GM9" s="30">
        <f t="shared" ca="1" si="36"/>
        <v>-1.0947168698507329E-2</v>
      </c>
      <c r="GN9" s="30">
        <f t="shared" ca="1" si="36"/>
        <v>-3.1637503225265928E-2</v>
      </c>
      <c r="GO9" s="30">
        <f t="shared" ca="1" si="36"/>
        <v>3.6918963664003844E-2</v>
      </c>
      <c r="GP9" s="30">
        <f t="shared" ca="1" si="36"/>
        <v>3.1824597611904031E-2</v>
      </c>
      <c r="GQ9" s="30">
        <f t="shared" ca="1" si="19"/>
        <v>2.5468600001858917E-2</v>
      </c>
      <c r="GR9" s="30">
        <f t="shared" ca="1" si="44"/>
        <v>2.8602027570252313E-2</v>
      </c>
      <c r="GS9" s="30">
        <f t="shared" ca="1" si="44"/>
        <v>0.11928208538171188</v>
      </c>
      <c r="GT9" s="30">
        <f t="shared" ca="1" si="44"/>
        <v>5.558926453033676E-2</v>
      </c>
      <c r="GU9" s="30">
        <f t="shared" ca="1" si="44"/>
        <v>-6.4489327992483664E-2</v>
      </c>
      <c r="GV9" s="30">
        <f t="shared" ca="1" si="44"/>
        <v>2.1465794929816154E-2</v>
      </c>
      <c r="GW9" s="30">
        <f t="shared" ca="1" si="44"/>
        <v>5.1553484416103071E-3</v>
      </c>
      <c r="GX9" s="30">
        <f t="shared" ca="1" si="44"/>
        <v>8.5862875249911888E-2</v>
      </c>
      <c r="GY9" s="30">
        <f t="shared" ca="1" si="44"/>
        <v>5.0786891325674544E-2</v>
      </c>
      <c r="GZ9" s="30">
        <f t="shared" ca="1" si="44"/>
        <v>-2.9424919291184064E-2</v>
      </c>
      <c r="HA9" s="30">
        <f t="shared" ca="1" si="44"/>
        <v>-7.4925541306792839E-2</v>
      </c>
      <c r="HB9" s="30">
        <f t="shared" ca="1" si="44"/>
        <v>-5.2734633540307295E-2</v>
      </c>
      <c r="HC9" s="30">
        <f t="shared" ca="1" si="44"/>
        <v>1.3148705475223009E-2</v>
      </c>
      <c r="HD9" s="30">
        <f t="shared" ca="1" si="44"/>
        <v>-2.5410756660980111E-2</v>
      </c>
      <c r="HE9" s="30">
        <f t="shared" ca="1" si="44"/>
        <v>2.3247955626324653E-2</v>
      </c>
      <c r="HF9" s="30">
        <f t="shared" ca="1" si="44"/>
        <v>2.6132796654508444E-2</v>
      </c>
      <c r="HG9" s="30">
        <f t="shared" ca="1" si="44"/>
        <v>-1.0949202251493567E-2</v>
      </c>
      <c r="HH9" s="30">
        <f t="shared" ca="1" si="44"/>
        <v>-2.2895572747186474E-5</v>
      </c>
      <c r="HI9" s="30">
        <f t="shared" ca="1" si="44"/>
        <v>1.1775476404141106E-2</v>
      </c>
      <c r="HJ9" s="30">
        <f t="shared" ca="1" si="44"/>
        <v>-3.4570543482727771E-3</v>
      </c>
      <c r="HK9" s="30">
        <f t="shared" ca="1" si="44"/>
        <v>-5.279032069894013E-2</v>
      </c>
      <c r="HL9" s="30">
        <f t="shared" ca="1" si="44"/>
        <v>1.3952400399451732E-2</v>
      </c>
      <c r="HM9" s="30">
        <f t="shared" ca="1" si="44"/>
        <v>-1.3663174617609745E-2</v>
      </c>
      <c r="HN9" s="30">
        <f t="shared" ca="1" si="44"/>
        <v>1.9330177525326089E-2</v>
      </c>
      <c r="HO9" s="30">
        <f t="shared" ca="1" si="44"/>
        <v>-5.0121926874017279E-2</v>
      </c>
      <c r="HP9" s="30">
        <f t="shared" ca="1" si="44"/>
        <v>2.1875806296610029E-2</v>
      </c>
      <c r="HQ9" s="30">
        <f t="shared" ca="1" si="44"/>
        <v>3.2442162372131732E-2</v>
      </c>
      <c r="HR9" s="30">
        <f t="shared" ca="1" si="44"/>
        <v>-1.6497522481583232E-2</v>
      </c>
      <c r="HS9" s="30">
        <f t="shared" ca="1" si="44"/>
        <v>-3.2118631364573075E-2</v>
      </c>
      <c r="HT9" s="30">
        <f t="shared" ca="1" si="44"/>
        <v>-6.9479657783248133E-2</v>
      </c>
      <c r="HU9" s="30">
        <f t="shared" ca="1" si="44"/>
        <v>1.2082514641732539E-2</v>
      </c>
      <c r="HV9" s="30">
        <f t="shared" ca="1" si="44"/>
        <v>-4.7766561496399608E-2</v>
      </c>
      <c r="HW9" s="30">
        <f t="shared" ca="1" si="44"/>
        <v>-0.10498663922488982</v>
      </c>
      <c r="HX9" s="30">
        <f t="shared" ca="1" si="44"/>
        <v>4.5495228320511831E-2</v>
      </c>
      <c r="HY9" s="30">
        <f t="shared" ca="1" si="44"/>
        <v>-6.1005970614859059E-2</v>
      </c>
      <c r="HZ9" s="30">
        <f t="shared" ca="1" si="44"/>
        <v>1.0662071987611729E-2</v>
      </c>
      <c r="IA9" s="30">
        <f t="shared" ca="1" si="44"/>
        <v>-2.2202101534159632E-2</v>
      </c>
      <c r="IB9" s="30">
        <f t="shared" ca="1" si="44"/>
        <v>-9.0043887424341162E-3</v>
      </c>
      <c r="IC9" s="30">
        <f t="shared" ca="1" si="44"/>
        <v>-3.6679485155073008E-2</v>
      </c>
      <c r="ID9" s="30">
        <f t="shared" ca="1" si="44"/>
        <v>-2.3021542126687264E-2</v>
      </c>
      <c r="IE9" s="30">
        <f t="shared" ca="1" si="44"/>
        <v>2.5532741715081474E-2</v>
      </c>
      <c r="IF9" s="30">
        <f t="shared" ca="1" si="44"/>
        <v>-1.456143615435972E-2</v>
      </c>
      <c r="IG9" s="30">
        <f t="shared" ca="1" si="44"/>
        <v>-5.9472089249561079E-2</v>
      </c>
      <c r="IH9" s="30">
        <f t="shared" ca="1" si="44"/>
        <v>-4.5192166273790628E-2</v>
      </c>
      <c r="II9" s="30">
        <f t="shared" ca="1" si="44"/>
        <v>-9.1364872573176797E-3</v>
      </c>
      <c r="IJ9" s="30">
        <f t="shared" ca="1" si="44"/>
        <v>-1.7981457702120587E-2</v>
      </c>
      <c r="IK9" s="30">
        <f t="shared" ca="1" si="44"/>
        <v>-9.3538899372428236E-2</v>
      </c>
      <c r="IL9" s="30">
        <f t="shared" ca="1" si="44"/>
        <v>5.3743366423660996E-2</v>
      </c>
      <c r="IM9" s="30">
        <f t="shared" ca="1" si="44"/>
        <v>-2.9388166267359126E-3</v>
      </c>
      <c r="IN9" s="30">
        <f t="shared" ca="1" si="44"/>
        <v>-2.7775637288551553E-2</v>
      </c>
      <c r="IO9" s="30">
        <f t="shared" ca="1" si="44"/>
        <v>-2.4468606834176987E-3</v>
      </c>
      <c r="IP9" s="30">
        <f t="shared" ca="1" si="44"/>
        <v>-5.2657548563647745E-2</v>
      </c>
      <c r="IQ9" s="30">
        <f t="shared" ca="1" si="44"/>
        <v>5.7649915618945856E-2</v>
      </c>
      <c r="IR9" s="30">
        <f t="shared" ca="1" si="44"/>
        <v>-3.5308055442712385E-2</v>
      </c>
      <c r="IS9" s="30">
        <f t="shared" ca="1" si="44"/>
        <v>1.0102689404567601E-2</v>
      </c>
      <c r="IT9" s="30">
        <f t="shared" ca="1" si="44"/>
        <v>-1.3546204493458691E-4</v>
      </c>
      <c r="IU9" s="30">
        <f t="shared" ca="1" si="44"/>
        <v>4.4932673158553586E-2</v>
      </c>
      <c r="IV9" s="30">
        <f t="shared" ca="1" si="44"/>
        <v>4.5716722754925353E-2</v>
      </c>
      <c r="IW9" s="30">
        <f t="shared" ca="1" si="44"/>
        <v>4.0678875673772581E-3</v>
      </c>
      <c r="IX9" s="30">
        <f t="shared" ca="1" si="44"/>
        <v>-1.1711735474681064E-2</v>
      </c>
      <c r="IY9" s="30">
        <f t="shared" ca="1" si="44"/>
        <v>-3.4959185331779406E-2</v>
      </c>
      <c r="IZ9" s="30">
        <f t="shared" ca="1" si="44"/>
        <v>-2.5403468220865602E-2</v>
      </c>
      <c r="JA9" s="30">
        <f t="shared" ca="1" si="44"/>
        <v>-4.4038288576491828E-2</v>
      </c>
      <c r="JB9" s="30">
        <f t="shared" ca="1" si="44"/>
        <v>7.5255496179316386E-2</v>
      </c>
      <c r="JC9" s="30">
        <f t="shared" ca="1" si="44"/>
        <v>-2.3439902521679053E-3</v>
      </c>
      <c r="JD9" s="30">
        <f t="shared" ca="1" si="37"/>
        <v>-5.5913193009605823E-2</v>
      </c>
      <c r="JE9" s="30">
        <f t="shared" ca="1" si="37"/>
        <v>8.6463503815707957E-2</v>
      </c>
      <c r="JF9" s="30">
        <f t="shared" ca="1" si="37"/>
        <v>6.6334890908988919E-2</v>
      </c>
      <c r="JG9" s="30">
        <f t="shared" ca="1" si="37"/>
        <v>2.471622747020449E-2</v>
      </c>
      <c r="JH9" s="30">
        <f t="shared" ca="1" si="37"/>
        <v>-1.6045777335960548E-2</v>
      </c>
      <c r="JI9" s="30">
        <f t="shared" ca="1" si="37"/>
        <v>-2.2085579023493215E-2</v>
      </c>
      <c r="JJ9" s="30">
        <f t="shared" ca="1" si="37"/>
        <v>-2.0040856232346124E-2</v>
      </c>
      <c r="JK9" s="30">
        <f t="shared" ca="1" si="37"/>
        <v>3.6941504752856812E-2</v>
      </c>
      <c r="JL9" s="30">
        <f t="shared" ca="1" si="37"/>
        <v>3.6219767813077855E-2</v>
      </c>
      <c r="JM9" s="30">
        <f t="shared" ca="1" si="37"/>
        <v>-3.6998571293536488E-2</v>
      </c>
      <c r="JN9" s="30">
        <f t="shared" ca="1" si="37"/>
        <v>5.7413737606999006E-2</v>
      </c>
      <c r="JO9" s="30">
        <f t="shared" ca="1" si="37"/>
        <v>1.6956611745403655E-2</v>
      </c>
      <c r="JP9" s="30">
        <f t="shared" ca="1" si="37"/>
        <v>3.0025707504842993E-2</v>
      </c>
      <c r="JQ9" s="30">
        <f t="shared" ca="1" si="37"/>
        <v>-3.0379228720559613E-2</v>
      </c>
      <c r="JR9" s="30">
        <f t="shared" ca="1" si="37"/>
        <v>1.9464340015884127E-2</v>
      </c>
      <c r="JS9" s="30">
        <f t="shared" ca="1" si="37"/>
        <v>4.3057564371650731E-2</v>
      </c>
      <c r="JT9" s="30">
        <f t="shared" ca="1" si="37"/>
        <v>1.1045882164286942E-2</v>
      </c>
      <c r="JU9" s="30">
        <f t="shared" ca="1" si="37"/>
        <v>7.212888482022629E-3</v>
      </c>
      <c r="JV9" s="30">
        <f t="shared" ca="1" si="37"/>
        <v>1.8415792809435363E-2</v>
      </c>
      <c r="JW9" s="30">
        <f t="shared" ca="1" si="37"/>
        <v>1.1609503859542632E-2</v>
      </c>
      <c r="JX9" s="30">
        <f t="shared" ca="1" si="37"/>
        <v>1.8476428853222333E-2</v>
      </c>
      <c r="JY9" s="30">
        <f t="shared" ca="1" si="37"/>
        <v>-2.1472461594245613E-2</v>
      </c>
      <c r="JZ9" s="30">
        <f t="shared" ca="1" si="37"/>
        <v>-1.4225007714345244E-2</v>
      </c>
      <c r="KA9" s="30">
        <f t="shared" ca="1" si="37"/>
        <v>-2.3758575767080396E-2</v>
      </c>
      <c r="KB9" s="30">
        <f t="shared" ca="1" si="37"/>
        <v>8.2930519583679724E-2</v>
      </c>
      <c r="KC9" s="30">
        <f t="shared" ca="1" si="37"/>
        <v>-2.7477106656493382E-2</v>
      </c>
      <c r="KD9" s="30">
        <f t="shared" ca="1" si="37"/>
        <v>7.9721891697657768E-2</v>
      </c>
      <c r="KE9" s="30">
        <f t="shared" ca="1" si="37"/>
        <v>6.7406531875480978E-3</v>
      </c>
      <c r="KF9" s="30">
        <f t="shared" ca="1" si="37"/>
        <v>-3.1374256710224542E-2</v>
      </c>
      <c r="KG9" s="30">
        <f t="shared" ca="1" si="37"/>
        <v>0.10165124417222833</v>
      </c>
      <c r="KH9" s="30">
        <f t="shared" ca="1" si="37"/>
        <v>2.522364031797155E-2</v>
      </c>
      <c r="KI9" s="30">
        <f t="shared" ca="1" si="37"/>
        <v>1.5406525959366113E-2</v>
      </c>
      <c r="KJ9" s="30">
        <f t="shared" ca="1" si="37"/>
        <v>1.8560481079585488E-2</v>
      </c>
      <c r="KK9" s="30">
        <f t="shared" ca="1" si="37"/>
        <v>-3.2011039305979774E-2</v>
      </c>
      <c r="KL9" s="30">
        <f t="shared" ca="1" si="37"/>
        <v>2.3285485933162899E-2</v>
      </c>
      <c r="KM9" s="30">
        <f t="shared" ca="1" si="37"/>
        <v>1.4460784271480424E-2</v>
      </c>
      <c r="KN9" s="30">
        <f t="shared" ca="1" si="37"/>
        <v>-3.7072351074076172E-2</v>
      </c>
      <c r="KO9" s="30">
        <f t="shared" ca="1" si="37"/>
        <v>-3.5632012006499299E-2</v>
      </c>
      <c r="KP9" s="30">
        <f t="shared" ca="1" si="37"/>
        <v>-1.5229195431175811E-2</v>
      </c>
      <c r="KQ9" s="30">
        <f t="shared" ca="1" si="37"/>
        <v>-5.3692247467552988E-3</v>
      </c>
      <c r="KR9" s="30">
        <f t="shared" ca="1" si="37"/>
        <v>-1.3157434030638338E-2</v>
      </c>
      <c r="KS9" s="30">
        <f t="shared" ca="1" si="37"/>
        <v>8.7976459075072219E-2</v>
      </c>
      <c r="KT9" s="30">
        <f t="shared" ca="1" si="37"/>
        <v>-4.5563267860074787E-2</v>
      </c>
      <c r="KU9" s="30">
        <f t="shared" ca="1" si="37"/>
        <v>5.2779307512006574E-2</v>
      </c>
      <c r="KV9" s="30">
        <f t="shared" ca="1" si="37"/>
        <v>-6.5039738639603106E-2</v>
      </c>
      <c r="KW9" s="30">
        <f t="shared" ca="1" si="37"/>
        <v>-2.3356890340607978E-3</v>
      </c>
      <c r="KX9" s="30">
        <f t="shared" ca="1" si="37"/>
        <v>4.9428444639219873E-2</v>
      </c>
      <c r="KY9" s="30">
        <f t="shared" ca="1" si="37"/>
        <v>1.0187283907475237E-2</v>
      </c>
      <c r="KZ9" s="30">
        <f t="shared" ca="1" si="37"/>
        <v>-3.0417359788533826E-2</v>
      </c>
      <c r="LA9" s="30">
        <f t="shared" ca="1" si="37"/>
        <v>-2.1656437077038421E-2</v>
      </c>
      <c r="LB9" s="30">
        <f t="shared" ca="1" si="37"/>
        <v>1.6175633985550619E-2</v>
      </c>
      <c r="LC9" s="30">
        <f t="shared" ca="1" si="37"/>
        <v>-4.9772571580048164E-2</v>
      </c>
      <c r="LD9" s="30">
        <f t="shared" ca="1" si="37"/>
        <v>4.6405145672101704E-3</v>
      </c>
      <c r="LE9" s="30">
        <f t="shared" ca="1" si="37"/>
        <v>2.2208210839858536E-2</v>
      </c>
      <c r="LF9" s="30">
        <f t="shared" ca="1" si="37"/>
        <v>0.1067958011776263</v>
      </c>
      <c r="LG9" s="30">
        <f t="shared" ca="1" si="37"/>
        <v>8.3541699442822789E-3</v>
      </c>
      <c r="LH9" s="30">
        <f t="shared" ca="1" si="37"/>
        <v>4.1209163378004045E-3</v>
      </c>
      <c r="LI9" s="30">
        <f t="shared" ca="1" si="37"/>
        <v>-2.6685548945180201E-2</v>
      </c>
      <c r="LJ9" s="30">
        <f t="shared" ca="1" si="37"/>
        <v>2.8733059598071108E-2</v>
      </c>
      <c r="LK9" s="30">
        <f t="shared" ca="1" si="37"/>
        <v>3.9067163501843452E-3</v>
      </c>
      <c r="LL9" s="30">
        <f t="shared" ca="1" si="37"/>
        <v>2.839029428424393E-2</v>
      </c>
      <c r="LM9" s="30">
        <f t="shared" ca="1" si="37"/>
        <v>-5.8558992867864194E-2</v>
      </c>
      <c r="LN9" s="30">
        <f t="shared" ca="1" si="37"/>
        <v>5.6808269464976448E-2</v>
      </c>
      <c r="LO9" s="30">
        <f t="shared" ca="1" si="21"/>
        <v>-2.2325273017461195E-2</v>
      </c>
      <c r="LP9" s="30">
        <f t="shared" ca="1" si="45"/>
        <v>1.8954800578140012E-2</v>
      </c>
      <c r="LQ9" s="30">
        <f t="shared" ca="1" si="45"/>
        <v>4.1189442472145038E-2</v>
      </c>
      <c r="LR9" s="30">
        <f t="shared" ca="1" si="45"/>
        <v>3.8251814544825284E-2</v>
      </c>
      <c r="LS9" s="30">
        <f t="shared" ca="1" si="45"/>
        <v>-3.0962793593281919E-2</v>
      </c>
      <c r="LT9" s="30">
        <f t="shared" ca="1" si="45"/>
        <v>6.0536774978710961E-2</v>
      </c>
      <c r="LU9" s="30">
        <f t="shared" ca="1" si="45"/>
        <v>6.174747566201786E-2</v>
      </c>
      <c r="LV9" s="30">
        <f t="shared" ca="1" si="45"/>
        <v>-7.4821233156603509E-2</v>
      </c>
      <c r="LW9" s="30">
        <f t="shared" ca="1" si="45"/>
        <v>-7.7144635336982501E-2</v>
      </c>
      <c r="LX9" s="30">
        <f t="shared" ca="1" si="45"/>
        <v>-6.0133628838781025E-2</v>
      </c>
      <c r="LY9" s="30">
        <f t="shared" ca="1" si="45"/>
        <v>9.1092736071462423E-3</v>
      </c>
      <c r="LZ9" s="30">
        <f t="shared" ca="1" si="45"/>
        <v>-9.1887090696768814E-2</v>
      </c>
      <c r="MA9" s="30">
        <f t="shared" ca="1" si="45"/>
        <v>1.8274483561761836E-2</v>
      </c>
      <c r="MB9" s="30">
        <f t="shared" ca="1" si="45"/>
        <v>-2.7620500410200685E-2</v>
      </c>
      <c r="MC9" s="30">
        <f t="shared" ca="1" si="45"/>
        <v>-6.7239454855279837E-2</v>
      </c>
      <c r="MD9" s="30">
        <f t="shared" ca="1" si="45"/>
        <v>1.4653146637080382E-2</v>
      </c>
      <c r="ME9" s="30">
        <f t="shared" ca="1" si="45"/>
        <v>-1.6033274732516943E-2</v>
      </c>
      <c r="MF9" s="30">
        <f t="shared" ca="1" si="45"/>
        <v>4.0929494064978304E-3</v>
      </c>
      <c r="MG9" s="30">
        <f t="shared" ca="1" si="45"/>
        <v>-3.2796807089267646E-2</v>
      </c>
      <c r="MH9" s="30">
        <f t="shared" ca="1" si="45"/>
        <v>2.1253281644874691E-2</v>
      </c>
      <c r="MI9" s="30">
        <f t="shared" ca="1" si="45"/>
        <v>1.3895618446391715E-2</v>
      </c>
      <c r="MJ9" s="30">
        <f t="shared" ca="1" si="45"/>
        <v>-2.6066869127229438E-2</v>
      </c>
      <c r="MK9" s="30">
        <f t="shared" ca="1" si="45"/>
        <v>2.1793725520723593E-2</v>
      </c>
      <c r="ML9" s="30">
        <f t="shared" ca="1" si="45"/>
        <v>-2.0186760429259008E-2</v>
      </c>
      <c r="MM9" s="30">
        <f t="shared" ca="1" si="45"/>
        <v>-1.5840103314864084E-2</v>
      </c>
      <c r="MN9" s="30">
        <f t="shared" ca="1" si="45"/>
        <v>-2.1472502414355568E-2</v>
      </c>
      <c r="MO9" s="30">
        <f t="shared" ca="1" si="45"/>
        <v>5.433488581188077E-2</v>
      </c>
      <c r="MP9" s="30">
        <f t="shared" ca="1" si="45"/>
        <v>7.9493729232188379E-3</v>
      </c>
      <c r="MQ9" s="30">
        <f t="shared" ca="1" si="45"/>
        <v>8.6991101223373946E-2</v>
      </c>
      <c r="MR9" s="30">
        <f t="shared" ca="1" si="45"/>
        <v>1.4564450322352922E-2</v>
      </c>
      <c r="MS9" s="30">
        <f t="shared" ca="1" si="45"/>
        <v>-6.6483024122466525E-2</v>
      </c>
      <c r="MT9" s="30">
        <f t="shared" ca="1" si="45"/>
        <v>9.6733371783710703E-3</v>
      </c>
      <c r="MU9" s="30">
        <f t="shared" ca="1" si="45"/>
        <v>5.4773758004887103E-2</v>
      </c>
      <c r="MV9" s="30">
        <f t="shared" ca="1" si="45"/>
        <v>1.7339187652472117E-2</v>
      </c>
      <c r="MW9" s="30">
        <f t="shared" ca="1" si="45"/>
        <v>-3.6465836638246256E-2</v>
      </c>
      <c r="MX9" s="30">
        <f t="shared" ca="1" si="45"/>
        <v>-4.7142580756965209E-3</v>
      </c>
      <c r="MY9" s="30">
        <f t="shared" ca="1" si="45"/>
        <v>1.2122533595977985E-2</v>
      </c>
      <c r="MZ9" s="30">
        <f t="shared" ca="1" si="45"/>
        <v>3.7394634925618196E-3</v>
      </c>
      <c r="NA9" s="30">
        <f t="shared" ca="1" si="45"/>
        <v>-7.4783617231651556E-2</v>
      </c>
      <c r="NB9" s="30">
        <f t="shared" ca="1" si="45"/>
        <v>-5.20250068972547E-2</v>
      </c>
      <c r="NC9" s="30">
        <f t="shared" ca="1" si="45"/>
        <v>2.2904671350210955E-2</v>
      </c>
      <c r="ND9" s="30">
        <f t="shared" ca="1" si="45"/>
        <v>-2.8064537266155102E-2</v>
      </c>
      <c r="NE9" s="30">
        <f t="shared" ca="1" si="45"/>
        <v>-2.36581519681296E-2</v>
      </c>
      <c r="NF9" s="30">
        <f t="shared" ca="1" si="45"/>
        <v>2.8463873588552943E-2</v>
      </c>
      <c r="NG9" s="30">
        <f t="shared" ca="1" si="45"/>
        <v>3.7865973142491398E-2</v>
      </c>
      <c r="NH9" s="30">
        <f t="shared" ca="1" si="45"/>
        <v>-5.1276293924879613E-3</v>
      </c>
      <c r="NI9" s="30">
        <f t="shared" ca="1" si="45"/>
        <v>2.9809867750110963E-2</v>
      </c>
      <c r="NJ9" s="30">
        <f t="shared" ca="1" si="45"/>
        <v>-3.8879716159309725E-3</v>
      </c>
      <c r="NK9" s="30">
        <f t="shared" ca="1" si="45"/>
        <v>-4.9514118830276442E-3</v>
      </c>
      <c r="NL9" s="30">
        <f t="shared" ca="1" si="45"/>
        <v>-8.2959412975348576E-2</v>
      </c>
      <c r="NM9" s="30">
        <f t="shared" ca="1" si="45"/>
        <v>-4.2550447153706971E-3</v>
      </c>
      <c r="NN9" s="30">
        <f t="shared" ca="1" si="45"/>
        <v>-4.1000670794919633E-2</v>
      </c>
      <c r="NO9" s="30">
        <f t="shared" ca="1" si="45"/>
        <v>7.8279835059394828E-2</v>
      </c>
      <c r="NP9" s="30">
        <f t="shared" ca="1" si="45"/>
        <v>2.4546835041357332E-3</v>
      </c>
      <c r="NQ9" s="30">
        <f t="shared" ca="1" si="45"/>
        <v>-1.7956976678735415E-2</v>
      </c>
      <c r="NR9" s="30">
        <f t="shared" ca="1" si="45"/>
        <v>3.5197068289316714E-2</v>
      </c>
      <c r="NS9" s="30">
        <f t="shared" ca="1" si="45"/>
        <v>-6.4129674542038606E-3</v>
      </c>
      <c r="NT9" s="30">
        <f t="shared" ca="1" si="45"/>
        <v>3.7227488700691133E-2</v>
      </c>
      <c r="NU9" s="30">
        <f t="shared" ca="1" si="45"/>
        <v>4.7950844771218873E-2</v>
      </c>
      <c r="NV9" s="30">
        <f t="shared" ca="1" si="45"/>
        <v>-2.0308721072303096E-2</v>
      </c>
      <c r="NW9" s="30">
        <f t="shared" ca="1" si="45"/>
        <v>-1.2856666477950454E-4</v>
      </c>
      <c r="NX9" s="30">
        <f t="shared" ca="1" si="45"/>
        <v>4.8206536649210437E-2</v>
      </c>
      <c r="NY9" s="30">
        <f t="shared" ca="1" si="45"/>
        <v>-4.3504919218064819E-2</v>
      </c>
      <c r="NZ9" s="30">
        <f t="shared" ca="1" si="45"/>
        <v>3.9843240489435001E-2</v>
      </c>
      <c r="OA9" s="30">
        <f t="shared" ca="1" si="45"/>
        <v>5.3534648496944915E-3</v>
      </c>
      <c r="OB9" s="30">
        <f t="shared" ca="1" si="38"/>
        <v>-1.2975857763459317E-2</v>
      </c>
      <c r="OC9" s="30">
        <f t="shared" ca="1" si="38"/>
        <v>-8.1826676654023506E-3</v>
      </c>
      <c r="OD9" s="30">
        <f t="shared" ca="1" si="38"/>
        <v>-7.4594079004323167E-3</v>
      </c>
      <c r="OE9" s="30">
        <f t="shared" ca="1" si="38"/>
        <v>0.11731150919523742</v>
      </c>
      <c r="OF9" s="30">
        <f t="shared" ca="1" si="38"/>
        <v>-5.2030535516769033E-2</v>
      </c>
      <c r="OG9" s="30">
        <f t="shared" ca="1" si="38"/>
        <v>2.2977808018892726E-4</v>
      </c>
      <c r="OH9" s="30">
        <f t="shared" ca="1" si="38"/>
        <v>1.5361776355095129E-2</v>
      </c>
      <c r="OI9" s="30">
        <f t="shared" ca="1" si="38"/>
        <v>6.8683778404934753E-3</v>
      </c>
      <c r="OJ9" s="30">
        <f t="shared" ca="1" si="38"/>
        <v>3.2332360809822616E-2</v>
      </c>
      <c r="OK9" s="30">
        <f t="shared" ca="1" si="38"/>
        <v>2.4617103499351544E-3</v>
      </c>
      <c r="OL9" s="30">
        <f t="shared" ca="1" si="38"/>
        <v>4.6372067849181686E-2</v>
      </c>
      <c r="OM9" s="30">
        <f t="shared" ca="1" si="38"/>
        <v>9.945540873448044E-3</v>
      </c>
      <c r="ON9" s="30">
        <f t="shared" ca="1" si="38"/>
        <v>3.1053092309531096E-2</v>
      </c>
      <c r="OO9" s="30">
        <f t="shared" ca="1" si="38"/>
        <v>9.367271867530727E-2</v>
      </c>
      <c r="OP9" s="30">
        <f t="shared" ca="1" si="38"/>
        <v>2.1395124460082238E-2</v>
      </c>
      <c r="OQ9" s="30">
        <f t="shared" ca="1" si="38"/>
        <v>2.6697026090855135E-2</v>
      </c>
      <c r="OR9" s="30">
        <f t="shared" ca="1" si="38"/>
        <v>-3.7615927406955248E-2</v>
      </c>
      <c r="OS9" s="30">
        <f t="shared" ca="1" si="38"/>
        <v>-1.616871418093083E-2</v>
      </c>
      <c r="OT9" s="30">
        <f t="shared" ca="1" si="38"/>
        <v>6.4402293042686602E-3</v>
      </c>
      <c r="OU9" s="30">
        <f t="shared" ca="1" si="38"/>
        <v>3.4808153548412275E-2</v>
      </c>
      <c r="OV9" s="30">
        <f t="shared" ca="1" si="38"/>
        <v>-3.3235847167493573E-2</v>
      </c>
      <c r="OW9" s="30">
        <f t="shared" ca="1" si="38"/>
        <v>-3.3358462879099866E-3</v>
      </c>
      <c r="OX9" s="30">
        <f t="shared" ca="1" si="38"/>
        <v>2.8074115497452024E-2</v>
      </c>
      <c r="OY9" s="30">
        <f t="shared" ca="1" si="38"/>
        <v>-2.2656198281621479E-2</v>
      </c>
      <c r="OZ9" s="30">
        <f t="shared" ca="1" si="38"/>
        <v>-4.6100664616360129E-2</v>
      </c>
      <c r="PA9" s="30">
        <f t="shared" ca="1" si="38"/>
        <v>-5.9061757609470147E-2</v>
      </c>
      <c r="PB9" s="30">
        <f t="shared" ca="1" si="38"/>
        <v>-3.4229123219375726E-2</v>
      </c>
      <c r="PC9" s="30">
        <f t="shared" ca="1" si="38"/>
        <v>-2.122640856892927E-2</v>
      </c>
      <c r="PD9" s="30">
        <f t="shared" ca="1" si="38"/>
        <v>7.0915136132925216E-2</v>
      </c>
      <c r="PE9" s="30">
        <f t="shared" ca="1" si="38"/>
        <v>6.5567390472250379E-3</v>
      </c>
      <c r="PF9" s="30">
        <f t="shared" ca="1" si="38"/>
        <v>1.2053841037194489E-3</v>
      </c>
      <c r="PG9" s="30">
        <f t="shared" ca="1" si="38"/>
        <v>-6.7571365498321864E-2</v>
      </c>
      <c r="PH9" s="30">
        <f t="shared" ca="1" si="38"/>
        <v>1.9614710604751926E-2</v>
      </c>
      <c r="PI9" s="30">
        <f t="shared" ca="1" si="38"/>
        <v>3.1879633387744591E-2</v>
      </c>
      <c r="PJ9" s="30">
        <f t="shared" ca="1" si="38"/>
        <v>-6.1464346604106655E-3</v>
      </c>
      <c r="PK9" s="30">
        <f t="shared" ca="1" si="38"/>
        <v>4.0141454087409399E-2</v>
      </c>
      <c r="PL9" s="30">
        <f t="shared" ca="1" si="38"/>
        <v>-3.9320813652882973E-2</v>
      </c>
      <c r="PM9" s="30">
        <f t="shared" ca="1" si="38"/>
        <v>4.4232816800990275E-2</v>
      </c>
      <c r="PN9" s="30">
        <f t="shared" ca="1" si="38"/>
        <v>-6.537477110885842E-2</v>
      </c>
      <c r="PO9" s="30">
        <f t="shared" ca="1" si="38"/>
        <v>8.2055878786756006E-2</v>
      </c>
      <c r="PP9" s="30">
        <f t="shared" ca="1" si="38"/>
        <v>-2.1310880059458658E-2</v>
      </c>
      <c r="PQ9" s="30">
        <f t="shared" ca="1" si="38"/>
        <v>-2.7422332007316513E-2</v>
      </c>
      <c r="PR9" s="30">
        <f t="shared" ca="1" si="38"/>
        <v>4.4184048005891347E-2</v>
      </c>
      <c r="PS9" s="30">
        <f t="shared" ca="1" si="38"/>
        <v>-1.7644746499727689E-2</v>
      </c>
      <c r="PT9" s="30">
        <f t="shared" ca="1" si="38"/>
        <v>-2.4106764499082596E-3</v>
      </c>
      <c r="PU9" s="30">
        <f t="shared" ca="1" si="38"/>
        <v>3.3840657041883805E-2</v>
      </c>
      <c r="PV9" s="30">
        <f t="shared" ca="1" si="38"/>
        <v>3.0220510791820364E-3</v>
      </c>
      <c r="PW9" s="30">
        <f t="shared" ca="1" si="38"/>
        <v>4.5291350401131684E-2</v>
      </c>
      <c r="PX9" s="30">
        <f t="shared" ca="1" si="38"/>
        <v>-3.9440258996854431E-2</v>
      </c>
      <c r="PY9" s="30">
        <f t="shared" ca="1" si="38"/>
        <v>-7.4912950656347913E-2</v>
      </c>
      <c r="PZ9" s="30">
        <f t="shared" ca="1" si="38"/>
        <v>1.6681171120048039E-2</v>
      </c>
      <c r="QA9" s="30">
        <f t="shared" ca="1" si="38"/>
        <v>1.2620465480269037E-2</v>
      </c>
      <c r="QB9" s="30">
        <f t="shared" ca="1" si="38"/>
        <v>6.9478854276371182E-2</v>
      </c>
      <c r="QC9" s="30">
        <f t="shared" ca="1" si="38"/>
        <v>-2.2875257905191897E-2</v>
      </c>
      <c r="QD9" s="30">
        <f t="shared" ca="1" si="38"/>
        <v>3.8702604002402358E-2</v>
      </c>
      <c r="QE9" s="30">
        <f t="shared" ca="1" si="38"/>
        <v>-2.4300014180863517E-2</v>
      </c>
      <c r="QF9" s="30">
        <f t="shared" ca="1" si="38"/>
        <v>1.9432197553398577E-3</v>
      </c>
      <c r="QG9" s="30">
        <f t="shared" ca="1" si="38"/>
        <v>6.6996917151439272E-4</v>
      </c>
      <c r="QH9" s="30">
        <f t="shared" ca="1" si="38"/>
        <v>-6.4791058212299898E-2</v>
      </c>
      <c r="QI9" s="30">
        <f t="shared" ca="1" si="38"/>
        <v>1.3914156709159157E-3</v>
      </c>
      <c r="QJ9" s="30">
        <f t="shared" ca="1" si="38"/>
        <v>-1.1380666014758853E-2</v>
      </c>
      <c r="QK9" s="30">
        <f t="shared" ca="1" si="38"/>
        <v>-6.6207835051727351E-2</v>
      </c>
      <c r="QL9" s="30">
        <f t="shared" ca="1" si="38"/>
        <v>1.9071280353501415E-2</v>
      </c>
      <c r="QM9" s="30">
        <f t="shared" ca="1" si="23"/>
        <v>-8.7710017610044145E-3</v>
      </c>
      <c r="QN9" s="30">
        <f t="shared" ca="1" si="46"/>
        <v>-1.4667920878583703E-2</v>
      </c>
      <c r="QO9" s="30">
        <f t="shared" ca="1" si="46"/>
        <v>5.6544292075186221E-2</v>
      </c>
      <c r="QP9" s="30">
        <f t="shared" ca="1" si="46"/>
        <v>-1.3899033079942944E-2</v>
      </c>
      <c r="QQ9" s="30">
        <f t="shared" ca="1" si="46"/>
        <v>-7.0408067237486393E-3</v>
      </c>
      <c r="QR9" s="30">
        <f t="shared" ca="1" si="46"/>
        <v>4.0640153082825328E-2</v>
      </c>
      <c r="QS9" s="30">
        <f t="shared" ca="1" si="46"/>
        <v>-8.9471184565144621E-3</v>
      </c>
      <c r="QT9" s="30">
        <f t="shared" ca="1" si="46"/>
        <v>-7.6031228953630195E-2</v>
      </c>
      <c r="QU9" s="30">
        <f t="shared" ca="1" si="46"/>
        <v>7.3909115356627676E-3</v>
      </c>
      <c r="QV9" s="30">
        <f t="shared" ca="1" si="46"/>
        <v>-4.5853771569434459E-2</v>
      </c>
      <c r="QW9" s="30">
        <f t="shared" ca="1" si="46"/>
        <v>-5.6257572252689583E-3</v>
      </c>
      <c r="QX9" s="30">
        <f t="shared" ca="1" si="46"/>
        <v>7.2826845850902489E-2</v>
      </c>
      <c r="QY9" s="30">
        <f t="shared" ca="1" si="46"/>
        <v>-1.5980362347125094E-2</v>
      </c>
      <c r="QZ9" s="30">
        <f t="shared" ca="1" si="46"/>
        <v>-3.0784362418349011E-2</v>
      </c>
      <c r="RA9" s="30">
        <f t="shared" ca="1" si="46"/>
        <v>-2.4132377418186961E-2</v>
      </c>
      <c r="RB9" s="30">
        <f t="shared" ca="1" si="46"/>
        <v>4.4638332046508328E-2</v>
      </c>
      <c r="RC9" s="30">
        <f t="shared" ca="1" si="46"/>
        <v>-4.0744223616021133E-2</v>
      </c>
      <c r="RD9" s="30">
        <f t="shared" ca="1" si="46"/>
        <v>-1.1013891567071081E-2</v>
      </c>
      <c r="RE9" s="30">
        <f t="shared" ca="1" si="46"/>
        <v>3.3148564891967547E-2</v>
      </c>
      <c r="RF9" s="30">
        <f t="shared" ca="1" si="46"/>
        <v>5.8001370027756592E-2</v>
      </c>
      <c r="RG9" s="30">
        <f t="shared" ca="1" si="46"/>
        <v>-6.5895915340378891E-3</v>
      </c>
      <c r="RH9" s="30">
        <f t="shared" ca="1" si="46"/>
        <v>-1.4332136251082928E-2</v>
      </c>
      <c r="RI9" s="30">
        <f t="shared" ca="1" si="46"/>
        <v>9.6220280453489612E-2</v>
      </c>
      <c r="RJ9" s="30">
        <f t="shared" ca="1" si="46"/>
        <v>-6.8406040663646986E-2</v>
      </c>
      <c r="RK9" s="30">
        <f t="shared" ca="1" si="46"/>
        <v>9.4379301276452648E-3</v>
      </c>
      <c r="RL9" s="30">
        <f t="shared" ca="1" si="46"/>
        <v>3.0237772393336155E-2</v>
      </c>
      <c r="RM9" s="30">
        <f t="shared" ca="1" si="46"/>
        <v>-3.1567098669310484E-2</v>
      </c>
      <c r="RN9" s="30">
        <f t="shared" ca="1" si="46"/>
        <v>-5.3043964003231265E-3</v>
      </c>
      <c r="RO9" s="30">
        <f t="shared" ca="1" si="46"/>
        <v>-4.1357790064412384E-2</v>
      </c>
      <c r="RP9" s="30">
        <f t="shared" ca="1" si="46"/>
        <v>-6.8303031562123168E-2</v>
      </c>
      <c r="RQ9" s="30">
        <f t="shared" ca="1" si="46"/>
        <v>5.0615959276189898E-5</v>
      </c>
      <c r="RR9" s="30">
        <f t="shared" ca="1" si="46"/>
        <v>1.4347453245574293E-2</v>
      </c>
      <c r="RS9" s="30">
        <f t="shared" ca="1" si="46"/>
        <v>2.009538617818216E-2</v>
      </c>
      <c r="RT9" s="30">
        <f t="shared" ca="1" si="46"/>
        <v>-1.1438622997847694E-2</v>
      </c>
      <c r="RU9" s="30">
        <f t="shared" ca="1" si="46"/>
        <v>-9.9402344353200275E-3</v>
      </c>
      <c r="RV9" s="30">
        <f t="shared" ca="1" si="46"/>
        <v>-2.561206743420608E-2</v>
      </c>
      <c r="RW9" s="30">
        <f t="shared" ca="1" si="46"/>
        <v>3.9916028366655719E-2</v>
      </c>
      <c r="RX9" s="30">
        <f t="shared" ca="1" si="46"/>
        <v>-1.990743077462712E-2</v>
      </c>
      <c r="RY9" s="30">
        <f t="shared" ca="1" si="46"/>
        <v>6.9265619354464902E-2</v>
      </c>
      <c r="RZ9" s="30">
        <f t="shared" ca="1" si="46"/>
        <v>-6.6299747184177891E-3</v>
      </c>
      <c r="SA9" s="30">
        <f t="shared" ca="1" si="46"/>
        <v>1.8816638670837185E-2</v>
      </c>
      <c r="SB9" s="30">
        <f t="shared" ca="1" si="46"/>
        <v>-3.6986023775685325E-3</v>
      </c>
      <c r="SC9" s="30">
        <f t="shared" ca="1" si="46"/>
        <v>6.0447872881713188E-2</v>
      </c>
      <c r="SD9" s="30">
        <f t="shared" ca="1" si="46"/>
        <v>-4.1641346216236882E-3</v>
      </c>
      <c r="SE9" s="30">
        <f t="shared" ca="1" si="46"/>
        <v>4.2279326728049481E-2</v>
      </c>
      <c r="SF9" s="30">
        <f t="shared" ca="1" si="46"/>
        <v>-7.7199943244543406E-4</v>
      </c>
      <c r="SG9" s="30">
        <f t="shared" ca="1" si="46"/>
        <v>1.1746754649959674E-2</v>
      </c>
      <c r="SH9" s="30">
        <f t="shared" ca="1" si="46"/>
        <v>2.6644477184452963E-2</v>
      </c>
      <c r="SI9" s="30">
        <f t="shared" ca="1" si="46"/>
        <v>4.6389375300091171E-2</v>
      </c>
      <c r="SJ9" s="30">
        <f t="shared" ca="1" si="46"/>
        <v>-1.8708208483150537E-2</v>
      </c>
      <c r="SK9" s="30">
        <f t="shared" ca="1" si="46"/>
        <v>-1.4156615861083219E-2</v>
      </c>
      <c r="SL9" s="30">
        <f t="shared" ca="1" si="46"/>
        <v>5.8857625387875208E-2</v>
      </c>
      <c r="SM9" s="30">
        <f t="shared" ca="1" si="46"/>
        <v>3.7777542493301099E-2</v>
      </c>
      <c r="SN9" s="30">
        <f t="shared" ca="1" si="46"/>
        <v>7.2344092685112747E-3</v>
      </c>
      <c r="SO9" s="30">
        <f t="shared" ca="1" si="46"/>
        <v>-0.10805856651845905</v>
      </c>
      <c r="SP9" s="30">
        <f t="shared" ca="1" si="46"/>
        <v>-2.5079201121168598E-2</v>
      </c>
      <c r="SQ9" s="30">
        <f t="shared" ca="1" si="46"/>
        <v>1.8576130631717865E-2</v>
      </c>
      <c r="SR9" s="30">
        <f t="shared" ca="1" si="46"/>
        <v>2.1781249941430946E-2</v>
      </c>
      <c r="SS9" s="30">
        <f t="shared" ca="1" si="46"/>
        <v>-2.0133719536550555E-2</v>
      </c>
      <c r="ST9" s="30">
        <f t="shared" ca="1" si="46"/>
        <v>-1.5170074468017002E-2</v>
      </c>
      <c r="SU9" s="30">
        <f t="shared" ca="1" si="46"/>
        <v>-2.9681575057526839E-2</v>
      </c>
      <c r="SV9" s="30">
        <f t="shared" ca="1" si="46"/>
        <v>-1.0954945637628961E-2</v>
      </c>
      <c r="SW9" s="30">
        <f t="shared" ca="1" si="46"/>
        <v>-2.9230430462875722E-2</v>
      </c>
      <c r="SX9" s="30">
        <f t="shared" ca="1" si="46"/>
        <v>-3.4133965154805518E-2</v>
      </c>
      <c r="SY9" s="30">
        <f t="shared" ca="1" si="46"/>
        <v>-3.9089502946269283E-2</v>
      </c>
      <c r="SZ9" s="30">
        <f t="shared" ca="1" si="39"/>
        <v>-4.7328069472043537E-2</v>
      </c>
      <c r="TA9" s="30">
        <f t="shared" ca="1" si="39"/>
        <v>-6.2249603594130079E-2</v>
      </c>
      <c r="TB9" s="30">
        <f t="shared" ca="1" si="39"/>
        <v>-3.8214334930004118E-2</v>
      </c>
      <c r="TC9" s="30">
        <f t="shared" ca="1" si="39"/>
        <v>-2.2978360669116262E-2</v>
      </c>
      <c r="TD9" s="30">
        <f t="shared" ca="1" si="39"/>
        <v>1.548340553737183E-2</v>
      </c>
      <c r="TE9" s="30">
        <f t="shared" ca="1" si="39"/>
        <v>-6.9079253373416742E-3</v>
      </c>
      <c r="TF9" s="30">
        <f t="shared" ca="1" si="39"/>
        <v>8.573937550014632E-2</v>
      </c>
      <c r="TG9" s="30">
        <f t="shared" ca="1" si="39"/>
        <v>4.3781854650054249E-2</v>
      </c>
      <c r="TH9" s="30">
        <f t="shared" ca="1" si="39"/>
        <v>-4.0377770746240008E-2</v>
      </c>
      <c r="TI9" s="30">
        <f t="shared" ca="1" si="39"/>
        <v>5.5874192658279323E-2</v>
      </c>
      <c r="TJ9" s="30">
        <f t="shared" ca="1" si="39"/>
        <v>-3.3566574962921647E-2</v>
      </c>
      <c r="TK9" s="30">
        <f t="shared" ca="1" si="39"/>
        <v>-1.624118798687204E-2</v>
      </c>
      <c r="TL9" s="30">
        <f t="shared" ca="1" si="39"/>
        <v>-3.3339421266966048E-2</v>
      </c>
      <c r="TM9" s="30">
        <f t="shared" ca="1" si="39"/>
        <v>-5.7458024090990774E-2</v>
      </c>
      <c r="TN9" s="30">
        <f t="shared" ca="1" si="39"/>
        <v>4.9611013726327376E-2</v>
      </c>
      <c r="TO9" s="30">
        <f t="shared" ca="1" si="39"/>
        <v>1.5510064667855938E-2</v>
      </c>
      <c r="TP9" s="30">
        <f t="shared" ca="1" si="39"/>
        <v>5.2336948663227675E-2</v>
      </c>
      <c r="TQ9" s="30">
        <f t="shared" ca="1" si="39"/>
        <v>-5.4578889949322591E-2</v>
      </c>
      <c r="TR9" s="30">
        <f t="shared" ca="1" si="39"/>
        <v>2.7686154076527358E-2</v>
      </c>
      <c r="TS9" s="30">
        <f t="shared" ca="1" si="39"/>
        <v>-2.4215293634687673E-2</v>
      </c>
      <c r="TT9" s="30">
        <f t="shared" ca="1" si="39"/>
        <v>-3.5044542657133075E-2</v>
      </c>
      <c r="TU9" s="30">
        <f t="shared" ca="1" si="39"/>
        <v>5.1774426517562082E-2</v>
      </c>
      <c r="TV9" s="30">
        <f t="shared" ca="1" si="39"/>
        <v>3.3521116010111096E-2</v>
      </c>
      <c r="TW9" s="30">
        <f t="shared" ca="1" si="39"/>
        <v>-3.2283956118055027E-2</v>
      </c>
      <c r="TX9" s="30">
        <f t="shared" ca="1" si="39"/>
        <v>-3.8969478250207419E-2</v>
      </c>
      <c r="TY9" s="30">
        <f t="shared" ca="1" si="39"/>
        <v>3.3248362245145095E-2</v>
      </c>
      <c r="TZ9" s="30">
        <f t="shared" ca="1" si="39"/>
        <v>1.170400933910612E-2</v>
      </c>
      <c r="UA9" s="30">
        <f t="shared" ca="1" si="39"/>
        <v>-1.8695148780577611E-2</v>
      </c>
      <c r="UB9" s="30">
        <f t="shared" ca="1" si="39"/>
        <v>-2.9556495389792291E-2</v>
      </c>
      <c r="UC9" s="30">
        <f t="shared" ca="1" si="39"/>
        <v>-1.343366090736035E-2</v>
      </c>
      <c r="UD9" s="30">
        <f t="shared" ca="1" si="39"/>
        <v>3.6610359462299763E-2</v>
      </c>
      <c r="UE9" s="30">
        <f t="shared" ca="1" si="39"/>
        <v>-4.3824415819353292E-2</v>
      </c>
      <c r="UF9" s="30">
        <f t="shared" ca="1" si="39"/>
        <v>3.6194925678166828E-3</v>
      </c>
      <c r="UG9" s="30">
        <f t="shared" ca="1" si="39"/>
        <v>-9.9145956769332716E-3</v>
      </c>
      <c r="UH9" s="30">
        <f t="shared" ca="1" si="39"/>
        <v>-1.9062326306732925E-2</v>
      </c>
      <c r="UI9" s="30">
        <f t="shared" ca="1" si="39"/>
        <v>-1.2736786893575694E-2</v>
      </c>
      <c r="UJ9" s="30">
        <f t="shared" ca="1" si="39"/>
        <v>1.6071364123051206E-2</v>
      </c>
      <c r="UK9" s="30">
        <f t="shared" ca="1" si="39"/>
        <v>-1.3783100534704856E-2</v>
      </c>
      <c r="UL9" s="30">
        <f t="shared" ca="1" si="39"/>
        <v>-6.8268303427752638E-3</v>
      </c>
      <c r="UM9" s="30">
        <f t="shared" ca="1" si="39"/>
        <v>-2.0250744644520483E-2</v>
      </c>
      <c r="UN9" s="30">
        <f t="shared" ca="1" si="39"/>
        <v>1.3661305890341285E-3</v>
      </c>
      <c r="UO9" s="30">
        <f t="shared" ca="1" si="39"/>
        <v>-3.0999089593123599E-2</v>
      </c>
      <c r="UP9" s="30">
        <f t="shared" ca="1" si="39"/>
        <v>1.6353882122094168E-2</v>
      </c>
      <c r="UQ9" s="30">
        <f t="shared" ca="1" si="39"/>
        <v>-3.3684763607832484E-3</v>
      </c>
      <c r="UR9" s="30">
        <f t="shared" ca="1" si="39"/>
        <v>0.11361439030585398</v>
      </c>
      <c r="US9" s="30">
        <f t="shared" ca="1" si="39"/>
        <v>-6.6295205020190762E-2</v>
      </c>
      <c r="UT9" s="30">
        <f t="shared" ca="1" si="39"/>
        <v>-7.0400011531899426E-2</v>
      </c>
      <c r="UU9" s="30">
        <f t="shared" ca="1" si="39"/>
        <v>2.547285986473596E-2</v>
      </c>
      <c r="UV9" s="30">
        <f t="shared" ca="1" si="39"/>
        <v>3.5371950032787002E-2</v>
      </c>
      <c r="UW9" s="30">
        <f t="shared" ca="1" si="39"/>
        <v>4.6601134550175302E-3</v>
      </c>
      <c r="UX9" s="30">
        <f t="shared" ca="1" si="39"/>
        <v>-3.544813077503501E-2</v>
      </c>
      <c r="UY9" s="30">
        <f t="shared" ca="1" si="39"/>
        <v>-8.1992448491910071E-3</v>
      </c>
      <c r="UZ9" s="30">
        <f t="shared" ca="1" si="39"/>
        <v>9.9919822574186246E-3</v>
      </c>
      <c r="VA9" s="30">
        <f t="shared" ca="1" si="39"/>
        <v>7.8001778309008543E-3</v>
      </c>
      <c r="VB9" s="30">
        <f t="shared" ca="1" si="39"/>
        <v>3.2300440489463314E-3</v>
      </c>
      <c r="VC9" s="30">
        <f t="shared" ca="1" si="39"/>
        <v>5.7247467624436466E-3</v>
      </c>
      <c r="VD9" s="30">
        <f t="shared" ca="1" si="39"/>
        <v>9.0851412332055279E-2</v>
      </c>
      <c r="VE9" s="30">
        <f t="shared" ca="1" si="39"/>
        <v>4.2439686783383772E-2</v>
      </c>
      <c r="VF9" s="30">
        <f t="shared" ca="1" si="39"/>
        <v>1.0517707768049779E-2</v>
      </c>
      <c r="VG9" s="30">
        <f t="shared" ca="1" si="39"/>
        <v>-7.3103238625620848E-2</v>
      </c>
      <c r="VH9" s="30">
        <f t="shared" ca="1" si="39"/>
        <v>-2.0406191030342326E-2</v>
      </c>
      <c r="VI9" s="30">
        <f t="shared" ca="1" si="39"/>
        <v>1.8546241647215043E-2</v>
      </c>
      <c r="VJ9" s="30">
        <f t="shared" ca="1" si="39"/>
        <v>-3.5725739611793331E-2</v>
      </c>
      <c r="VK9" s="30">
        <f t="shared" ca="1" si="25"/>
        <v>2.4774658195907136E-2</v>
      </c>
      <c r="VL9" s="30">
        <f t="shared" ca="1" si="47"/>
        <v>2.1664804788845537E-2</v>
      </c>
      <c r="VM9" s="30">
        <f t="shared" ca="1" si="47"/>
        <v>4.0879554579423681E-2</v>
      </c>
      <c r="VN9" s="30">
        <f t="shared" ca="1" si="47"/>
        <v>8.3212795982173932E-2</v>
      </c>
      <c r="VO9" s="30">
        <f t="shared" ca="1" si="47"/>
        <v>-2.6064470669357721E-2</v>
      </c>
      <c r="VP9" s="30">
        <f t="shared" ca="1" si="47"/>
        <v>1.758872845881573E-2</v>
      </c>
      <c r="VQ9" s="30">
        <f t="shared" ca="1" si="47"/>
        <v>2.0751932406278348E-3</v>
      </c>
      <c r="VR9" s="30">
        <f t="shared" ca="1" si="47"/>
        <v>3.0650716791475772E-2</v>
      </c>
      <c r="VS9" s="30">
        <f t="shared" ca="1" si="47"/>
        <v>1.4277559454859503E-2</v>
      </c>
      <c r="VT9" s="30">
        <f t="shared" ca="1" si="47"/>
        <v>2.8157337722651728E-2</v>
      </c>
      <c r="VU9" s="30">
        <f t="shared" ca="1" si="47"/>
        <v>2.2022405660063329E-2</v>
      </c>
      <c r="VV9" s="30">
        <f t="shared" ca="1" si="47"/>
        <v>4.6554993340296322E-2</v>
      </c>
      <c r="VW9" s="30">
        <f t="shared" ca="1" si="47"/>
        <v>8.1070040421638026E-2</v>
      </c>
      <c r="VX9" s="30">
        <f t="shared" ca="1" si="47"/>
        <v>5.2328823283139345E-3</v>
      </c>
      <c r="VY9" s="30">
        <f t="shared" ca="1" si="47"/>
        <v>5.2273801262791679E-2</v>
      </c>
      <c r="VZ9" s="30">
        <f t="shared" ca="1" si="47"/>
        <v>-2.5509813091152932E-2</v>
      </c>
      <c r="WA9" s="30">
        <f t="shared" ca="1" si="47"/>
        <v>2.4573631584909539E-2</v>
      </c>
      <c r="WB9" s="30">
        <f t="shared" ca="1" si="47"/>
        <v>3.0664212676090718E-2</v>
      </c>
      <c r="WC9" s="30">
        <f t="shared" ca="1" si="47"/>
        <v>-8.791903974151936E-4</v>
      </c>
      <c r="WD9" s="30">
        <f t="shared" ca="1" si="47"/>
        <v>2.2320138618544927E-2</v>
      </c>
      <c r="WE9" s="30">
        <f t="shared" ca="1" si="47"/>
        <v>-2.11499117003708E-3</v>
      </c>
      <c r="WF9" s="30">
        <f t="shared" ca="1" si="47"/>
        <v>3.5268090134959032E-2</v>
      </c>
      <c r="WG9" s="30">
        <f t="shared" ca="1" si="47"/>
        <v>-2.8363514903165268E-2</v>
      </c>
      <c r="WH9" s="30">
        <f t="shared" ca="1" si="47"/>
        <v>-4.3133631442474139E-2</v>
      </c>
      <c r="WI9" s="30">
        <f t="shared" ca="1" si="47"/>
        <v>1.461776118530146E-2</v>
      </c>
      <c r="WJ9" s="30">
        <f t="shared" ca="1" si="47"/>
        <v>4.2208626587608038E-2</v>
      </c>
      <c r="WK9" s="30">
        <f t="shared" ca="1" si="47"/>
        <v>-2.0286861925566654E-2</v>
      </c>
      <c r="WL9" s="30">
        <f t="shared" ca="1" si="47"/>
        <v>-2.3941787178643946E-2</v>
      </c>
      <c r="WM9" s="30">
        <f t="shared" ca="1" si="47"/>
        <v>3.7722603568027528E-2</v>
      </c>
      <c r="WN9" s="30">
        <f t="shared" ca="1" si="47"/>
        <v>-3.7835753129225845E-3</v>
      </c>
      <c r="WO9" s="30">
        <f t="shared" ca="1" si="47"/>
        <v>7.3204512349088133E-3</v>
      </c>
      <c r="WP9" s="30">
        <f t="shared" ca="1" si="47"/>
        <v>4.184621490968308E-3</v>
      </c>
      <c r="WQ9" s="30">
        <f t="shared" ca="1" si="47"/>
        <v>-4.3593706152608803E-2</v>
      </c>
      <c r="WR9" s="30">
        <f t="shared" ca="1" si="47"/>
        <v>8.1935275608090857E-3</v>
      </c>
      <c r="WS9" s="30">
        <f t="shared" ca="1" si="47"/>
        <v>-2.0526626809570293E-4</v>
      </c>
      <c r="WT9" s="30">
        <f t="shared" ca="1" si="47"/>
        <v>2.4913815803330682E-2</v>
      </c>
      <c r="WU9" s="30">
        <f t="shared" ca="1" si="47"/>
        <v>4.1010910161920502E-2</v>
      </c>
      <c r="WV9" s="30">
        <f t="shared" ca="1" si="47"/>
        <v>-1.0262176989040412E-2</v>
      </c>
      <c r="WW9" s="30">
        <f t="shared" ca="1" si="47"/>
        <v>-1.4221194675989823E-2</v>
      </c>
      <c r="WX9" s="30">
        <f t="shared" ca="1" si="47"/>
        <v>5.3700815538674888E-2</v>
      </c>
      <c r="WY9" s="30">
        <f t="shared" ca="1" si="47"/>
        <v>-2.6643704526838645E-3</v>
      </c>
      <c r="WZ9" s="30">
        <f t="shared" ca="1" si="47"/>
        <v>1.5075799919228406E-2</v>
      </c>
      <c r="XA9" s="30">
        <f t="shared" ca="1" si="47"/>
        <v>-4.2595219758175658E-2</v>
      </c>
      <c r="XB9" s="30">
        <f t="shared" ca="1" si="47"/>
        <v>1.3521387432284024E-2</v>
      </c>
      <c r="XC9" s="30">
        <f t="shared" ca="1" si="47"/>
        <v>-9.6050703296420917E-3</v>
      </c>
      <c r="XD9" s="30">
        <f t="shared" ca="1" si="47"/>
        <v>-5.1797586838892962E-2</v>
      </c>
      <c r="XE9" s="30">
        <f t="shared" ca="1" si="47"/>
        <v>7.9853914308726529E-2</v>
      </c>
      <c r="XF9" s="30">
        <f t="shared" ca="1" si="47"/>
        <v>-9.4498209452046188E-3</v>
      </c>
      <c r="XG9" s="30">
        <f t="shared" ca="1" si="47"/>
        <v>-3.7689685131209648E-2</v>
      </c>
      <c r="XH9" s="30">
        <f t="shared" ca="1" si="47"/>
        <v>5.8524986616820339E-2</v>
      </c>
      <c r="XI9" s="30">
        <f t="shared" ca="1" si="47"/>
        <v>-3.6443130729067692E-2</v>
      </c>
      <c r="XJ9" s="30">
        <f t="shared" ca="1" si="47"/>
        <v>5.0626640918647048E-2</v>
      </c>
      <c r="XK9" s="30">
        <f t="shared" ca="1" si="47"/>
        <v>1.0239054301419439E-2</v>
      </c>
      <c r="XL9" s="30">
        <f t="shared" ca="1" si="47"/>
        <v>6.973804485451339E-2</v>
      </c>
      <c r="XM9" s="30">
        <f t="shared" ca="1" si="47"/>
        <v>-5.5794448342202367E-2</v>
      </c>
      <c r="XN9" s="30">
        <f t="shared" ca="1" si="47"/>
        <v>-2.1899369242927635E-2</v>
      </c>
      <c r="XO9" s="30">
        <f t="shared" ca="1" si="47"/>
        <v>-4.9237517819976928E-2</v>
      </c>
      <c r="XP9" s="30">
        <f t="shared" ca="1" si="47"/>
        <v>0.131568544908506</v>
      </c>
      <c r="XQ9" s="30">
        <f t="shared" ca="1" si="47"/>
        <v>-1.7223094135402201E-2</v>
      </c>
      <c r="XR9" s="30">
        <f t="shared" ca="1" si="47"/>
        <v>3.4930384197191432E-2</v>
      </c>
      <c r="XS9" s="30">
        <f t="shared" ca="1" si="47"/>
        <v>-2.2443735717232637E-2</v>
      </c>
      <c r="XT9" s="30">
        <f t="shared" ca="1" si="47"/>
        <v>1.3582908072883737E-2</v>
      </c>
      <c r="XU9" s="30">
        <f t="shared" ca="1" si="47"/>
        <v>8.145594340172882E-3</v>
      </c>
      <c r="XV9" s="30">
        <f t="shared" ca="1" si="47"/>
        <v>-3.6362139760694866E-3</v>
      </c>
      <c r="XW9" s="30">
        <f t="shared" ca="1" si="47"/>
        <v>-2.9416411723211567E-2</v>
      </c>
      <c r="XX9" s="30">
        <f t="shared" ca="1" si="40"/>
        <v>3.5267044692604159E-2</v>
      </c>
      <c r="XY9" s="30">
        <f t="shared" ca="1" si="40"/>
        <v>-1.0073477860556615E-2</v>
      </c>
      <c r="XZ9" s="30">
        <f t="shared" ca="1" si="40"/>
        <v>7.114530264877913E-3</v>
      </c>
      <c r="YA9" s="30">
        <f t="shared" ca="1" si="40"/>
        <v>-1.2854112972863789E-2</v>
      </c>
      <c r="YB9" s="30">
        <f t="shared" ca="1" si="40"/>
        <v>-5.9385323433841118E-3</v>
      </c>
      <c r="YC9" s="30">
        <f t="shared" ca="1" si="40"/>
        <v>-1.1221468623494039E-2</v>
      </c>
      <c r="YD9" s="30">
        <f t="shared" ca="1" si="40"/>
        <v>-3.9742090875927137E-3</v>
      </c>
      <c r="YE9" s="30">
        <f t="shared" ca="1" si="40"/>
        <v>-1.1277267530746206E-2</v>
      </c>
      <c r="YF9" s="30">
        <f t="shared" ca="1" si="40"/>
        <v>0.12654914921360436</v>
      </c>
      <c r="YG9" s="30">
        <f t="shared" ca="1" si="40"/>
        <v>5.0312574402858933E-2</v>
      </c>
      <c r="YH9" s="30">
        <f t="shared" ca="1" si="40"/>
        <v>-3.8593942672314155E-2</v>
      </c>
      <c r="YI9" s="30">
        <f t="shared" ca="1" si="40"/>
        <v>-7.3438563463272943E-3</v>
      </c>
      <c r="YJ9" s="30">
        <f t="shared" ca="1" si="40"/>
        <v>-5.3212532900735424E-2</v>
      </c>
      <c r="YK9" s="30">
        <f t="shared" ca="1" si="40"/>
        <v>-3.5851600429552197E-2</v>
      </c>
      <c r="YL9" s="30">
        <f t="shared" ca="1" si="40"/>
        <v>3.9588227467827898E-2</v>
      </c>
      <c r="YM9" s="30">
        <f t="shared" ca="1" si="40"/>
        <v>7.7615406372277106E-3</v>
      </c>
      <c r="YN9" s="30">
        <f t="shared" ca="1" si="40"/>
        <v>-1.9936096014931907E-3</v>
      </c>
      <c r="YO9" s="30">
        <f t="shared" ca="1" si="40"/>
        <v>-2.4148974972861233E-2</v>
      </c>
      <c r="YP9" s="30">
        <f t="shared" ca="1" si="40"/>
        <v>-4.9750185933538554E-2</v>
      </c>
      <c r="YQ9" s="30">
        <f t="shared" ca="1" si="40"/>
        <v>2.4399785096815139E-2</v>
      </c>
      <c r="YR9" s="30">
        <f t="shared" ca="1" si="40"/>
        <v>2.3512668860121388E-2</v>
      </c>
      <c r="YS9" s="30">
        <f t="shared" ca="1" si="40"/>
        <v>1.6974769124406597E-2</v>
      </c>
      <c r="YT9" s="30">
        <f t="shared" ca="1" si="40"/>
        <v>2.3729155841313389E-2</v>
      </c>
      <c r="YU9" s="30">
        <f t="shared" ca="1" si="40"/>
        <v>5.5836317526739045E-3</v>
      </c>
      <c r="YV9" s="30">
        <f t="shared" ca="1" si="40"/>
        <v>9.3622157970565825E-4</v>
      </c>
      <c r="YW9" s="30">
        <f t="shared" ca="1" si="40"/>
        <v>2.8408373144645817E-2</v>
      </c>
      <c r="YX9" s="30">
        <f t="shared" ca="1" si="40"/>
        <v>-6.1649160884054061E-2</v>
      </c>
      <c r="YY9" s="30">
        <f t="shared" ca="1" si="40"/>
        <v>3.6055755443900099E-2</v>
      </c>
      <c r="YZ9" s="30">
        <f t="shared" ca="1" si="40"/>
        <v>-1.2953060494049965E-2</v>
      </c>
      <c r="ZA9" s="30">
        <f t="shared" ca="1" si="40"/>
        <v>5.497059127635489E-2</v>
      </c>
      <c r="ZB9" s="30">
        <f t="shared" ca="1" si="40"/>
        <v>-7.7721986171173277E-2</v>
      </c>
      <c r="ZC9" s="30">
        <f t="shared" ca="1" si="40"/>
        <v>5.9091676188342693E-3</v>
      </c>
      <c r="ZD9" s="30">
        <f t="shared" ca="1" si="40"/>
        <v>1.2858147302552584E-2</v>
      </c>
      <c r="ZE9" s="30">
        <f t="shared" ca="1" si="40"/>
        <v>-1.343856026175503E-3</v>
      </c>
      <c r="ZF9" s="30">
        <f t="shared" ca="1" si="40"/>
        <v>2.9180343223238859E-2</v>
      </c>
      <c r="ZG9" s="30">
        <f t="shared" ca="1" si="40"/>
        <v>-9.9125357394362255E-4</v>
      </c>
      <c r="ZH9" s="30">
        <f t="shared" ca="1" si="40"/>
        <v>8.3201271108226726E-2</v>
      </c>
      <c r="ZI9" s="30">
        <f t="shared" ca="1" si="40"/>
        <v>-4.9605523543254128E-2</v>
      </c>
      <c r="ZJ9" s="30">
        <f t="shared" ca="1" si="40"/>
        <v>-4.2894110001424493E-3</v>
      </c>
      <c r="ZK9" s="30">
        <f t="shared" ca="1" si="40"/>
        <v>8.3345979030200433E-3</v>
      </c>
      <c r="ZL9" s="30">
        <f t="shared" ca="1" si="40"/>
        <v>-8.4323928816794312E-3</v>
      </c>
      <c r="ZM9" s="30">
        <f t="shared" ca="1" si="40"/>
        <v>4.5800681928599041E-2</v>
      </c>
      <c r="ZN9" s="30">
        <f t="shared" ca="1" si="40"/>
        <v>-5.2251494168358843E-2</v>
      </c>
      <c r="ZO9" s="30">
        <f t="shared" ca="1" si="40"/>
        <v>4.4084917201525166E-2</v>
      </c>
      <c r="ZP9" s="30">
        <f t="shared" ca="1" si="40"/>
        <v>-2.4415107310001346E-2</v>
      </c>
      <c r="ZQ9" s="30">
        <f t="shared" ca="1" si="40"/>
        <v>3.4505707987657015E-2</v>
      </c>
      <c r="ZR9" s="30">
        <f t="shared" ca="1" si="40"/>
        <v>-2.0681208118538002E-2</v>
      </c>
      <c r="ZS9" s="30">
        <f t="shared" ca="1" si="40"/>
        <v>-4.9733457202256755E-2</v>
      </c>
      <c r="ZT9" s="30">
        <f t="shared" ca="1" si="40"/>
        <v>-9.1476242510309218E-3</v>
      </c>
      <c r="ZU9" s="30">
        <f t="shared" ca="1" si="40"/>
        <v>-8.4360865030933662E-3</v>
      </c>
      <c r="ZV9" s="30">
        <f t="shared" ca="1" si="40"/>
        <v>4.4322503314696615E-2</v>
      </c>
      <c r="ZW9" s="30">
        <f t="shared" ca="1" si="40"/>
        <v>4.6105919640295215E-2</v>
      </c>
      <c r="ZX9" s="30">
        <f t="shared" ca="1" si="40"/>
        <v>-7.5361243979276016E-2</v>
      </c>
      <c r="ZY9" s="30">
        <f t="shared" ca="1" si="40"/>
        <v>-1.0161245827547601E-2</v>
      </c>
      <c r="ZZ9" s="30">
        <f t="shared" ca="1" si="40"/>
        <v>-8.1065472248041375E-3</v>
      </c>
      <c r="AAA9" s="30">
        <f t="shared" ca="1" si="40"/>
        <v>8.9169225542708522E-3</v>
      </c>
      <c r="AAB9" s="30">
        <f t="shared" ca="1" si="40"/>
        <v>7.139009686592919E-2</v>
      </c>
      <c r="AAC9" s="30">
        <f t="shared" ca="1" si="40"/>
        <v>1.0031836729968605E-2</v>
      </c>
      <c r="AAD9" s="30">
        <f t="shared" ca="1" si="40"/>
        <v>-8.7178370317360383E-3</v>
      </c>
      <c r="AAE9" s="30">
        <f t="shared" ca="1" si="40"/>
        <v>2.8288016131237766E-2</v>
      </c>
      <c r="AAF9" s="30">
        <f t="shared" ca="1" si="40"/>
        <v>-1.818324264037452E-2</v>
      </c>
      <c r="AAG9" s="30">
        <f t="shared" ca="1" si="40"/>
        <v>-5.0816555303078687E-2</v>
      </c>
      <c r="AAH9" s="30">
        <f t="shared" ca="1" si="40"/>
        <v>-1.7910939014861561E-2</v>
      </c>
      <c r="AAI9" s="30">
        <f t="shared" ca="1" si="27"/>
        <v>6.1469056700288294E-2</v>
      </c>
      <c r="AAJ9" s="30">
        <f t="shared" ca="1" si="48"/>
        <v>6.4809074997931079E-2</v>
      </c>
      <c r="AAK9" s="30">
        <f t="shared" ca="1" si="48"/>
        <v>2.0672326042364382E-3</v>
      </c>
      <c r="AAL9" s="30">
        <f t="shared" ca="1" si="48"/>
        <v>-2.7743398418578962E-2</v>
      </c>
      <c r="AAM9" s="30">
        <f t="shared" ca="1" si="48"/>
        <v>3.2973298014279541E-2</v>
      </c>
      <c r="AAN9" s="30">
        <f t="shared" ca="1" si="48"/>
        <v>5.1662248330961086E-2</v>
      </c>
      <c r="AAO9" s="30">
        <f t="shared" ca="1" si="48"/>
        <v>-1.1441426898973839E-2</v>
      </c>
      <c r="AAP9" s="30">
        <f t="shared" ca="1" si="48"/>
        <v>1.0400532887828433E-2</v>
      </c>
      <c r="AAQ9" s="30">
        <f t="shared" ca="1" si="48"/>
        <v>-1.1617505483982373E-2</v>
      </c>
      <c r="AAR9" s="30">
        <f t="shared" ca="1" si="48"/>
        <v>2.9203139933112857E-2</v>
      </c>
      <c r="AAS9" s="30">
        <f t="shared" ca="1" si="48"/>
        <v>8.299651646636029E-2</v>
      </c>
      <c r="AAT9" s="30">
        <f t="shared" ca="1" si="48"/>
        <v>8.2138146691644286E-3</v>
      </c>
      <c r="AAU9" s="30">
        <f t="shared" ca="1" si="48"/>
        <v>1.8040090429033592E-2</v>
      </c>
      <c r="AAV9" s="30">
        <f t="shared" ca="1" si="48"/>
        <v>-4.3875334777746175E-2</v>
      </c>
      <c r="AAW9" s="30">
        <f t="shared" ca="1" si="48"/>
        <v>-5.5472010079156919E-2</v>
      </c>
      <c r="AAX9" s="30">
        <f t="shared" ca="1" si="48"/>
        <v>8.4517729994208323E-3</v>
      </c>
      <c r="AAY9" s="30">
        <f t="shared" ca="1" si="48"/>
        <v>-3.8382323630558358E-2</v>
      </c>
      <c r="AAZ9" s="30">
        <f t="shared" ca="1" si="48"/>
        <v>-4.6742618183915313E-2</v>
      </c>
      <c r="ABA9" s="30">
        <f t="shared" ca="1" si="48"/>
        <v>6.7590653681045207E-2</v>
      </c>
      <c r="ABB9" s="30">
        <f t="shared" ca="1" si="48"/>
        <v>-5.8722474033438554E-2</v>
      </c>
      <c r="ABC9" s="30">
        <f t="shared" ca="1" si="48"/>
        <v>7.6410669010164439E-2</v>
      </c>
      <c r="ABD9" s="30">
        <f t="shared" ca="1" si="48"/>
        <v>-5.128488997175757E-2</v>
      </c>
      <c r="ABE9" s="30">
        <f t="shared" ca="1" si="48"/>
        <v>5.1686544411461845E-2</v>
      </c>
      <c r="ABF9" s="30">
        <f t="shared" ca="1" si="48"/>
        <v>-4.4074032385769187E-2</v>
      </c>
      <c r="ABG9" s="30">
        <f t="shared" ca="1" si="48"/>
        <v>-9.8926434826580659E-2</v>
      </c>
      <c r="ABH9" s="30">
        <f t="shared" ca="1" si="48"/>
        <v>3.2144728537320956E-2</v>
      </c>
      <c r="ABI9" s="30">
        <f t="shared" ca="1" si="48"/>
        <v>7.6384674773241415E-2</v>
      </c>
      <c r="ABJ9" s="30">
        <f t="shared" ca="1" si="48"/>
        <v>-6.08884402452654E-2</v>
      </c>
      <c r="ABK9" s="30">
        <f t="shared" ca="1" si="48"/>
        <v>-2.1780705130978864E-2</v>
      </c>
      <c r="ABL9" s="30">
        <f t="shared" ca="1" si="48"/>
        <v>-4.0742824427131626E-2</v>
      </c>
      <c r="ABM9" s="30">
        <f t="shared" ca="1" si="48"/>
        <v>3.0515514084721095E-2</v>
      </c>
      <c r="ABN9" s="30">
        <f t="shared" ca="1" si="48"/>
        <v>-7.3100090841150656E-2</v>
      </c>
      <c r="ABO9" s="30">
        <f t="shared" ca="1" si="48"/>
        <v>6.3286917770649279E-2</v>
      </c>
      <c r="ABP9" s="30">
        <f t="shared" ca="1" si="48"/>
        <v>-2.4170154310141943E-2</v>
      </c>
      <c r="ABQ9" s="30">
        <f t="shared" ca="1" si="48"/>
        <v>-3.5071682636330544E-2</v>
      </c>
      <c r="ABR9" s="30">
        <f t="shared" ca="1" si="48"/>
        <v>-3.6804256886223366E-2</v>
      </c>
      <c r="ABS9" s="30">
        <f t="shared" ca="1" si="48"/>
        <v>-7.0616631579527491E-3</v>
      </c>
      <c r="ABT9" s="30">
        <f t="shared" ca="1" si="48"/>
        <v>-1.0530458514548703E-2</v>
      </c>
      <c r="ABU9" s="30">
        <f t="shared" ca="1" si="48"/>
        <v>3.6226176212061013E-2</v>
      </c>
      <c r="ABV9" s="30">
        <f t="shared" ca="1" si="48"/>
        <v>4.9381405671063167E-2</v>
      </c>
      <c r="ABW9" s="30">
        <f t="shared" ca="1" si="48"/>
        <v>-4.759326791154319E-2</v>
      </c>
      <c r="ABX9" s="30">
        <f t="shared" ca="1" si="48"/>
        <v>-1.969615111351011E-2</v>
      </c>
      <c r="ABY9" s="30">
        <f t="shared" ca="1" si="48"/>
        <v>2.687383263702289E-2</v>
      </c>
      <c r="ABZ9" s="30">
        <f t="shared" ca="1" si="48"/>
        <v>1.509138769714354E-2</v>
      </c>
      <c r="ACA9" s="30">
        <f t="shared" ca="1" si="48"/>
        <v>9.1799339650638329E-2</v>
      </c>
      <c r="ACB9" s="30">
        <f t="shared" ca="1" si="48"/>
        <v>-6.2476474591775785E-2</v>
      </c>
      <c r="ACC9" s="30">
        <f t="shared" ca="1" si="48"/>
        <v>-4.8522628223164992E-3</v>
      </c>
      <c r="ACD9" s="30">
        <f t="shared" ca="1" si="48"/>
        <v>-2.1387530332138575E-2</v>
      </c>
      <c r="ACE9" s="30">
        <f t="shared" ca="1" si="48"/>
        <v>6.7792653294966518E-2</v>
      </c>
      <c r="ACF9" s="30">
        <f t="shared" ca="1" si="48"/>
        <v>7.5394443441209269E-2</v>
      </c>
      <c r="ACG9" s="30">
        <f t="shared" ca="1" si="48"/>
        <v>-2.9424783626936374E-4</v>
      </c>
      <c r="ACH9" s="30">
        <f t="shared" ca="1" si="48"/>
        <v>6.0550105685518274E-2</v>
      </c>
      <c r="ACI9" s="30">
        <f t="shared" ca="1" si="48"/>
        <v>8.2815910784434579E-3</v>
      </c>
      <c r="ACJ9" s="30">
        <f t="shared" ca="1" si="48"/>
        <v>1.4945530382476398E-2</v>
      </c>
      <c r="ACK9" s="30">
        <f t="shared" ca="1" si="48"/>
        <v>1.314571479622054E-2</v>
      </c>
      <c r="ACL9" s="30">
        <f t="shared" ca="1" si="48"/>
        <v>-7.3903193827450933E-2</v>
      </c>
      <c r="ACM9" s="30">
        <f t="shared" ca="1" si="48"/>
        <v>-7.4445105153908859E-3</v>
      </c>
      <c r="ACN9" s="30">
        <f t="shared" ca="1" si="48"/>
        <v>-2.7066090150585781E-2</v>
      </c>
      <c r="ACO9" s="30">
        <f t="shared" ca="1" si="48"/>
        <v>9.2660920940006011E-2</v>
      </c>
      <c r="ACP9" s="30">
        <f t="shared" ca="1" si="48"/>
        <v>6.8612077025114779E-2</v>
      </c>
      <c r="ACQ9" s="30">
        <f t="shared" ca="1" si="48"/>
        <v>2.7529481370628224E-2</v>
      </c>
      <c r="ACR9" s="30">
        <f t="shared" ca="1" si="48"/>
        <v>5.1356633831222194E-2</v>
      </c>
      <c r="ACS9" s="30">
        <f t="shared" ca="1" si="48"/>
        <v>-7.3374637831064571E-3</v>
      </c>
      <c r="ACT9" s="30">
        <f t="shared" ca="1" si="48"/>
        <v>5.5896405359430832E-3</v>
      </c>
      <c r="ACU9" s="30">
        <f t="shared" ca="1" si="48"/>
        <v>-8.3418628718497159E-2</v>
      </c>
      <c r="ACV9" s="30">
        <f t="shared" ca="1" si="41"/>
        <v>3.1720356387832722E-2</v>
      </c>
      <c r="ACW9" s="30">
        <f t="shared" ca="1" si="41"/>
        <v>3.1676146476272475E-2</v>
      </c>
      <c r="ACX9" s="30">
        <f t="shared" ca="1" si="41"/>
        <v>-5.0457781076077804E-2</v>
      </c>
      <c r="ACY9" s="30">
        <f t="shared" ca="1" si="41"/>
        <v>9.2923747066008964E-4</v>
      </c>
      <c r="ACZ9" s="30">
        <f t="shared" ca="1" si="41"/>
        <v>7.7001471820475176E-2</v>
      </c>
      <c r="ADA9" s="30">
        <f t="shared" ca="1" si="41"/>
        <v>2.0599486055178699E-2</v>
      </c>
      <c r="ADB9" s="30">
        <f t="shared" ca="1" si="41"/>
        <v>-6.2908093603622813E-3</v>
      </c>
      <c r="ADC9" s="30">
        <f t="shared" ca="1" si="41"/>
        <v>-2.6485602198798738E-2</v>
      </c>
      <c r="ADD9" s="30">
        <f t="shared" ca="1" si="41"/>
        <v>1.1199206936336675E-2</v>
      </c>
      <c r="ADE9" s="30">
        <f t="shared" ca="1" si="41"/>
        <v>1.5403577639229209E-2</v>
      </c>
      <c r="ADF9" s="30">
        <f t="shared" ca="1" si="41"/>
        <v>-1.5124031925378523E-2</v>
      </c>
      <c r="ADG9" s="30">
        <f t="shared" ca="1" si="41"/>
        <v>4.0497368032980693E-2</v>
      </c>
      <c r="ADH9" s="30">
        <f t="shared" ca="1" si="41"/>
        <v>-4.1702852456244076E-2</v>
      </c>
      <c r="ADI9" s="30">
        <f t="shared" ca="1" si="41"/>
        <v>4.386287939871733E-2</v>
      </c>
      <c r="ADJ9" s="30">
        <f t="shared" ca="1" si="41"/>
        <v>6.5393250564271324E-2</v>
      </c>
      <c r="ADK9" s="30">
        <f t="shared" ca="1" si="41"/>
        <v>-2.2625044804045331E-2</v>
      </c>
      <c r="ADL9" s="30">
        <f t="shared" ca="1" si="41"/>
        <v>2.9128017197173329E-2</v>
      </c>
      <c r="ADM9" s="30">
        <f t="shared" ca="1" si="41"/>
        <v>5.5311992222605681E-3</v>
      </c>
      <c r="ADN9" s="30">
        <f t="shared" ca="1" si="41"/>
        <v>-2.2309010288132716E-2</v>
      </c>
      <c r="ADO9" s="30">
        <f t="shared" ca="1" si="41"/>
        <v>-7.1929250669502787E-2</v>
      </c>
      <c r="ADP9" s="30">
        <f t="shared" ca="1" si="41"/>
        <v>-5.0745894328136684E-2</v>
      </c>
      <c r="ADQ9" s="30">
        <f t="shared" ca="1" si="41"/>
        <v>-3.263027536139166E-2</v>
      </c>
      <c r="ADR9" s="30">
        <f t="shared" ca="1" si="41"/>
        <v>-5.2266844206498776E-2</v>
      </c>
      <c r="ADS9" s="30">
        <f t="shared" ca="1" si="41"/>
        <v>2.2032280999950787E-2</v>
      </c>
      <c r="ADT9" s="30">
        <f t="shared" ca="1" si="41"/>
        <v>2.4290121334124212E-2</v>
      </c>
      <c r="ADU9" s="30">
        <f t="shared" ca="1" si="41"/>
        <v>2.611123095382575E-2</v>
      </c>
      <c r="ADV9" s="30">
        <f t="shared" ca="1" si="41"/>
        <v>5.9476815361785278E-2</v>
      </c>
      <c r="ADW9" s="30">
        <f t="shared" ca="1" si="41"/>
        <v>-3.2717053631787577E-2</v>
      </c>
      <c r="ADX9" s="30">
        <f t="shared" ca="1" si="41"/>
        <v>4.8807627301348327E-2</v>
      </c>
      <c r="ADY9" s="30">
        <f t="shared" ca="1" si="41"/>
        <v>3.3817481187029798E-2</v>
      </c>
      <c r="ADZ9" s="30">
        <f t="shared" ca="1" si="41"/>
        <v>1.536561358453932E-2</v>
      </c>
      <c r="AEA9" s="30">
        <f t="shared" ca="1" si="41"/>
        <v>-1.5703062819638028E-2</v>
      </c>
      <c r="AEB9" s="30">
        <f t="shared" ca="1" si="41"/>
        <v>7.4112267169872126E-2</v>
      </c>
      <c r="AEC9" s="30">
        <f t="shared" ca="1" si="41"/>
        <v>9.1246269763437544E-3</v>
      </c>
      <c r="AED9" s="30">
        <f t="shared" ca="1" si="41"/>
        <v>3.1494681025052214E-2</v>
      </c>
      <c r="AEE9" s="30">
        <f t="shared" ca="1" si="41"/>
        <v>-2.5323745695788279E-2</v>
      </c>
      <c r="AEF9" s="30">
        <f t="shared" ca="1" si="41"/>
        <v>4.0752244018787215E-2</v>
      </c>
      <c r="AEG9" s="30">
        <f t="shared" ca="1" si="41"/>
        <v>-6.4971312832611872E-2</v>
      </c>
      <c r="AEH9" s="30">
        <f t="shared" ca="1" si="41"/>
        <v>-1.6255278303915058E-2</v>
      </c>
      <c r="AEI9" s="30">
        <f t="shared" ca="1" si="41"/>
        <v>-2.9448856872948567E-2</v>
      </c>
      <c r="AEJ9" s="30">
        <f t="shared" ca="1" si="41"/>
        <v>-1.5755517777901032E-2</v>
      </c>
      <c r="AEK9" s="30">
        <f t="shared" ca="1" si="41"/>
        <v>2.2370753255654068E-2</v>
      </c>
      <c r="AEL9" s="30">
        <f t="shared" ca="1" si="41"/>
        <v>2.1032091017256973E-2</v>
      </c>
      <c r="AEM9" s="30">
        <f t="shared" ca="1" si="41"/>
        <v>-5.262016152280917E-2</v>
      </c>
      <c r="AEN9" s="30">
        <f t="shared" ca="1" si="41"/>
        <v>-2.8712138527654078E-2</v>
      </c>
      <c r="AEO9" s="30">
        <f t="shared" ca="1" si="41"/>
        <v>-1.101885133799317E-2</v>
      </c>
      <c r="AEP9" s="30">
        <f t="shared" ca="1" si="41"/>
        <v>-1.9248924789068494E-3</v>
      </c>
      <c r="AEQ9" s="30">
        <f t="shared" ca="1" si="41"/>
        <v>-2.6417576052070093E-2</v>
      </c>
      <c r="AER9" s="30">
        <f t="shared" ca="1" si="41"/>
        <v>-1.3393763868675126E-4</v>
      </c>
      <c r="AES9" s="30">
        <f t="shared" ca="1" si="41"/>
        <v>-1.5292077645007979E-2</v>
      </c>
      <c r="AET9" s="30">
        <f t="shared" ca="1" si="41"/>
        <v>3.4231548235341885E-2</v>
      </c>
      <c r="AEU9" s="30">
        <f t="shared" ca="1" si="41"/>
        <v>6.804592556219579E-3</v>
      </c>
      <c r="AEV9" s="30">
        <f t="shared" ca="1" si="41"/>
        <v>2.4544756700978335E-2</v>
      </c>
      <c r="AEW9" s="30">
        <f t="shared" ca="1" si="41"/>
        <v>4.92060209881513E-2</v>
      </c>
      <c r="AEX9" s="30">
        <f t="shared" ca="1" si="41"/>
        <v>1.4833863459311949E-2</v>
      </c>
      <c r="AEY9" s="30">
        <f t="shared" ca="1" si="41"/>
        <v>-2.4700100219311918E-2</v>
      </c>
      <c r="AEZ9" s="30">
        <f t="shared" ca="1" si="41"/>
        <v>9.7482822240328337E-2</v>
      </c>
      <c r="AFA9" s="30">
        <f t="shared" ca="1" si="41"/>
        <v>2.5581626161859893E-2</v>
      </c>
      <c r="AFB9" s="30">
        <f t="shared" ca="1" si="41"/>
        <v>-1.0762445496937617E-2</v>
      </c>
      <c r="AFC9" s="30">
        <f t="shared" ca="1" si="41"/>
        <v>-3.5555340413555958E-2</v>
      </c>
      <c r="AFD9" s="30">
        <f t="shared" ca="1" si="41"/>
        <v>-5.4371574468218614E-3</v>
      </c>
      <c r="AFE9" s="30">
        <f t="shared" ca="1" si="41"/>
        <v>-5.2386152613368327E-2</v>
      </c>
      <c r="AFF9" s="30">
        <f t="shared" ca="1" si="41"/>
        <v>2.7229347727359233E-2</v>
      </c>
      <c r="AFG9" s="30">
        <f t="shared" ca="1" si="29"/>
        <v>3.5675889175986859E-2</v>
      </c>
      <c r="AFH9" s="30">
        <f t="shared" ca="1" si="49"/>
        <v>9.3636575152143992E-2</v>
      </c>
      <c r="AFI9" s="30">
        <f t="shared" ca="1" si="49"/>
        <v>-5.221138309910868E-2</v>
      </c>
      <c r="AFJ9" s="30">
        <f t="shared" ca="1" si="49"/>
        <v>2.0115630388203316E-2</v>
      </c>
      <c r="AFK9" s="30">
        <f t="shared" ca="1" si="49"/>
        <v>-2.340530066422325E-2</v>
      </c>
      <c r="AFL9" s="30">
        <f t="shared" ca="1" si="49"/>
        <v>2.0487376025909859E-2</v>
      </c>
      <c r="AFM9" s="30">
        <f t="shared" ca="1" si="49"/>
        <v>-1.7547516566306823E-2</v>
      </c>
      <c r="AFN9" s="30">
        <f t="shared" ca="1" si="49"/>
        <v>3.5531541937114139E-3</v>
      </c>
      <c r="AFO9" s="30">
        <f t="shared" ca="1" si="49"/>
        <v>-4.1246873022390204E-3</v>
      </c>
      <c r="AFP9" s="30">
        <f t="shared" ca="1" si="49"/>
        <v>-0.11935059379421063</v>
      </c>
      <c r="AFQ9" s="30">
        <f t="shared" ca="1" si="49"/>
        <v>1.0708612772226199E-2</v>
      </c>
      <c r="AFR9" s="30">
        <f t="shared" ca="1" si="49"/>
        <v>-4.5234997470632525E-2</v>
      </c>
      <c r="AFS9" s="30">
        <f t="shared" ca="1" si="49"/>
        <v>6.9665527435833884E-3</v>
      </c>
      <c r="AFT9" s="30">
        <f t="shared" ca="1" si="49"/>
        <v>9.1069724191920973E-3</v>
      </c>
      <c r="AFU9" s="30">
        <f t="shared" ca="1" si="49"/>
        <v>2.3046809823253606E-2</v>
      </c>
      <c r="AFV9" s="30">
        <f t="shared" ca="1" si="49"/>
        <v>6.6079105019816245E-2</v>
      </c>
      <c r="AFW9" s="30">
        <f t="shared" ca="1" si="49"/>
        <v>-1.9241069325723417E-2</v>
      </c>
      <c r="AFX9" s="30">
        <f t="shared" ca="1" si="49"/>
        <v>-4.2646993080292336E-2</v>
      </c>
      <c r="AFY9" s="30">
        <f t="shared" ca="1" si="49"/>
        <v>-4.8778466067674969E-2</v>
      </c>
      <c r="AFZ9" s="30">
        <f t="shared" ca="1" si="49"/>
        <v>7.9229308349861846E-2</v>
      </c>
      <c r="AGA9" s="30">
        <f t="shared" ca="1" si="49"/>
        <v>5.1910139362965062E-2</v>
      </c>
      <c r="AGB9" s="30">
        <f t="shared" ca="1" si="49"/>
        <v>5.9597678688735244E-2</v>
      </c>
      <c r="AGC9" s="30">
        <f t="shared" ca="1" si="49"/>
        <v>2.865124209935091E-2</v>
      </c>
      <c r="AGD9" s="30">
        <f t="shared" ca="1" si="49"/>
        <v>-3.3970155246451264E-2</v>
      </c>
      <c r="AGE9" s="30">
        <f t="shared" ca="1" si="49"/>
        <v>2.2581296640095876E-2</v>
      </c>
      <c r="AGF9" s="30">
        <f t="shared" ca="1" si="49"/>
        <v>-8.6716063902574532E-3</v>
      </c>
      <c r="AGG9" s="30">
        <f t="shared" ca="1" si="49"/>
        <v>6.7754646886537373E-2</v>
      </c>
      <c r="AGH9" s="30">
        <f t="shared" ca="1" si="49"/>
        <v>1.2950312156117243E-2</v>
      </c>
      <c r="AGI9" s="30">
        <f t="shared" ca="1" si="49"/>
        <v>1.3061964048920271E-2</v>
      </c>
      <c r="AGJ9" s="30">
        <f t="shared" ca="1" si="49"/>
        <v>9.2929829607646796E-3</v>
      </c>
      <c r="AGK9" s="30">
        <f t="shared" ca="1" si="49"/>
        <v>5.2709014176129096E-2</v>
      </c>
      <c r="AGL9" s="30">
        <f t="shared" ca="1" si="49"/>
        <v>2.0049735214510041E-3</v>
      </c>
      <c r="AGM9" s="30">
        <f t="shared" ca="1" si="49"/>
        <v>3.7253188180870832E-2</v>
      </c>
      <c r="AGN9" s="30">
        <f t="shared" ca="1" si="49"/>
        <v>8.8661439908517464E-2</v>
      </c>
      <c r="AGO9" s="30">
        <f t="shared" ca="1" si="49"/>
        <v>3.6223583983379846E-2</v>
      </c>
      <c r="AGP9" s="30">
        <f t="shared" ca="1" si="49"/>
        <v>2.2406293440574054E-2</v>
      </c>
      <c r="AGQ9" s="30">
        <f t="shared" ca="1" si="49"/>
        <v>1.5495133007390142E-2</v>
      </c>
      <c r="AGR9" s="30">
        <f t="shared" ca="1" si="49"/>
        <v>-9.9591948300052316E-2</v>
      </c>
      <c r="AGS9" s="30">
        <f t="shared" ca="1" si="49"/>
        <v>-1.7638196414584535E-2</v>
      </c>
      <c r="AGT9" s="30">
        <f t="shared" ca="1" si="49"/>
        <v>-2.6669963526256078E-2</v>
      </c>
      <c r="AGU9" s="30">
        <f t="shared" ca="1" si="49"/>
        <v>5.1697819626103633E-2</v>
      </c>
      <c r="AGV9" s="30">
        <f t="shared" ca="1" si="49"/>
        <v>-2.5095053965639144E-2</v>
      </c>
      <c r="AGW9" s="30">
        <f t="shared" ca="1" si="49"/>
        <v>-4.3333651924978712E-2</v>
      </c>
      <c r="AGX9" s="30">
        <f t="shared" ca="1" si="49"/>
        <v>1.3962107320756622E-2</v>
      </c>
      <c r="AGY9" s="30">
        <f t="shared" ca="1" si="49"/>
        <v>3.0057484405067664E-3</v>
      </c>
      <c r="AGZ9" s="30">
        <f t="shared" ca="1" si="49"/>
        <v>-4.393078435982857E-2</v>
      </c>
      <c r="AHA9" s="30">
        <f t="shared" ca="1" si="49"/>
        <v>-3.2383623682173443E-2</v>
      </c>
      <c r="AHB9" s="30">
        <f t="shared" ca="1" si="49"/>
        <v>2.3547890080409747E-2</v>
      </c>
      <c r="AHC9" s="30">
        <f t="shared" ca="1" si="49"/>
        <v>-5.7542636596998945E-2</v>
      </c>
      <c r="AHD9" s="30">
        <f t="shared" ca="1" si="49"/>
        <v>-3.1592607455321269E-2</v>
      </c>
      <c r="AHE9" s="30">
        <f t="shared" ca="1" si="49"/>
        <v>6.9610034529184059E-2</v>
      </c>
      <c r="AHF9" s="30">
        <f t="shared" ca="1" si="49"/>
        <v>7.8946019152235231E-3</v>
      </c>
      <c r="AHG9" s="30">
        <f t="shared" ca="1" si="49"/>
        <v>-4.9618182455514102E-2</v>
      </c>
      <c r="AHH9" s="30">
        <f t="shared" ca="1" si="49"/>
        <v>1.984396033687014E-2</v>
      </c>
      <c r="AHI9" s="30">
        <f t="shared" ca="1" si="49"/>
        <v>-7.5115277428597776E-2</v>
      </c>
      <c r="AHJ9" s="30">
        <f t="shared" ca="1" si="49"/>
        <v>4.7464667091692558E-2</v>
      </c>
      <c r="AHK9" s="30">
        <f t="shared" ca="1" si="49"/>
        <v>-4.9550575948418323E-2</v>
      </c>
      <c r="AHL9" s="30">
        <f t="shared" ca="1" si="49"/>
        <v>-1.0153271581981959E-2</v>
      </c>
      <c r="AHM9" s="30">
        <f t="shared" ca="1" si="49"/>
        <v>3.7780224271513528E-2</v>
      </c>
      <c r="AHN9" s="30">
        <f t="shared" ca="1" si="49"/>
        <v>-3.0980892637916688E-2</v>
      </c>
      <c r="AHO9" s="30">
        <f t="shared" ca="1" si="49"/>
        <v>2.7089067551349752E-2</v>
      </c>
      <c r="AHP9" s="30">
        <f t="shared" ca="1" si="49"/>
        <v>-6.6682660912672234E-2</v>
      </c>
      <c r="AHQ9" s="30">
        <f t="shared" ca="1" si="49"/>
        <v>3.1577277083504941E-4</v>
      </c>
      <c r="AHR9" s="30">
        <f t="shared" ca="1" si="49"/>
        <v>-1.1964199461785147E-2</v>
      </c>
      <c r="AHS9" s="30">
        <f t="shared" ca="1" si="49"/>
        <v>-2.6256530126454753E-2</v>
      </c>
      <c r="AHT9" s="30">
        <f t="shared" ca="1" si="42"/>
        <v>-2.1265726813893774E-2</v>
      </c>
      <c r="AHU9" s="30">
        <f t="shared" ca="1" si="42"/>
        <v>4.341228383786587E-2</v>
      </c>
      <c r="AHV9" s="30">
        <f t="shared" ca="1" si="42"/>
        <v>4.7679216464279577E-3</v>
      </c>
      <c r="AHW9" s="30">
        <f t="shared" ca="1" si="42"/>
        <v>-3.6001060987699729E-2</v>
      </c>
      <c r="AHX9" s="30">
        <f t="shared" ca="1" si="42"/>
        <v>2.2249647718246921E-2</v>
      </c>
      <c r="AHY9" s="30">
        <f t="shared" ca="1" si="42"/>
        <v>1.118207088657115E-2</v>
      </c>
      <c r="AHZ9" s="30">
        <f t="shared" ca="1" si="42"/>
        <v>1.6451888702663037E-2</v>
      </c>
      <c r="AIA9" s="30">
        <f t="shared" ca="1" si="42"/>
        <v>8.6289253304893718E-2</v>
      </c>
      <c r="AIB9" s="30">
        <f t="shared" ca="1" si="42"/>
        <v>-2.4347198064356795E-2</v>
      </c>
      <c r="AIC9" s="30">
        <f t="shared" ca="1" si="42"/>
        <v>0.13046014081091273</v>
      </c>
      <c r="AID9" s="30">
        <f t="shared" ca="1" si="42"/>
        <v>1.5654720621260283E-3</v>
      </c>
      <c r="AIE9" s="30">
        <f t="shared" ca="1" si="42"/>
        <v>-4.6504074673123084E-2</v>
      </c>
      <c r="AIF9" s="30">
        <f t="shared" ca="1" si="42"/>
        <v>-1.673694173063171E-2</v>
      </c>
      <c r="AIG9" s="30">
        <f t="shared" ca="1" si="42"/>
        <v>2.7576337138701865E-2</v>
      </c>
      <c r="AIH9" s="30">
        <f t="shared" ca="1" si="42"/>
        <v>4.9556361539205264E-2</v>
      </c>
      <c r="AII9" s="30">
        <f t="shared" ca="1" si="42"/>
        <v>4.8322699567639594E-4</v>
      </c>
      <c r="AIJ9" s="30">
        <f t="shared" ca="1" si="42"/>
        <v>-9.4130668243427047E-3</v>
      </c>
      <c r="AIK9" s="30">
        <f t="shared" ca="1" si="42"/>
        <v>6.1473886522001718E-2</v>
      </c>
      <c r="AIL9" s="30">
        <f t="shared" ca="1" si="42"/>
        <v>-1.70494192625604E-2</v>
      </c>
      <c r="AIM9" s="30">
        <f t="shared" ca="1" si="42"/>
        <v>-3.9444391165106313E-2</v>
      </c>
      <c r="AIN9" s="30">
        <f t="shared" ca="1" si="42"/>
        <v>1.9587408330176571E-2</v>
      </c>
      <c r="AIO9" s="30">
        <f t="shared" ca="1" si="42"/>
        <v>7.4031210107957193E-4</v>
      </c>
      <c r="AIP9" s="30">
        <f t="shared" ca="1" si="42"/>
        <v>1.2792421531136949E-2</v>
      </c>
      <c r="AIQ9" s="30">
        <f t="shared" ca="1" si="42"/>
        <v>-7.6657888632514659E-2</v>
      </c>
      <c r="AIR9" s="30">
        <f t="shared" ca="1" si="42"/>
        <v>-1.140990002826787E-2</v>
      </c>
      <c r="AIS9" s="30">
        <f t="shared" ca="1" si="42"/>
        <v>1.6035528565550513E-2</v>
      </c>
      <c r="AIT9" s="30">
        <f t="shared" ca="1" si="42"/>
        <v>-9.9958805132559208E-3</v>
      </c>
      <c r="AIU9" s="30">
        <f t="shared" ca="1" si="42"/>
        <v>-3.3988247201218742E-2</v>
      </c>
      <c r="AIV9" s="30">
        <f t="shared" ca="1" si="42"/>
        <v>-4.9605419698230062E-2</v>
      </c>
      <c r="AIW9" s="30">
        <f t="shared" ca="1" si="42"/>
        <v>4.7052915917880189E-2</v>
      </c>
      <c r="AIX9" s="30">
        <f t="shared" ca="1" si="42"/>
        <v>7.0490573320211886E-2</v>
      </c>
      <c r="AIY9" s="30">
        <f t="shared" ca="1" si="42"/>
        <v>3.2319298606138212E-2</v>
      </c>
      <c r="AIZ9" s="30">
        <f t="shared" ca="1" si="42"/>
        <v>3.781838739146693E-2</v>
      </c>
      <c r="AJA9" s="30">
        <f t="shared" ca="1" si="42"/>
        <v>-6.4735312305033127E-2</v>
      </c>
      <c r="AJB9" s="30">
        <f t="shared" ca="1" si="42"/>
        <v>3.5848710864597622E-2</v>
      </c>
      <c r="AJC9" s="30">
        <f t="shared" ca="1" si="42"/>
        <v>-3.6687288929480304E-2</v>
      </c>
      <c r="AJD9" s="30">
        <f t="shared" ca="1" si="42"/>
        <v>-2.4200437599782527E-2</v>
      </c>
      <c r="AJE9" s="30">
        <f t="shared" ca="1" si="42"/>
        <v>-3.1506641273759482E-2</v>
      </c>
      <c r="AJF9" s="30">
        <f t="shared" ca="1" si="42"/>
        <v>4.201422564081387E-2</v>
      </c>
      <c r="AJG9" s="30">
        <f t="shared" ca="1" si="42"/>
        <v>-2.5422434120802185E-2</v>
      </c>
      <c r="AJH9" s="30">
        <f t="shared" ca="1" si="42"/>
        <v>7.6667140210544174E-2</v>
      </c>
      <c r="AJI9" s="30">
        <f t="shared" ca="1" si="42"/>
        <v>-1.7978003115071257E-2</v>
      </c>
      <c r="AJJ9" s="30">
        <f t="shared" ca="1" si="42"/>
        <v>-4.5708562512346208E-2</v>
      </c>
      <c r="AJK9" s="30">
        <f t="shared" ca="1" si="42"/>
        <v>4.8768912969214949E-2</v>
      </c>
      <c r="AJL9" s="30">
        <f t="shared" ca="1" si="42"/>
        <v>9.809217936420106E-2</v>
      </c>
      <c r="AJM9" s="30">
        <f t="shared" ca="1" si="42"/>
        <v>3.7084290803161897E-2</v>
      </c>
      <c r="AJN9" s="30">
        <f t="shared" ca="1" si="42"/>
        <v>1.1798497718074593E-2</v>
      </c>
      <c r="AJO9" s="30">
        <f t="shared" ca="1" si="42"/>
        <v>1.204066155068066E-2</v>
      </c>
      <c r="AJP9" s="30">
        <f t="shared" ca="1" si="42"/>
        <v>-3.9384421785193607E-2</v>
      </c>
      <c r="AJQ9" s="30">
        <f t="shared" ca="1" si="42"/>
        <v>2.721454723197294E-2</v>
      </c>
      <c r="AJR9" s="30">
        <f t="shared" ca="1" si="42"/>
        <v>-2.4067034455103296E-2</v>
      </c>
      <c r="AJS9" s="30">
        <f t="shared" ca="1" si="42"/>
        <v>-1.5410770545739343E-2</v>
      </c>
      <c r="AJT9" s="30">
        <f t="shared" ca="1" si="42"/>
        <v>-3.7604908875209529E-2</v>
      </c>
      <c r="AJU9" s="30">
        <f t="shared" ca="1" si="42"/>
        <v>-5.7687029991791344E-2</v>
      </c>
      <c r="AJV9" s="30">
        <f t="shared" ca="1" si="42"/>
        <v>6.009247690693717E-2</v>
      </c>
      <c r="AJW9" s="30">
        <f t="shared" ca="1" si="42"/>
        <v>-5.9661078032610905E-3</v>
      </c>
      <c r="AJX9" s="30">
        <f t="shared" ca="1" si="42"/>
        <v>-4.3673213852933185E-2</v>
      </c>
      <c r="AJY9" s="30">
        <f t="shared" ca="1" si="42"/>
        <v>-3.8698248946841167E-3</v>
      </c>
      <c r="AJZ9" s="30">
        <f t="shared" ca="1" si="42"/>
        <v>6.5040849369050441E-2</v>
      </c>
      <c r="AKA9" s="30">
        <f t="shared" ca="1" si="42"/>
        <v>6.3902142513600782E-2</v>
      </c>
      <c r="AKB9" s="30">
        <f t="shared" ca="1" si="42"/>
        <v>-1.3555657655379529E-2</v>
      </c>
      <c r="AKC9" s="30">
        <f t="shared" ca="1" si="42"/>
        <v>-5.7286051073047801E-2</v>
      </c>
      <c r="AKD9" s="30">
        <f t="shared" ca="1" si="42"/>
        <v>-7.2824438649251963E-2</v>
      </c>
      <c r="AKE9" s="30">
        <f t="shared" ca="1" si="31"/>
        <v>1.0366468712684668E-2</v>
      </c>
      <c r="AKF9" s="30">
        <f t="shared" ca="1" si="32"/>
        <v>3.8868002503175444E-2</v>
      </c>
      <c r="AKG9" s="30">
        <f t="shared" ca="1" si="32"/>
        <v>-7.0110991144961728E-3</v>
      </c>
      <c r="AKH9" s="30">
        <f t="shared" ca="1" si="32"/>
        <v>6.003475614437617E-4</v>
      </c>
      <c r="AKI9" s="30">
        <f t="shared" ca="1" si="32"/>
        <v>3.3800006623562515E-2</v>
      </c>
      <c r="AKJ9" s="30">
        <f t="shared" ca="1" si="32"/>
        <v>-6.0210756442016872E-2</v>
      </c>
      <c r="AKK9" s="30">
        <f t="shared" ca="1" si="32"/>
        <v>-7.3348489218433413E-2</v>
      </c>
      <c r="AKL9" s="30">
        <f t="shared" ca="1" si="32"/>
        <v>-7.5871815352846123E-2</v>
      </c>
      <c r="AKM9" s="30">
        <f t="shared" ca="1" si="32"/>
        <v>-1.5814007582216929E-2</v>
      </c>
      <c r="AKN9" s="30">
        <f t="shared" ca="1" si="32"/>
        <v>-2.0936195445894253E-3</v>
      </c>
      <c r="AKO9" s="30">
        <f t="shared" ca="1" si="32"/>
        <v>-2.8959174137564219E-3</v>
      </c>
      <c r="AKP9" s="30">
        <f t="shared" ca="1" si="32"/>
        <v>-2.2271225060453585E-2</v>
      </c>
      <c r="AKQ9" s="30">
        <f t="shared" ca="1" si="32"/>
        <v>-6.0694265471029012E-2</v>
      </c>
      <c r="AKR9" s="30">
        <f t="shared" ca="1" si="32"/>
        <v>-2.5259166223503885E-2</v>
      </c>
      <c r="AKS9" s="30">
        <f t="shared" ca="1" si="32"/>
        <v>-9.6426524888255354E-3</v>
      </c>
      <c r="AKT9" s="30">
        <f t="shared" ca="1" si="32"/>
        <v>-3.1581513488773985E-2</v>
      </c>
      <c r="AKU9" s="30">
        <f t="shared" ca="1" si="32"/>
        <v>1.4835065817499771E-2</v>
      </c>
      <c r="AKV9" s="30">
        <f t="shared" ca="1" si="32"/>
        <v>1.3721416232557591E-2</v>
      </c>
      <c r="AKW9" s="30">
        <f t="shared" ca="1" si="32"/>
        <v>5.4922161059615178E-2</v>
      </c>
      <c r="AKX9" s="30">
        <f t="shared" ca="1" si="32"/>
        <v>-4.3707718331346027E-2</v>
      </c>
      <c r="AKY9" s="30">
        <f t="shared" ca="1" si="32"/>
        <v>1.5495404005329574E-3</v>
      </c>
      <c r="AKZ9" s="30">
        <f t="shared" ca="1" si="32"/>
        <v>-1.7076891073799227E-2</v>
      </c>
      <c r="ALA9" s="30">
        <f t="shared" ca="1" si="32"/>
        <v>-0.10562095723408223</v>
      </c>
      <c r="ALB9" s="30">
        <f t="shared" ca="1" si="32"/>
        <v>5.4728393914643583E-2</v>
      </c>
      <c r="ALC9" s="30">
        <f t="shared" ca="1" si="32"/>
        <v>-4.8015746589461207E-2</v>
      </c>
      <c r="ALD9" s="30">
        <f t="shared" ca="1" si="32"/>
        <v>-6.5432922151197698E-2</v>
      </c>
      <c r="ALE9" s="30">
        <f t="shared" ca="1" si="32"/>
        <v>6.2867329094356619E-2</v>
      </c>
      <c r="ALF9" s="30">
        <f t="shared" ca="1" si="32"/>
        <v>-3.9219791105227268E-2</v>
      </c>
      <c r="ALG9" s="30">
        <f t="shared" ca="1" si="32"/>
        <v>-4.2871095768044147E-2</v>
      </c>
      <c r="ALH9" s="30">
        <f t="shared" ca="1" si="32"/>
        <v>-2.0198577773414387E-2</v>
      </c>
      <c r="ALI9" s="30">
        <f t="shared" ca="1" si="32"/>
        <v>-4.6259180228315433E-2</v>
      </c>
      <c r="ALJ9" s="30">
        <f t="shared" ca="1" si="32"/>
        <v>5.5875827528549049E-3</v>
      </c>
      <c r="ALK9" s="30">
        <f t="shared" ca="1" si="32"/>
        <v>4.4602587816234412E-4</v>
      </c>
      <c r="ALL9" s="30">
        <f t="shared" ca="1" si="32"/>
        <v>-2.5620604874450031E-2</v>
      </c>
      <c r="ALM9" s="30">
        <f t="shared" ca="1" si="32"/>
        <v>3.4572696865073214E-2</v>
      </c>
      <c r="ALN9" s="30">
        <f t="shared" ca="1" si="32"/>
        <v>6.6364871434407863E-2</v>
      </c>
      <c r="ALO9" s="30">
        <f t="shared" ca="1" si="32"/>
        <v>-5.401384475794279E-2</v>
      </c>
      <c r="ALP9" s="30">
        <f t="shared" ca="1" si="32"/>
        <v>-2.9721238385662832E-2</v>
      </c>
      <c r="ALQ9" s="30">
        <f t="shared" ca="1" si="32"/>
        <v>-2.4942380760207373E-2</v>
      </c>
      <c r="ALR9" s="30">
        <f t="shared" ca="1" si="32"/>
        <v>-8.1684156369869754E-3</v>
      </c>
    </row>
    <row r="10" spans="2:1006" s="29" customFormat="1" x14ac:dyDescent="0.2">
      <c r="B10" s="28" t="s">
        <v>1530</v>
      </c>
      <c r="C10" s="43">
        <f>C9^2</f>
        <v>1.6698442273729863E-3</v>
      </c>
      <c r="F10" s="32">
        <f t="shared" si="35"/>
        <v>7</v>
      </c>
      <c r="G10" s="30">
        <f t="shared" ca="1" si="33"/>
        <v>-6.4730893511229265E-2</v>
      </c>
      <c r="H10" s="30">
        <f t="shared" ref="H10:BS13" ca="1" si="51">_xlfn.NORM.INV(RAND(),$C$8,$C$9)</f>
        <v>-3.1256512819766789E-2</v>
      </c>
      <c r="I10" s="30">
        <f t="shared" ca="1" si="51"/>
        <v>3.3377671848159672E-2</v>
      </c>
      <c r="J10" s="30">
        <f t="shared" ca="1" si="51"/>
        <v>3.1141787986048913E-2</v>
      </c>
      <c r="K10" s="30">
        <f t="shared" ca="1" si="51"/>
        <v>6.5578643383029933E-2</v>
      </c>
      <c r="L10" s="30">
        <f t="shared" ca="1" si="51"/>
        <v>-1.1779776398448256E-2</v>
      </c>
      <c r="M10" s="30">
        <f t="shared" ca="1" si="51"/>
        <v>1.2496960650942739E-2</v>
      </c>
      <c r="N10" s="30">
        <f t="shared" ca="1" si="51"/>
        <v>-5.4900562939770789E-2</v>
      </c>
      <c r="O10" s="30">
        <f t="shared" ca="1" si="51"/>
        <v>-5.14660325680436E-2</v>
      </c>
      <c r="P10" s="30">
        <f t="shared" ca="1" si="51"/>
        <v>-2.500166204678908E-2</v>
      </c>
      <c r="Q10" s="30">
        <f t="shared" ca="1" si="51"/>
        <v>-9.4731468061967604E-3</v>
      </c>
      <c r="R10" s="30">
        <f t="shared" ca="1" si="51"/>
        <v>2.8486072319484405E-3</v>
      </c>
      <c r="S10" s="30">
        <f t="shared" ca="1" si="51"/>
        <v>7.926357933938348E-2</v>
      </c>
      <c r="T10" s="30">
        <f t="shared" ca="1" si="51"/>
        <v>6.7696031556794623E-3</v>
      </c>
      <c r="U10" s="30">
        <f t="shared" ca="1" si="51"/>
        <v>-5.3786815580061393E-3</v>
      </c>
      <c r="V10" s="30">
        <f t="shared" ca="1" si="51"/>
        <v>-1.3633695311071826E-2</v>
      </c>
      <c r="W10" s="30">
        <f t="shared" ca="1" si="51"/>
        <v>1.56871101439943E-2</v>
      </c>
      <c r="X10" s="30">
        <f t="shared" ca="1" si="51"/>
        <v>8.651969320775995E-3</v>
      </c>
      <c r="Y10" s="30">
        <f t="shared" ca="1" si="51"/>
        <v>4.5708321047118257E-2</v>
      </c>
      <c r="Z10" s="30">
        <f t="shared" ca="1" si="51"/>
        <v>-3.2404147755622857E-2</v>
      </c>
      <c r="AA10" s="30">
        <f t="shared" ca="1" si="51"/>
        <v>-2.687520439926119E-2</v>
      </c>
      <c r="AB10" s="30">
        <f t="shared" ca="1" si="51"/>
        <v>-8.9565159703708743E-4</v>
      </c>
      <c r="AC10" s="30">
        <f t="shared" ca="1" si="51"/>
        <v>2.2226981656155203E-2</v>
      </c>
      <c r="AD10" s="30">
        <f t="shared" ca="1" si="51"/>
        <v>2.8499184249165109E-2</v>
      </c>
      <c r="AE10" s="30">
        <f t="shared" ca="1" si="51"/>
        <v>-4.381788270906236E-2</v>
      </c>
      <c r="AF10" s="30">
        <f t="shared" ca="1" si="51"/>
        <v>-3.6450619397237601E-2</v>
      </c>
      <c r="AG10" s="30">
        <f t="shared" ca="1" si="51"/>
        <v>-6.9949452996796863E-3</v>
      </c>
      <c r="AH10" s="30">
        <f t="shared" ca="1" si="51"/>
        <v>2.0946065340228175E-2</v>
      </c>
      <c r="AI10" s="30">
        <f t="shared" ca="1" si="51"/>
        <v>-4.8212820251018765E-2</v>
      </c>
      <c r="AJ10" s="30">
        <f t="shared" ca="1" si="51"/>
        <v>-7.1973858717368881E-3</v>
      </c>
      <c r="AK10" s="30">
        <f t="shared" ca="1" si="51"/>
        <v>-5.6248599609151094E-2</v>
      </c>
      <c r="AL10" s="30">
        <f t="shared" ca="1" si="51"/>
        <v>-5.1683925004161564E-3</v>
      </c>
      <c r="AM10" s="30">
        <f t="shared" ca="1" si="51"/>
        <v>-4.1401797646627603E-2</v>
      </c>
      <c r="AN10" s="30">
        <f t="shared" ca="1" si="51"/>
        <v>-1.4819843074884979E-2</v>
      </c>
      <c r="AO10" s="30">
        <f t="shared" ca="1" si="51"/>
        <v>-3.5301685620088535E-2</v>
      </c>
      <c r="AP10" s="30">
        <f t="shared" ca="1" si="51"/>
        <v>1.1287596470825143E-2</v>
      </c>
      <c r="AQ10" s="30">
        <f t="shared" ca="1" si="51"/>
        <v>-4.042894132979083E-2</v>
      </c>
      <c r="AR10" s="30">
        <f t="shared" ca="1" si="51"/>
        <v>-6.0184573503682735E-4</v>
      </c>
      <c r="AS10" s="30">
        <f t="shared" ca="1" si="51"/>
        <v>-2.4729163994912637E-2</v>
      </c>
      <c r="AT10" s="30">
        <f t="shared" ca="1" si="51"/>
        <v>-4.2218720322525376E-2</v>
      </c>
      <c r="AU10" s="30">
        <f t="shared" ca="1" si="51"/>
        <v>5.6195409907894109E-2</v>
      </c>
      <c r="AV10" s="30">
        <f t="shared" ca="1" si="51"/>
        <v>5.090254315435172E-2</v>
      </c>
      <c r="AW10" s="30">
        <f t="shared" ca="1" si="51"/>
        <v>-3.8495597163085017E-2</v>
      </c>
      <c r="AX10" s="30">
        <f t="shared" ca="1" si="51"/>
        <v>1.0233358735558798E-3</v>
      </c>
      <c r="AY10" s="30">
        <f t="shared" ca="1" si="51"/>
        <v>3.6037281332778122E-2</v>
      </c>
      <c r="AZ10" s="30">
        <f t="shared" ca="1" si="51"/>
        <v>8.0729592004955449E-3</v>
      </c>
      <c r="BA10" s="30">
        <f t="shared" ca="1" si="51"/>
        <v>-6.6553344554680753E-3</v>
      </c>
      <c r="BB10" s="30">
        <f t="shared" ca="1" si="51"/>
        <v>5.3618283974158999E-2</v>
      </c>
      <c r="BC10" s="30">
        <f t="shared" ca="1" si="51"/>
        <v>-1.0727702745692841E-2</v>
      </c>
      <c r="BD10" s="30">
        <f t="shared" ca="1" si="51"/>
        <v>-4.7015244449435493E-2</v>
      </c>
      <c r="BE10" s="30">
        <f t="shared" ca="1" si="51"/>
        <v>-5.6301974382514795E-2</v>
      </c>
      <c r="BF10" s="30">
        <f t="shared" ca="1" si="51"/>
        <v>-2.4495044170265441E-2</v>
      </c>
      <c r="BG10" s="30">
        <f t="shared" ca="1" si="51"/>
        <v>1.7712618149821807E-2</v>
      </c>
      <c r="BH10" s="30">
        <f t="shared" ca="1" si="51"/>
        <v>-5.1996739472120003E-2</v>
      </c>
      <c r="BI10" s="30">
        <f t="shared" ca="1" si="51"/>
        <v>-1.6128829302144296E-2</v>
      </c>
      <c r="BJ10" s="30">
        <f t="shared" ca="1" si="51"/>
        <v>-4.013370519683801E-2</v>
      </c>
      <c r="BK10" s="30">
        <f t="shared" ca="1" si="51"/>
        <v>5.0850074703753037E-2</v>
      </c>
      <c r="BL10" s="30">
        <f t="shared" ca="1" si="51"/>
        <v>7.3759357301256781E-2</v>
      </c>
      <c r="BM10" s="30">
        <f t="shared" ca="1" si="51"/>
        <v>-6.7757326803977655E-2</v>
      </c>
      <c r="BN10" s="30">
        <f t="shared" ca="1" si="51"/>
        <v>-2.9704970408945111E-2</v>
      </c>
      <c r="BO10" s="30">
        <f t="shared" ca="1" si="51"/>
        <v>-1.8459906728078089E-3</v>
      </c>
      <c r="BP10" s="30">
        <f t="shared" ca="1" si="51"/>
        <v>-3.9430626233936381E-2</v>
      </c>
      <c r="BQ10" s="30">
        <f t="shared" ca="1" si="51"/>
        <v>5.0763219010279359E-2</v>
      </c>
      <c r="BR10" s="30">
        <f t="shared" ca="1" si="51"/>
        <v>-1.4766285471532293E-2</v>
      </c>
      <c r="BS10" s="30">
        <f t="shared" ca="1" si="51"/>
        <v>-2.0318159796637827E-2</v>
      </c>
      <c r="BT10" s="30">
        <f t="shared" ca="1" si="50"/>
        <v>3.6818236840927041E-2</v>
      </c>
      <c r="BU10" s="30">
        <f t="shared" ca="1" si="50"/>
        <v>7.2244210712316778E-2</v>
      </c>
      <c r="BV10" s="30">
        <f t="shared" ca="1" si="50"/>
        <v>5.4263116794422458E-2</v>
      </c>
      <c r="BW10" s="30">
        <f t="shared" ca="1" si="50"/>
        <v>-6.4182731943859487E-3</v>
      </c>
      <c r="BX10" s="30">
        <f t="shared" ca="1" si="50"/>
        <v>-7.2566936742855748E-2</v>
      </c>
      <c r="BY10" s="30">
        <f t="shared" ca="1" si="50"/>
        <v>-5.9849952834396848E-2</v>
      </c>
      <c r="BZ10" s="30">
        <f t="shared" ca="1" si="50"/>
        <v>-1.8833849515225699E-2</v>
      </c>
      <c r="CA10" s="30">
        <f t="shared" ca="1" si="50"/>
        <v>4.6316332914481652E-2</v>
      </c>
      <c r="CB10" s="30">
        <f t="shared" ca="1" si="50"/>
        <v>-5.2175548102119601E-3</v>
      </c>
      <c r="CC10" s="30">
        <f t="shared" ca="1" si="50"/>
        <v>5.870276305003843E-2</v>
      </c>
      <c r="CD10" s="30">
        <f t="shared" ca="1" si="50"/>
        <v>-1.6332560376015902E-2</v>
      </c>
      <c r="CE10" s="30">
        <f t="shared" ca="1" si="50"/>
        <v>1.6776844758192192E-2</v>
      </c>
      <c r="CF10" s="30">
        <f t="shared" ca="1" si="50"/>
        <v>-1.1889707833516027E-3</v>
      </c>
      <c r="CG10" s="30">
        <f t="shared" ca="1" si="50"/>
        <v>-8.9854940192233987E-2</v>
      </c>
      <c r="CH10" s="30">
        <f t="shared" ca="1" si="50"/>
        <v>5.74205835780535E-3</v>
      </c>
      <c r="CI10" s="30">
        <f t="shared" ca="1" si="50"/>
        <v>6.8018339728158711E-2</v>
      </c>
      <c r="CJ10" s="30">
        <f t="shared" ca="1" si="50"/>
        <v>2.7131236266515767E-2</v>
      </c>
      <c r="CK10" s="30">
        <f t="shared" ca="1" si="50"/>
        <v>-1.8475840786607346E-2</v>
      </c>
      <c r="CL10" s="30">
        <f t="shared" ca="1" si="50"/>
        <v>-4.0985800734597375E-3</v>
      </c>
      <c r="CM10" s="30">
        <f t="shared" ca="1" si="50"/>
        <v>-1.6198384883309035E-3</v>
      </c>
      <c r="CN10" s="30">
        <f t="shared" ca="1" si="50"/>
        <v>1.5332515360437423E-2</v>
      </c>
      <c r="CO10" s="30">
        <f t="shared" ca="1" si="50"/>
        <v>-3.0316520502651594E-2</v>
      </c>
      <c r="CP10" s="30">
        <f t="shared" ca="1" si="50"/>
        <v>-3.9833843125014409E-2</v>
      </c>
      <c r="CQ10" s="30">
        <f t="shared" ca="1" si="50"/>
        <v>-2.4437297145703182E-2</v>
      </c>
      <c r="CR10" s="30">
        <f t="shared" ca="1" si="50"/>
        <v>-1.0726165603910412E-2</v>
      </c>
      <c r="CS10" s="30">
        <f t="shared" ca="1" si="50"/>
        <v>-1.3650580330350926E-2</v>
      </c>
      <c r="CT10" s="30">
        <f t="shared" ca="1" si="50"/>
        <v>-8.4705550925269865E-2</v>
      </c>
      <c r="CU10" s="30">
        <f t="shared" ca="1" si="50"/>
        <v>1.0057235845891428E-2</v>
      </c>
      <c r="CV10" s="30">
        <f t="shared" ca="1" si="50"/>
        <v>4.2547419744193821E-2</v>
      </c>
      <c r="CW10" s="30">
        <f t="shared" ca="1" si="50"/>
        <v>2.1591740108777443E-3</v>
      </c>
      <c r="CX10" s="30">
        <f t="shared" ca="1" si="50"/>
        <v>-1.3810131240893917E-3</v>
      </c>
      <c r="CY10" s="30">
        <f t="shared" ca="1" si="50"/>
        <v>-3.8243660468585135E-2</v>
      </c>
      <c r="CZ10" s="30">
        <f t="shared" ca="1" si="50"/>
        <v>1.269286130798576E-2</v>
      </c>
      <c r="DA10" s="30">
        <f t="shared" ca="1" si="50"/>
        <v>-2.9898575154239625E-2</v>
      </c>
      <c r="DB10" s="30">
        <f t="shared" ca="1" si="50"/>
        <v>-3.2893099096748028E-2</v>
      </c>
      <c r="DC10" s="30">
        <f t="shared" ca="1" si="50"/>
        <v>5.2767044028642178E-3</v>
      </c>
      <c r="DD10" s="30">
        <f t="shared" ca="1" si="50"/>
        <v>4.0842316349305012E-2</v>
      </c>
      <c r="DE10" s="30">
        <f t="shared" ca="1" si="50"/>
        <v>7.7933200159853149E-3</v>
      </c>
      <c r="DF10" s="30">
        <f t="shared" ca="1" si="50"/>
        <v>3.8251750273466346E-3</v>
      </c>
      <c r="DG10" s="30">
        <f t="shared" ca="1" si="50"/>
        <v>1.2120588638160033E-2</v>
      </c>
      <c r="DH10" s="30">
        <f t="shared" ca="1" si="50"/>
        <v>-2.5921129061969677E-2</v>
      </c>
      <c r="DI10" s="30">
        <f t="shared" ca="1" si="50"/>
        <v>-1.6177848819026557E-2</v>
      </c>
      <c r="DJ10" s="30">
        <f t="shared" ca="1" si="50"/>
        <v>6.555320932142665E-4</v>
      </c>
      <c r="DK10" s="30">
        <f t="shared" ca="1" si="50"/>
        <v>-2.0570433068857353E-2</v>
      </c>
      <c r="DL10" s="30">
        <f t="shared" ca="1" si="50"/>
        <v>5.8549913456751604E-2</v>
      </c>
      <c r="DM10" s="30">
        <f t="shared" ca="1" si="50"/>
        <v>-4.4944731210699425E-2</v>
      </c>
      <c r="DN10" s="30">
        <f t="shared" ca="1" si="50"/>
        <v>-4.6272781242023891E-3</v>
      </c>
      <c r="DO10" s="30">
        <f t="shared" ca="1" si="50"/>
        <v>2.6933708800908337E-2</v>
      </c>
      <c r="DP10" s="30">
        <f t="shared" ca="1" si="50"/>
        <v>1.7898040950196845E-2</v>
      </c>
      <c r="DQ10" s="30">
        <f t="shared" ca="1" si="50"/>
        <v>-3.4450691397954029E-3</v>
      </c>
      <c r="DR10" s="30">
        <f t="shared" ca="1" si="50"/>
        <v>-4.4439507287586076E-2</v>
      </c>
      <c r="DS10" s="30">
        <f t="shared" ca="1" si="50"/>
        <v>-8.3531123002846485E-4</v>
      </c>
      <c r="DT10" s="30">
        <f t="shared" ca="1" si="50"/>
        <v>8.1699689470470238E-2</v>
      </c>
      <c r="DU10" s="30">
        <f t="shared" ca="1" si="50"/>
        <v>5.6309946145404279E-2</v>
      </c>
      <c r="DV10" s="30">
        <f t="shared" ca="1" si="50"/>
        <v>4.4351992166064315E-2</v>
      </c>
      <c r="DW10" s="30">
        <f t="shared" ca="1" si="50"/>
        <v>1.8541856737301472E-2</v>
      </c>
      <c r="DX10" s="30">
        <f t="shared" ca="1" si="50"/>
        <v>-1.3496374483941726E-3</v>
      </c>
      <c r="DY10" s="30">
        <f t="shared" ca="1" si="50"/>
        <v>-2.1838873446182142E-2</v>
      </c>
      <c r="DZ10" s="30">
        <f t="shared" ca="1" si="50"/>
        <v>-4.8066436746928058E-2</v>
      </c>
      <c r="EA10" s="30">
        <f t="shared" ca="1" si="50"/>
        <v>4.8057936085427605E-3</v>
      </c>
      <c r="EB10" s="30">
        <f t="shared" ca="1" si="50"/>
        <v>4.2736794412874937E-2</v>
      </c>
      <c r="EC10" s="30">
        <f t="shared" ca="1" si="50"/>
        <v>2.1911912327862989E-2</v>
      </c>
      <c r="ED10" s="30">
        <f t="shared" ca="1" si="50"/>
        <v>5.0605405701872989E-2</v>
      </c>
      <c r="EE10" s="30">
        <f t="shared" ca="1" si="43"/>
        <v>-6.3110113878548743E-2</v>
      </c>
      <c r="EF10" s="30">
        <f t="shared" ca="1" si="36"/>
        <v>5.2688229754592045E-2</v>
      </c>
      <c r="EG10" s="30">
        <f t="shared" ca="1" si="36"/>
        <v>-1.925271100512815E-2</v>
      </c>
      <c r="EH10" s="30">
        <f t="shared" ca="1" si="36"/>
        <v>5.5357519403842551E-2</v>
      </c>
      <c r="EI10" s="30">
        <f t="shared" ca="1" si="36"/>
        <v>-7.2827288591427397E-2</v>
      </c>
      <c r="EJ10" s="30">
        <f t="shared" ca="1" si="36"/>
        <v>-8.9557297310228975E-3</v>
      </c>
      <c r="EK10" s="30">
        <f t="shared" ca="1" si="36"/>
        <v>-2.2795018496857965E-2</v>
      </c>
      <c r="EL10" s="30">
        <f t="shared" ca="1" si="36"/>
        <v>2.6486295647125093E-2</v>
      </c>
      <c r="EM10" s="30">
        <f t="shared" ca="1" si="36"/>
        <v>7.8283656955954267E-2</v>
      </c>
      <c r="EN10" s="30">
        <f t="shared" ca="1" si="36"/>
        <v>1.2198651890205702E-2</v>
      </c>
      <c r="EO10" s="30">
        <f t="shared" ca="1" si="36"/>
        <v>-2.005462623400249E-2</v>
      </c>
      <c r="EP10" s="30">
        <f t="shared" ca="1" si="36"/>
        <v>5.0348761439169915E-2</v>
      </c>
      <c r="EQ10" s="30">
        <f t="shared" ca="1" si="36"/>
        <v>-1.1480034172403021E-2</v>
      </c>
      <c r="ER10" s="30">
        <f t="shared" ca="1" si="36"/>
        <v>-7.4364555488274628E-2</v>
      </c>
      <c r="ES10" s="30">
        <f t="shared" ca="1" si="36"/>
        <v>9.0420166096813692E-2</v>
      </c>
      <c r="ET10" s="30">
        <f t="shared" ca="1" si="36"/>
        <v>2.2464791951848664E-2</v>
      </c>
      <c r="EU10" s="30">
        <f t="shared" ca="1" si="36"/>
        <v>-7.3532376225404691E-3</v>
      </c>
      <c r="EV10" s="30">
        <f t="shared" ca="1" si="36"/>
        <v>8.1287135224420472E-3</v>
      </c>
      <c r="EW10" s="30">
        <f t="shared" ca="1" si="36"/>
        <v>-3.3301885244442227E-2</v>
      </c>
      <c r="EX10" s="30">
        <f t="shared" ca="1" si="36"/>
        <v>-1.3814847175189877E-3</v>
      </c>
      <c r="EY10" s="30">
        <f t="shared" ca="1" si="36"/>
        <v>-1.6269161759077101E-2</v>
      </c>
      <c r="EZ10" s="30">
        <f t="shared" ca="1" si="36"/>
        <v>-2.8003353718441801E-2</v>
      </c>
      <c r="FA10" s="30">
        <f t="shared" ca="1" si="36"/>
        <v>-7.1286986200609238E-3</v>
      </c>
      <c r="FB10" s="30">
        <f t="shared" ca="1" si="36"/>
        <v>-5.7392853264923695E-2</v>
      </c>
      <c r="FC10" s="30">
        <f t="shared" ca="1" si="36"/>
        <v>-2.8917247501924096E-2</v>
      </c>
      <c r="FD10" s="30">
        <f t="shared" ca="1" si="36"/>
        <v>-1.2517732926549743E-4</v>
      </c>
      <c r="FE10" s="30">
        <f t="shared" ca="1" si="36"/>
        <v>9.7525569508849413E-2</v>
      </c>
      <c r="FF10" s="30">
        <f t="shared" ca="1" si="36"/>
        <v>-2.4848947282098004E-2</v>
      </c>
      <c r="FG10" s="30">
        <f t="shared" ca="1" si="36"/>
        <v>-4.2162207275174807E-2</v>
      </c>
      <c r="FH10" s="30">
        <f t="shared" ca="1" si="36"/>
        <v>3.1944214009746182E-2</v>
      </c>
      <c r="FI10" s="30">
        <f t="shared" ca="1" si="36"/>
        <v>4.0667997533338739E-2</v>
      </c>
      <c r="FJ10" s="30">
        <f t="shared" ca="1" si="36"/>
        <v>-8.3650199369008083E-3</v>
      </c>
      <c r="FK10" s="30">
        <f t="shared" ca="1" si="36"/>
        <v>-4.5357294504585415E-2</v>
      </c>
      <c r="FL10" s="30">
        <f t="shared" ca="1" si="36"/>
        <v>3.7434060615134622E-2</v>
      </c>
      <c r="FM10" s="30">
        <f t="shared" ca="1" si="36"/>
        <v>-3.1559365957566929E-3</v>
      </c>
      <c r="FN10" s="30">
        <f t="shared" ca="1" si="36"/>
        <v>-1.7944481739968942E-2</v>
      </c>
      <c r="FO10" s="30">
        <f t="shared" ca="1" si="36"/>
        <v>-1.6425293366739669E-3</v>
      </c>
      <c r="FP10" s="30">
        <f t="shared" ca="1" si="36"/>
        <v>-4.0069859434153525E-2</v>
      </c>
      <c r="FQ10" s="30">
        <f t="shared" ca="1" si="36"/>
        <v>5.8779802381119191E-2</v>
      </c>
      <c r="FR10" s="30">
        <f t="shared" ca="1" si="36"/>
        <v>5.3648047631702181E-2</v>
      </c>
      <c r="FS10" s="30">
        <f t="shared" ca="1" si="36"/>
        <v>-3.3711519437508872E-2</v>
      </c>
      <c r="FT10" s="30">
        <f t="shared" ca="1" si="36"/>
        <v>2.1923038979394922E-2</v>
      </c>
      <c r="FU10" s="30">
        <f t="shared" ca="1" si="36"/>
        <v>-1.260277160533093E-2</v>
      </c>
      <c r="FV10" s="30">
        <f t="shared" ca="1" si="36"/>
        <v>-8.2694933236232265E-3</v>
      </c>
      <c r="FW10" s="30">
        <f t="shared" ca="1" si="36"/>
        <v>6.9974576873558694E-2</v>
      </c>
      <c r="FX10" s="30">
        <f t="shared" ca="1" si="36"/>
        <v>-3.6708196778433663E-2</v>
      </c>
      <c r="FY10" s="30">
        <f t="shared" ca="1" si="36"/>
        <v>-3.1979362811272755E-2</v>
      </c>
      <c r="FZ10" s="30">
        <f t="shared" ca="1" si="36"/>
        <v>-1.1772324526486863E-2</v>
      </c>
      <c r="GA10" s="30">
        <f t="shared" ca="1" si="36"/>
        <v>3.6519755384374832E-2</v>
      </c>
      <c r="GB10" s="30">
        <f t="shared" ca="1" si="36"/>
        <v>-2.2722574514382018E-2</v>
      </c>
      <c r="GC10" s="30">
        <f t="shared" ca="1" si="36"/>
        <v>-4.7490276025035534E-2</v>
      </c>
      <c r="GD10" s="30">
        <f t="shared" ca="1" si="36"/>
        <v>3.9956569369378372E-2</v>
      </c>
      <c r="GE10" s="30">
        <f t="shared" ca="1" si="36"/>
        <v>2.461141438508891E-2</v>
      </c>
      <c r="GF10" s="30">
        <f t="shared" ca="1" si="36"/>
        <v>-0.10613564029813469</v>
      </c>
      <c r="GG10" s="30">
        <f t="shared" ca="1" si="36"/>
        <v>6.892127918637013E-2</v>
      </c>
      <c r="GH10" s="30">
        <f t="shared" ca="1" si="36"/>
        <v>4.80775848043139E-2</v>
      </c>
      <c r="GI10" s="30">
        <f t="shared" ca="1" si="36"/>
        <v>-9.2710651626383908E-3</v>
      </c>
      <c r="GJ10" s="30">
        <f t="shared" ca="1" si="36"/>
        <v>1.6026766928724928E-2</v>
      </c>
      <c r="GK10" s="30">
        <f t="shared" ca="1" si="36"/>
        <v>-1.0873789685168262E-2</v>
      </c>
      <c r="GL10" s="30">
        <f t="shared" ca="1" si="36"/>
        <v>-3.06295874565197E-3</v>
      </c>
      <c r="GM10" s="30">
        <f t="shared" ca="1" si="36"/>
        <v>3.5574485028955858E-3</v>
      </c>
      <c r="GN10" s="30">
        <f t="shared" ca="1" si="36"/>
        <v>-3.1995363850550719E-2</v>
      </c>
      <c r="GO10" s="30">
        <f t="shared" ca="1" si="36"/>
        <v>2.4771196644115381E-2</v>
      </c>
      <c r="GP10" s="30">
        <f t="shared" ca="1" si="36"/>
        <v>6.5653384166287035E-2</v>
      </c>
      <c r="GQ10" s="30">
        <f t="shared" ca="1" si="19"/>
        <v>3.9224381110094214E-2</v>
      </c>
      <c r="GR10" s="30">
        <f t="shared" ca="1" si="44"/>
        <v>-1.7483267205355608E-2</v>
      </c>
      <c r="GS10" s="30">
        <f t="shared" ca="1" si="44"/>
        <v>8.6401546990517008E-3</v>
      </c>
      <c r="GT10" s="30">
        <f t="shared" ca="1" si="44"/>
        <v>-3.350170998732354E-2</v>
      </c>
      <c r="GU10" s="30">
        <f t="shared" ca="1" si="44"/>
        <v>8.8834196495348218E-3</v>
      </c>
      <c r="GV10" s="30">
        <f t="shared" ca="1" si="44"/>
        <v>1.7278955163404792E-2</v>
      </c>
      <c r="GW10" s="30">
        <f t="shared" ca="1" si="44"/>
        <v>4.8625808160010719E-2</v>
      </c>
      <c r="GX10" s="30">
        <f t="shared" ca="1" si="44"/>
        <v>-6.0907441729783643E-2</v>
      </c>
      <c r="GY10" s="30">
        <f t="shared" ca="1" si="44"/>
        <v>8.9020131411475162E-2</v>
      </c>
      <c r="GZ10" s="30">
        <f t="shared" ca="1" si="44"/>
        <v>-8.8598762293452642E-3</v>
      </c>
      <c r="HA10" s="30">
        <f t="shared" ca="1" si="44"/>
        <v>-9.5884112328860197E-4</v>
      </c>
      <c r="HB10" s="30">
        <f t="shared" ca="1" si="44"/>
        <v>3.8701805546789828E-2</v>
      </c>
      <c r="HC10" s="30">
        <f t="shared" ca="1" si="44"/>
        <v>4.9448228657424757E-2</v>
      </c>
      <c r="HD10" s="30">
        <f t="shared" ca="1" si="44"/>
        <v>-1.678438002603317E-2</v>
      </c>
      <c r="HE10" s="30">
        <f t="shared" ca="1" si="44"/>
        <v>9.842537470837371E-3</v>
      </c>
      <c r="HF10" s="30">
        <f t="shared" ca="1" si="44"/>
        <v>-1.2588619179813752E-3</v>
      </c>
      <c r="HG10" s="30">
        <f t="shared" ca="1" si="44"/>
        <v>-5.3936813283347922E-2</v>
      </c>
      <c r="HH10" s="30">
        <f t="shared" ca="1" si="44"/>
        <v>-4.2244034587034324E-2</v>
      </c>
      <c r="HI10" s="30">
        <f t="shared" ca="1" si="44"/>
        <v>1.4406838851545485E-2</v>
      </c>
      <c r="HJ10" s="30">
        <f t="shared" ca="1" si="44"/>
        <v>-6.4700883810032399E-3</v>
      </c>
      <c r="HK10" s="30">
        <f t="shared" ca="1" si="44"/>
        <v>4.1996304235616608E-2</v>
      </c>
      <c r="HL10" s="30">
        <f t="shared" ca="1" si="44"/>
        <v>-2.1738236854626711E-2</v>
      </c>
      <c r="HM10" s="30">
        <f t="shared" ca="1" si="44"/>
        <v>1.4635960309811723E-2</v>
      </c>
      <c r="HN10" s="30">
        <f t="shared" ca="1" si="44"/>
        <v>-9.5286715831077676E-3</v>
      </c>
      <c r="HO10" s="30">
        <f t="shared" ca="1" si="44"/>
        <v>3.0508350710322894E-2</v>
      </c>
      <c r="HP10" s="30">
        <f t="shared" ca="1" si="44"/>
        <v>1.3627314262701043E-2</v>
      </c>
      <c r="HQ10" s="30">
        <f t="shared" ca="1" si="44"/>
        <v>-5.3475859259412693E-2</v>
      </c>
      <c r="HR10" s="30">
        <f t="shared" ca="1" si="44"/>
        <v>1.8040481298902258E-2</v>
      </c>
      <c r="HS10" s="30">
        <f t="shared" ca="1" si="44"/>
        <v>5.3791235371612088E-2</v>
      </c>
      <c r="HT10" s="30">
        <f t="shared" ca="1" si="44"/>
        <v>2.3683962962547232E-2</v>
      </c>
      <c r="HU10" s="30">
        <f t="shared" ca="1" si="44"/>
        <v>-1.1130190547207232E-3</v>
      </c>
      <c r="HV10" s="30">
        <f t="shared" ca="1" si="44"/>
        <v>1.4490980493343701E-2</v>
      </c>
      <c r="HW10" s="30">
        <f t="shared" ca="1" si="44"/>
        <v>-4.1381983934680629E-2</v>
      </c>
      <c r="HX10" s="30">
        <f t="shared" ca="1" si="44"/>
        <v>5.167681677149058E-2</v>
      </c>
      <c r="HY10" s="30">
        <f t="shared" ca="1" si="44"/>
        <v>8.8897973018353688E-3</v>
      </c>
      <c r="HZ10" s="30">
        <f t="shared" ca="1" si="44"/>
        <v>2.2675513748568108E-2</v>
      </c>
      <c r="IA10" s="30">
        <f t="shared" ca="1" si="44"/>
        <v>-1.0558755673530394E-2</v>
      </c>
      <c r="IB10" s="30">
        <f t="shared" ca="1" si="44"/>
        <v>-3.5026448089912954E-2</v>
      </c>
      <c r="IC10" s="30">
        <f t="shared" ca="1" si="44"/>
        <v>3.0344011807651731E-2</v>
      </c>
      <c r="ID10" s="30">
        <f t="shared" ca="1" si="44"/>
        <v>-1.5481722070002413E-2</v>
      </c>
      <c r="IE10" s="30">
        <f t="shared" ca="1" si="44"/>
        <v>-4.3365877620529777E-2</v>
      </c>
      <c r="IF10" s="30">
        <f t="shared" ca="1" si="44"/>
        <v>2.7507255235658064E-2</v>
      </c>
      <c r="IG10" s="30">
        <f t="shared" ca="1" si="44"/>
        <v>-1.844085885714189E-2</v>
      </c>
      <c r="IH10" s="30">
        <f t="shared" ca="1" si="44"/>
        <v>2.0080567782178683E-2</v>
      </c>
      <c r="II10" s="30">
        <f t="shared" ca="1" si="44"/>
        <v>2.5081263518653942E-2</v>
      </c>
      <c r="IJ10" s="30">
        <f t="shared" ca="1" si="44"/>
        <v>7.1035501248579113E-4</v>
      </c>
      <c r="IK10" s="30">
        <f t="shared" ca="1" si="44"/>
        <v>0.1061144162244575</v>
      </c>
      <c r="IL10" s="30">
        <f t="shared" ca="1" si="44"/>
        <v>-9.2713548189016115E-2</v>
      </c>
      <c r="IM10" s="30">
        <f t="shared" ca="1" si="44"/>
        <v>-0.10506010840382529</v>
      </c>
      <c r="IN10" s="30">
        <f t="shared" ca="1" si="44"/>
        <v>1.9964323062062743E-2</v>
      </c>
      <c r="IO10" s="30">
        <f t="shared" ca="1" si="44"/>
        <v>-2.2543243988852723E-3</v>
      </c>
      <c r="IP10" s="30">
        <f t="shared" ca="1" si="44"/>
        <v>-2.0676491125940992E-2</v>
      </c>
      <c r="IQ10" s="30">
        <f t="shared" ca="1" si="44"/>
        <v>-9.5190776871526533E-3</v>
      </c>
      <c r="IR10" s="30">
        <f t="shared" ca="1" si="44"/>
        <v>4.3976626737745238E-2</v>
      </c>
      <c r="IS10" s="30">
        <f t="shared" ca="1" si="44"/>
        <v>1.007492754420535E-2</v>
      </c>
      <c r="IT10" s="30">
        <f t="shared" ca="1" si="44"/>
        <v>1.8015856271189963E-2</v>
      </c>
      <c r="IU10" s="30">
        <f t="shared" ca="1" si="44"/>
        <v>3.5673781650955499E-2</v>
      </c>
      <c r="IV10" s="30">
        <f t="shared" ca="1" si="44"/>
        <v>3.170691516067084E-2</v>
      </c>
      <c r="IW10" s="30">
        <f t="shared" ca="1" si="44"/>
        <v>4.6166049201095492E-3</v>
      </c>
      <c r="IX10" s="30">
        <f t="shared" ca="1" si="44"/>
        <v>1.0967193565866127E-2</v>
      </c>
      <c r="IY10" s="30">
        <f t="shared" ca="1" si="44"/>
        <v>-2.5110563762088686E-2</v>
      </c>
      <c r="IZ10" s="30">
        <f t="shared" ca="1" si="44"/>
        <v>5.6007386027592899E-2</v>
      </c>
      <c r="JA10" s="30">
        <f t="shared" ca="1" si="44"/>
        <v>1.5473134969515988E-2</v>
      </c>
      <c r="JB10" s="30">
        <f t="shared" ca="1" si="44"/>
        <v>8.3485968794601767E-2</v>
      </c>
      <c r="JC10" s="30">
        <f t="shared" ca="1" si="44"/>
        <v>-4.3173443048932975E-2</v>
      </c>
      <c r="JD10" s="30">
        <f t="shared" ca="1" si="37"/>
        <v>7.882825211333272E-2</v>
      </c>
      <c r="JE10" s="30">
        <f t="shared" ca="1" si="37"/>
        <v>1.9211580672600789E-3</v>
      </c>
      <c r="JF10" s="30">
        <f t="shared" ca="1" si="37"/>
        <v>4.5497170691759289E-3</v>
      </c>
      <c r="JG10" s="30">
        <f t="shared" ca="1" si="37"/>
        <v>-1.0020965499811655E-2</v>
      </c>
      <c r="JH10" s="30">
        <f t="shared" ca="1" si="37"/>
        <v>-9.943792660838861E-3</v>
      </c>
      <c r="JI10" s="30">
        <f t="shared" ca="1" si="37"/>
        <v>3.6622788938129834E-2</v>
      </c>
      <c r="JJ10" s="30">
        <f t="shared" ca="1" si="37"/>
        <v>-1.9765798542483542E-2</v>
      </c>
      <c r="JK10" s="30">
        <f t="shared" ca="1" si="37"/>
        <v>-6.3191222913569073E-3</v>
      </c>
      <c r="JL10" s="30">
        <f t="shared" ca="1" si="37"/>
        <v>2.7676552879559477E-2</v>
      </c>
      <c r="JM10" s="30">
        <f t="shared" ca="1" si="37"/>
        <v>3.1430070483968529E-2</v>
      </c>
      <c r="JN10" s="30">
        <f t="shared" ca="1" si="37"/>
        <v>-7.3888328517601826E-2</v>
      </c>
      <c r="JO10" s="30">
        <f t="shared" ca="1" si="37"/>
        <v>-2.1301442647560634E-2</v>
      </c>
      <c r="JP10" s="30">
        <f t="shared" ca="1" si="37"/>
        <v>-4.9168982260885466E-3</v>
      </c>
      <c r="JQ10" s="30">
        <f t="shared" ca="1" si="37"/>
        <v>1.3122798737302257E-2</v>
      </c>
      <c r="JR10" s="30">
        <f t="shared" ca="1" si="37"/>
        <v>8.6055928636104301E-3</v>
      </c>
      <c r="JS10" s="30">
        <f t="shared" ca="1" si="37"/>
        <v>-7.0211466625430957E-3</v>
      </c>
      <c r="JT10" s="30">
        <f t="shared" ca="1" si="37"/>
        <v>2.2245092293667855E-2</v>
      </c>
      <c r="JU10" s="30">
        <f t="shared" ca="1" si="37"/>
        <v>2.9275115553228259E-2</v>
      </c>
      <c r="JV10" s="30">
        <f t="shared" ca="1" si="37"/>
        <v>-5.9537305029728101E-2</v>
      </c>
      <c r="JW10" s="30">
        <f t="shared" ca="1" si="37"/>
        <v>6.0263180287499427E-2</v>
      </c>
      <c r="JX10" s="30">
        <f t="shared" ca="1" si="37"/>
        <v>-1.7794781460734699E-2</v>
      </c>
      <c r="JY10" s="30">
        <f t="shared" ca="1" si="37"/>
        <v>2.7310504381941263E-2</v>
      </c>
      <c r="JZ10" s="30">
        <f t="shared" ca="1" si="37"/>
        <v>-1.001797882513597E-2</v>
      </c>
      <c r="KA10" s="30">
        <f t="shared" ca="1" si="37"/>
        <v>6.5289268902168712E-2</v>
      </c>
      <c r="KB10" s="30">
        <f t="shared" ca="1" si="37"/>
        <v>-4.7253864881866878E-2</v>
      </c>
      <c r="KC10" s="30">
        <f t="shared" ca="1" si="37"/>
        <v>0.10284340860735204</v>
      </c>
      <c r="KD10" s="30">
        <f t="shared" ca="1" si="37"/>
        <v>-8.1532369203548463E-2</v>
      </c>
      <c r="KE10" s="30">
        <f t="shared" ca="1" si="37"/>
        <v>1.8199315814162547E-2</v>
      </c>
      <c r="KF10" s="30">
        <f t="shared" ca="1" si="37"/>
        <v>-1.9722919921266329E-2</v>
      </c>
      <c r="KG10" s="30">
        <f t="shared" ca="1" si="37"/>
        <v>-1.0668470213883913E-2</v>
      </c>
      <c r="KH10" s="30">
        <f t="shared" ca="1" si="37"/>
        <v>3.5690013704956551E-2</v>
      </c>
      <c r="KI10" s="30">
        <f t="shared" ca="1" si="37"/>
        <v>-1.927806374591539E-2</v>
      </c>
      <c r="KJ10" s="30">
        <f t="shared" ca="1" si="37"/>
        <v>-9.6176591556473776E-3</v>
      </c>
      <c r="KK10" s="30">
        <f t="shared" ca="1" si="37"/>
        <v>-3.7128632034842034E-2</v>
      </c>
      <c r="KL10" s="30">
        <f t="shared" ca="1" si="37"/>
        <v>-1.0676878103173805E-2</v>
      </c>
      <c r="KM10" s="30">
        <f t="shared" ca="1" si="37"/>
        <v>3.1645887367858255E-2</v>
      </c>
      <c r="KN10" s="30">
        <f t="shared" ca="1" si="37"/>
        <v>3.7227994055744791E-2</v>
      </c>
      <c r="KO10" s="30">
        <f t="shared" ca="1" si="37"/>
        <v>-7.6018509341206353E-3</v>
      </c>
      <c r="KP10" s="30">
        <f t="shared" ca="1" si="37"/>
        <v>5.053244863079074E-2</v>
      </c>
      <c r="KQ10" s="30">
        <f t="shared" ca="1" si="37"/>
        <v>-1.9760617877310396E-2</v>
      </c>
      <c r="KR10" s="30">
        <f t="shared" ca="1" si="37"/>
        <v>2.6167141611259038E-2</v>
      </c>
      <c r="KS10" s="30">
        <f t="shared" ca="1" si="37"/>
        <v>5.0318905673430406E-2</v>
      </c>
      <c r="KT10" s="30">
        <f t="shared" ca="1" si="37"/>
        <v>4.2978527857700365E-2</v>
      </c>
      <c r="KU10" s="30">
        <f t="shared" ca="1" si="37"/>
        <v>8.9745047583348378E-2</v>
      </c>
      <c r="KV10" s="30">
        <f t="shared" ca="1" si="37"/>
        <v>-4.5442411150933448E-2</v>
      </c>
      <c r="KW10" s="30">
        <f t="shared" ca="1" si="37"/>
        <v>9.5757268187309688E-2</v>
      </c>
      <c r="KX10" s="30">
        <f t="shared" ca="1" si="37"/>
        <v>-1.6923437171638377E-2</v>
      </c>
      <c r="KY10" s="30">
        <f t="shared" ca="1" si="37"/>
        <v>1.9137745827664285E-2</v>
      </c>
      <c r="KZ10" s="30">
        <f t="shared" ca="1" si="37"/>
        <v>6.7142583788846757E-2</v>
      </c>
      <c r="LA10" s="30">
        <f t="shared" ca="1" si="37"/>
        <v>1.4290974865324439E-2</v>
      </c>
      <c r="LB10" s="30">
        <f t="shared" ca="1" si="37"/>
        <v>3.5510855601521701E-2</v>
      </c>
      <c r="LC10" s="30">
        <f t="shared" ca="1" si="37"/>
        <v>5.4031370239775008E-2</v>
      </c>
      <c r="LD10" s="30">
        <f t="shared" ca="1" si="37"/>
        <v>3.7207280940951784E-2</v>
      </c>
      <c r="LE10" s="30">
        <f t="shared" ca="1" si="37"/>
        <v>-3.8736608301452091E-2</v>
      </c>
      <c r="LF10" s="30">
        <f t="shared" ca="1" si="37"/>
        <v>4.2697255028517199E-2</v>
      </c>
      <c r="LG10" s="30">
        <f t="shared" ca="1" si="37"/>
        <v>4.82381102056091E-2</v>
      </c>
      <c r="LH10" s="30">
        <f t="shared" ca="1" si="37"/>
        <v>6.694974939169851E-2</v>
      </c>
      <c r="LI10" s="30">
        <f t="shared" ca="1" si="37"/>
        <v>-3.3038097257421545E-2</v>
      </c>
      <c r="LJ10" s="30">
        <f t="shared" ca="1" si="37"/>
        <v>-0.10217969357403077</v>
      </c>
      <c r="LK10" s="30">
        <f t="shared" ca="1" si="37"/>
        <v>-2.9797358667228782E-2</v>
      </c>
      <c r="LL10" s="30">
        <f t="shared" ca="1" si="37"/>
        <v>-4.356507028532268E-2</v>
      </c>
      <c r="LM10" s="30">
        <f t="shared" ca="1" si="37"/>
        <v>-9.1176647537428469E-3</v>
      </c>
      <c r="LN10" s="30">
        <f t="shared" ca="1" si="37"/>
        <v>-2.3045927709550273E-2</v>
      </c>
      <c r="LO10" s="30">
        <f t="shared" ca="1" si="21"/>
        <v>-8.9963810539135075E-2</v>
      </c>
      <c r="LP10" s="30">
        <f t="shared" ca="1" si="45"/>
        <v>-7.4023197098771434E-2</v>
      </c>
      <c r="LQ10" s="30">
        <f t="shared" ca="1" si="45"/>
        <v>-1.8032699244294431E-2</v>
      </c>
      <c r="LR10" s="30">
        <f t="shared" ca="1" si="45"/>
        <v>-5.8929431464660377E-2</v>
      </c>
      <c r="LS10" s="30">
        <f t="shared" ca="1" si="45"/>
        <v>1.1777009256962226E-2</v>
      </c>
      <c r="LT10" s="30">
        <f t="shared" ca="1" si="45"/>
        <v>-1.6604560915674409E-2</v>
      </c>
      <c r="LU10" s="30">
        <f t="shared" ca="1" si="45"/>
        <v>4.8389919906704534E-2</v>
      </c>
      <c r="LV10" s="30">
        <f t="shared" ca="1" si="45"/>
        <v>-1.4127518704462019E-2</v>
      </c>
      <c r="LW10" s="30">
        <f t="shared" ca="1" si="45"/>
        <v>-5.8364036403941742E-2</v>
      </c>
      <c r="LX10" s="30">
        <f t="shared" ca="1" si="45"/>
        <v>-4.5731504370585402E-2</v>
      </c>
      <c r="LY10" s="30">
        <f t="shared" ca="1" si="45"/>
        <v>1.1507353941267564E-2</v>
      </c>
      <c r="LZ10" s="30">
        <f t="shared" ca="1" si="45"/>
        <v>3.8504140438755163E-2</v>
      </c>
      <c r="MA10" s="30">
        <f t="shared" ca="1" si="45"/>
        <v>-2.1948343777700795E-2</v>
      </c>
      <c r="MB10" s="30">
        <f t="shared" ca="1" si="45"/>
        <v>4.949109023538921E-3</v>
      </c>
      <c r="MC10" s="30">
        <f t="shared" ca="1" si="45"/>
        <v>-7.0471853117994018E-2</v>
      </c>
      <c r="MD10" s="30">
        <f t="shared" ca="1" si="45"/>
        <v>4.7306032187533889E-2</v>
      </c>
      <c r="ME10" s="30">
        <f t="shared" ca="1" si="45"/>
        <v>7.3828794419173047E-2</v>
      </c>
      <c r="MF10" s="30">
        <f t="shared" ca="1" si="45"/>
        <v>-2.1601648684992193E-2</v>
      </c>
      <c r="MG10" s="30">
        <f t="shared" ca="1" si="45"/>
        <v>2.4950419801333751E-2</v>
      </c>
      <c r="MH10" s="30">
        <f t="shared" ca="1" si="45"/>
        <v>5.8792361441455575E-2</v>
      </c>
      <c r="MI10" s="30">
        <f t="shared" ca="1" si="45"/>
        <v>4.5333465062559492E-3</v>
      </c>
      <c r="MJ10" s="30">
        <f t="shared" ca="1" si="45"/>
        <v>-4.6205771738217924E-2</v>
      </c>
      <c r="MK10" s="30">
        <f t="shared" ca="1" si="45"/>
        <v>-3.3940323234419284E-2</v>
      </c>
      <c r="ML10" s="30">
        <f t="shared" ca="1" si="45"/>
        <v>5.2365733179693508E-2</v>
      </c>
      <c r="MM10" s="30">
        <f t="shared" ca="1" si="45"/>
        <v>3.9468166970979398E-3</v>
      </c>
      <c r="MN10" s="30">
        <f t="shared" ca="1" si="45"/>
        <v>4.361785957642933E-2</v>
      </c>
      <c r="MO10" s="30">
        <f t="shared" ca="1" si="45"/>
        <v>2.2428247415858506E-2</v>
      </c>
      <c r="MP10" s="30">
        <f t="shared" ca="1" si="45"/>
        <v>3.7277769922943134E-2</v>
      </c>
      <c r="MQ10" s="30">
        <f t="shared" ca="1" si="45"/>
        <v>1.7811514266227778E-4</v>
      </c>
      <c r="MR10" s="30">
        <f t="shared" ca="1" si="45"/>
        <v>4.672950329585724E-2</v>
      </c>
      <c r="MS10" s="30">
        <f t="shared" ca="1" si="45"/>
        <v>9.1138794432945411E-2</v>
      </c>
      <c r="MT10" s="30">
        <f t="shared" ca="1" si="45"/>
        <v>-2.5022407621515141E-2</v>
      </c>
      <c r="MU10" s="30">
        <f t="shared" ca="1" si="45"/>
        <v>-5.4563555614909866E-2</v>
      </c>
      <c r="MV10" s="30">
        <f t="shared" ca="1" si="45"/>
        <v>5.7483251559571812E-2</v>
      </c>
      <c r="MW10" s="30">
        <f t="shared" ca="1" si="45"/>
        <v>2.5232608370760107E-2</v>
      </c>
      <c r="MX10" s="30">
        <f t="shared" ca="1" si="45"/>
        <v>-3.210669553941202E-2</v>
      </c>
      <c r="MY10" s="30">
        <f t="shared" ca="1" si="45"/>
        <v>-8.1352652638989789E-2</v>
      </c>
      <c r="MZ10" s="30">
        <f t="shared" ca="1" si="45"/>
        <v>4.5270380922748012E-3</v>
      </c>
      <c r="NA10" s="30">
        <f t="shared" ca="1" si="45"/>
        <v>-4.1652045164107851E-2</v>
      </c>
      <c r="NB10" s="30">
        <f t="shared" ca="1" si="45"/>
        <v>2.1730195217351485E-2</v>
      </c>
      <c r="NC10" s="30">
        <f t="shared" ca="1" si="45"/>
        <v>-4.3860136102033098E-2</v>
      </c>
      <c r="ND10" s="30">
        <f t="shared" ca="1" si="45"/>
        <v>7.767800911792636E-4</v>
      </c>
      <c r="NE10" s="30">
        <f t="shared" ca="1" si="45"/>
        <v>-1.0330632747037636E-2</v>
      </c>
      <c r="NF10" s="30">
        <f t="shared" ca="1" si="45"/>
        <v>-1.0777566866316089E-2</v>
      </c>
      <c r="NG10" s="30">
        <f t="shared" ca="1" si="45"/>
        <v>-1.0902465252603306E-2</v>
      </c>
      <c r="NH10" s="30">
        <f t="shared" ca="1" si="45"/>
        <v>-7.7120966027101112E-2</v>
      </c>
      <c r="NI10" s="30">
        <f t="shared" ca="1" si="45"/>
        <v>3.0604387457967779E-2</v>
      </c>
      <c r="NJ10" s="30">
        <f t="shared" ca="1" si="45"/>
        <v>-4.9501885224562094E-2</v>
      </c>
      <c r="NK10" s="30">
        <f t="shared" ca="1" si="45"/>
        <v>2.745126690759957E-2</v>
      </c>
      <c r="NL10" s="30">
        <f t="shared" ca="1" si="45"/>
        <v>4.998978499245034E-2</v>
      </c>
      <c r="NM10" s="30">
        <f t="shared" ca="1" si="45"/>
        <v>3.2811044210866488E-2</v>
      </c>
      <c r="NN10" s="30">
        <f t="shared" ca="1" si="45"/>
        <v>-6.9890000749594575E-3</v>
      </c>
      <c r="NO10" s="30">
        <f t="shared" ca="1" si="45"/>
        <v>5.6515139239544779E-2</v>
      </c>
      <c r="NP10" s="30">
        <f t="shared" ca="1" si="45"/>
        <v>-3.1727297570719223E-2</v>
      </c>
      <c r="NQ10" s="30">
        <f t="shared" ca="1" si="45"/>
        <v>-7.3196498011065925E-2</v>
      </c>
      <c r="NR10" s="30">
        <f t="shared" ca="1" si="45"/>
        <v>2.2966689623536485E-2</v>
      </c>
      <c r="NS10" s="30">
        <f t="shared" ca="1" si="45"/>
        <v>-2.3387185126776407E-2</v>
      </c>
      <c r="NT10" s="30">
        <f t="shared" ca="1" si="45"/>
        <v>3.1050911590307258E-2</v>
      </c>
      <c r="NU10" s="30">
        <f t="shared" ca="1" si="45"/>
        <v>8.4147559909798414E-2</v>
      </c>
      <c r="NV10" s="30">
        <f t="shared" ca="1" si="45"/>
        <v>1.3922993184739844E-3</v>
      </c>
      <c r="NW10" s="30">
        <f t="shared" ca="1" si="45"/>
        <v>-1.8732169657616787E-2</v>
      </c>
      <c r="NX10" s="30">
        <f t="shared" ca="1" si="45"/>
        <v>-2.737687451743779E-4</v>
      </c>
      <c r="NY10" s="30">
        <f t="shared" ca="1" si="45"/>
        <v>2.3975488518181511E-2</v>
      </c>
      <c r="NZ10" s="30">
        <f t="shared" ca="1" si="45"/>
        <v>7.8373554006383739E-2</v>
      </c>
      <c r="OA10" s="30">
        <f t="shared" ca="1" si="45"/>
        <v>-2.5307807335701288E-2</v>
      </c>
      <c r="OB10" s="30">
        <f t="shared" ca="1" si="38"/>
        <v>-1.5169129005195361E-2</v>
      </c>
      <c r="OC10" s="30">
        <f t="shared" ca="1" si="38"/>
        <v>-6.3159861800430404E-3</v>
      </c>
      <c r="OD10" s="30">
        <f t="shared" ca="1" si="38"/>
        <v>3.0652920788453285E-2</v>
      </c>
      <c r="OE10" s="30">
        <f t="shared" ca="1" si="38"/>
        <v>-3.7825844679304867E-2</v>
      </c>
      <c r="OF10" s="30">
        <f t="shared" ca="1" si="38"/>
        <v>1.1914238912310651E-2</v>
      </c>
      <c r="OG10" s="30">
        <f t="shared" ca="1" si="38"/>
        <v>3.3242709337242847E-2</v>
      </c>
      <c r="OH10" s="30">
        <f t="shared" ca="1" si="38"/>
        <v>2.3985242295762897E-2</v>
      </c>
      <c r="OI10" s="30">
        <f t="shared" ca="1" si="38"/>
        <v>-2.0396142895207414E-2</v>
      </c>
      <c r="OJ10" s="30">
        <f t="shared" ca="1" si="38"/>
        <v>4.7380293153384614E-2</v>
      </c>
      <c r="OK10" s="30">
        <f t="shared" ca="1" si="38"/>
        <v>-8.6267792660657996E-2</v>
      </c>
      <c r="OL10" s="30">
        <f t="shared" ca="1" si="38"/>
        <v>5.5802215610843441E-2</v>
      </c>
      <c r="OM10" s="30">
        <f t="shared" ca="1" si="38"/>
        <v>5.0274831811898679E-3</v>
      </c>
      <c r="ON10" s="30">
        <f t="shared" ca="1" si="38"/>
        <v>3.7682521947621749E-2</v>
      </c>
      <c r="OO10" s="30">
        <f t="shared" ca="1" si="38"/>
        <v>2.0090188020069925E-3</v>
      </c>
      <c r="OP10" s="30">
        <f t="shared" ca="1" si="38"/>
        <v>4.8472236992957413E-2</v>
      </c>
      <c r="OQ10" s="30">
        <f t="shared" ca="1" si="38"/>
        <v>-3.4675838280648985E-3</v>
      </c>
      <c r="OR10" s="30">
        <f t="shared" ca="1" si="38"/>
        <v>2.3369659840311904E-2</v>
      </c>
      <c r="OS10" s="30">
        <f t="shared" ca="1" si="38"/>
        <v>-4.1387742936004812E-3</v>
      </c>
      <c r="OT10" s="30">
        <f t="shared" ca="1" si="38"/>
        <v>1.6767140856595156E-2</v>
      </c>
      <c r="OU10" s="30">
        <f t="shared" ca="1" si="38"/>
        <v>-1.9933487967973691E-2</v>
      </c>
      <c r="OV10" s="30">
        <f t="shared" ca="1" si="38"/>
        <v>2.7867551115429379E-2</v>
      </c>
      <c r="OW10" s="30">
        <f t="shared" ca="1" si="38"/>
        <v>3.4948402106505592E-2</v>
      </c>
      <c r="OX10" s="30">
        <f t="shared" ca="1" si="38"/>
        <v>5.4686723189955192E-3</v>
      </c>
      <c r="OY10" s="30">
        <f t="shared" ca="1" si="38"/>
        <v>6.2424958820732547E-2</v>
      </c>
      <c r="OZ10" s="30">
        <f t="shared" ca="1" si="38"/>
        <v>4.375307011201475E-2</v>
      </c>
      <c r="PA10" s="30">
        <f t="shared" ca="1" si="38"/>
        <v>4.4213878534769553E-2</v>
      </c>
      <c r="PB10" s="30">
        <f t="shared" ca="1" si="38"/>
        <v>4.3730436268740016E-3</v>
      </c>
      <c r="PC10" s="30">
        <f t="shared" ca="1" si="38"/>
        <v>-4.6450990358485843E-2</v>
      </c>
      <c r="PD10" s="30">
        <f t="shared" ca="1" si="38"/>
        <v>2.5953775782269393E-2</v>
      </c>
      <c r="PE10" s="30">
        <f t="shared" ca="1" si="38"/>
        <v>4.5222647383379271E-2</v>
      </c>
      <c r="PF10" s="30">
        <f t="shared" ca="1" si="38"/>
        <v>1.8719027162417363E-2</v>
      </c>
      <c r="PG10" s="30">
        <f t="shared" ca="1" si="38"/>
        <v>5.922754104336999E-2</v>
      </c>
      <c r="PH10" s="30">
        <f t="shared" ca="1" si="38"/>
        <v>-4.8986200254321988E-2</v>
      </c>
      <c r="PI10" s="30">
        <f t="shared" ca="1" si="38"/>
        <v>1.5733219444188078E-2</v>
      </c>
      <c r="PJ10" s="30">
        <f t="shared" ca="1" si="38"/>
        <v>-3.0733949710835491E-2</v>
      </c>
      <c r="PK10" s="30">
        <f t="shared" ca="1" si="38"/>
        <v>2.5758113145028266E-2</v>
      </c>
      <c r="PL10" s="30">
        <f t="shared" ca="1" si="38"/>
        <v>-3.503885620927525E-2</v>
      </c>
      <c r="PM10" s="30">
        <f t="shared" ca="1" si="38"/>
        <v>-3.4184675563021169E-2</v>
      </c>
      <c r="PN10" s="30">
        <f t="shared" ca="1" si="38"/>
        <v>-6.7312583908785306E-2</v>
      </c>
      <c r="PO10" s="30">
        <f t="shared" ca="1" si="38"/>
        <v>-4.4569517649386478E-2</v>
      </c>
      <c r="PP10" s="30">
        <f t="shared" ca="1" si="38"/>
        <v>-5.0406550600381211E-2</v>
      </c>
      <c r="PQ10" s="30">
        <f t="shared" ca="1" si="38"/>
        <v>5.8077639943767446E-2</v>
      </c>
      <c r="PR10" s="30">
        <f t="shared" ca="1" si="38"/>
        <v>7.6780837214038755E-3</v>
      </c>
      <c r="PS10" s="30">
        <f t="shared" ca="1" si="38"/>
        <v>2.7412417312041769E-2</v>
      </c>
      <c r="PT10" s="30">
        <f t="shared" ca="1" si="38"/>
        <v>-4.1929317997535645E-2</v>
      </c>
      <c r="PU10" s="30">
        <f t="shared" ca="1" si="38"/>
        <v>-8.3885999113673851E-2</v>
      </c>
      <c r="PV10" s="30">
        <f t="shared" ca="1" si="38"/>
        <v>5.5930567622612823E-2</v>
      </c>
      <c r="PW10" s="30">
        <f t="shared" ca="1" si="38"/>
        <v>2.4790819613474509E-2</v>
      </c>
      <c r="PX10" s="30">
        <f t="shared" ca="1" si="38"/>
        <v>5.1089938330841383E-2</v>
      </c>
      <c r="PY10" s="30">
        <f t="shared" ca="1" si="38"/>
        <v>5.739918740477791E-2</v>
      </c>
      <c r="PZ10" s="30">
        <f t="shared" ca="1" si="38"/>
        <v>-4.6872745004636562E-2</v>
      </c>
      <c r="QA10" s="30">
        <f t="shared" ca="1" si="38"/>
        <v>-1.8443441990252888E-2</v>
      </c>
      <c r="QB10" s="30">
        <f t="shared" ca="1" si="38"/>
        <v>5.0548418729726759E-3</v>
      </c>
      <c r="QC10" s="30">
        <f t="shared" ca="1" si="38"/>
        <v>3.99570524452839E-2</v>
      </c>
      <c r="QD10" s="30">
        <f t="shared" ca="1" si="38"/>
        <v>7.7595386309943781E-2</v>
      </c>
      <c r="QE10" s="30">
        <f t="shared" ca="1" si="38"/>
        <v>3.8146935677292701E-2</v>
      </c>
      <c r="QF10" s="30">
        <f t="shared" ca="1" si="38"/>
        <v>-7.6256462468370298E-3</v>
      </c>
      <c r="QG10" s="30">
        <f t="shared" ca="1" si="38"/>
        <v>-9.8358722695841643E-4</v>
      </c>
      <c r="QH10" s="30">
        <f t="shared" ca="1" si="38"/>
        <v>-1.6594726239088697E-2</v>
      </c>
      <c r="QI10" s="30">
        <f t="shared" ca="1" si="38"/>
        <v>3.5468866755530501E-2</v>
      </c>
      <c r="QJ10" s="30">
        <f t="shared" ca="1" si="38"/>
        <v>-7.5119664110946116E-2</v>
      </c>
      <c r="QK10" s="30">
        <f t="shared" ca="1" si="38"/>
        <v>2.4726453445559557E-3</v>
      </c>
      <c r="QL10" s="30">
        <f t="shared" ca="1" si="38"/>
        <v>8.2028798599322217E-2</v>
      </c>
      <c r="QM10" s="30">
        <f t="shared" ca="1" si="23"/>
        <v>2.4732036089160362E-2</v>
      </c>
      <c r="QN10" s="30">
        <f t="shared" ca="1" si="46"/>
        <v>-9.9692487715858109E-3</v>
      </c>
      <c r="QO10" s="30">
        <f t="shared" ca="1" si="46"/>
        <v>8.2243319567800593E-3</v>
      </c>
      <c r="QP10" s="30">
        <f t="shared" ca="1" si="46"/>
        <v>3.7883915171015456E-2</v>
      </c>
      <c r="QQ10" s="30">
        <f t="shared" ca="1" si="46"/>
        <v>3.8837082679452394E-3</v>
      </c>
      <c r="QR10" s="30">
        <f t="shared" ca="1" si="46"/>
        <v>-3.6564335117086101E-2</v>
      </c>
      <c r="QS10" s="30">
        <f t="shared" ca="1" si="46"/>
        <v>-3.0366500187527547E-2</v>
      </c>
      <c r="QT10" s="30">
        <f t="shared" ca="1" si="46"/>
        <v>4.9698357959964037E-2</v>
      </c>
      <c r="QU10" s="30">
        <f t="shared" ca="1" si="46"/>
        <v>-4.1200667177934497E-2</v>
      </c>
      <c r="QV10" s="30">
        <f t="shared" ca="1" si="46"/>
        <v>-2.1189226592084248E-2</v>
      </c>
      <c r="QW10" s="30">
        <f t="shared" ca="1" si="46"/>
        <v>-1.230664791065666E-2</v>
      </c>
      <c r="QX10" s="30">
        <f t="shared" ca="1" si="46"/>
        <v>3.3173767709601787E-2</v>
      </c>
      <c r="QY10" s="30">
        <f t="shared" ca="1" si="46"/>
        <v>-3.6406554075434118E-3</v>
      </c>
      <c r="QZ10" s="30">
        <f t="shared" ca="1" si="46"/>
        <v>-2.2452455055433848E-2</v>
      </c>
      <c r="RA10" s="30">
        <f t="shared" ca="1" si="46"/>
        <v>5.7139969650504274E-3</v>
      </c>
      <c r="RB10" s="30">
        <f t="shared" ca="1" si="46"/>
        <v>4.2576013467268761E-2</v>
      </c>
      <c r="RC10" s="30">
        <f t="shared" ca="1" si="46"/>
        <v>-9.9816224724273948E-3</v>
      </c>
      <c r="RD10" s="30">
        <f t="shared" ca="1" si="46"/>
        <v>-2.3714257330084414E-2</v>
      </c>
      <c r="RE10" s="30">
        <f t="shared" ca="1" si="46"/>
        <v>-2.2774453671730904E-2</v>
      </c>
      <c r="RF10" s="30">
        <f t="shared" ca="1" si="46"/>
        <v>6.1293683163577278E-2</v>
      </c>
      <c r="RG10" s="30">
        <f t="shared" ca="1" si="46"/>
        <v>3.6317087724789705E-2</v>
      </c>
      <c r="RH10" s="30">
        <f t="shared" ca="1" si="46"/>
        <v>5.8206372712398388E-3</v>
      </c>
      <c r="RI10" s="30">
        <f t="shared" ca="1" si="46"/>
        <v>-4.5863196342398431E-2</v>
      </c>
      <c r="RJ10" s="30">
        <f t="shared" ca="1" si="46"/>
        <v>7.1089932052045821E-2</v>
      </c>
      <c r="RK10" s="30">
        <f t="shared" ca="1" si="46"/>
        <v>2.0533759966448042E-2</v>
      </c>
      <c r="RL10" s="30">
        <f t="shared" ca="1" si="46"/>
        <v>3.6102319207460529E-2</v>
      </c>
      <c r="RM10" s="30">
        <f t="shared" ca="1" si="46"/>
        <v>1.8825854027574168E-2</v>
      </c>
      <c r="RN10" s="30">
        <f t="shared" ca="1" si="46"/>
        <v>1.2489534919193175E-2</v>
      </c>
      <c r="RO10" s="30">
        <f t="shared" ca="1" si="46"/>
        <v>-3.7904617211109277E-2</v>
      </c>
      <c r="RP10" s="30">
        <f t="shared" ca="1" si="46"/>
        <v>-3.5112917640167898E-2</v>
      </c>
      <c r="RQ10" s="30">
        <f t="shared" ca="1" si="46"/>
        <v>-3.8777837931005414E-2</v>
      </c>
      <c r="RR10" s="30">
        <f t="shared" ca="1" si="46"/>
        <v>2.5600482386518571E-2</v>
      </c>
      <c r="RS10" s="30">
        <f t="shared" ca="1" si="46"/>
        <v>5.9226347329943401E-3</v>
      </c>
      <c r="RT10" s="30">
        <f t="shared" ca="1" si="46"/>
        <v>-6.6784695255309792E-2</v>
      </c>
      <c r="RU10" s="30">
        <f t="shared" ca="1" si="46"/>
        <v>-5.4403335266009697E-2</v>
      </c>
      <c r="RV10" s="30">
        <f t="shared" ca="1" si="46"/>
        <v>2.2173343818754424E-2</v>
      </c>
      <c r="RW10" s="30">
        <f t="shared" ca="1" si="46"/>
        <v>-1.6973663315050091E-3</v>
      </c>
      <c r="RX10" s="30">
        <f t="shared" ca="1" si="46"/>
        <v>6.0613615135512618E-2</v>
      </c>
      <c r="RY10" s="30">
        <f t="shared" ca="1" si="46"/>
        <v>1.2500816893888709E-2</v>
      </c>
      <c r="RZ10" s="30">
        <f t="shared" ca="1" si="46"/>
        <v>1.1309242837101984E-2</v>
      </c>
      <c r="SA10" s="30">
        <f t="shared" ca="1" si="46"/>
        <v>4.0355922341522729E-2</v>
      </c>
      <c r="SB10" s="30">
        <f t="shared" ca="1" si="46"/>
        <v>-1.6187602777565306E-2</v>
      </c>
      <c r="SC10" s="30">
        <f t="shared" ca="1" si="46"/>
        <v>-1.5148952207207404E-2</v>
      </c>
      <c r="SD10" s="30">
        <f t="shared" ca="1" si="46"/>
        <v>3.2948783614449042E-3</v>
      </c>
      <c r="SE10" s="30">
        <f t="shared" ca="1" si="46"/>
        <v>1.2576767396831398E-2</v>
      </c>
      <c r="SF10" s="30">
        <f t="shared" ca="1" si="46"/>
        <v>-7.4349600350344866E-3</v>
      </c>
      <c r="SG10" s="30">
        <f t="shared" ca="1" si="46"/>
        <v>1.7152472329081225E-3</v>
      </c>
      <c r="SH10" s="30">
        <f t="shared" ca="1" si="46"/>
        <v>5.9191053674852459E-2</v>
      </c>
      <c r="SI10" s="30">
        <f t="shared" ca="1" si="46"/>
        <v>2.5186658064487795E-3</v>
      </c>
      <c r="SJ10" s="30">
        <f t="shared" ca="1" si="46"/>
        <v>-2.2309896002357128E-2</v>
      </c>
      <c r="SK10" s="30">
        <f t="shared" ca="1" si="46"/>
        <v>4.5179294776133909E-2</v>
      </c>
      <c r="SL10" s="30">
        <f t="shared" ca="1" si="46"/>
        <v>1.8199063184056622E-2</v>
      </c>
      <c r="SM10" s="30">
        <f t="shared" ca="1" si="46"/>
        <v>-1.1093823402091059E-2</v>
      </c>
      <c r="SN10" s="30">
        <f t="shared" ca="1" si="46"/>
        <v>2.1239894353045213E-2</v>
      </c>
      <c r="SO10" s="30">
        <f t="shared" ca="1" si="46"/>
        <v>2.8506155280862391E-2</v>
      </c>
      <c r="SP10" s="30">
        <f t="shared" ca="1" si="46"/>
        <v>7.8892606946505388E-3</v>
      </c>
      <c r="SQ10" s="30">
        <f t="shared" ca="1" si="46"/>
        <v>-6.5969027371507769E-2</v>
      </c>
      <c r="SR10" s="30">
        <f t="shared" ca="1" si="46"/>
        <v>3.074403783569114E-3</v>
      </c>
      <c r="SS10" s="30">
        <f t="shared" ca="1" si="46"/>
        <v>6.4441320776815067E-2</v>
      </c>
      <c r="ST10" s="30">
        <f t="shared" ca="1" si="46"/>
        <v>3.2450592698343918E-2</v>
      </c>
      <c r="SU10" s="30">
        <f t="shared" ca="1" si="46"/>
        <v>1.6986230786096831E-2</v>
      </c>
      <c r="SV10" s="30">
        <f t="shared" ca="1" si="46"/>
        <v>-9.3879491252007834E-3</v>
      </c>
      <c r="SW10" s="30">
        <f t="shared" ca="1" si="46"/>
        <v>-4.948020727754341E-2</v>
      </c>
      <c r="SX10" s="30">
        <f t="shared" ca="1" si="46"/>
        <v>-2.2845893666031018E-2</v>
      </c>
      <c r="SY10" s="30">
        <f t="shared" ca="1" si="46"/>
        <v>3.116962580877651E-2</v>
      </c>
      <c r="SZ10" s="30">
        <f t="shared" ca="1" si="39"/>
        <v>7.2971475422971624E-3</v>
      </c>
      <c r="TA10" s="30">
        <f t="shared" ca="1" si="39"/>
        <v>-3.7233477992835639E-3</v>
      </c>
      <c r="TB10" s="30">
        <f t="shared" ca="1" si="39"/>
        <v>-3.9322914390127924E-2</v>
      </c>
      <c r="TC10" s="30">
        <f t="shared" ca="1" si="39"/>
        <v>-3.6189672665202156E-2</v>
      </c>
      <c r="TD10" s="30">
        <f t="shared" ca="1" si="39"/>
        <v>2.5538423067993258E-2</v>
      </c>
      <c r="TE10" s="30">
        <f t="shared" ca="1" si="39"/>
        <v>9.5782312443902923E-3</v>
      </c>
      <c r="TF10" s="30">
        <f t="shared" ca="1" si="39"/>
        <v>-1.9128774999529218E-2</v>
      </c>
      <c r="TG10" s="30">
        <f t="shared" ca="1" si="39"/>
        <v>3.5726927727184554E-2</v>
      </c>
      <c r="TH10" s="30">
        <f t="shared" ca="1" si="39"/>
        <v>-5.7317274747462267E-2</v>
      </c>
      <c r="TI10" s="30">
        <f t="shared" ca="1" si="39"/>
        <v>8.6496117269296444E-2</v>
      </c>
      <c r="TJ10" s="30">
        <f t="shared" ca="1" si="39"/>
        <v>6.4266311276882204E-2</v>
      </c>
      <c r="TK10" s="30">
        <f t="shared" ca="1" si="39"/>
        <v>-1.2927249246110745E-2</v>
      </c>
      <c r="TL10" s="30">
        <f t="shared" ca="1" si="39"/>
        <v>-1.4764692938148822E-2</v>
      </c>
      <c r="TM10" s="30">
        <f t="shared" ca="1" si="39"/>
        <v>1.1610655089905967E-2</v>
      </c>
      <c r="TN10" s="30">
        <f t="shared" ca="1" si="39"/>
        <v>-4.7053747685584764E-3</v>
      </c>
      <c r="TO10" s="30">
        <f t="shared" ca="1" si="39"/>
        <v>-6.7885900406584377E-4</v>
      </c>
      <c r="TP10" s="30">
        <f t="shared" ca="1" si="39"/>
        <v>-3.9780776157159831E-2</v>
      </c>
      <c r="TQ10" s="30">
        <f t="shared" ca="1" si="39"/>
        <v>-4.3000581673549934E-2</v>
      </c>
      <c r="TR10" s="30">
        <f t="shared" ca="1" si="39"/>
        <v>-1.2633180930629215E-2</v>
      </c>
      <c r="TS10" s="30">
        <f t="shared" ca="1" si="39"/>
        <v>9.533033843939798E-3</v>
      </c>
      <c r="TT10" s="30">
        <f t="shared" ca="1" si="39"/>
        <v>-9.721798004639719E-4</v>
      </c>
      <c r="TU10" s="30">
        <f t="shared" ca="1" si="39"/>
        <v>4.8534908421528362E-2</v>
      </c>
      <c r="TV10" s="30">
        <f t="shared" ca="1" si="39"/>
        <v>-1.4008088846112568E-3</v>
      </c>
      <c r="TW10" s="30">
        <f t="shared" ca="1" si="39"/>
        <v>-3.6887546782213204E-2</v>
      </c>
      <c r="TX10" s="30">
        <f t="shared" ca="1" si="39"/>
        <v>-5.5479691859654463E-2</v>
      </c>
      <c r="TY10" s="30">
        <f t="shared" ca="1" si="39"/>
        <v>3.3400811981914203E-3</v>
      </c>
      <c r="TZ10" s="30">
        <f t="shared" ca="1" si="39"/>
        <v>5.2358431972092757E-2</v>
      </c>
      <c r="UA10" s="30">
        <f t="shared" ca="1" si="39"/>
        <v>3.7435043780184481E-2</v>
      </c>
      <c r="UB10" s="30">
        <f t="shared" ca="1" si="39"/>
        <v>7.9726542606557205E-2</v>
      </c>
      <c r="UC10" s="30">
        <f t="shared" ca="1" si="39"/>
        <v>-5.1164703094660001E-2</v>
      </c>
      <c r="UD10" s="30">
        <f t="shared" ca="1" si="39"/>
        <v>-1.209558891793326E-2</v>
      </c>
      <c r="UE10" s="30">
        <f t="shared" ca="1" si="39"/>
        <v>-5.5735952677405692E-2</v>
      </c>
      <c r="UF10" s="30">
        <f t="shared" ca="1" si="39"/>
        <v>1.2181006625888764E-2</v>
      </c>
      <c r="UG10" s="30">
        <f t="shared" ca="1" si="39"/>
        <v>-5.4878149469828948E-2</v>
      </c>
      <c r="UH10" s="30">
        <f t="shared" ca="1" si="39"/>
        <v>5.5451244038220535E-2</v>
      </c>
      <c r="UI10" s="30">
        <f t="shared" ca="1" si="39"/>
        <v>-7.259924108034178E-3</v>
      </c>
      <c r="UJ10" s="30">
        <f t="shared" ca="1" si="39"/>
        <v>5.9559314199777204E-2</v>
      </c>
      <c r="UK10" s="30">
        <f t="shared" ca="1" si="39"/>
        <v>4.2936530771512061E-3</v>
      </c>
      <c r="UL10" s="30">
        <f t="shared" ca="1" si="39"/>
        <v>4.2068868434544512E-3</v>
      </c>
      <c r="UM10" s="30">
        <f t="shared" ca="1" si="39"/>
        <v>-3.8021898410619932E-2</v>
      </c>
      <c r="UN10" s="30">
        <f t="shared" ca="1" si="39"/>
        <v>-2.3420677777271554E-2</v>
      </c>
      <c r="UO10" s="30">
        <f t="shared" ca="1" si="39"/>
        <v>5.8151413445034434E-3</v>
      </c>
      <c r="UP10" s="30">
        <f t="shared" ca="1" si="39"/>
        <v>-2.0091626937671504E-2</v>
      </c>
      <c r="UQ10" s="30">
        <f t="shared" ca="1" si="39"/>
        <v>1.8132742187224115E-2</v>
      </c>
      <c r="UR10" s="30">
        <f t="shared" ca="1" si="39"/>
        <v>2.4693005927017515E-2</v>
      </c>
      <c r="US10" s="30">
        <f t="shared" ca="1" si="39"/>
        <v>-2.668414925644216E-2</v>
      </c>
      <c r="UT10" s="30">
        <f t="shared" ca="1" si="39"/>
        <v>-2.2286643656845632E-2</v>
      </c>
      <c r="UU10" s="30">
        <f t="shared" ca="1" si="39"/>
        <v>-3.0084089341146474E-2</v>
      </c>
      <c r="UV10" s="30">
        <f t="shared" ca="1" si="39"/>
        <v>-2.9806790869144747E-3</v>
      </c>
      <c r="UW10" s="30">
        <f t="shared" ca="1" si="39"/>
        <v>-8.4685603678539799E-3</v>
      </c>
      <c r="UX10" s="30">
        <f t="shared" ca="1" si="39"/>
        <v>4.4343339710363429E-4</v>
      </c>
      <c r="UY10" s="30">
        <f t="shared" ca="1" si="39"/>
        <v>-6.7761622864645193E-3</v>
      </c>
      <c r="UZ10" s="30">
        <f t="shared" ca="1" si="39"/>
        <v>-0.10777552020598666</v>
      </c>
      <c r="VA10" s="30">
        <f t="shared" ca="1" si="39"/>
        <v>4.5081211767870874E-2</v>
      </c>
      <c r="VB10" s="30">
        <f t="shared" ca="1" si="39"/>
        <v>-4.4598407606304374E-2</v>
      </c>
      <c r="VC10" s="30">
        <f t="shared" ca="1" si="39"/>
        <v>2.4879701318136151E-3</v>
      </c>
      <c r="VD10" s="30">
        <f t="shared" ca="1" si="39"/>
        <v>2.2226079168848115E-2</v>
      </c>
      <c r="VE10" s="30">
        <f t="shared" ca="1" si="39"/>
        <v>-1.0623242891371528E-2</v>
      </c>
      <c r="VF10" s="30">
        <f t="shared" ca="1" si="39"/>
        <v>-3.089751593600229E-2</v>
      </c>
      <c r="VG10" s="30">
        <f t="shared" ca="1" si="39"/>
        <v>-3.3946079124372308E-4</v>
      </c>
      <c r="VH10" s="30">
        <f t="shared" ca="1" si="39"/>
        <v>-2.9080800691829237E-2</v>
      </c>
      <c r="VI10" s="30">
        <f t="shared" ca="1" si="39"/>
        <v>4.3684039136555407E-2</v>
      </c>
      <c r="VJ10" s="30">
        <f t="shared" ca="1" si="39"/>
        <v>-4.9810037333703386E-2</v>
      </c>
      <c r="VK10" s="30">
        <f t="shared" ca="1" si="25"/>
        <v>-8.5096956681645491E-2</v>
      </c>
      <c r="VL10" s="30">
        <f t="shared" ca="1" si="47"/>
        <v>-3.9699320767974333E-2</v>
      </c>
      <c r="VM10" s="30">
        <f t="shared" ca="1" si="47"/>
        <v>-1.9669217363629553E-2</v>
      </c>
      <c r="VN10" s="30">
        <f t="shared" ca="1" si="47"/>
        <v>2.0890154641473577E-2</v>
      </c>
      <c r="VO10" s="30">
        <f t="shared" ca="1" si="47"/>
        <v>-3.7367567289676121E-2</v>
      </c>
      <c r="VP10" s="30">
        <f t="shared" ca="1" si="47"/>
        <v>-2.161164953324227E-2</v>
      </c>
      <c r="VQ10" s="30">
        <f t="shared" ca="1" si="47"/>
        <v>3.0185004687232037E-2</v>
      </c>
      <c r="VR10" s="30">
        <f t="shared" ca="1" si="47"/>
        <v>4.8824922140922357E-3</v>
      </c>
      <c r="VS10" s="30">
        <f t="shared" ca="1" si="47"/>
        <v>7.2811510440254648E-2</v>
      </c>
      <c r="VT10" s="30">
        <f t="shared" ca="1" si="47"/>
        <v>5.4685670862690973E-2</v>
      </c>
      <c r="VU10" s="30">
        <f t="shared" ca="1" si="47"/>
        <v>-3.4143055438663521E-2</v>
      </c>
      <c r="VV10" s="30">
        <f t="shared" ca="1" si="47"/>
        <v>-6.6734734861217448E-2</v>
      </c>
      <c r="VW10" s="30">
        <f t="shared" ca="1" si="47"/>
        <v>3.500151726438392E-2</v>
      </c>
      <c r="VX10" s="30">
        <f t="shared" ca="1" si="47"/>
        <v>-8.7212432365488361E-3</v>
      </c>
      <c r="VY10" s="30">
        <f t="shared" ca="1" si="47"/>
        <v>6.8612683596446147E-3</v>
      </c>
      <c r="VZ10" s="30">
        <f t="shared" ca="1" si="47"/>
        <v>-2.2014897833111658E-2</v>
      </c>
      <c r="WA10" s="30">
        <f t="shared" ca="1" si="47"/>
        <v>3.6012602688734317E-2</v>
      </c>
      <c r="WB10" s="30">
        <f t="shared" ca="1" si="47"/>
        <v>-6.0001989060320331E-2</v>
      </c>
      <c r="WC10" s="30">
        <f t="shared" ca="1" si="47"/>
        <v>-7.0385339175024569E-2</v>
      </c>
      <c r="WD10" s="30">
        <f t="shared" ca="1" si="47"/>
        <v>-3.8047064494651964E-2</v>
      </c>
      <c r="WE10" s="30">
        <f t="shared" ca="1" si="47"/>
        <v>4.9058073266361933E-2</v>
      </c>
      <c r="WF10" s="30">
        <f t="shared" ca="1" si="47"/>
        <v>-2.2445086094281037E-2</v>
      </c>
      <c r="WG10" s="30">
        <f t="shared" ca="1" si="47"/>
        <v>-1.0126042772927639E-3</v>
      </c>
      <c r="WH10" s="30">
        <f t="shared" ca="1" si="47"/>
        <v>6.5278188312607524E-2</v>
      </c>
      <c r="WI10" s="30">
        <f t="shared" ca="1" si="47"/>
        <v>-2.9829961688868416E-2</v>
      </c>
      <c r="WJ10" s="30">
        <f t="shared" ca="1" si="47"/>
        <v>-6.4644387832273075E-4</v>
      </c>
      <c r="WK10" s="30">
        <f t="shared" ca="1" si="47"/>
        <v>2.4736553053993849E-2</v>
      </c>
      <c r="WL10" s="30">
        <f t="shared" ca="1" si="47"/>
        <v>-2.3664749444658659E-2</v>
      </c>
      <c r="WM10" s="30">
        <f t="shared" ca="1" si="47"/>
        <v>1.3960810784449456E-3</v>
      </c>
      <c r="WN10" s="30">
        <f t="shared" ca="1" si="47"/>
        <v>1.123235536328593E-2</v>
      </c>
      <c r="WO10" s="30">
        <f t="shared" ca="1" si="47"/>
        <v>1.2884101365148759E-2</v>
      </c>
      <c r="WP10" s="30">
        <f t="shared" ca="1" si="47"/>
        <v>2.2613131571280212E-2</v>
      </c>
      <c r="WQ10" s="30">
        <f t="shared" ca="1" si="47"/>
        <v>-3.2235022674648325E-2</v>
      </c>
      <c r="WR10" s="30">
        <f t="shared" ca="1" si="47"/>
        <v>1.855283464719833E-2</v>
      </c>
      <c r="WS10" s="30">
        <f t="shared" ca="1" si="47"/>
        <v>3.4980099665306408E-2</v>
      </c>
      <c r="WT10" s="30">
        <f t="shared" ca="1" si="47"/>
        <v>6.2431037845522036E-2</v>
      </c>
      <c r="WU10" s="30">
        <f t="shared" ca="1" si="47"/>
        <v>2.6478093162838855E-2</v>
      </c>
      <c r="WV10" s="30">
        <f t="shared" ca="1" si="47"/>
        <v>2.1781379409879703E-2</v>
      </c>
      <c r="WW10" s="30">
        <f t="shared" ca="1" si="47"/>
        <v>5.0985459372310561E-2</v>
      </c>
      <c r="WX10" s="30">
        <f t="shared" ca="1" si="47"/>
        <v>-5.2762999472038247E-2</v>
      </c>
      <c r="WY10" s="30">
        <f t="shared" ca="1" si="47"/>
        <v>-6.0800708728395011E-3</v>
      </c>
      <c r="WZ10" s="30">
        <f t="shared" ca="1" si="47"/>
        <v>3.7877705780089609E-2</v>
      </c>
      <c r="XA10" s="30">
        <f t="shared" ca="1" si="47"/>
        <v>4.2831931779065323E-2</v>
      </c>
      <c r="XB10" s="30">
        <f t="shared" ca="1" si="47"/>
        <v>-5.8485545632252431E-2</v>
      </c>
      <c r="XC10" s="30">
        <f t="shared" ca="1" si="47"/>
        <v>2.9464150025842545E-2</v>
      </c>
      <c r="XD10" s="30">
        <f t="shared" ca="1" si="47"/>
        <v>-3.7446803773962527E-2</v>
      </c>
      <c r="XE10" s="30">
        <f t="shared" ca="1" si="47"/>
        <v>-1.4466605412171329E-2</v>
      </c>
      <c r="XF10" s="30">
        <f t="shared" ca="1" si="47"/>
        <v>1.5668736328668532E-2</v>
      </c>
      <c r="XG10" s="30">
        <f t="shared" ca="1" si="47"/>
        <v>-2.7367572969733741E-2</v>
      </c>
      <c r="XH10" s="30">
        <f t="shared" ca="1" si="47"/>
        <v>6.2411429904901103E-2</v>
      </c>
      <c r="XI10" s="30">
        <f t="shared" ca="1" si="47"/>
        <v>1.0451842436066791E-2</v>
      </c>
      <c r="XJ10" s="30">
        <f t="shared" ca="1" si="47"/>
        <v>5.1522070803768229E-2</v>
      </c>
      <c r="XK10" s="30">
        <f t="shared" ca="1" si="47"/>
        <v>-5.9684233046071636E-2</v>
      </c>
      <c r="XL10" s="30">
        <f t="shared" ca="1" si="47"/>
        <v>4.9029133554642709E-2</v>
      </c>
      <c r="XM10" s="30">
        <f t="shared" ca="1" si="47"/>
        <v>5.8764656470835966E-2</v>
      </c>
      <c r="XN10" s="30">
        <f t="shared" ca="1" si="47"/>
        <v>-7.9968498968601587E-2</v>
      </c>
      <c r="XO10" s="30">
        <f t="shared" ca="1" si="47"/>
        <v>-2.0458135128280375E-2</v>
      </c>
      <c r="XP10" s="30">
        <f t="shared" ca="1" si="47"/>
        <v>-4.2123135643458855E-2</v>
      </c>
      <c r="XQ10" s="30">
        <f t="shared" ca="1" si="47"/>
        <v>-7.2601198526451305E-2</v>
      </c>
      <c r="XR10" s="30">
        <f t="shared" ca="1" si="47"/>
        <v>1.4797894601015271E-2</v>
      </c>
      <c r="XS10" s="30">
        <f t="shared" ca="1" si="47"/>
        <v>8.102381279533907E-3</v>
      </c>
      <c r="XT10" s="30">
        <f t="shared" ca="1" si="47"/>
        <v>1.5384202523524997E-2</v>
      </c>
      <c r="XU10" s="30">
        <f t="shared" ca="1" si="47"/>
        <v>-4.7425703771858548E-4</v>
      </c>
      <c r="XV10" s="30">
        <f t="shared" ca="1" si="47"/>
        <v>-8.4443402088036232E-2</v>
      </c>
      <c r="XW10" s="30">
        <f t="shared" ca="1" si="47"/>
        <v>1.9818545879875974E-2</v>
      </c>
      <c r="XX10" s="30">
        <f t="shared" ca="1" si="40"/>
        <v>2.4921228026281942E-2</v>
      </c>
      <c r="XY10" s="30">
        <f t="shared" ca="1" si="40"/>
        <v>1.4873423571686308E-2</v>
      </c>
      <c r="XZ10" s="30">
        <f t="shared" ca="1" si="40"/>
        <v>4.6363617424731773E-2</v>
      </c>
      <c r="YA10" s="30">
        <f t="shared" ca="1" si="40"/>
        <v>-1.3793705217091145E-2</v>
      </c>
      <c r="YB10" s="30">
        <f t="shared" ca="1" si="40"/>
        <v>1.1885932871966898E-3</v>
      </c>
      <c r="YC10" s="30">
        <f t="shared" ca="1" si="40"/>
        <v>1.5472847292097552E-2</v>
      </c>
      <c r="YD10" s="30">
        <f t="shared" ca="1" si="40"/>
        <v>6.8136809354329531E-2</v>
      </c>
      <c r="YE10" s="30">
        <f t="shared" ca="1" si="40"/>
        <v>5.1491763069797707E-4</v>
      </c>
      <c r="YF10" s="30">
        <f t="shared" ca="1" si="40"/>
        <v>-4.1535183046347681E-3</v>
      </c>
      <c r="YG10" s="30">
        <f t="shared" ca="1" si="40"/>
        <v>6.5106642397482137E-2</v>
      </c>
      <c r="YH10" s="30">
        <f t="shared" ca="1" si="40"/>
        <v>-2.0492294439491038E-2</v>
      </c>
      <c r="YI10" s="30">
        <f t="shared" ca="1" si="40"/>
        <v>2.1137108233848335E-2</v>
      </c>
      <c r="YJ10" s="30">
        <f t="shared" ca="1" si="40"/>
        <v>-7.9960015678466247E-3</v>
      </c>
      <c r="YK10" s="30">
        <f t="shared" ca="1" si="40"/>
        <v>-8.1060081152611693E-2</v>
      </c>
      <c r="YL10" s="30">
        <f t="shared" ca="1" si="40"/>
        <v>1.9352038003233294E-2</v>
      </c>
      <c r="YM10" s="30">
        <f t="shared" ca="1" si="40"/>
        <v>1.0364581393954663E-2</v>
      </c>
      <c r="YN10" s="30">
        <f t="shared" ca="1" si="40"/>
        <v>4.8577402959262057E-2</v>
      </c>
      <c r="YO10" s="30">
        <f t="shared" ca="1" si="40"/>
        <v>-1.511412758437224E-2</v>
      </c>
      <c r="YP10" s="30">
        <f t="shared" ca="1" si="40"/>
        <v>-9.7132467681676118E-2</v>
      </c>
      <c r="YQ10" s="30">
        <f t="shared" ca="1" si="40"/>
        <v>-2.8759049085346131E-2</v>
      </c>
      <c r="YR10" s="30">
        <f t="shared" ca="1" si="40"/>
        <v>5.5021902091653849E-2</v>
      </c>
      <c r="YS10" s="30">
        <f t="shared" ca="1" si="40"/>
        <v>3.622130562142184E-2</v>
      </c>
      <c r="YT10" s="30">
        <f t="shared" ca="1" si="40"/>
        <v>-5.1173812600500648E-2</v>
      </c>
      <c r="YU10" s="30">
        <f t="shared" ca="1" si="40"/>
        <v>3.3194501705843302E-2</v>
      </c>
      <c r="YV10" s="30">
        <f t="shared" ca="1" si="40"/>
        <v>-5.9442952241686289E-2</v>
      </c>
      <c r="YW10" s="30">
        <f t="shared" ca="1" si="40"/>
        <v>-2.0283310261917414E-2</v>
      </c>
      <c r="YX10" s="30">
        <f t="shared" ca="1" si="40"/>
        <v>3.3718414815978419E-2</v>
      </c>
      <c r="YY10" s="30">
        <f t="shared" ca="1" si="40"/>
        <v>-3.3302521363586253E-2</v>
      </c>
      <c r="YZ10" s="30">
        <f t="shared" ca="1" si="40"/>
        <v>-7.337039205976054E-3</v>
      </c>
      <c r="ZA10" s="30">
        <f t="shared" ca="1" si="40"/>
        <v>1.5811878996426644E-2</v>
      </c>
      <c r="ZB10" s="30">
        <f t="shared" ca="1" si="40"/>
        <v>6.1685050742782903E-2</v>
      </c>
      <c r="ZC10" s="30">
        <f t="shared" ca="1" si="40"/>
        <v>8.9102361079984749E-3</v>
      </c>
      <c r="ZD10" s="30">
        <f t="shared" ca="1" si="40"/>
        <v>6.738128698028323E-3</v>
      </c>
      <c r="ZE10" s="30">
        <f t="shared" ca="1" si="40"/>
        <v>-6.8756972842892686E-2</v>
      </c>
      <c r="ZF10" s="30">
        <f t="shared" ca="1" si="40"/>
        <v>1.6168539317220735E-2</v>
      </c>
      <c r="ZG10" s="30">
        <f t="shared" ca="1" si="40"/>
        <v>-7.8389368265478743E-4</v>
      </c>
      <c r="ZH10" s="30">
        <f t="shared" ca="1" si="40"/>
        <v>-1.1078235495650993E-3</v>
      </c>
      <c r="ZI10" s="30">
        <f t="shared" ca="1" si="40"/>
        <v>-1.9434597383147994E-2</v>
      </c>
      <c r="ZJ10" s="30">
        <f t="shared" ca="1" si="40"/>
        <v>5.7859779189247292E-2</v>
      </c>
      <c r="ZK10" s="30">
        <f t="shared" ca="1" si="40"/>
        <v>8.2405678772068669E-3</v>
      </c>
      <c r="ZL10" s="30">
        <f t="shared" ca="1" si="40"/>
        <v>1.5503538527891064E-3</v>
      </c>
      <c r="ZM10" s="30">
        <f t="shared" ca="1" si="40"/>
        <v>-1.2501730128608713E-2</v>
      </c>
      <c r="ZN10" s="30">
        <f t="shared" ca="1" si="40"/>
        <v>-1.7738225732731538E-2</v>
      </c>
      <c r="ZO10" s="30">
        <f t="shared" ca="1" si="40"/>
        <v>-2.4467258161717794E-2</v>
      </c>
      <c r="ZP10" s="30">
        <f t="shared" ca="1" si="40"/>
        <v>1.423183816611176E-2</v>
      </c>
      <c r="ZQ10" s="30">
        <f t="shared" ca="1" si="40"/>
        <v>4.1351241408936701E-2</v>
      </c>
      <c r="ZR10" s="30">
        <f t="shared" ca="1" si="40"/>
        <v>2.9752896189360219E-2</v>
      </c>
      <c r="ZS10" s="30">
        <f t="shared" ca="1" si="40"/>
        <v>-1.9404434771074649E-3</v>
      </c>
      <c r="ZT10" s="30">
        <f t="shared" ca="1" si="40"/>
        <v>-1.2984788316966251E-2</v>
      </c>
      <c r="ZU10" s="30">
        <f t="shared" ca="1" si="40"/>
        <v>-2.4108772305144258E-2</v>
      </c>
      <c r="ZV10" s="30">
        <f t="shared" ca="1" si="40"/>
        <v>4.5037294568480062E-3</v>
      </c>
      <c r="ZW10" s="30">
        <f t="shared" ca="1" si="40"/>
        <v>-7.5602967694033928E-3</v>
      </c>
      <c r="ZX10" s="30">
        <f t="shared" ca="1" si="40"/>
        <v>8.1331655416639476E-2</v>
      </c>
      <c r="ZY10" s="30">
        <f t="shared" ca="1" si="40"/>
        <v>2.57993742448464E-2</v>
      </c>
      <c r="ZZ10" s="30">
        <f t="shared" ca="1" si="40"/>
        <v>-2.2292213766529961E-3</v>
      </c>
      <c r="AAA10" s="30">
        <f t="shared" ca="1" si="40"/>
        <v>6.2927594129243092E-2</v>
      </c>
      <c r="AAB10" s="30">
        <f t="shared" ca="1" si="40"/>
        <v>1.1246111291378511E-2</v>
      </c>
      <c r="AAC10" s="30">
        <f t="shared" ca="1" si="40"/>
        <v>-1.604120674030083E-2</v>
      </c>
      <c r="AAD10" s="30">
        <f t="shared" ca="1" si="40"/>
        <v>-5.7579241890033168E-2</v>
      </c>
      <c r="AAE10" s="30">
        <f t="shared" ca="1" si="40"/>
        <v>8.8362740271128899E-3</v>
      </c>
      <c r="AAF10" s="30">
        <f t="shared" ca="1" si="40"/>
        <v>5.5449742167695396E-2</v>
      </c>
      <c r="AAG10" s="30">
        <f t="shared" ca="1" si="40"/>
        <v>5.3486258245322334E-2</v>
      </c>
      <c r="AAH10" s="30">
        <f t="shared" ca="1" si="40"/>
        <v>-1.584448003036228E-2</v>
      </c>
      <c r="AAI10" s="30">
        <f t="shared" ca="1" si="27"/>
        <v>6.8092775037458697E-2</v>
      </c>
      <c r="AAJ10" s="30">
        <f t="shared" ca="1" si="48"/>
        <v>4.1920698218355368E-2</v>
      </c>
      <c r="AAK10" s="30">
        <f t="shared" ca="1" si="48"/>
        <v>3.2418786252846769E-2</v>
      </c>
      <c r="AAL10" s="30">
        <f t="shared" ca="1" si="48"/>
        <v>3.1705117383311679E-3</v>
      </c>
      <c r="AAM10" s="30">
        <f t="shared" ca="1" si="48"/>
        <v>2.8802520160137707E-2</v>
      </c>
      <c r="AAN10" s="30">
        <f t="shared" ca="1" si="48"/>
        <v>6.6011312701726457E-2</v>
      </c>
      <c r="AAO10" s="30">
        <f t="shared" ca="1" si="48"/>
        <v>4.2013465206493232E-2</v>
      </c>
      <c r="AAP10" s="30">
        <f t="shared" ca="1" si="48"/>
        <v>-2.2706746716278377E-2</v>
      </c>
      <c r="AAQ10" s="30">
        <f t="shared" ca="1" si="48"/>
        <v>-1.368814559022251E-2</v>
      </c>
      <c r="AAR10" s="30">
        <f t="shared" ca="1" si="48"/>
        <v>7.277057432385923E-3</v>
      </c>
      <c r="AAS10" s="30">
        <f t="shared" ca="1" si="48"/>
        <v>2.9146920357680836E-2</v>
      </c>
      <c r="AAT10" s="30">
        <f t="shared" ca="1" si="48"/>
        <v>-6.4895368449870733E-2</v>
      </c>
      <c r="AAU10" s="30">
        <f t="shared" ca="1" si="48"/>
        <v>1.9321360088593812E-2</v>
      </c>
      <c r="AAV10" s="30">
        <f t="shared" ca="1" si="48"/>
        <v>1.9387066836064941E-2</v>
      </c>
      <c r="AAW10" s="30">
        <f t="shared" ca="1" si="48"/>
        <v>-4.9429065943898523E-2</v>
      </c>
      <c r="AAX10" s="30">
        <f t="shared" ca="1" si="48"/>
        <v>-3.3848091568687878E-2</v>
      </c>
      <c r="AAY10" s="30">
        <f t="shared" ca="1" si="48"/>
        <v>7.1547375938079624E-3</v>
      </c>
      <c r="AAZ10" s="30">
        <f t="shared" ca="1" si="48"/>
        <v>7.7796577193157246E-2</v>
      </c>
      <c r="ABA10" s="30">
        <f t="shared" ca="1" si="48"/>
        <v>7.5411561628410985E-3</v>
      </c>
      <c r="ABB10" s="30">
        <f t="shared" ca="1" si="48"/>
        <v>6.6995707918837993E-2</v>
      </c>
      <c r="ABC10" s="30">
        <f t="shared" ca="1" si="48"/>
        <v>5.0564860967870211E-2</v>
      </c>
      <c r="ABD10" s="30">
        <f t="shared" ca="1" si="48"/>
        <v>3.3121064924411983E-2</v>
      </c>
      <c r="ABE10" s="30">
        <f t="shared" ca="1" si="48"/>
        <v>2.8678885680301549E-2</v>
      </c>
      <c r="ABF10" s="30">
        <f t="shared" ca="1" si="48"/>
        <v>9.5306124564461959E-3</v>
      </c>
      <c r="ABG10" s="30">
        <f t="shared" ca="1" si="48"/>
        <v>-3.4858918217132218E-2</v>
      </c>
      <c r="ABH10" s="30">
        <f t="shared" ca="1" si="48"/>
        <v>4.2092420222025625E-2</v>
      </c>
      <c r="ABI10" s="30">
        <f t="shared" ca="1" si="48"/>
        <v>8.2598209954816617E-3</v>
      </c>
      <c r="ABJ10" s="30">
        <f t="shared" ca="1" si="48"/>
        <v>-5.1843143922698419E-2</v>
      </c>
      <c r="ABK10" s="30">
        <f t="shared" ca="1" si="48"/>
        <v>1.417825692594792E-3</v>
      </c>
      <c r="ABL10" s="30">
        <f t="shared" ca="1" si="48"/>
        <v>-3.465585198738734E-2</v>
      </c>
      <c r="ABM10" s="30">
        <f t="shared" ca="1" si="48"/>
        <v>-1.5919928739026763E-2</v>
      </c>
      <c r="ABN10" s="30">
        <f t="shared" ca="1" si="48"/>
        <v>-2.1656973193643191E-3</v>
      </c>
      <c r="ABO10" s="30">
        <f t="shared" ca="1" si="48"/>
        <v>-2.0397672667218023E-2</v>
      </c>
      <c r="ABP10" s="30">
        <f t="shared" ca="1" si="48"/>
        <v>3.5796857541059789E-2</v>
      </c>
      <c r="ABQ10" s="30">
        <f t="shared" ca="1" si="48"/>
        <v>-5.5489484084508961E-2</v>
      </c>
      <c r="ABR10" s="30">
        <f t="shared" ca="1" si="48"/>
        <v>1.7109656393560228E-3</v>
      </c>
      <c r="ABS10" s="30">
        <f t="shared" ca="1" si="48"/>
        <v>1.7659709209874287E-2</v>
      </c>
      <c r="ABT10" s="30">
        <f t="shared" ca="1" si="48"/>
        <v>3.6532182323287747E-2</v>
      </c>
      <c r="ABU10" s="30">
        <f t="shared" ca="1" si="48"/>
        <v>2.0740783701318163E-3</v>
      </c>
      <c r="ABV10" s="30">
        <f t="shared" ca="1" si="48"/>
        <v>4.722815464729628E-2</v>
      </c>
      <c r="ABW10" s="30">
        <f t="shared" ca="1" si="48"/>
        <v>1.7012312011685436E-2</v>
      </c>
      <c r="ABX10" s="30">
        <f t="shared" ca="1" si="48"/>
        <v>-2.5255397410806533E-2</v>
      </c>
      <c r="ABY10" s="30">
        <f t="shared" ca="1" si="48"/>
        <v>4.534163426392928E-2</v>
      </c>
      <c r="ABZ10" s="30">
        <f t="shared" ca="1" si="48"/>
        <v>3.069236417911779E-2</v>
      </c>
      <c r="ACA10" s="30">
        <f t="shared" ca="1" si="48"/>
        <v>-3.7763077517153659E-2</v>
      </c>
      <c r="ACB10" s="30">
        <f t="shared" ca="1" si="48"/>
        <v>2.5896319717826629E-2</v>
      </c>
      <c r="ACC10" s="30">
        <f t="shared" ca="1" si="48"/>
        <v>-3.9693163370186656E-2</v>
      </c>
      <c r="ACD10" s="30">
        <f t="shared" ca="1" si="48"/>
        <v>1.8779812011833364E-2</v>
      </c>
      <c r="ACE10" s="30">
        <f t="shared" ca="1" si="48"/>
        <v>-4.5885870644145822E-2</v>
      </c>
      <c r="ACF10" s="30">
        <f t="shared" ca="1" si="48"/>
        <v>2.8411929204417017E-2</v>
      </c>
      <c r="ACG10" s="30">
        <f t="shared" ca="1" si="48"/>
        <v>7.7410483773086222E-3</v>
      </c>
      <c r="ACH10" s="30">
        <f t="shared" ca="1" si="48"/>
        <v>3.1558491538178642E-2</v>
      </c>
      <c r="ACI10" s="30">
        <f t="shared" ca="1" si="48"/>
        <v>6.9069733115427242E-3</v>
      </c>
      <c r="ACJ10" s="30">
        <f t="shared" ca="1" si="48"/>
        <v>2.2638305630031174E-2</v>
      </c>
      <c r="ACK10" s="30">
        <f t="shared" ca="1" si="48"/>
        <v>5.3217523533618985E-2</v>
      </c>
      <c r="ACL10" s="30">
        <f t="shared" ca="1" si="48"/>
        <v>-4.8072688109497143E-2</v>
      </c>
      <c r="ACM10" s="30">
        <f t="shared" ca="1" si="48"/>
        <v>-1.8754967522931341E-2</v>
      </c>
      <c r="ACN10" s="30">
        <f t="shared" ca="1" si="48"/>
        <v>3.9789569643319415E-2</v>
      </c>
      <c r="ACO10" s="30">
        <f t="shared" ca="1" si="48"/>
        <v>-5.1873055033326364E-2</v>
      </c>
      <c r="ACP10" s="30">
        <f t="shared" ca="1" si="48"/>
        <v>6.5844940471720143E-3</v>
      </c>
      <c r="ACQ10" s="30">
        <f t="shared" ca="1" si="48"/>
        <v>1.5606426676085366E-2</v>
      </c>
      <c r="ACR10" s="30">
        <f t="shared" ca="1" si="48"/>
        <v>3.1979061365997506E-2</v>
      </c>
      <c r="ACS10" s="30">
        <f t="shared" ca="1" si="48"/>
        <v>1.8184309036184867E-2</v>
      </c>
      <c r="ACT10" s="30">
        <f t="shared" ca="1" si="48"/>
        <v>8.0294533704626161E-3</v>
      </c>
      <c r="ACU10" s="30">
        <f t="shared" ca="1" si="48"/>
        <v>-1.8167425855854482E-2</v>
      </c>
      <c r="ACV10" s="30">
        <f t="shared" ca="1" si="41"/>
        <v>-1.5455354413203816E-2</v>
      </c>
      <c r="ACW10" s="30">
        <f t="shared" ca="1" si="41"/>
        <v>-6.9443947783691287E-4</v>
      </c>
      <c r="ACX10" s="30">
        <f t="shared" ca="1" si="41"/>
        <v>4.0071861845597551E-2</v>
      </c>
      <c r="ACY10" s="30">
        <f t="shared" ca="1" si="41"/>
        <v>2.5703627466735688E-2</v>
      </c>
      <c r="ACZ10" s="30">
        <f t="shared" ca="1" si="41"/>
        <v>7.6911811875179467E-2</v>
      </c>
      <c r="ADA10" s="30">
        <f t="shared" ca="1" si="41"/>
        <v>2.7374180528775691E-2</v>
      </c>
      <c r="ADB10" s="30">
        <f t="shared" ca="1" si="41"/>
        <v>-2.422415009760796E-2</v>
      </c>
      <c r="ADC10" s="30">
        <f t="shared" ca="1" si="41"/>
        <v>0.1003119508694633</v>
      </c>
      <c r="ADD10" s="30">
        <f t="shared" ca="1" si="41"/>
        <v>-4.3068882945813548E-2</v>
      </c>
      <c r="ADE10" s="30">
        <f t="shared" ca="1" si="41"/>
        <v>3.6354506544660284E-2</v>
      </c>
      <c r="ADF10" s="30">
        <f t="shared" ca="1" si="41"/>
        <v>6.0305236996931612E-2</v>
      </c>
      <c r="ADG10" s="30">
        <f t="shared" ca="1" si="41"/>
        <v>3.5410797948000842E-3</v>
      </c>
      <c r="ADH10" s="30">
        <f t="shared" ca="1" si="41"/>
        <v>-2.9760442877688885E-2</v>
      </c>
      <c r="ADI10" s="30">
        <f t="shared" ca="1" si="41"/>
        <v>-2.4895929592237912E-2</v>
      </c>
      <c r="ADJ10" s="30">
        <f t="shared" ca="1" si="41"/>
        <v>5.6242273428691404E-2</v>
      </c>
      <c r="ADK10" s="30">
        <f t="shared" ca="1" si="41"/>
        <v>1.5432388323995253E-2</v>
      </c>
      <c r="ADL10" s="30">
        <f t="shared" ca="1" si="41"/>
        <v>3.7491763962090176E-2</v>
      </c>
      <c r="ADM10" s="30">
        <f t="shared" ca="1" si="41"/>
        <v>9.9002480225673043E-3</v>
      </c>
      <c r="ADN10" s="30">
        <f t="shared" ca="1" si="41"/>
        <v>-2.299593048346758E-3</v>
      </c>
      <c r="ADO10" s="30">
        <f t="shared" ca="1" si="41"/>
        <v>1.9463663103485813E-2</v>
      </c>
      <c r="ADP10" s="30">
        <f t="shared" ca="1" si="41"/>
        <v>1.2133193356864457E-2</v>
      </c>
      <c r="ADQ10" s="30">
        <f t="shared" ca="1" si="41"/>
        <v>5.7332838961253307E-3</v>
      </c>
      <c r="ADR10" s="30">
        <f t="shared" ca="1" si="41"/>
        <v>1.028086131685301E-2</v>
      </c>
      <c r="ADS10" s="30">
        <f t="shared" ca="1" si="41"/>
        <v>-3.3225326387479756E-2</v>
      </c>
      <c r="ADT10" s="30">
        <f t="shared" ca="1" si="41"/>
        <v>6.0526168212301695E-2</v>
      </c>
      <c r="ADU10" s="30">
        <f t="shared" ca="1" si="41"/>
        <v>2.8843719045498352E-2</v>
      </c>
      <c r="ADV10" s="30">
        <f t="shared" ca="1" si="41"/>
        <v>-2.7712020431195649E-2</v>
      </c>
      <c r="ADW10" s="30">
        <f t="shared" ca="1" si="41"/>
        <v>3.9111645984399703E-3</v>
      </c>
      <c r="ADX10" s="30">
        <f t="shared" ca="1" si="41"/>
        <v>-3.9326339302093949E-2</v>
      </c>
      <c r="ADY10" s="30">
        <f t="shared" ca="1" si="41"/>
        <v>7.7199842868542937E-2</v>
      </c>
      <c r="ADZ10" s="30">
        <f t="shared" ca="1" si="41"/>
        <v>-5.4462461888443739E-2</v>
      </c>
      <c r="AEA10" s="30">
        <f t="shared" ca="1" si="41"/>
        <v>3.3835026426868781E-2</v>
      </c>
      <c r="AEB10" s="30">
        <f t="shared" ca="1" si="41"/>
        <v>1.9678171726171919E-2</v>
      </c>
      <c r="AEC10" s="30">
        <f t="shared" ca="1" si="41"/>
        <v>-2.2108024572566838E-2</v>
      </c>
      <c r="AED10" s="30">
        <f t="shared" ca="1" si="41"/>
        <v>-5.7580013334589959E-2</v>
      </c>
      <c r="AEE10" s="30">
        <f t="shared" ca="1" si="41"/>
        <v>2.4105599066015608E-2</v>
      </c>
      <c r="AEF10" s="30">
        <f t="shared" ca="1" si="41"/>
        <v>9.5184972785722303E-3</v>
      </c>
      <c r="AEG10" s="30">
        <f t="shared" ca="1" si="41"/>
        <v>-5.11947335557527E-2</v>
      </c>
      <c r="AEH10" s="30">
        <f t="shared" ca="1" si="41"/>
        <v>5.6278868559480319E-2</v>
      </c>
      <c r="AEI10" s="30">
        <f t="shared" ca="1" si="41"/>
        <v>-4.0700678150490076E-2</v>
      </c>
      <c r="AEJ10" s="30">
        <f t="shared" ca="1" si="41"/>
        <v>3.3499081524942222E-2</v>
      </c>
      <c r="AEK10" s="30">
        <f t="shared" ca="1" si="41"/>
        <v>3.9028971627937621E-2</v>
      </c>
      <c r="AEL10" s="30">
        <f t="shared" ca="1" si="41"/>
        <v>-2.3468243065583587E-2</v>
      </c>
      <c r="AEM10" s="30">
        <f t="shared" ca="1" si="41"/>
        <v>-5.5745043488520975E-2</v>
      </c>
      <c r="AEN10" s="30">
        <f t="shared" ca="1" si="41"/>
        <v>2.5727350807915546E-2</v>
      </c>
      <c r="AEO10" s="30">
        <f t="shared" ca="1" si="41"/>
        <v>3.7216400729537732E-2</v>
      </c>
      <c r="AEP10" s="30">
        <f t="shared" ca="1" si="41"/>
        <v>-4.9143232953831981E-2</v>
      </c>
      <c r="AEQ10" s="30">
        <f t="shared" ca="1" si="41"/>
        <v>3.2766486623884095E-2</v>
      </c>
      <c r="AER10" s="30">
        <f t="shared" ca="1" si="41"/>
        <v>-7.6342897513160014E-3</v>
      </c>
      <c r="AES10" s="30">
        <f t="shared" ca="1" si="41"/>
        <v>-3.3451164495431909E-2</v>
      </c>
      <c r="AET10" s="30">
        <f t="shared" ca="1" si="41"/>
        <v>-1.3584403160331538E-2</v>
      </c>
      <c r="AEU10" s="30">
        <f t="shared" ca="1" si="41"/>
        <v>3.8261975057392754E-2</v>
      </c>
      <c r="AEV10" s="30">
        <f t="shared" ca="1" si="41"/>
        <v>6.8827422063626201E-2</v>
      </c>
      <c r="AEW10" s="30">
        <f t="shared" ca="1" si="41"/>
        <v>6.0870648689391925E-2</v>
      </c>
      <c r="AEX10" s="30">
        <f t="shared" ca="1" si="41"/>
        <v>-2.3829341574999177E-2</v>
      </c>
      <c r="AEY10" s="30">
        <f t="shared" ca="1" si="41"/>
        <v>-0.12582399719485016</v>
      </c>
      <c r="AEZ10" s="30">
        <f t="shared" ca="1" si="41"/>
        <v>9.2429337422330671E-2</v>
      </c>
      <c r="AFA10" s="30">
        <f t="shared" ca="1" si="41"/>
        <v>-7.3349478921500968E-2</v>
      </c>
      <c r="AFB10" s="30">
        <f t="shared" ca="1" si="41"/>
        <v>1.0631730836286928E-2</v>
      </c>
      <c r="AFC10" s="30">
        <f t="shared" ca="1" si="41"/>
        <v>7.3863666510941825E-2</v>
      </c>
      <c r="AFD10" s="30">
        <f t="shared" ca="1" si="41"/>
        <v>-8.350909355711708E-4</v>
      </c>
      <c r="AFE10" s="30">
        <f t="shared" ca="1" si="41"/>
        <v>-7.0303705858455537E-2</v>
      </c>
      <c r="AFF10" s="30">
        <f t="shared" ca="1" si="41"/>
        <v>5.2707871006226981E-2</v>
      </c>
      <c r="AFG10" s="30">
        <f t="shared" ca="1" si="29"/>
        <v>-8.2117950726008099E-3</v>
      </c>
      <c r="AFH10" s="30">
        <f t="shared" ca="1" si="49"/>
        <v>-7.9229457458877936E-4</v>
      </c>
      <c r="AFI10" s="30">
        <f t="shared" ca="1" si="49"/>
        <v>-1.1464479057657233E-2</v>
      </c>
      <c r="AFJ10" s="30">
        <f t="shared" ca="1" si="49"/>
        <v>6.5949642151238663E-2</v>
      </c>
      <c r="AFK10" s="30">
        <f t="shared" ca="1" si="49"/>
        <v>1.1002716419442882E-3</v>
      </c>
      <c r="AFL10" s="30">
        <f t="shared" ca="1" si="49"/>
        <v>-4.3155868164013379E-2</v>
      </c>
      <c r="AFM10" s="30">
        <f t="shared" ca="1" si="49"/>
        <v>2.6480705222375899E-2</v>
      </c>
      <c r="AFN10" s="30">
        <f t="shared" ca="1" si="49"/>
        <v>4.490918224104868E-2</v>
      </c>
      <c r="AFO10" s="30">
        <f t="shared" ca="1" si="49"/>
        <v>-1.2823273400039852E-2</v>
      </c>
      <c r="AFP10" s="30">
        <f t="shared" ca="1" si="49"/>
        <v>6.6579224291347203E-2</v>
      </c>
      <c r="AFQ10" s="30">
        <f t="shared" ca="1" si="49"/>
        <v>1.2859231369642201E-2</v>
      </c>
      <c r="AFR10" s="30">
        <f t="shared" ca="1" si="49"/>
        <v>1.9402404947547809E-2</v>
      </c>
      <c r="AFS10" s="30">
        <f t="shared" ca="1" si="49"/>
        <v>-1.6872453295559281E-2</v>
      </c>
      <c r="AFT10" s="30">
        <f t="shared" ca="1" si="49"/>
        <v>9.6015351488560833E-3</v>
      </c>
      <c r="AFU10" s="30">
        <f t="shared" ca="1" si="49"/>
        <v>3.2230153979643544E-2</v>
      </c>
      <c r="AFV10" s="30">
        <f t="shared" ca="1" si="49"/>
        <v>2.6797091780408299E-2</v>
      </c>
      <c r="AFW10" s="30">
        <f t="shared" ca="1" si="49"/>
        <v>-1.1454464125570328E-2</v>
      </c>
      <c r="AFX10" s="30">
        <f t="shared" ca="1" si="49"/>
        <v>-1.797446463749823E-2</v>
      </c>
      <c r="AFY10" s="30">
        <f t="shared" ca="1" si="49"/>
        <v>3.1054403007205762E-2</v>
      </c>
      <c r="AFZ10" s="30">
        <f t="shared" ca="1" si="49"/>
        <v>-6.8198593098322935E-2</v>
      </c>
      <c r="AGA10" s="30">
        <f t="shared" ca="1" si="49"/>
        <v>6.5618900961200008E-3</v>
      </c>
      <c r="AGB10" s="30">
        <f t="shared" ca="1" si="49"/>
        <v>1.4635591082642354E-3</v>
      </c>
      <c r="AGC10" s="30">
        <f t="shared" ca="1" si="49"/>
        <v>-2.4278513013183029E-2</v>
      </c>
      <c r="AGD10" s="30">
        <f t="shared" ca="1" si="49"/>
        <v>-3.6524885248356481E-2</v>
      </c>
      <c r="AGE10" s="30">
        <f t="shared" ca="1" si="49"/>
        <v>1.4333856978374266E-2</v>
      </c>
      <c r="AGF10" s="30">
        <f t="shared" ca="1" si="49"/>
        <v>-5.8138876169154296E-3</v>
      </c>
      <c r="AGG10" s="30">
        <f t="shared" ca="1" si="49"/>
        <v>3.0246414631718541E-2</v>
      </c>
      <c r="AGH10" s="30">
        <f t="shared" ca="1" si="49"/>
        <v>2.2638519907015528E-2</v>
      </c>
      <c r="AGI10" s="30">
        <f t="shared" ca="1" si="49"/>
        <v>3.5945808525210685E-3</v>
      </c>
      <c r="AGJ10" s="30">
        <f t="shared" ca="1" si="49"/>
        <v>-1.2861476863601556E-3</v>
      </c>
      <c r="AGK10" s="30">
        <f t="shared" ca="1" si="49"/>
        <v>3.4814016606960436E-2</v>
      </c>
      <c r="AGL10" s="30">
        <f t="shared" ca="1" si="49"/>
        <v>1.5923501018513789E-3</v>
      </c>
      <c r="AGM10" s="30">
        <f t="shared" ca="1" si="49"/>
        <v>4.9501155691452726E-2</v>
      </c>
      <c r="AGN10" s="30">
        <f t="shared" ca="1" si="49"/>
        <v>2.4526615985393591E-2</v>
      </c>
      <c r="AGO10" s="30">
        <f t="shared" ca="1" si="49"/>
        <v>-1.715052095551119E-2</v>
      </c>
      <c r="AGP10" s="30">
        <f t="shared" ca="1" si="49"/>
        <v>3.8929318894235357E-2</v>
      </c>
      <c r="AGQ10" s="30">
        <f t="shared" ca="1" si="49"/>
        <v>-3.2613607428025819E-2</v>
      </c>
      <c r="AGR10" s="30">
        <f t="shared" ca="1" si="49"/>
        <v>7.0724026372965224E-2</v>
      </c>
      <c r="AGS10" s="30">
        <f t="shared" ca="1" si="49"/>
        <v>-2.4528831381250213E-3</v>
      </c>
      <c r="AGT10" s="30">
        <f t="shared" ca="1" si="49"/>
        <v>-3.2258003502707334E-2</v>
      </c>
      <c r="AGU10" s="30">
        <f t="shared" ca="1" si="49"/>
        <v>-3.5571183884753943E-2</v>
      </c>
      <c r="AGV10" s="30">
        <f t="shared" ca="1" si="49"/>
        <v>1.6039899394621991E-2</v>
      </c>
      <c r="AGW10" s="30">
        <f t="shared" ca="1" si="49"/>
        <v>1.7707926308326192E-3</v>
      </c>
      <c r="AGX10" s="30">
        <f t="shared" ca="1" si="49"/>
        <v>-1.6080700840783414E-3</v>
      </c>
      <c r="AGY10" s="30">
        <f t="shared" ca="1" si="49"/>
        <v>-3.4841000397771354E-2</v>
      </c>
      <c r="AGZ10" s="30">
        <f t="shared" ca="1" si="49"/>
        <v>6.3753689723120024E-2</v>
      </c>
      <c r="AHA10" s="30">
        <f t="shared" ca="1" si="49"/>
        <v>-3.8091203943842578E-2</v>
      </c>
      <c r="AHB10" s="30">
        <f t="shared" ca="1" si="49"/>
        <v>-3.3782715375341332E-2</v>
      </c>
      <c r="AHC10" s="30">
        <f t="shared" ca="1" si="49"/>
        <v>-3.3154416527710583E-2</v>
      </c>
      <c r="AHD10" s="30">
        <f t="shared" ca="1" si="49"/>
        <v>3.1778361440362335E-2</v>
      </c>
      <c r="AHE10" s="30">
        <f t="shared" ca="1" si="49"/>
        <v>-6.086068383949219E-2</v>
      </c>
      <c r="AHF10" s="30">
        <f t="shared" ca="1" si="49"/>
        <v>2.2643929712401353E-2</v>
      </c>
      <c r="AHG10" s="30">
        <f t="shared" ca="1" si="49"/>
        <v>5.7529390702509503E-3</v>
      </c>
      <c r="AHH10" s="30">
        <f t="shared" ca="1" si="49"/>
        <v>-5.5488913220144181E-2</v>
      </c>
      <c r="AHI10" s="30">
        <f t="shared" ca="1" si="49"/>
        <v>6.5983067810835544E-2</v>
      </c>
      <c r="AHJ10" s="30">
        <f t="shared" ca="1" si="49"/>
        <v>-1.4573473330876139E-2</v>
      </c>
      <c r="AHK10" s="30">
        <f t="shared" ca="1" si="49"/>
        <v>5.4605391028423766E-2</v>
      </c>
      <c r="AHL10" s="30">
        <f t="shared" ca="1" si="49"/>
        <v>-3.3135416373025334E-3</v>
      </c>
      <c r="AHM10" s="30">
        <f t="shared" ca="1" si="49"/>
        <v>-9.0825222188842657E-3</v>
      </c>
      <c r="AHN10" s="30">
        <f t="shared" ca="1" si="49"/>
        <v>-3.3570652630949507E-2</v>
      </c>
      <c r="AHO10" s="30">
        <f t="shared" ca="1" si="49"/>
        <v>-8.4452321227494031E-3</v>
      </c>
      <c r="AHP10" s="30">
        <f t="shared" ca="1" si="49"/>
        <v>3.4870189817086304E-2</v>
      </c>
      <c r="AHQ10" s="30">
        <f t="shared" ca="1" si="49"/>
        <v>-3.2344882073322166E-2</v>
      </c>
      <c r="AHR10" s="30">
        <f t="shared" ca="1" si="49"/>
        <v>-7.0394564956219721E-2</v>
      </c>
      <c r="AHS10" s="30">
        <f t="shared" ca="1" si="49"/>
        <v>-2.3696908357969462E-2</v>
      </c>
      <c r="AHT10" s="30">
        <f t="shared" ca="1" si="42"/>
        <v>4.2307142622744737E-2</v>
      </c>
      <c r="AHU10" s="30">
        <f t="shared" ca="1" si="42"/>
        <v>-1.1620807934337177E-2</v>
      </c>
      <c r="AHV10" s="30">
        <f t="shared" ca="1" si="42"/>
        <v>-2.5240345826578355E-2</v>
      </c>
      <c r="AHW10" s="30">
        <f t="shared" ca="1" si="42"/>
        <v>8.9985055698801109E-2</v>
      </c>
      <c r="AHX10" s="30">
        <f t="shared" ca="1" si="42"/>
        <v>4.1064912148939078E-2</v>
      </c>
      <c r="AHY10" s="30">
        <f t="shared" ca="1" si="42"/>
        <v>3.251205932372845E-2</v>
      </c>
      <c r="AHZ10" s="30">
        <f t="shared" ca="1" si="42"/>
        <v>4.0724700929172034E-3</v>
      </c>
      <c r="AIA10" s="30">
        <f t="shared" ca="1" si="42"/>
        <v>1.4297839460779768E-3</v>
      </c>
      <c r="AIB10" s="30">
        <f t="shared" ca="1" si="42"/>
        <v>-6.4811251315907439E-2</v>
      </c>
      <c r="AIC10" s="30">
        <f t="shared" ca="1" si="42"/>
        <v>4.1738443605690905E-3</v>
      </c>
      <c r="AID10" s="30">
        <f t="shared" ca="1" si="42"/>
        <v>-2.7596796488440134E-4</v>
      </c>
      <c r="AIE10" s="30">
        <f t="shared" ca="1" si="42"/>
        <v>4.0345648801515754E-2</v>
      </c>
      <c r="AIF10" s="30">
        <f t="shared" ca="1" si="42"/>
        <v>4.3478222590446175E-2</v>
      </c>
      <c r="AIG10" s="30">
        <f t="shared" ca="1" si="42"/>
        <v>2.3447745793498221E-2</v>
      </c>
      <c r="AIH10" s="30">
        <f t="shared" ca="1" si="42"/>
        <v>-3.2080102224828988E-2</v>
      </c>
      <c r="AII10" s="30">
        <f t="shared" ca="1" si="42"/>
        <v>3.235289606666877E-3</v>
      </c>
      <c r="AIJ10" s="30">
        <f t="shared" ca="1" si="42"/>
        <v>-1.4260581420243998E-3</v>
      </c>
      <c r="AIK10" s="30">
        <f t="shared" ca="1" si="42"/>
        <v>1.0781094168535094E-2</v>
      </c>
      <c r="AIL10" s="30">
        <f t="shared" ca="1" si="42"/>
        <v>2.2168523899355221E-2</v>
      </c>
      <c r="AIM10" s="30">
        <f t="shared" ca="1" si="42"/>
        <v>1.3449032707900448E-3</v>
      </c>
      <c r="AIN10" s="30">
        <f t="shared" ca="1" si="42"/>
        <v>3.3651599533211368E-2</v>
      </c>
      <c r="AIO10" s="30">
        <f t="shared" ca="1" si="42"/>
        <v>6.9361666717188478E-2</v>
      </c>
      <c r="AIP10" s="30">
        <f t="shared" ca="1" si="42"/>
        <v>5.0183196082478808E-2</v>
      </c>
      <c r="AIQ10" s="30">
        <f t="shared" ca="1" si="42"/>
        <v>2.5284011812156835E-4</v>
      </c>
      <c r="AIR10" s="30">
        <f t="shared" ca="1" si="42"/>
        <v>-2.6460642198501375E-2</v>
      </c>
      <c r="AIS10" s="30">
        <f t="shared" ca="1" si="42"/>
        <v>-4.4179762336823004E-2</v>
      </c>
      <c r="AIT10" s="30">
        <f t="shared" ca="1" si="42"/>
        <v>-5.7030875840824766E-2</v>
      </c>
      <c r="AIU10" s="30">
        <f t="shared" ca="1" si="42"/>
        <v>8.6321975636567183E-2</v>
      </c>
      <c r="AIV10" s="30">
        <f t="shared" ca="1" si="42"/>
        <v>-4.9965691492861583E-3</v>
      </c>
      <c r="AIW10" s="30">
        <f t="shared" ca="1" si="42"/>
        <v>-2.4032273221812346E-2</v>
      </c>
      <c r="AIX10" s="30">
        <f t="shared" ca="1" si="42"/>
        <v>2.7215795099032013E-2</v>
      </c>
      <c r="AIY10" s="30">
        <f t="shared" ca="1" si="42"/>
        <v>2.5369816176342465E-2</v>
      </c>
      <c r="AIZ10" s="30">
        <f t="shared" ca="1" si="42"/>
        <v>1.570526331962328E-2</v>
      </c>
      <c r="AJA10" s="30">
        <f t="shared" ca="1" si="42"/>
        <v>-5.9661710835958075E-3</v>
      </c>
      <c r="AJB10" s="30">
        <f t="shared" ca="1" si="42"/>
        <v>3.9425237832518861E-2</v>
      </c>
      <c r="AJC10" s="30">
        <f t="shared" ca="1" si="42"/>
        <v>7.7487605785954747E-2</v>
      </c>
      <c r="AJD10" s="30">
        <f t="shared" ca="1" si="42"/>
        <v>3.8891001308232698E-2</v>
      </c>
      <c r="AJE10" s="30">
        <f t="shared" ca="1" si="42"/>
        <v>-2.9814197120740994E-2</v>
      </c>
      <c r="AJF10" s="30">
        <f t="shared" ca="1" si="42"/>
        <v>6.6515607579599855E-3</v>
      </c>
      <c r="AJG10" s="30">
        <f t="shared" ca="1" si="42"/>
        <v>-2.802480180578627E-2</v>
      </c>
      <c r="AJH10" s="30">
        <f t="shared" ca="1" si="42"/>
        <v>-5.340374765691884E-2</v>
      </c>
      <c r="AJI10" s="30">
        <f t="shared" ca="1" si="42"/>
        <v>-5.01846277986902E-2</v>
      </c>
      <c r="AJJ10" s="30">
        <f t="shared" ca="1" si="42"/>
        <v>-2.3383394263206569E-2</v>
      </c>
      <c r="AJK10" s="30">
        <f t="shared" ca="1" si="42"/>
        <v>3.7832548486689974E-2</v>
      </c>
      <c r="AJL10" s="30">
        <f t="shared" ca="1" si="42"/>
        <v>-4.0909998368563807E-2</v>
      </c>
      <c r="AJM10" s="30">
        <f t="shared" ca="1" si="42"/>
        <v>3.9752887290497765E-2</v>
      </c>
      <c r="AJN10" s="30">
        <f t="shared" ca="1" si="42"/>
        <v>4.409694115363999E-2</v>
      </c>
      <c r="AJO10" s="30">
        <f t="shared" ca="1" si="42"/>
        <v>-1.889257942061694E-2</v>
      </c>
      <c r="AJP10" s="30">
        <f t="shared" ca="1" si="42"/>
        <v>6.3785155645218624E-4</v>
      </c>
      <c r="AJQ10" s="30">
        <f t="shared" ca="1" si="42"/>
        <v>-4.2780060900567858E-2</v>
      </c>
      <c r="AJR10" s="30">
        <f t="shared" ca="1" si="42"/>
        <v>-3.241266687290735E-2</v>
      </c>
      <c r="AJS10" s="30">
        <f t="shared" ca="1" si="42"/>
        <v>-1.0800818572888738E-2</v>
      </c>
      <c r="AJT10" s="30">
        <f t="shared" ca="1" si="42"/>
        <v>-6.8373718709907813E-2</v>
      </c>
      <c r="AJU10" s="30">
        <f t="shared" ca="1" si="42"/>
        <v>-4.1422717532879679E-3</v>
      </c>
      <c r="AJV10" s="30">
        <f t="shared" ca="1" si="42"/>
        <v>1.1744285799271701E-2</v>
      </c>
      <c r="AJW10" s="30">
        <f t="shared" ca="1" si="42"/>
        <v>-1.0465249374166487E-2</v>
      </c>
      <c r="AJX10" s="30">
        <f t="shared" ca="1" si="42"/>
        <v>2.05360885660037E-2</v>
      </c>
      <c r="AJY10" s="30">
        <f t="shared" ca="1" si="42"/>
        <v>4.4104324030170852E-2</v>
      </c>
      <c r="AJZ10" s="30">
        <f t="shared" ca="1" si="42"/>
        <v>1.1588873556546888E-2</v>
      </c>
      <c r="AKA10" s="30">
        <f t="shared" ca="1" si="42"/>
        <v>-6.2343345504592779E-2</v>
      </c>
      <c r="AKB10" s="30">
        <f t="shared" ca="1" si="42"/>
        <v>-2.2012476624252483E-2</v>
      </c>
      <c r="AKC10" s="30">
        <f t="shared" ca="1" si="42"/>
        <v>4.2096048221678013E-2</v>
      </c>
      <c r="AKD10" s="30">
        <f t="shared" ca="1" si="42"/>
        <v>2.9868974526677815E-2</v>
      </c>
      <c r="AKE10" s="30">
        <f t="shared" ca="1" si="31"/>
        <v>-1.4308818051046699E-3</v>
      </c>
      <c r="AKF10" s="30">
        <f t="shared" ca="1" si="32"/>
        <v>-3.782824613464999E-3</v>
      </c>
      <c r="AKG10" s="30">
        <f t="shared" ca="1" si="32"/>
        <v>-4.9013476014102469E-2</v>
      </c>
      <c r="AKH10" s="30">
        <f t="shared" ca="1" si="32"/>
        <v>1.3737377596514831E-2</v>
      </c>
      <c r="AKI10" s="30">
        <f t="shared" ca="1" si="32"/>
        <v>2.3518403619443694E-2</v>
      </c>
      <c r="AKJ10" s="30">
        <f t="shared" ca="1" si="32"/>
        <v>1.6699307002639087E-2</v>
      </c>
      <c r="AKK10" s="30">
        <f t="shared" ca="1" si="32"/>
        <v>-1.6638202628184988E-3</v>
      </c>
      <c r="AKL10" s="30">
        <f t="shared" ca="1" si="32"/>
        <v>-1.5976044545989943E-2</v>
      </c>
      <c r="AKM10" s="30">
        <f t="shared" ca="1" si="32"/>
        <v>-8.2475441095058527E-2</v>
      </c>
      <c r="AKN10" s="30">
        <f t="shared" ca="1" si="32"/>
        <v>1.2977082142993227E-3</v>
      </c>
      <c r="AKO10" s="30">
        <f t="shared" ca="1" si="32"/>
        <v>-1.4104723866105992E-2</v>
      </c>
      <c r="AKP10" s="30">
        <f t="shared" ca="1" si="32"/>
        <v>2.1335034075862055E-2</v>
      </c>
      <c r="AKQ10" s="30">
        <f t="shared" ca="1" si="32"/>
        <v>-2.7664164820746431E-3</v>
      </c>
      <c r="AKR10" s="30">
        <f t="shared" ca="1" si="32"/>
        <v>-5.4122507917527429E-2</v>
      </c>
      <c r="AKS10" s="30">
        <f t="shared" ca="1" si="32"/>
        <v>-2.2489855081365667E-2</v>
      </c>
      <c r="AKT10" s="30">
        <f t="shared" ca="1" si="32"/>
        <v>4.6905917371670436E-2</v>
      </c>
      <c r="AKU10" s="30">
        <f t="shared" ca="1" si="32"/>
        <v>-6.1658246785773904E-2</v>
      </c>
      <c r="AKV10" s="30">
        <f t="shared" ca="1" si="32"/>
        <v>-2.0875790008098923E-2</v>
      </c>
      <c r="AKW10" s="30">
        <f t="shared" ca="1" si="32"/>
        <v>-3.8260518393072949E-2</v>
      </c>
      <c r="AKX10" s="30">
        <f t="shared" ca="1" si="32"/>
        <v>1.2715555182147311E-2</v>
      </c>
      <c r="AKY10" s="30">
        <f t="shared" ca="1" si="32"/>
        <v>1.0082362600234955E-2</v>
      </c>
      <c r="AKZ10" s="30">
        <f t="shared" ca="1" si="32"/>
        <v>-2.5232758400040901E-2</v>
      </c>
      <c r="ALA10" s="30">
        <f t="shared" ref="ALA10:ALR10" ca="1" si="52">_xlfn.NORM.INV(RAND(),$C$8,$C$9)</f>
        <v>1.9261522099650416E-2</v>
      </c>
      <c r="ALB10" s="30">
        <f t="shared" ca="1" si="52"/>
        <v>4.0105937472169159E-2</v>
      </c>
      <c r="ALC10" s="30">
        <f t="shared" ca="1" si="52"/>
        <v>-4.6142948218798767E-2</v>
      </c>
      <c r="ALD10" s="30">
        <f t="shared" ca="1" si="52"/>
        <v>2.2059103585287409E-2</v>
      </c>
      <c r="ALE10" s="30">
        <f t="shared" ca="1" si="52"/>
        <v>3.155774918529923E-2</v>
      </c>
      <c r="ALF10" s="30">
        <f t="shared" ca="1" si="52"/>
        <v>-1.3512326585900295E-3</v>
      </c>
      <c r="ALG10" s="30">
        <f t="shared" ca="1" si="52"/>
        <v>-3.3302485357165859E-2</v>
      </c>
      <c r="ALH10" s="30">
        <f t="shared" ca="1" si="52"/>
        <v>2.4755235019841459E-2</v>
      </c>
      <c r="ALI10" s="30">
        <f t="shared" ca="1" si="52"/>
        <v>-2.7768558513358743E-2</v>
      </c>
      <c r="ALJ10" s="30">
        <f t="shared" ca="1" si="52"/>
        <v>6.3275987685992062E-3</v>
      </c>
      <c r="ALK10" s="30">
        <f t="shared" ca="1" si="52"/>
        <v>-2.3138146473843126E-2</v>
      </c>
      <c r="ALL10" s="30">
        <f t="shared" ca="1" si="52"/>
        <v>-3.7930189896556228E-2</v>
      </c>
      <c r="ALM10" s="30">
        <f t="shared" ca="1" si="52"/>
        <v>-6.0142544468091766E-2</v>
      </c>
      <c r="ALN10" s="30">
        <f t="shared" ca="1" si="52"/>
        <v>-5.8097987102044097E-3</v>
      </c>
      <c r="ALO10" s="30">
        <f t="shared" ca="1" si="52"/>
        <v>-5.1306337255008407E-3</v>
      </c>
      <c r="ALP10" s="30">
        <f t="shared" ca="1" si="52"/>
        <v>-1.9687547175853162E-2</v>
      </c>
      <c r="ALQ10" s="30">
        <f t="shared" ca="1" si="52"/>
        <v>1.9690207073734568E-2</v>
      </c>
      <c r="ALR10" s="30">
        <f t="shared" ca="1" si="52"/>
        <v>8.2125979637093609E-3</v>
      </c>
    </row>
    <row r="11" spans="2:1006" s="29" customFormat="1" x14ac:dyDescent="0.2">
      <c r="B11" s="66" t="s">
        <v>1537</v>
      </c>
      <c r="C11" s="67"/>
      <c r="D11" s="34">
        <v>57661</v>
      </c>
      <c r="F11" s="32">
        <f t="shared" si="35"/>
        <v>8</v>
      </c>
      <c r="G11" s="30">
        <f t="shared" ca="1" si="33"/>
        <v>1.5069955909919327E-2</v>
      </c>
      <c r="H11" s="30">
        <f t="shared" ca="1" si="51"/>
        <v>9.3348661511440209E-2</v>
      </c>
      <c r="I11" s="30">
        <f t="shared" ca="1" si="51"/>
        <v>3.163336851942973E-2</v>
      </c>
      <c r="J11" s="30">
        <f t="shared" ca="1" si="51"/>
        <v>-1.7232075751799547E-3</v>
      </c>
      <c r="K11" s="30">
        <f t="shared" ca="1" si="51"/>
        <v>1.0170708835402744E-2</v>
      </c>
      <c r="L11" s="30">
        <f t="shared" ca="1" si="51"/>
        <v>-1.7873400106845103E-2</v>
      </c>
      <c r="M11" s="30">
        <f t="shared" ca="1" si="51"/>
        <v>-7.6333531612473055E-2</v>
      </c>
      <c r="N11" s="30">
        <f t="shared" ca="1" si="51"/>
        <v>-1.7017956587120204E-2</v>
      </c>
      <c r="O11" s="30">
        <f t="shared" ca="1" si="51"/>
        <v>4.4642056088695189E-2</v>
      </c>
      <c r="P11" s="30">
        <f t="shared" ca="1" si="51"/>
        <v>-1.1385712566109913E-2</v>
      </c>
      <c r="Q11" s="30">
        <f t="shared" ca="1" si="51"/>
        <v>2.0680974887502701E-2</v>
      </c>
      <c r="R11" s="30">
        <f t="shared" ca="1" si="51"/>
        <v>-3.2837903751659674E-2</v>
      </c>
      <c r="S11" s="30">
        <f t="shared" ca="1" si="51"/>
        <v>8.5086902717045207E-2</v>
      </c>
      <c r="T11" s="30">
        <f t="shared" ca="1" si="51"/>
        <v>-2.1481422974861355E-2</v>
      </c>
      <c r="U11" s="30">
        <f t="shared" ca="1" si="51"/>
        <v>2.9972948868966454E-2</v>
      </c>
      <c r="V11" s="30">
        <f t="shared" ca="1" si="51"/>
        <v>-1.5908138292734804E-2</v>
      </c>
      <c r="W11" s="30">
        <f t="shared" ca="1" si="51"/>
        <v>-3.2610492512101692E-2</v>
      </c>
      <c r="X11" s="30">
        <f t="shared" ca="1" si="51"/>
        <v>-3.4231062611496388E-2</v>
      </c>
      <c r="Y11" s="30">
        <f t="shared" ca="1" si="51"/>
        <v>2.3116388979869128E-2</v>
      </c>
      <c r="Z11" s="30">
        <f t="shared" ca="1" si="51"/>
        <v>3.1786920145772647E-2</v>
      </c>
      <c r="AA11" s="30">
        <f t="shared" ca="1" si="51"/>
        <v>-5.3374837276172177E-2</v>
      </c>
      <c r="AB11" s="30">
        <f t="shared" ca="1" si="51"/>
        <v>1.7957472981687459E-2</v>
      </c>
      <c r="AC11" s="30">
        <f t="shared" ca="1" si="51"/>
        <v>-1.407845251892437E-2</v>
      </c>
      <c r="AD11" s="30">
        <f t="shared" ca="1" si="51"/>
        <v>0.10947298160441002</v>
      </c>
      <c r="AE11" s="30">
        <f t="shared" ca="1" si="51"/>
        <v>4.2833769517691828E-2</v>
      </c>
      <c r="AF11" s="30">
        <f t="shared" ca="1" si="51"/>
        <v>-1.116004382356213E-2</v>
      </c>
      <c r="AG11" s="30">
        <f t="shared" ca="1" si="51"/>
        <v>-1.9660812307983611E-2</v>
      </c>
      <c r="AH11" s="30">
        <f t="shared" ca="1" si="51"/>
        <v>-2.2848532170236021E-2</v>
      </c>
      <c r="AI11" s="30">
        <f t="shared" ca="1" si="51"/>
        <v>-6.7750889932377448E-2</v>
      </c>
      <c r="AJ11" s="30">
        <f t="shared" ca="1" si="51"/>
        <v>-2.3491550858317597E-2</v>
      </c>
      <c r="AK11" s="30">
        <f t="shared" ca="1" si="51"/>
        <v>3.5474751956871338E-2</v>
      </c>
      <c r="AL11" s="30">
        <f t="shared" ca="1" si="51"/>
        <v>1.6142958904280035E-2</v>
      </c>
      <c r="AM11" s="30">
        <f t="shared" ca="1" si="51"/>
        <v>7.1479031517987915E-2</v>
      </c>
      <c r="AN11" s="30">
        <f t="shared" ca="1" si="51"/>
        <v>-7.5912947214695475E-3</v>
      </c>
      <c r="AO11" s="30">
        <f t="shared" ca="1" si="51"/>
        <v>-2.6227573866937959E-2</v>
      </c>
      <c r="AP11" s="30">
        <f t="shared" ca="1" si="51"/>
        <v>1.035952734265836E-2</v>
      </c>
      <c r="AQ11" s="30">
        <f t="shared" ca="1" si="51"/>
        <v>-4.171594373115451E-2</v>
      </c>
      <c r="AR11" s="30">
        <f t="shared" ca="1" si="51"/>
        <v>1.674209309053416E-2</v>
      </c>
      <c r="AS11" s="30">
        <f t="shared" ca="1" si="51"/>
        <v>-8.9794887009116281E-3</v>
      </c>
      <c r="AT11" s="30">
        <f t="shared" ca="1" si="51"/>
        <v>-2.9384862917533297E-2</v>
      </c>
      <c r="AU11" s="30">
        <f t="shared" ca="1" si="51"/>
        <v>7.1767928288668986E-2</v>
      </c>
      <c r="AV11" s="30">
        <f t="shared" ca="1" si="51"/>
        <v>-1.5504072886659538E-2</v>
      </c>
      <c r="AW11" s="30">
        <f t="shared" ca="1" si="51"/>
        <v>-0.13805169448192184</v>
      </c>
      <c r="AX11" s="30">
        <f t="shared" ca="1" si="51"/>
        <v>-2.069737233175618E-2</v>
      </c>
      <c r="AY11" s="30">
        <f t="shared" ca="1" si="51"/>
        <v>-4.5361101479187297E-3</v>
      </c>
      <c r="AZ11" s="30">
        <f t="shared" ca="1" si="51"/>
        <v>3.1250764350272235E-2</v>
      </c>
      <c r="BA11" s="30">
        <f t="shared" ca="1" si="51"/>
        <v>1.218535382462497E-2</v>
      </c>
      <c r="BB11" s="30">
        <f t="shared" ca="1" si="51"/>
        <v>6.1931987113498399E-2</v>
      </c>
      <c r="BC11" s="30">
        <f t="shared" ca="1" si="51"/>
        <v>-1.7882405551780316E-2</v>
      </c>
      <c r="BD11" s="30">
        <f t="shared" ca="1" si="51"/>
        <v>-2.1756461188189462E-2</v>
      </c>
      <c r="BE11" s="30">
        <f t="shared" ca="1" si="51"/>
        <v>-2.588215054391426E-2</v>
      </c>
      <c r="BF11" s="30">
        <f t="shared" ca="1" si="51"/>
        <v>3.6687027801740456E-2</v>
      </c>
      <c r="BG11" s="30">
        <f t="shared" ca="1" si="51"/>
        <v>-2.2778092854704238E-2</v>
      </c>
      <c r="BH11" s="30">
        <f t="shared" ca="1" si="51"/>
        <v>5.9651711828892694E-2</v>
      </c>
      <c r="BI11" s="30">
        <f t="shared" ca="1" si="51"/>
        <v>-1.9868620224311587E-2</v>
      </c>
      <c r="BJ11" s="30">
        <f t="shared" ca="1" si="51"/>
        <v>-3.0244571058833124E-2</v>
      </c>
      <c r="BK11" s="30">
        <f t="shared" ca="1" si="51"/>
        <v>-4.4194638487903429E-3</v>
      </c>
      <c r="BL11" s="30">
        <f t="shared" ca="1" si="51"/>
        <v>6.604996826861198E-2</v>
      </c>
      <c r="BM11" s="30">
        <f t="shared" ca="1" si="51"/>
        <v>-2.1527899501857326E-2</v>
      </c>
      <c r="BN11" s="30">
        <f t="shared" ca="1" si="51"/>
        <v>5.1056083365042778E-3</v>
      </c>
      <c r="BO11" s="30">
        <f t="shared" ca="1" si="51"/>
        <v>-6.3588812945696724E-2</v>
      </c>
      <c r="BP11" s="30">
        <f t="shared" ca="1" si="51"/>
        <v>4.8702145649164287E-2</v>
      </c>
      <c r="BQ11" s="30">
        <f t="shared" ca="1" si="51"/>
        <v>-1.3271834671397585E-2</v>
      </c>
      <c r="BR11" s="30">
        <f t="shared" ca="1" si="51"/>
        <v>2.2926671830869289E-2</v>
      </c>
      <c r="BS11" s="30">
        <f t="shared" ca="1" si="51"/>
        <v>8.6450020980351372E-2</v>
      </c>
      <c r="BT11" s="30">
        <f t="shared" ca="1" si="50"/>
        <v>-2.5114638667839032E-2</v>
      </c>
      <c r="BU11" s="30">
        <f t="shared" ca="1" si="50"/>
        <v>-7.331689175159653E-2</v>
      </c>
      <c r="BV11" s="30">
        <f t="shared" ca="1" si="50"/>
        <v>1.4206399974074324E-2</v>
      </c>
      <c r="BW11" s="30">
        <f t="shared" ca="1" si="50"/>
        <v>-1.4626522794935589E-2</v>
      </c>
      <c r="BX11" s="30">
        <f t="shared" ca="1" si="50"/>
        <v>5.5712621129892385E-2</v>
      </c>
      <c r="BY11" s="30">
        <f t="shared" ca="1" si="50"/>
        <v>-2.1368555365343798E-2</v>
      </c>
      <c r="BZ11" s="30">
        <f t="shared" ca="1" si="50"/>
        <v>1.2152700692374788E-2</v>
      </c>
      <c r="CA11" s="30">
        <f t="shared" ca="1" si="50"/>
        <v>-2.7449632508144101E-2</v>
      </c>
      <c r="CB11" s="30">
        <f t="shared" ca="1" si="50"/>
        <v>-5.9553371943221106E-2</v>
      </c>
      <c r="CC11" s="30">
        <f t="shared" ca="1" si="50"/>
        <v>-6.4945417748437775E-2</v>
      </c>
      <c r="CD11" s="30">
        <f t="shared" ca="1" si="50"/>
        <v>-5.0396714135977828E-2</v>
      </c>
      <c r="CE11" s="30">
        <f t="shared" ca="1" si="50"/>
        <v>-3.0511076488882814E-2</v>
      </c>
      <c r="CF11" s="30">
        <f t="shared" ca="1" si="50"/>
        <v>2.015712402123291E-2</v>
      </c>
      <c r="CG11" s="30">
        <f t="shared" ca="1" si="50"/>
        <v>4.469677691866708E-2</v>
      </c>
      <c r="CH11" s="30">
        <f t="shared" ca="1" si="50"/>
        <v>3.0494805178895154E-3</v>
      </c>
      <c r="CI11" s="30">
        <f t="shared" ca="1" si="50"/>
        <v>5.0719415818167982E-2</v>
      </c>
      <c r="CJ11" s="30">
        <f t="shared" ca="1" si="50"/>
        <v>-1.0566074473410989E-2</v>
      </c>
      <c r="CK11" s="30">
        <f t="shared" ca="1" si="50"/>
        <v>1.5653296005166017E-2</v>
      </c>
      <c r="CL11" s="30">
        <f t="shared" ca="1" si="50"/>
        <v>-1.1051105846604525E-2</v>
      </c>
      <c r="CM11" s="30">
        <f t="shared" ca="1" si="50"/>
        <v>-3.0620789818867941E-2</v>
      </c>
      <c r="CN11" s="30">
        <f t="shared" ca="1" si="50"/>
        <v>2.749535017046963E-2</v>
      </c>
      <c r="CO11" s="30">
        <f t="shared" ca="1" si="50"/>
        <v>3.7618186344800561E-2</v>
      </c>
      <c r="CP11" s="30">
        <f t="shared" ca="1" si="50"/>
        <v>3.6807628878771675E-2</v>
      </c>
      <c r="CQ11" s="30">
        <f t="shared" ca="1" si="50"/>
        <v>1.4469922531479557E-3</v>
      </c>
      <c r="CR11" s="30">
        <f t="shared" ca="1" si="50"/>
        <v>-4.6190607621810743E-2</v>
      </c>
      <c r="CS11" s="30">
        <f t="shared" ca="1" si="50"/>
        <v>9.5726152721962478E-3</v>
      </c>
      <c r="CT11" s="30">
        <f t="shared" ca="1" si="50"/>
        <v>3.1962174908566204E-2</v>
      </c>
      <c r="CU11" s="30">
        <f t="shared" ca="1" si="50"/>
        <v>9.0321944435324125E-2</v>
      </c>
      <c r="CV11" s="30">
        <f t="shared" ca="1" si="50"/>
        <v>-4.0079204704896232E-2</v>
      </c>
      <c r="CW11" s="30">
        <f t="shared" ca="1" si="50"/>
        <v>2.5812231277762668E-2</v>
      </c>
      <c r="CX11" s="30">
        <f t="shared" ca="1" si="50"/>
        <v>8.3277657783951079E-3</v>
      </c>
      <c r="CY11" s="30">
        <f t="shared" ca="1" si="50"/>
        <v>2.3895921105613088E-2</v>
      </c>
      <c r="CZ11" s="30">
        <f t="shared" ca="1" si="50"/>
        <v>2.1093660464510347E-2</v>
      </c>
      <c r="DA11" s="30">
        <f t="shared" ca="1" si="50"/>
        <v>1.5832645115640396E-2</v>
      </c>
      <c r="DB11" s="30">
        <f t="shared" ca="1" si="50"/>
        <v>-4.0277284240614747E-2</v>
      </c>
      <c r="DC11" s="30">
        <f t="shared" ca="1" si="50"/>
        <v>-1.3973456220083467E-2</v>
      </c>
      <c r="DD11" s="30">
        <f t="shared" ca="1" si="50"/>
        <v>-8.9931164476858942E-3</v>
      </c>
      <c r="DE11" s="30">
        <f t="shared" ca="1" si="50"/>
        <v>4.9367968677977214E-2</v>
      </c>
      <c r="DF11" s="30">
        <f t="shared" ca="1" si="50"/>
        <v>-4.3368183902948278E-3</v>
      </c>
      <c r="DG11" s="30">
        <f t="shared" ca="1" si="50"/>
        <v>-1.2245388317315829E-2</v>
      </c>
      <c r="DH11" s="30">
        <f t="shared" ca="1" si="50"/>
        <v>4.646747124204112E-2</v>
      </c>
      <c r="DI11" s="30">
        <f t="shared" ca="1" si="50"/>
        <v>3.3638970329020745E-2</v>
      </c>
      <c r="DJ11" s="30">
        <f t="shared" ca="1" si="50"/>
        <v>-8.7510944671970025E-3</v>
      </c>
      <c r="DK11" s="30">
        <f t="shared" ca="1" si="50"/>
        <v>-1.8923002579201351E-2</v>
      </c>
      <c r="DL11" s="30">
        <f t="shared" ca="1" si="50"/>
        <v>8.0919571756517868E-3</v>
      </c>
      <c r="DM11" s="30">
        <f t="shared" ca="1" si="50"/>
        <v>-1.2971117313936218E-2</v>
      </c>
      <c r="DN11" s="30">
        <f t="shared" ca="1" si="50"/>
        <v>4.5164230935158894E-2</v>
      </c>
      <c r="DO11" s="30">
        <f t="shared" ca="1" si="50"/>
        <v>6.0590476605180785E-2</v>
      </c>
      <c r="DP11" s="30">
        <f t="shared" ca="1" si="50"/>
        <v>4.9291945184984143E-2</v>
      </c>
      <c r="DQ11" s="30">
        <f t="shared" ca="1" si="50"/>
        <v>-7.796016810680885E-2</v>
      </c>
      <c r="DR11" s="30">
        <f t="shared" ca="1" si="50"/>
        <v>-2.6774627844409069E-2</v>
      </c>
      <c r="DS11" s="30">
        <f t="shared" ca="1" si="50"/>
        <v>3.3394388851086941E-2</v>
      </c>
      <c r="DT11" s="30">
        <f t="shared" ca="1" si="50"/>
        <v>3.040456038700972E-2</v>
      </c>
      <c r="DU11" s="30">
        <f t="shared" ca="1" si="50"/>
        <v>1.2144501053421035E-2</v>
      </c>
      <c r="DV11" s="30">
        <f t="shared" ca="1" si="50"/>
        <v>1.5014672878402165E-2</v>
      </c>
      <c r="DW11" s="30">
        <f t="shared" ca="1" si="50"/>
        <v>-6.0349795120974228E-3</v>
      </c>
      <c r="DX11" s="30">
        <f t="shared" ca="1" si="50"/>
        <v>-5.1895966922577343E-2</v>
      </c>
      <c r="DY11" s="30">
        <f t="shared" ca="1" si="50"/>
        <v>-5.3280508728810886E-3</v>
      </c>
      <c r="DZ11" s="30">
        <f t="shared" ca="1" si="50"/>
        <v>-1.0285331539899927E-2</v>
      </c>
      <c r="EA11" s="30">
        <f t="shared" ca="1" si="50"/>
        <v>4.5670315346286253E-2</v>
      </c>
      <c r="EB11" s="30">
        <f t="shared" ca="1" si="50"/>
        <v>-3.3861898005240259E-3</v>
      </c>
      <c r="EC11" s="30">
        <f t="shared" ca="1" si="50"/>
        <v>-2.1023173906011078E-2</v>
      </c>
      <c r="ED11" s="30">
        <f t="shared" ca="1" si="50"/>
        <v>4.1314934499665848E-2</v>
      </c>
      <c r="EE11" s="30">
        <f t="shared" ca="1" si="43"/>
        <v>9.7958564771850904E-3</v>
      </c>
      <c r="EF11" s="30">
        <f t="shared" ca="1" si="36"/>
        <v>-7.7012069385135454E-2</v>
      </c>
      <c r="EG11" s="30">
        <f t="shared" ca="1" si="36"/>
        <v>2.9303992978284413E-2</v>
      </c>
      <c r="EH11" s="30">
        <f t="shared" ref="EH11:GS14" ca="1" si="53">_xlfn.NORM.INV(RAND(),$C$8,$C$9)</f>
        <v>2.3984235735132434E-2</v>
      </c>
      <c r="EI11" s="30">
        <f t="shared" ca="1" si="53"/>
        <v>2.4166200299217459E-2</v>
      </c>
      <c r="EJ11" s="30">
        <f t="shared" ca="1" si="53"/>
        <v>4.947795869103961E-2</v>
      </c>
      <c r="EK11" s="30">
        <f t="shared" ca="1" si="53"/>
        <v>2.5571829546724361E-2</v>
      </c>
      <c r="EL11" s="30">
        <f t="shared" ca="1" si="53"/>
        <v>2.8015465810620255E-2</v>
      </c>
      <c r="EM11" s="30">
        <f t="shared" ca="1" si="53"/>
        <v>5.7510908027552175E-2</v>
      </c>
      <c r="EN11" s="30">
        <f t="shared" ca="1" si="53"/>
        <v>5.4498993220706365E-2</v>
      </c>
      <c r="EO11" s="30">
        <f t="shared" ca="1" si="53"/>
        <v>-8.1829559062854295E-4</v>
      </c>
      <c r="EP11" s="30">
        <f t="shared" ca="1" si="53"/>
        <v>-0.11171053671825806</v>
      </c>
      <c r="EQ11" s="30">
        <f t="shared" ca="1" si="53"/>
        <v>-1.694540478085824E-2</v>
      </c>
      <c r="ER11" s="30">
        <f t="shared" ca="1" si="53"/>
        <v>1.5835819455060636E-2</v>
      </c>
      <c r="ES11" s="30">
        <f t="shared" ca="1" si="53"/>
        <v>8.6436655621360409E-2</v>
      </c>
      <c r="ET11" s="30">
        <f t="shared" ca="1" si="53"/>
        <v>1.5083690281354671E-2</v>
      </c>
      <c r="EU11" s="30">
        <f t="shared" ca="1" si="53"/>
        <v>3.5009436238241805E-3</v>
      </c>
      <c r="EV11" s="30">
        <f t="shared" ca="1" si="53"/>
        <v>-1.069924269190727E-2</v>
      </c>
      <c r="EW11" s="30">
        <f t="shared" ca="1" si="53"/>
        <v>6.0423068129858044E-2</v>
      </c>
      <c r="EX11" s="30">
        <f t="shared" ca="1" si="53"/>
        <v>2.4441554330527096E-2</v>
      </c>
      <c r="EY11" s="30">
        <f t="shared" ca="1" si="53"/>
        <v>1.4075320346850061E-2</v>
      </c>
      <c r="EZ11" s="30">
        <f t="shared" ca="1" si="53"/>
        <v>5.1280771429480933E-2</v>
      </c>
      <c r="FA11" s="30">
        <f t="shared" ca="1" si="53"/>
        <v>3.5520482006507759E-2</v>
      </c>
      <c r="FB11" s="30">
        <f t="shared" ca="1" si="53"/>
        <v>8.0331954836507222E-2</v>
      </c>
      <c r="FC11" s="30">
        <f t="shared" ca="1" si="53"/>
        <v>-9.1619233578857276E-2</v>
      </c>
      <c r="FD11" s="30">
        <f t="shared" ca="1" si="53"/>
        <v>-1.030758300587091E-2</v>
      </c>
      <c r="FE11" s="30">
        <f t="shared" ca="1" si="53"/>
        <v>-3.7286681004921517E-2</v>
      </c>
      <c r="FF11" s="30">
        <f t="shared" ca="1" si="53"/>
        <v>-3.374810594943984E-2</v>
      </c>
      <c r="FG11" s="30">
        <f t="shared" ca="1" si="53"/>
        <v>5.2998375743334844E-3</v>
      </c>
      <c r="FH11" s="30">
        <f t="shared" ca="1" si="53"/>
        <v>5.5766317325912633E-2</v>
      </c>
      <c r="FI11" s="30">
        <f t="shared" ca="1" si="53"/>
        <v>1.4539251661120753E-2</v>
      </c>
      <c r="FJ11" s="30">
        <f t="shared" ca="1" si="53"/>
        <v>6.1869020658810348E-4</v>
      </c>
      <c r="FK11" s="30">
        <f t="shared" ca="1" si="53"/>
        <v>-4.0813756301759534E-2</v>
      </c>
      <c r="FL11" s="30">
        <f t="shared" ca="1" si="53"/>
        <v>9.3758532112132337E-2</v>
      </c>
      <c r="FM11" s="30">
        <f t="shared" ca="1" si="53"/>
        <v>8.6139600760353902E-2</v>
      </c>
      <c r="FN11" s="30">
        <f t="shared" ca="1" si="53"/>
        <v>5.2647214742776498E-2</v>
      </c>
      <c r="FO11" s="30">
        <f t="shared" ca="1" si="53"/>
        <v>-7.7212420632304032E-2</v>
      </c>
      <c r="FP11" s="30">
        <f t="shared" ca="1" si="53"/>
        <v>-5.6832405245045181E-2</v>
      </c>
      <c r="FQ11" s="30">
        <f t="shared" ca="1" si="53"/>
        <v>2.3802640489070108E-3</v>
      </c>
      <c r="FR11" s="30">
        <f t="shared" ca="1" si="53"/>
        <v>4.1986399320620434E-2</v>
      </c>
      <c r="FS11" s="30">
        <f t="shared" ca="1" si="53"/>
        <v>4.7423329157921655E-2</v>
      </c>
      <c r="FT11" s="30">
        <f t="shared" ca="1" si="53"/>
        <v>-4.9418474276410572E-2</v>
      </c>
      <c r="FU11" s="30">
        <f t="shared" ca="1" si="53"/>
        <v>-5.9138060319390416E-2</v>
      </c>
      <c r="FV11" s="30">
        <f t="shared" ca="1" si="53"/>
        <v>-3.5033378545297846E-2</v>
      </c>
      <c r="FW11" s="30">
        <f t="shared" ca="1" si="53"/>
        <v>2.442021758155296E-2</v>
      </c>
      <c r="FX11" s="30">
        <f t="shared" ca="1" si="53"/>
        <v>-2.6912445927588905E-2</v>
      </c>
      <c r="FY11" s="30">
        <f t="shared" ca="1" si="53"/>
        <v>-8.4583063063531472E-2</v>
      </c>
      <c r="FZ11" s="30">
        <f t="shared" ca="1" si="53"/>
        <v>-0.11150126816012081</v>
      </c>
      <c r="GA11" s="30">
        <f t="shared" ca="1" si="53"/>
        <v>2.7667484725832806E-2</v>
      </c>
      <c r="GB11" s="30">
        <f t="shared" ca="1" si="53"/>
        <v>-3.7201072500354933E-2</v>
      </c>
      <c r="GC11" s="30">
        <f t="shared" ca="1" si="53"/>
        <v>2.8457329914695018E-2</v>
      </c>
      <c r="GD11" s="30">
        <f t="shared" ca="1" si="53"/>
        <v>1.7097947575656944E-2</v>
      </c>
      <c r="GE11" s="30">
        <f t="shared" ca="1" si="53"/>
        <v>-3.2251750784876208E-2</v>
      </c>
      <c r="GF11" s="30">
        <f t="shared" ca="1" si="53"/>
        <v>-2.7270744010303622E-2</v>
      </c>
      <c r="GG11" s="30">
        <f t="shared" ca="1" si="53"/>
        <v>-1.0029030582121876E-2</v>
      </c>
      <c r="GH11" s="30">
        <f t="shared" ca="1" si="53"/>
        <v>1.5498162100815393E-3</v>
      </c>
      <c r="GI11" s="30">
        <f t="shared" ca="1" si="53"/>
        <v>-9.1276045739014794E-3</v>
      </c>
      <c r="GJ11" s="30">
        <f t="shared" ca="1" si="53"/>
        <v>4.4912035254718159E-2</v>
      </c>
      <c r="GK11" s="30">
        <f t="shared" ca="1" si="53"/>
        <v>9.5117068242915673E-2</v>
      </c>
      <c r="GL11" s="30">
        <f t="shared" ca="1" si="53"/>
        <v>-6.9249001468240281E-3</v>
      </c>
      <c r="GM11" s="30">
        <f t="shared" ca="1" si="53"/>
        <v>-5.5294418804572226E-2</v>
      </c>
      <c r="GN11" s="30">
        <f t="shared" ca="1" si="53"/>
        <v>5.738276072161911E-2</v>
      </c>
      <c r="GO11" s="30">
        <f t="shared" ca="1" si="53"/>
        <v>-1.4835576228014527E-2</v>
      </c>
      <c r="GP11" s="30">
        <f t="shared" ca="1" si="53"/>
        <v>5.1021563715980461E-2</v>
      </c>
      <c r="GQ11" s="30">
        <f t="shared" ca="1" si="53"/>
        <v>2.283936335867533E-2</v>
      </c>
      <c r="GR11" s="30">
        <f t="shared" ca="1" si="53"/>
        <v>3.896902935318583E-2</v>
      </c>
      <c r="GS11" s="30">
        <f t="shared" ca="1" si="53"/>
        <v>-6.4707316511601297E-3</v>
      </c>
      <c r="GT11" s="30">
        <f t="shared" ca="1" si="44"/>
        <v>-6.0870206229189767E-2</v>
      </c>
      <c r="GU11" s="30">
        <f t="shared" ca="1" si="44"/>
        <v>-5.775465786328722E-2</v>
      </c>
      <c r="GV11" s="30">
        <f t="shared" ca="1" si="44"/>
        <v>3.9698887725993136E-2</v>
      </c>
      <c r="GW11" s="30">
        <f t="shared" ca="1" si="44"/>
        <v>-3.0621535636108491E-2</v>
      </c>
      <c r="GX11" s="30">
        <f t="shared" ca="1" si="44"/>
        <v>1.0426111057006656E-2</v>
      </c>
      <c r="GY11" s="30">
        <f t="shared" ca="1" si="44"/>
        <v>5.2521726738913845E-2</v>
      </c>
      <c r="GZ11" s="30">
        <f t="shared" ca="1" si="44"/>
        <v>-3.5318065063410363E-2</v>
      </c>
      <c r="HA11" s="30">
        <f t="shared" ca="1" si="44"/>
        <v>-4.9028837903869818E-3</v>
      </c>
      <c r="HB11" s="30">
        <f t="shared" ca="1" si="44"/>
        <v>5.3151643438300944E-3</v>
      </c>
      <c r="HC11" s="30">
        <f t="shared" ca="1" si="44"/>
        <v>-1.7705961988801276E-2</v>
      </c>
      <c r="HD11" s="30">
        <f t="shared" ca="1" si="44"/>
        <v>-3.5050970132991053E-3</v>
      </c>
      <c r="HE11" s="30">
        <f t="shared" ca="1" si="44"/>
        <v>3.4431895055794075E-2</v>
      </c>
      <c r="HF11" s="30">
        <f t="shared" ca="1" si="44"/>
        <v>5.2496873649226901E-2</v>
      </c>
      <c r="HG11" s="30">
        <f t="shared" ca="1" si="44"/>
        <v>-4.3457490656755755E-3</v>
      </c>
      <c r="HH11" s="30">
        <f t="shared" ca="1" si="44"/>
        <v>-6.5725141372935572E-2</v>
      </c>
      <c r="HI11" s="30">
        <f t="shared" ca="1" si="44"/>
        <v>-2.6220323757189898E-2</v>
      </c>
      <c r="HJ11" s="30">
        <f t="shared" ca="1" si="44"/>
        <v>1.9577819599266681E-2</v>
      </c>
      <c r="HK11" s="30">
        <f t="shared" ca="1" si="44"/>
        <v>-3.4573319790264748E-2</v>
      </c>
      <c r="HL11" s="30">
        <f t="shared" ca="1" si="44"/>
        <v>-5.0941856539944076E-2</v>
      </c>
      <c r="HM11" s="30">
        <f t="shared" ca="1" si="44"/>
        <v>4.506320223578511E-5</v>
      </c>
      <c r="HN11" s="30">
        <f t="shared" ca="1" si="44"/>
        <v>-4.6142615953011612E-2</v>
      </c>
      <c r="HO11" s="30">
        <f t="shared" ca="1" si="44"/>
        <v>1.4266949077109355E-2</v>
      </c>
      <c r="HP11" s="30">
        <f t="shared" ca="1" si="44"/>
        <v>1.4456043344631308E-2</v>
      </c>
      <c r="HQ11" s="30">
        <f t="shared" ca="1" si="44"/>
        <v>1.5927632227952078E-2</v>
      </c>
      <c r="HR11" s="30">
        <f t="shared" ca="1" si="44"/>
        <v>1.0089652993523565E-2</v>
      </c>
      <c r="HS11" s="30">
        <f t="shared" ca="1" si="44"/>
        <v>6.5235224750887028E-2</v>
      </c>
      <c r="HT11" s="30">
        <f t="shared" ca="1" si="44"/>
        <v>2.8988793793839941E-2</v>
      </c>
      <c r="HU11" s="30">
        <f t="shared" ca="1" si="44"/>
        <v>-2.662320485961904E-2</v>
      </c>
      <c r="HV11" s="30">
        <f t="shared" ca="1" si="44"/>
        <v>7.3313442756186897E-2</v>
      </c>
      <c r="HW11" s="30">
        <f t="shared" ca="1" si="44"/>
        <v>4.645767562291369E-2</v>
      </c>
      <c r="HX11" s="30">
        <f t="shared" ca="1" si="44"/>
        <v>-1.4888727901572096E-2</v>
      </c>
      <c r="HY11" s="30">
        <f t="shared" ca="1" si="44"/>
        <v>-4.8552025874303947E-2</v>
      </c>
      <c r="HZ11" s="30">
        <f t="shared" ca="1" si="44"/>
        <v>4.9203313299948072E-2</v>
      </c>
      <c r="IA11" s="30">
        <f t="shared" ca="1" si="44"/>
        <v>3.7536578747406929E-2</v>
      </c>
      <c r="IB11" s="30">
        <f t="shared" ca="1" si="44"/>
        <v>2.7687801998326718E-2</v>
      </c>
      <c r="IC11" s="30">
        <f t="shared" ca="1" si="44"/>
        <v>6.521197586439588E-2</v>
      </c>
      <c r="ID11" s="30">
        <f t="shared" ca="1" si="44"/>
        <v>-4.5286092007041374E-2</v>
      </c>
      <c r="IE11" s="30">
        <f t="shared" ca="1" si="44"/>
        <v>-5.3784609724440678E-2</v>
      </c>
      <c r="IF11" s="30">
        <f t="shared" ca="1" si="44"/>
        <v>3.0231022509630816E-2</v>
      </c>
      <c r="IG11" s="30">
        <f t="shared" ca="1" si="44"/>
        <v>3.0132158245650621E-2</v>
      </c>
      <c r="IH11" s="30">
        <f t="shared" ca="1" si="44"/>
        <v>7.6056896618527936E-2</v>
      </c>
      <c r="II11" s="30">
        <f t="shared" ca="1" si="44"/>
        <v>-4.6482385104914092E-2</v>
      </c>
      <c r="IJ11" s="30">
        <f t="shared" ca="1" si="44"/>
        <v>-8.678509361908042E-2</v>
      </c>
      <c r="IK11" s="30">
        <f t="shared" ca="1" si="44"/>
        <v>-5.3545391136926003E-2</v>
      </c>
      <c r="IL11" s="30">
        <f t="shared" ca="1" si="44"/>
        <v>-3.7116217351620844E-2</v>
      </c>
      <c r="IM11" s="30">
        <f t="shared" ca="1" si="44"/>
        <v>1.93359208770515E-2</v>
      </c>
      <c r="IN11" s="30">
        <f t="shared" ca="1" si="44"/>
        <v>-1.3478787917872978E-2</v>
      </c>
      <c r="IO11" s="30">
        <f t="shared" ca="1" si="44"/>
        <v>-4.0848947333554424E-2</v>
      </c>
      <c r="IP11" s="30">
        <f t="shared" ca="1" si="44"/>
        <v>-6.3926843748214474E-2</v>
      </c>
      <c r="IQ11" s="30">
        <f t="shared" ca="1" si="44"/>
        <v>-9.3189944554674751E-3</v>
      </c>
      <c r="IR11" s="30">
        <f t="shared" ca="1" si="44"/>
        <v>6.8178743241627824E-3</v>
      </c>
      <c r="IS11" s="30">
        <f t="shared" ca="1" si="44"/>
        <v>7.0058861522503679E-2</v>
      </c>
      <c r="IT11" s="30">
        <f t="shared" ca="1" si="44"/>
        <v>-3.2381810784813135E-2</v>
      </c>
      <c r="IU11" s="30">
        <f t="shared" ca="1" si="44"/>
        <v>4.3503347715035022E-2</v>
      </c>
      <c r="IV11" s="30">
        <f t="shared" ca="1" si="44"/>
        <v>-1.9886442992764718E-2</v>
      </c>
      <c r="IW11" s="30">
        <f t="shared" ca="1" si="44"/>
        <v>-1.6503587790598503E-2</v>
      </c>
      <c r="IX11" s="30">
        <f t="shared" ca="1" si="44"/>
        <v>2.6760937909698107E-2</v>
      </c>
      <c r="IY11" s="30">
        <f t="shared" ca="1" si="44"/>
        <v>2.0174556013132497E-3</v>
      </c>
      <c r="IZ11" s="30">
        <f t="shared" ca="1" si="44"/>
        <v>-9.9810096191729827E-3</v>
      </c>
      <c r="JA11" s="30">
        <f t="shared" ca="1" si="44"/>
        <v>1.3367370738722132E-3</v>
      </c>
      <c r="JB11" s="30">
        <f t="shared" ca="1" si="44"/>
        <v>-9.2765879581689515E-3</v>
      </c>
      <c r="JC11" s="30">
        <f t="shared" ca="1" si="44"/>
        <v>2.1622179087262945E-2</v>
      </c>
      <c r="JD11" s="30">
        <f t="shared" ca="1" si="37"/>
        <v>-4.437203613577541E-3</v>
      </c>
      <c r="JE11" s="30">
        <f t="shared" ca="1" si="37"/>
        <v>-2.8841736865034943E-2</v>
      </c>
      <c r="JF11" s="30">
        <f t="shared" ref="JF11:LQ15" ca="1" si="54">_xlfn.NORM.INV(RAND(),$C$8,$C$9)</f>
        <v>2.0836189408809458E-3</v>
      </c>
      <c r="JG11" s="30">
        <f t="shared" ca="1" si="54"/>
        <v>3.9299504728398979E-2</v>
      </c>
      <c r="JH11" s="30">
        <f t="shared" ca="1" si="54"/>
        <v>3.0284510426620895E-2</v>
      </c>
      <c r="JI11" s="30">
        <f t="shared" ca="1" si="54"/>
        <v>-9.2132707172282915E-3</v>
      </c>
      <c r="JJ11" s="30">
        <f t="shared" ca="1" si="54"/>
        <v>5.6999363383804609E-3</v>
      </c>
      <c r="JK11" s="30">
        <f t="shared" ca="1" si="54"/>
        <v>-2.4891992615140072E-2</v>
      </c>
      <c r="JL11" s="30">
        <f t="shared" ca="1" si="54"/>
        <v>3.4743409137121532E-2</v>
      </c>
      <c r="JM11" s="30">
        <f t="shared" ca="1" si="54"/>
        <v>1.8589079916237487E-2</v>
      </c>
      <c r="JN11" s="30">
        <f t="shared" ca="1" si="54"/>
        <v>8.5775993650952995E-3</v>
      </c>
      <c r="JO11" s="30">
        <f t="shared" ca="1" si="54"/>
        <v>2.3403468909043042E-2</v>
      </c>
      <c r="JP11" s="30">
        <f t="shared" ca="1" si="54"/>
        <v>-2.9220645435277109E-2</v>
      </c>
      <c r="JQ11" s="30">
        <f t="shared" ca="1" si="54"/>
        <v>-9.6090339883469229E-3</v>
      </c>
      <c r="JR11" s="30">
        <f t="shared" ca="1" si="54"/>
        <v>3.6235990768384199E-2</v>
      </c>
      <c r="JS11" s="30">
        <f t="shared" ca="1" si="54"/>
        <v>-3.2424317063808727E-3</v>
      </c>
      <c r="JT11" s="30">
        <f t="shared" ca="1" si="54"/>
        <v>-1.0855342529661118E-2</v>
      </c>
      <c r="JU11" s="30">
        <f t="shared" ca="1" si="54"/>
        <v>6.4455373319887719E-3</v>
      </c>
      <c r="JV11" s="30">
        <f t="shared" ca="1" si="54"/>
        <v>2.0297565524279569E-3</v>
      </c>
      <c r="JW11" s="30">
        <f t="shared" ca="1" si="54"/>
        <v>-2.4008005676169123E-2</v>
      </c>
      <c r="JX11" s="30">
        <f t="shared" ca="1" si="54"/>
        <v>4.6174686452210296E-2</v>
      </c>
      <c r="JY11" s="30">
        <f t="shared" ca="1" si="54"/>
        <v>-9.2765059075537084E-3</v>
      </c>
      <c r="JZ11" s="30">
        <f t="shared" ca="1" si="54"/>
        <v>6.0211438981959175E-3</v>
      </c>
      <c r="KA11" s="30">
        <f t="shared" ca="1" si="54"/>
        <v>3.6204206563901858E-2</v>
      </c>
      <c r="KB11" s="30">
        <f t="shared" ca="1" si="54"/>
        <v>-4.5302148053119488E-2</v>
      </c>
      <c r="KC11" s="30">
        <f t="shared" ca="1" si="54"/>
        <v>-2.0123040790488281E-2</v>
      </c>
      <c r="KD11" s="30">
        <f t="shared" ca="1" si="54"/>
        <v>7.4378626114983873E-2</v>
      </c>
      <c r="KE11" s="30">
        <f t="shared" ca="1" si="54"/>
        <v>-3.1161415915040395E-3</v>
      </c>
      <c r="KF11" s="30">
        <f t="shared" ca="1" si="54"/>
        <v>3.2487929886961107E-2</v>
      </c>
      <c r="KG11" s="30">
        <f t="shared" ca="1" si="54"/>
        <v>-5.4036124769549693E-2</v>
      </c>
      <c r="KH11" s="30">
        <f t="shared" ca="1" si="54"/>
        <v>5.4247679600445693E-2</v>
      </c>
      <c r="KI11" s="30">
        <f t="shared" ca="1" si="54"/>
        <v>2.2467749771069107E-2</v>
      </c>
      <c r="KJ11" s="30">
        <f t="shared" ca="1" si="54"/>
        <v>-2.256617939373599E-2</v>
      </c>
      <c r="KK11" s="30">
        <f t="shared" ca="1" si="54"/>
        <v>6.0537710884559705E-2</v>
      </c>
      <c r="KL11" s="30">
        <f t="shared" ca="1" si="54"/>
        <v>8.672985727515739E-2</v>
      </c>
      <c r="KM11" s="30">
        <f t="shared" ca="1" si="54"/>
        <v>5.2261462971051119E-4</v>
      </c>
      <c r="KN11" s="30">
        <f t="shared" ca="1" si="54"/>
        <v>-6.8446869591131762E-2</v>
      </c>
      <c r="KO11" s="30">
        <f t="shared" ca="1" si="54"/>
        <v>-5.1313776517472563E-3</v>
      </c>
      <c r="KP11" s="30">
        <f t="shared" ca="1" si="54"/>
        <v>5.6987231568058584E-3</v>
      </c>
      <c r="KQ11" s="30">
        <f t="shared" ca="1" si="54"/>
        <v>-2.076449096774502E-2</v>
      </c>
      <c r="KR11" s="30">
        <f t="shared" ca="1" si="54"/>
        <v>2.4710775004831789E-2</v>
      </c>
      <c r="KS11" s="30">
        <f t="shared" ca="1" si="54"/>
        <v>0.12327073309201322</v>
      </c>
      <c r="KT11" s="30">
        <f t="shared" ca="1" si="54"/>
        <v>7.2577510527651393E-2</v>
      </c>
      <c r="KU11" s="30">
        <f t="shared" ca="1" si="54"/>
        <v>1.6158640172380202E-2</v>
      </c>
      <c r="KV11" s="30">
        <f t="shared" ca="1" si="54"/>
        <v>4.9500587719688564E-2</v>
      </c>
      <c r="KW11" s="30">
        <f t="shared" ca="1" si="54"/>
        <v>-1.8223147474054704E-2</v>
      </c>
      <c r="KX11" s="30">
        <f t="shared" ca="1" si="54"/>
        <v>-1.7924254076713188E-2</v>
      </c>
      <c r="KY11" s="30">
        <f t="shared" ca="1" si="54"/>
        <v>4.7067634555697313E-3</v>
      </c>
      <c r="KZ11" s="30">
        <f t="shared" ca="1" si="54"/>
        <v>5.5789893348720941E-2</v>
      </c>
      <c r="LA11" s="30">
        <f t="shared" ca="1" si="54"/>
        <v>-6.4883663087133989E-2</v>
      </c>
      <c r="LB11" s="30">
        <f t="shared" ca="1" si="54"/>
        <v>0.10128881732677371</v>
      </c>
      <c r="LC11" s="30">
        <f t="shared" ca="1" si="54"/>
        <v>4.7843594040221871E-2</v>
      </c>
      <c r="LD11" s="30">
        <f t="shared" ca="1" si="54"/>
        <v>-1.1756312083404353E-2</v>
      </c>
      <c r="LE11" s="30">
        <f t="shared" ca="1" si="54"/>
        <v>6.0384620084709358E-2</v>
      </c>
      <c r="LF11" s="30">
        <f t="shared" ca="1" si="54"/>
        <v>4.737742493740775E-2</v>
      </c>
      <c r="LG11" s="30">
        <f t="shared" ca="1" si="54"/>
        <v>1.4374488541056583E-2</v>
      </c>
      <c r="LH11" s="30">
        <f t="shared" ca="1" si="54"/>
        <v>2.0144917736092297E-2</v>
      </c>
      <c r="LI11" s="30">
        <f t="shared" ca="1" si="54"/>
        <v>4.0927791897052514E-2</v>
      </c>
      <c r="LJ11" s="30">
        <f t="shared" ca="1" si="54"/>
        <v>2.0940188207001637E-3</v>
      </c>
      <c r="LK11" s="30">
        <f t="shared" ca="1" si="54"/>
        <v>-2.6461350702832159E-3</v>
      </c>
      <c r="LL11" s="30">
        <f t="shared" ca="1" si="54"/>
        <v>4.3331500643168312E-2</v>
      </c>
      <c r="LM11" s="30">
        <f t="shared" ca="1" si="54"/>
        <v>-2.9639695894617974E-2</v>
      </c>
      <c r="LN11" s="30">
        <f t="shared" ca="1" si="54"/>
        <v>4.5899973698317512E-2</v>
      </c>
      <c r="LO11" s="30">
        <f t="shared" ca="1" si="54"/>
        <v>-4.8777449339706687E-2</v>
      </c>
      <c r="LP11" s="30">
        <f t="shared" ca="1" si="54"/>
        <v>-2.0653163545046135E-2</v>
      </c>
      <c r="LQ11" s="30">
        <f t="shared" ca="1" si="54"/>
        <v>-4.5208798624999248E-2</v>
      </c>
      <c r="LR11" s="30">
        <f t="shared" ca="1" si="45"/>
        <v>-3.3835250898092851E-3</v>
      </c>
      <c r="LS11" s="30">
        <f t="shared" ca="1" si="45"/>
        <v>2.614108212104433E-2</v>
      </c>
      <c r="LT11" s="30">
        <f t="shared" ca="1" si="45"/>
        <v>3.4911310866096674E-2</v>
      </c>
      <c r="LU11" s="30">
        <f t="shared" ca="1" si="45"/>
        <v>-1.8516816132500477E-3</v>
      </c>
      <c r="LV11" s="30">
        <f t="shared" ca="1" si="45"/>
        <v>-1.3371422352318528E-2</v>
      </c>
      <c r="LW11" s="30">
        <f t="shared" ca="1" si="45"/>
        <v>-4.1581888039093733E-2</v>
      </c>
      <c r="LX11" s="30">
        <f t="shared" ca="1" si="45"/>
        <v>9.1239707930197591E-4</v>
      </c>
      <c r="LY11" s="30">
        <f t="shared" ca="1" si="45"/>
        <v>3.8500389062892321E-3</v>
      </c>
      <c r="LZ11" s="30">
        <f t="shared" ca="1" si="45"/>
        <v>-1.020329095850803E-2</v>
      </c>
      <c r="MA11" s="30">
        <f t="shared" ca="1" si="45"/>
        <v>-1.7773967596636363E-2</v>
      </c>
      <c r="MB11" s="30">
        <f t="shared" ca="1" si="45"/>
        <v>-5.6206576398395151E-2</v>
      </c>
      <c r="MC11" s="30">
        <f t="shared" ca="1" si="45"/>
        <v>7.7195911206362992E-3</v>
      </c>
      <c r="MD11" s="30">
        <f t="shared" ca="1" si="45"/>
        <v>4.787744111330243E-2</v>
      </c>
      <c r="ME11" s="30">
        <f t="shared" ca="1" si="45"/>
        <v>-5.7360799804246708E-2</v>
      </c>
      <c r="MF11" s="30">
        <f t="shared" ca="1" si="45"/>
        <v>2.6730463839812937E-2</v>
      </c>
      <c r="MG11" s="30">
        <f t="shared" ca="1" si="45"/>
        <v>-3.6820815918766646E-2</v>
      </c>
      <c r="MH11" s="30">
        <f t="shared" ca="1" si="45"/>
        <v>1.8678219550527148E-2</v>
      </c>
      <c r="MI11" s="30">
        <f t="shared" ca="1" si="45"/>
        <v>5.0063487790709758E-2</v>
      </c>
      <c r="MJ11" s="30">
        <f t="shared" ca="1" si="45"/>
        <v>2.6465804343130051E-2</v>
      </c>
      <c r="MK11" s="30">
        <f t="shared" ca="1" si="45"/>
        <v>6.1955361457808888E-2</v>
      </c>
      <c r="ML11" s="30">
        <f t="shared" ca="1" si="45"/>
        <v>-5.7725328791195733E-2</v>
      </c>
      <c r="MM11" s="30">
        <f t="shared" ca="1" si="45"/>
        <v>-4.879169020451548E-2</v>
      </c>
      <c r="MN11" s="30">
        <f t="shared" ca="1" si="45"/>
        <v>4.4505849158859835E-2</v>
      </c>
      <c r="MO11" s="30">
        <f t="shared" ca="1" si="45"/>
        <v>6.1420591646106082E-3</v>
      </c>
      <c r="MP11" s="30">
        <f t="shared" ca="1" si="45"/>
        <v>-2.5095916748700611E-2</v>
      </c>
      <c r="MQ11" s="30">
        <f t="shared" ca="1" si="45"/>
        <v>-2.2538207325291729E-2</v>
      </c>
      <c r="MR11" s="30">
        <f t="shared" ca="1" si="45"/>
        <v>-6.5156545508627428E-2</v>
      </c>
      <c r="MS11" s="30">
        <f t="shared" ca="1" si="45"/>
        <v>-4.1732528068679706E-3</v>
      </c>
      <c r="MT11" s="30">
        <f t="shared" ca="1" si="45"/>
        <v>1.7619256143520369E-2</v>
      </c>
      <c r="MU11" s="30">
        <f t="shared" ca="1" si="45"/>
        <v>-5.1496135644624026E-2</v>
      </c>
      <c r="MV11" s="30">
        <f t="shared" ca="1" si="45"/>
        <v>2.5322768891116549E-3</v>
      </c>
      <c r="MW11" s="30">
        <f t="shared" ca="1" si="45"/>
        <v>-2.945331424147643E-3</v>
      </c>
      <c r="MX11" s="30">
        <f t="shared" ca="1" si="45"/>
        <v>7.4734062903134446E-2</v>
      </c>
      <c r="MY11" s="30">
        <f t="shared" ca="1" si="45"/>
        <v>2.9682322401230671E-2</v>
      </c>
      <c r="MZ11" s="30">
        <f t="shared" ca="1" si="45"/>
        <v>-1.2669555953849993E-2</v>
      </c>
      <c r="NA11" s="30">
        <f t="shared" ca="1" si="45"/>
        <v>4.3005581603317529E-2</v>
      </c>
      <c r="NB11" s="30">
        <f t="shared" ca="1" si="45"/>
        <v>5.5315769107396051E-2</v>
      </c>
      <c r="NC11" s="30">
        <f t="shared" ca="1" si="45"/>
        <v>-5.7441804339486875E-3</v>
      </c>
      <c r="ND11" s="30">
        <f t="shared" ca="1" si="45"/>
        <v>-1.3138533204675926E-2</v>
      </c>
      <c r="NE11" s="30">
        <f t="shared" ca="1" si="45"/>
        <v>-2.7375581572656429E-2</v>
      </c>
      <c r="NF11" s="30">
        <f t="shared" ca="1" si="45"/>
        <v>4.3735691063629005E-2</v>
      </c>
      <c r="NG11" s="30">
        <f t="shared" ca="1" si="45"/>
        <v>0.10333408726073838</v>
      </c>
      <c r="NH11" s="30">
        <f t="shared" ca="1" si="45"/>
        <v>-2.1510199621108471E-2</v>
      </c>
      <c r="NI11" s="30">
        <f t="shared" ca="1" si="45"/>
        <v>-3.5900434523967593E-2</v>
      </c>
      <c r="NJ11" s="30">
        <f t="shared" ca="1" si="45"/>
        <v>6.1186496736482215E-2</v>
      </c>
      <c r="NK11" s="30">
        <f t="shared" ca="1" si="45"/>
        <v>3.3217566152576067E-2</v>
      </c>
      <c r="NL11" s="30">
        <f t="shared" ca="1" si="45"/>
        <v>-3.4053254630067292E-3</v>
      </c>
      <c r="NM11" s="30">
        <f t="shared" ca="1" si="45"/>
        <v>-3.8325060142192974E-2</v>
      </c>
      <c r="NN11" s="30">
        <f t="shared" ca="1" si="45"/>
        <v>2.8226580485368274E-2</v>
      </c>
      <c r="NO11" s="30">
        <f t="shared" ca="1" si="45"/>
        <v>2.5125373696857672E-2</v>
      </c>
      <c r="NP11" s="30">
        <f t="shared" ca="1" si="45"/>
        <v>3.8270876041148059E-2</v>
      </c>
      <c r="NQ11" s="30">
        <f t="shared" ca="1" si="45"/>
        <v>4.3227805801626523E-2</v>
      </c>
      <c r="NR11" s="30">
        <f t="shared" ca="1" si="45"/>
        <v>-4.468106885754039E-2</v>
      </c>
      <c r="NS11" s="30">
        <f t="shared" ca="1" si="45"/>
        <v>-1.1800069555339789E-3</v>
      </c>
      <c r="NT11" s="30">
        <f t="shared" ca="1" si="45"/>
        <v>7.4476302453607882E-2</v>
      </c>
      <c r="NU11" s="30">
        <f t="shared" ca="1" si="45"/>
        <v>-3.799812031940903E-2</v>
      </c>
      <c r="NV11" s="30">
        <f t="shared" ca="1" si="45"/>
        <v>-5.1063568421997586E-2</v>
      </c>
      <c r="NW11" s="30">
        <f t="shared" ca="1" si="45"/>
        <v>2.8810720162338422E-2</v>
      </c>
      <c r="NX11" s="30">
        <f t="shared" ca="1" si="45"/>
        <v>1.0446958037569971E-2</v>
      </c>
      <c r="NY11" s="30">
        <f t="shared" ca="1" si="45"/>
        <v>-1.5604723469972284E-2</v>
      </c>
      <c r="NZ11" s="30">
        <f t="shared" ca="1" si="45"/>
        <v>4.3270538846892082E-2</v>
      </c>
      <c r="OA11" s="30">
        <f t="shared" ca="1" si="45"/>
        <v>1.5532117136060555E-2</v>
      </c>
      <c r="OB11" s="30">
        <f t="shared" ca="1" si="38"/>
        <v>7.3928816051280613E-2</v>
      </c>
      <c r="OC11" s="30">
        <f t="shared" ca="1" si="38"/>
        <v>-3.6337226307289906E-3</v>
      </c>
      <c r="OD11" s="30">
        <f t="shared" ref="OD11:QO15" ca="1" si="55">_xlfn.NORM.INV(RAND(),$C$8,$C$9)</f>
        <v>1.7787847388903624E-2</v>
      </c>
      <c r="OE11" s="30">
        <f t="shared" ca="1" si="55"/>
        <v>-4.0991737911722857E-2</v>
      </c>
      <c r="OF11" s="30">
        <f t="shared" ca="1" si="55"/>
        <v>1.0277796309791648E-2</v>
      </c>
      <c r="OG11" s="30">
        <f t="shared" ca="1" si="55"/>
        <v>3.4717201961503084E-3</v>
      </c>
      <c r="OH11" s="30">
        <f t="shared" ca="1" si="55"/>
        <v>-2.9625083154418773E-2</v>
      </c>
      <c r="OI11" s="30">
        <f t="shared" ca="1" si="55"/>
        <v>-5.4669720269222094E-2</v>
      </c>
      <c r="OJ11" s="30">
        <f t="shared" ca="1" si="55"/>
        <v>-0.11237211100470931</v>
      </c>
      <c r="OK11" s="30">
        <f t="shared" ca="1" si="55"/>
        <v>-1.9604485425230907E-2</v>
      </c>
      <c r="OL11" s="30">
        <f t="shared" ca="1" si="55"/>
        <v>-3.1824459279162082E-2</v>
      </c>
      <c r="OM11" s="30">
        <f t="shared" ca="1" si="55"/>
        <v>-3.3719332743936306E-2</v>
      </c>
      <c r="ON11" s="30">
        <f t="shared" ca="1" si="55"/>
        <v>-3.9364907480108062E-2</v>
      </c>
      <c r="OO11" s="30">
        <f t="shared" ca="1" si="55"/>
        <v>5.8941702606649791E-2</v>
      </c>
      <c r="OP11" s="30">
        <f t="shared" ca="1" si="55"/>
        <v>-9.8512025257689369E-3</v>
      </c>
      <c r="OQ11" s="30">
        <f t="shared" ca="1" si="55"/>
        <v>3.07519760951321E-2</v>
      </c>
      <c r="OR11" s="30">
        <f t="shared" ca="1" si="55"/>
        <v>5.5339424130635834E-2</v>
      </c>
      <c r="OS11" s="30">
        <f t="shared" ca="1" si="55"/>
        <v>-8.5770462041721715E-2</v>
      </c>
      <c r="OT11" s="30">
        <f t="shared" ca="1" si="55"/>
        <v>-4.9301001701527215E-2</v>
      </c>
      <c r="OU11" s="30">
        <f t="shared" ca="1" si="55"/>
        <v>-1.8377444689604786E-2</v>
      </c>
      <c r="OV11" s="30">
        <f t="shared" ca="1" si="55"/>
        <v>2.4193136955253856E-2</v>
      </c>
      <c r="OW11" s="30">
        <f t="shared" ca="1" si="55"/>
        <v>2.0369726668759695E-2</v>
      </c>
      <c r="OX11" s="30">
        <f t="shared" ca="1" si="55"/>
        <v>6.5670034994110657E-2</v>
      </c>
      <c r="OY11" s="30">
        <f t="shared" ca="1" si="55"/>
        <v>-2.8355181443573116E-2</v>
      </c>
      <c r="OZ11" s="30">
        <f t="shared" ca="1" si="55"/>
        <v>6.4944592614663482E-2</v>
      </c>
      <c r="PA11" s="30">
        <f t="shared" ca="1" si="55"/>
        <v>-6.5895333185883621E-3</v>
      </c>
      <c r="PB11" s="30">
        <f t="shared" ca="1" si="55"/>
        <v>1.5494624474451482E-2</v>
      </c>
      <c r="PC11" s="30">
        <f t="shared" ca="1" si="55"/>
        <v>5.7715688816773802E-2</v>
      </c>
      <c r="PD11" s="30">
        <f t="shared" ca="1" si="55"/>
        <v>-9.5819302649906273E-3</v>
      </c>
      <c r="PE11" s="30">
        <f t="shared" ca="1" si="55"/>
        <v>4.7478451442627689E-2</v>
      </c>
      <c r="PF11" s="30">
        <f t="shared" ca="1" si="55"/>
        <v>-3.1225691184461821E-2</v>
      </c>
      <c r="PG11" s="30">
        <f t="shared" ca="1" si="55"/>
        <v>-1.1175296198817908E-2</v>
      </c>
      <c r="PH11" s="30">
        <f t="shared" ca="1" si="55"/>
        <v>-0.14126160142469085</v>
      </c>
      <c r="PI11" s="30">
        <f t="shared" ca="1" si="55"/>
        <v>-2.5073695410187238E-2</v>
      </c>
      <c r="PJ11" s="30">
        <f t="shared" ca="1" si="55"/>
        <v>-9.2093740641444408E-3</v>
      </c>
      <c r="PK11" s="30">
        <f t="shared" ca="1" si="55"/>
        <v>7.1290167967702989E-2</v>
      </c>
      <c r="PL11" s="30">
        <f t="shared" ca="1" si="55"/>
        <v>0.10642376720855569</v>
      </c>
      <c r="PM11" s="30">
        <f t="shared" ca="1" si="55"/>
        <v>3.4850604015185367E-2</v>
      </c>
      <c r="PN11" s="30">
        <f t="shared" ca="1" si="55"/>
        <v>3.0648671189344424E-2</v>
      </c>
      <c r="PO11" s="30">
        <f t="shared" ca="1" si="55"/>
        <v>5.1528928665528009E-2</v>
      </c>
      <c r="PP11" s="30">
        <f t="shared" ca="1" si="55"/>
        <v>-1.3876436495289178E-2</v>
      </c>
      <c r="PQ11" s="30">
        <f t="shared" ca="1" si="55"/>
        <v>1.474958567772779E-2</v>
      </c>
      <c r="PR11" s="30">
        <f t="shared" ca="1" si="55"/>
        <v>7.351784186907262E-2</v>
      </c>
      <c r="PS11" s="30">
        <f t="shared" ca="1" si="55"/>
        <v>2.195377676691854E-2</v>
      </c>
      <c r="PT11" s="30">
        <f t="shared" ca="1" si="55"/>
        <v>4.292015187243594E-4</v>
      </c>
      <c r="PU11" s="30">
        <f t="shared" ca="1" si="55"/>
        <v>2.0789857289988375E-2</v>
      </c>
      <c r="PV11" s="30">
        <f t="shared" ca="1" si="55"/>
        <v>-1.634975380526461E-2</v>
      </c>
      <c r="PW11" s="30">
        <f t="shared" ca="1" si="55"/>
        <v>1.086041550795467E-2</v>
      </c>
      <c r="PX11" s="30">
        <f t="shared" ca="1" si="55"/>
        <v>-2.5433077580463901E-2</v>
      </c>
      <c r="PY11" s="30">
        <f t="shared" ca="1" si="55"/>
        <v>7.7061722315646414E-3</v>
      </c>
      <c r="PZ11" s="30">
        <f t="shared" ca="1" si="55"/>
        <v>6.0487832323459223E-2</v>
      </c>
      <c r="QA11" s="30">
        <f t="shared" ca="1" si="55"/>
        <v>-1.9848557691732844E-2</v>
      </c>
      <c r="QB11" s="30">
        <f t="shared" ca="1" si="55"/>
        <v>2.0279988550556419E-2</v>
      </c>
      <c r="QC11" s="30">
        <f t="shared" ca="1" si="55"/>
        <v>-2.9132876568315744E-2</v>
      </c>
      <c r="QD11" s="30">
        <f t="shared" ca="1" si="55"/>
        <v>5.557496677705312E-2</v>
      </c>
      <c r="QE11" s="30">
        <f t="shared" ca="1" si="55"/>
        <v>4.989814319901166E-2</v>
      </c>
      <c r="QF11" s="30">
        <f t="shared" ca="1" si="55"/>
        <v>-3.1247553659759557E-2</v>
      </c>
      <c r="QG11" s="30">
        <f t="shared" ca="1" si="55"/>
        <v>-1.5901663680519974E-2</v>
      </c>
      <c r="QH11" s="30">
        <f t="shared" ca="1" si="55"/>
        <v>-2.3554834481709051E-2</v>
      </c>
      <c r="QI11" s="30">
        <f t="shared" ca="1" si="55"/>
        <v>1.8209434300160371E-3</v>
      </c>
      <c r="QJ11" s="30">
        <f t="shared" ca="1" si="55"/>
        <v>-3.384360374322587E-2</v>
      </c>
      <c r="QK11" s="30">
        <f t="shared" ca="1" si="55"/>
        <v>-4.8164669899557706E-2</v>
      </c>
      <c r="QL11" s="30">
        <f t="shared" ca="1" si="55"/>
        <v>-2.9528828128648158E-2</v>
      </c>
      <c r="QM11" s="30">
        <f t="shared" ca="1" si="55"/>
        <v>-4.8327123975756572E-2</v>
      </c>
      <c r="QN11" s="30">
        <f t="shared" ca="1" si="55"/>
        <v>-8.5509817328260893E-2</v>
      </c>
      <c r="QO11" s="30">
        <f t="shared" ca="1" si="55"/>
        <v>6.3199230120957489E-2</v>
      </c>
      <c r="QP11" s="30">
        <f t="shared" ca="1" si="46"/>
        <v>-3.8557990185717067E-3</v>
      </c>
      <c r="QQ11" s="30">
        <f t="shared" ca="1" si="46"/>
        <v>-7.5069479278775775E-2</v>
      </c>
      <c r="QR11" s="30">
        <f t="shared" ca="1" si="46"/>
        <v>3.5936169108355488E-2</v>
      </c>
      <c r="QS11" s="30">
        <f t="shared" ca="1" si="46"/>
        <v>8.1716874195562252E-3</v>
      </c>
      <c r="QT11" s="30">
        <f t="shared" ca="1" si="46"/>
        <v>-3.1806993547816978E-2</v>
      </c>
      <c r="QU11" s="30">
        <f t="shared" ca="1" si="46"/>
        <v>2.9026789888002516E-2</v>
      </c>
      <c r="QV11" s="30">
        <f t="shared" ca="1" si="46"/>
        <v>-5.7984339385475439E-2</v>
      </c>
      <c r="QW11" s="30">
        <f t="shared" ca="1" si="46"/>
        <v>4.8292234823630034E-3</v>
      </c>
      <c r="QX11" s="30">
        <f t="shared" ca="1" si="46"/>
        <v>4.7271853289557929E-2</v>
      </c>
      <c r="QY11" s="30">
        <f t="shared" ca="1" si="46"/>
        <v>-6.9985509441174862E-2</v>
      </c>
      <c r="QZ11" s="30">
        <f t="shared" ca="1" si="46"/>
        <v>2.6850419229990291E-2</v>
      </c>
      <c r="RA11" s="30">
        <f t="shared" ca="1" si="46"/>
        <v>3.6334112830813697E-2</v>
      </c>
      <c r="RB11" s="30">
        <f t="shared" ca="1" si="46"/>
        <v>7.3197370329617886E-2</v>
      </c>
      <c r="RC11" s="30">
        <f t="shared" ca="1" si="46"/>
        <v>3.5726751245643083E-2</v>
      </c>
      <c r="RD11" s="30">
        <f t="shared" ca="1" si="46"/>
        <v>-9.8393451487728559E-2</v>
      </c>
      <c r="RE11" s="30">
        <f t="shared" ca="1" si="46"/>
        <v>3.3052009358135903E-2</v>
      </c>
      <c r="RF11" s="30">
        <f t="shared" ca="1" si="46"/>
        <v>-3.2863100762861114E-2</v>
      </c>
      <c r="RG11" s="30">
        <f t="shared" ca="1" si="46"/>
        <v>-5.3832423349409478E-2</v>
      </c>
      <c r="RH11" s="30">
        <f t="shared" ca="1" si="46"/>
        <v>4.4540613837162395E-2</v>
      </c>
      <c r="RI11" s="30">
        <f t="shared" ca="1" si="46"/>
        <v>4.7781154407280348E-2</v>
      </c>
      <c r="RJ11" s="30">
        <f t="shared" ca="1" si="46"/>
        <v>-0.10924693782020618</v>
      </c>
      <c r="RK11" s="30">
        <f t="shared" ca="1" si="46"/>
        <v>5.1418623137521977E-2</v>
      </c>
      <c r="RL11" s="30">
        <f t="shared" ca="1" si="46"/>
        <v>4.5149634445644663E-3</v>
      </c>
      <c r="RM11" s="30">
        <f t="shared" ca="1" si="46"/>
        <v>3.124175876638708E-2</v>
      </c>
      <c r="RN11" s="30">
        <f t="shared" ca="1" si="46"/>
        <v>-5.3011129731677133E-3</v>
      </c>
      <c r="RO11" s="30">
        <f t="shared" ca="1" si="46"/>
        <v>-9.3812328279853086E-3</v>
      </c>
      <c r="RP11" s="30">
        <f t="shared" ca="1" si="46"/>
        <v>7.4966295781885199E-3</v>
      </c>
      <c r="RQ11" s="30">
        <f t="shared" ca="1" si="46"/>
        <v>1.2432259552218838E-2</v>
      </c>
      <c r="RR11" s="30">
        <f t="shared" ca="1" si="46"/>
        <v>-1.8203766940028551E-2</v>
      </c>
      <c r="RS11" s="30">
        <f t="shared" ca="1" si="46"/>
        <v>-1.7677656881282491E-2</v>
      </c>
      <c r="RT11" s="30">
        <f t="shared" ca="1" si="46"/>
        <v>4.4002228814445155E-2</v>
      </c>
      <c r="RU11" s="30">
        <f t="shared" ca="1" si="46"/>
        <v>-2.492670175960628E-2</v>
      </c>
      <c r="RV11" s="30">
        <f t="shared" ca="1" si="46"/>
        <v>1.8372661208323073E-2</v>
      </c>
      <c r="RW11" s="30">
        <f t="shared" ca="1" si="46"/>
        <v>6.0283762156035413E-3</v>
      </c>
      <c r="RX11" s="30">
        <f t="shared" ca="1" si="46"/>
        <v>-1.6975976347647439E-2</v>
      </c>
      <c r="RY11" s="30">
        <f t="shared" ca="1" si="46"/>
        <v>1.4230709890709941E-2</v>
      </c>
      <c r="RZ11" s="30">
        <f t="shared" ca="1" si="46"/>
        <v>-5.4765358624010135E-2</v>
      </c>
      <c r="SA11" s="30">
        <f t="shared" ca="1" si="46"/>
        <v>4.4486825432281003E-3</v>
      </c>
      <c r="SB11" s="30">
        <f t="shared" ca="1" si="46"/>
        <v>8.3334850020213999E-2</v>
      </c>
      <c r="SC11" s="30">
        <f t="shared" ca="1" si="46"/>
        <v>2.8069841097204878E-2</v>
      </c>
      <c r="SD11" s="30">
        <f t="shared" ca="1" si="46"/>
        <v>4.8482958086586772E-3</v>
      </c>
      <c r="SE11" s="30">
        <f t="shared" ca="1" si="46"/>
        <v>-3.7022135779307616E-2</v>
      </c>
      <c r="SF11" s="30">
        <f t="shared" ca="1" si="46"/>
        <v>5.08319412971458E-2</v>
      </c>
      <c r="SG11" s="30">
        <f t="shared" ca="1" si="46"/>
        <v>4.8518496529695934E-2</v>
      </c>
      <c r="SH11" s="30">
        <f t="shared" ca="1" si="46"/>
        <v>5.2377201104605489E-2</v>
      </c>
      <c r="SI11" s="30">
        <f t="shared" ca="1" si="46"/>
        <v>-2.1309570776058537E-2</v>
      </c>
      <c r="SJ11" s="30">
        <f t="shared" ca="1" si="46"/>
        <v>6.2034708704777126E-2</v>
      </c>
      <c r="SK11" s="30">
        <f t="shared" ca="1" si="46"/>
        <v>-4.0571198124782201E-2</v>
      </c>
      <c r="SL11" s="30">
        <f t="shared" ca="1" si="46"/>
        <v>1.0654911400853508E-2</v>
      </c>
      <c r="SM11" s="30">
        <f t="shared" ca="1" si="46"/>
        <v>2.0412578119998876E-2</v>
      </c>
      <c r="SN11" s="30">
        <f t="shared" ca="1" si="46"/>
        <v>1.8909044827068128E-3</v>
      </c>
      <c r="SO11" s="30">
        <f t="shared" ca="1" si="46"/>
        <v>2.7571470878547003E-2</v>
      </c>
      <c r="SP11" s="30">
        <f t="shared" ca="1" si="46"/>
        <v>-8.3404968078813427E-3</v>
      </c>
      <c r="SQ11" s="30">
        <f t="shared" ca="1" si="46"/>
        <v>6.2786225941885127E-2</v>
      </c>
      <c r="SR11" s="30">
        <f t="shared" ca="1" si="46"/>
        <v>1.489187241156114E-2</v>
      </c>
      <c r="SS11" s="30">
        <f t="shared" ca="1" si="46"/>
        <v>-2.2135389582829443E-2</v>
      </c>
      <c r="ST11" s="30">
        <f t="shared" ca="1" si="46"/>
        <v>-1.1386007228360822E-2</v>
      </c>
      <c r="SU11" s="30">
        <f t="shared" ca="1" si="46"/>
        <v>2.736994298810733E-2</v>
      </c>
      <c r="SV11" s="30">
        <f t="shared" ca="1" si="46"/>
        <v>6.8870156936120835E-2</v>
      </c>
      <c r="SW11" s="30">
        <f t="shared" ca="1" si="46"/>
        <v>-2.3125438504716902E-2</v>
      </c>
      <c r="SX11" s="30">
        <f t="shared" ca="1" si="46"/>
        <v>-1.7203863238423083E-2</v>
      </c>
      <c r="SY11" s="30">
        <f t="shared" ca="1" si="46"/>
        <v>-5.0517883977637845E-2</v>
      </c>
      <c r="SZ11" s="30">
        <f t="shared" ca="1" si="39"/>
        <v>-3.8330149842441479E-2</v>
      </c>
      <c r="TA11" s="30">
        <f t="shared" ca="1" si="39"/>
        <v>-1.4501995210511723E-2</v>
      </c>
      <c r="TB11" s="30">
        <f t="shared" ref="TB11:VM15" ca="1" si="56">_xlfn.NORM.INV(RAND(),$C$8,$C$9)</f>
        <v>-2.4759604095783004E-2</v>
      </c>
      <c r="TC11" s="30">
        <f t="shared" ca="1" si="56"/>
        <v>-0.10562581395992036</v>
      </c>
      <c r="TD11" s="30">
        <f t="shared" ca="1" si="56"/>
        <v>2.622409476540194E-2</v>
      </c>
      <c r="TE11" s="30">
        <f t="shared" ca="1" si="56"/>
        <v>-3.0269742870392163E-2</v>
      </c>
      <c r="TF11" s="30">
        <f t="shared" ca="1" si="56"/>
        <v>2.1204417775951584E-2</v>
      </c>
      <c r="TG11" s="30">
        <f t="shared" ca="1" si="56"/>
        <v>5.5093451237155045E-3</v>
      </c>
      <c r="TH11" s="30">
        <f t="shared" ca="1" si="56"/>
        <v>6.5014539434607943E-2</v>
      </c>
      <c r="TI11" s="30">
        <f t="shared" ca="1" si="56"/>
        <v>5.1131972268798212E-3</v>
      </c>
      <c r="TJ11" s="30">
        <f t="shared" ca="1" si="56"/>
        <v>-1.0017236454362489E-2</v>
      </c>
      <c r="TK11" s="30">
        <f t="shared" ca="1" si="56"/>
        <v>-4.3420295519360455E-2</v>
      </c>
      <c r="TL11" s="30">
        <f t="shared" ca="1" si="56"/>
        <v>6.9981896756360337E-2</v>
      </c>
      <c r="TM11" s="30">
        <f t="shared" ca="1" si="56"/>
        <v>-1.2134017361464872E-2</v>
      </c>
      <c r="TN11" s="30">
        <f t="shared" ca="1" si="56"/>
        <v>-3.2735745716556679E-2</v>
      </c>
      <c r="TO11" s="30">
        <f t="shared" ca="1" si="56"/>
        <v>-7.4948077848018997E-3</v>
      </c>
      <c r="TP11" s="30">
        <f t="shared" ca="1" si="56"/>
        <v>2.6365936792363653E-2</v>
      </c>
      <c r="TQ11" s="30">
        <f t="shared" ca="1" si="56"/>
        <v>-2.4284402527723171E-2</v>
      </c>
      <c r="TR11" s="30">
        <f t="shared" ca="1" si="56"/>
        <v>-6.4273514939892168E-2</v>
      </c>
      <c r="TS11" s="30">
        <f t="shared" ca="1" si="56"/>
        <v>7.5454548474117649E-3</v>
      </c>
      <c r="TT11" s="30">
        <f t="shared" ca="1" si="56"/>
        <v>1.4238884379136446E-2</v>
      </c>
      <c r="TU11" s="30">
        <f t="shared" ca="1" si="56"/>
        <v>5.8043723728386655E-2</v>
      </c>
      <c r="TV11" s="30">
        <f t="shared" ca="1" si="56"/>
        <v>1.4384425235868031E-3</v>
      </c>
      <c r="TW11" s="30">
        <f t="shared" ca="1" si="56"/>
        <v>7.0114767742472189E-2</v>
      </c>
      <c r="TX11" s="30">
        <f t="shared" ca="1" si="56"/>
        <v>-4.9635925014513457E-2</v>
      </c>
      <c r="TY11" s="30">
        <f t="shared" ca="1" si="56"/>
        <v>5.6527010717977852E-3</v>
      </c>
      <c r="TZ11" s="30">
        <f t="shared" ca="1" si="56"/>
        <v>-2.8746975547261789E-2</v>
      </c>
      <c r="UA11" s="30">
        <f t="shared" ca="1" si="56"/>
        <v>2.1983024084203807E-2</v>
      </c>
      <c r="UB11" s="30">
        <f t="shared" ca="1" si="56"/>
        <v>3.3936660637831913E-2</v>
      </c>
      <c r="UC11" s="30">
        <f t="shared" ca="1" si="56"/>
        <v>-3.2212418244056878E-2</v>
      </c>
      <c r="UD11" s="30">
        <f t="shared" ca="1" si="56"/>
        <v>-1.2378717391501273E-2</v>
      </c>
      <c r="UE11" s="30">
        <f t="shared" ca="1" si="56"/>
        <v>-2.2044087760204386E-2</v>
      </c>
      <c r="UF11" s="30">
        <f t="shared" ca="1" si="56"/>
        <v>3.4044251035508635E-2</v>
      </c>
      <c r="UG11" s="30">
        <f t="shared" ca="1" si="56"/>
        <v>4.3929566335678523E-2</v>
      </c>
      <c r="UH11" s="30">
        <f t="shared" ca="1" si="56"/>
        <v>-5.0994786991927291E-2</v>
      </c>
      <c r="UI11" s="30">
        <f t="shared" ca="1" si="56"/>
        <v>1.4710726957606515E-2</v>
      </c>
      <c r="UJ11" s="30">
        <f t="shared" ca="1" si="56"/>
        <v>6.6231352070769234E-4</v>
      </c>
      <c r="UK11" s="30">
        <f t="shared" ca="1" si="56"/>
        <v>8.1972361500171828E-3</v>
      </c>
      <c r="UL11" s="30">
        <f t="shared" ca="1" si="56"/>
        <v>1.974904563335584E-2</v>
      </c>
      <c r="UM11" s="30">
        <f t="shared" ca="1" si="56"/>
        <v>3.4300519715059014E-2</v>
      </c>
      <c r="UN11" s="30">
        <f t="shared" ca="1" si="56"/>
        <v>-4.6308985258605787E-2</v>
      </c>
      <c r="UO11" s="30">
        <f t="shared" ca="1" si="56"/>
        <v>-4.6871265534233153E-2</v>
      </c>
      <c r="UP11" s="30">
        <f t="shared" ca="1" si="56"/>
        <v>2.6059295808480303E-2</v>
      </c>
      <c r="UQ11" s="30">
        <f t="shared" ca="1" si="56"/>
        <v>-1.9129785583564353E-2</v>
      </c>
      <c r="UR11" s="30">
        <f t="shared" ca="1" si="56"/>
        <v>-4.1398677748527922E-2</v>
      </c>
      <c r="US11" s="30">
        <f t="shared" ca="1" si="56"/>
        <v>-8.9385810592425546E-3</v>
      </c>
      <c r="UT11" s="30">
        <f t="shared" ca="1" si="56"/>
        <v>-3.069976892384748E-2</v>
      </c>
      <c r="UU11" s="30">
        <f t="shared" ca="1" si="56"/>
        <v>-2.0352501213773373E-2</v>
      </c>
      <c r="UV11" s="30">
        <f t="shared" ca="1" si="56"/>
        <v>2.3541272741627092E-2</v>
      </c>
      <c r="UW11" s="30">
        <f t="shared" ca="1" si="56"/>
        <v>3.077842082234843E-2</v>
      </c>
      <c r="UX11" s="30">
        <f t="shared" ca="1" si="56"/>
        <v>2.5236734047629671E-2</v>
      </c>
      <c r="UY11" s="30">
        <f t="shared" ca="1" si="56"/>
        <v>5.407931101919017E-3</v>
      </c>
      <c r="UZ11" s="30">
        <f t="shared" ca="1" si="56"/>
        <v>1.4502518657704896E-2</v>
      </c>
      <c r="VA11" s="30">
        <f t="shared" ca="1" si="56"/>
        <v>-5.8865735277644007E-3</v>
      </c>
      <c r="VB11" s="30">
        <f t="shared" ca="1" si="56"/>
        <v>-3.6793530709127768E-2</v>
      </c>
      <c r="VC11" s="30">
        <f t="shared" ca="1" si="56"/>
        <v>7.0540196702067711E-3</v>
      </c>
      <c r="VD11" s="30">
        <f t="shared" ca="1" si="56"/>
        <v>1.6969866803554403E-3</v>
      </c>
      <c r="VE11" s="30">
        <f t="shared" ca="1" si="56"/>
        <v>2.7016495280835273E-2</v>
      </c>
      <c r="VF11" s="30">
        <f t="shared" ca="1" si="56"/>
        <v>1.0409221878081775E-2</v>
      </c>
      <c r="VG11" s="30">
        <f t="shared" ca="1" si="56"/>
        <v>-5.1661144363211585E-2</v>
      </c>
      <c r="VH11" s="30">
        <f t="shared" ca="1" si="56"/>
        <v>4.5862688329707912E-2</v>
      </c>
      <c r="VI11" s="30">
        <f t="shared" ca="1" si="56"/>
        <v>-3.0028358203063932E-2</v>
      </c>
      <c r="VJ11" s="30">
        <f t="shared" ca="1" si="56"/>
        <v>-3.2775577641929853E-3</v>
      </c>
      <c r="VK11" s="30">
        <f t="shared" ca="1" si="56"/>
        <v>-1.6133980241760649E-2</v>
      </c>
      <c r="VL11" s="30">
        <f t="shared" ca="1" si="56"/>
        <v>-1.3835477721378579E-2</v>
      </c>
      <c r="VM11" s="30">
        <f t="shared" ca="1" si="56"/>
        <v>4.4442875718775981E-3</v>
      </c>
      <c r="VN11" s="30">
        <f t="shared" ca="1" si="47"/>
        <v>-8.22681563121722E-2</v>
      </c>
      <c r="VO11" s="30">
        <f t="shared" ca="1" si="47"/>
        <v>-2.1487302784850962E-2</v>
      </c>
      <c r="VP11" s="30">
        <f t="shared" ca="1" si="47"/>
        <v>5.7243927953704775E-2</v>
      </c>
      <c r="VQ11" s="30">
        <f t="shared" ca="1" si="47"/>
        <v>1.734135077755589E-2</v>
      </c>
      <c r="VR11" s="30">
        <f t="shared" ca="1" si="47"/>
        <v>-7.8624882801831275E-2</v>
      </c>
      <c r="VS11" s="30">
        <f t="shared" ca="1" si="47"/>
        <v>-5.9038472412677956E-2</v>
      </c>
      <c r="VT11" s="30">
        <f t="shared" ca="1" si="47"/>
        <v>1.7553078191579394E-2</v>
      </c>
      <c r="VU11" s="30">
        <f t="shared" ca="1" si="47"/>
        <v>0.10006443261888302</v>
      </c>
      <c r="VV11" s="30">
        <f t="shared" ca="1" si="47"/>
        <v>3.5971164803753182E-2</v>
      </c>
      <c r="VW11" s="30">
        <f t="shared" ca="1" si="47"/>
        <v>-4.2237928301437272E-2</v>
      </c>
      <c r="VX11" s="30">
        <f t="shared" ca="1" si="47"/>
        <v>1.2646149870604036E-2</v>
      </c>
      <c r="VY11" s="30">
        <f t="shared" ca="1" si="47"/>
        <v>-1.357419275601082E-2</v>
      </c>
      <c r="VZ11" s="30">
        <f t="shared" ca="1" si="47"/>
        <v>-1.2114211832257478E-2</v>
      </c>
      <c r="WA11" s="30">
        <f t="shared" ca="1" si="47"/>
        <v>-8.3949464674402077E-2</v>
      </c>
      <c r="WB11" s="30">
        <f t="shared" ca="1" si="47"/>
        <v>4.4414775017371184E-2</v>
      </c>
      <c r="WC11" s="30">
        <f t="shared" ca="1" si="47"/>
        <v>2.1300567785400581E-2</v>
      </c>
      <c r="WD11" s="30">
        <f t="shared" ca="1" si="47"/>
        <v>-5.3490016002576642E-2</v>
      </c>
      <c r="WE11" s="30">
        <f t="shared" ca="1" si="47"/>
        <v>3.7486331114527892E-2</v>
      </c>
      <c r="WF11" s="30">
        <f t="shared" ca="1" si="47"/>
        <v>9.0019019564721806E-3</v>
      </c>
      <c r="WG11" s="30">
        <f t="shared" ca="1" si="47"/>
        <v>-2.8500070499031794E-2</v>
      </c>
      <c r="WH11" s="30">
        <f t="shared" ca="1" si="47"/>
        <v>-4.8938927152810174E-2</v>
      </c>
      <c r="WI11" s="30">
        <f t="shared" ca="1" si="47"/>
        <v>-1.6743702159775262E-2</v>
      </c>
      <c r="WJ11" s="30">
        <f t="shared" ca="1" si="47"/>
        <v>2.3151153862453856E-2</v>
      </c>
      <c r="WK11" s="30">
        <f t="shared" ca="1" si="47"/>
        <v>2.0931680854338757E-2</v>
      </c>
      <c r="WL11" s="30">
        <f t="shared" ca="1" si="47"/>
        <v>4.0276690526106579E-2</v>
      </c>
      <c r="WM11" s="30">
        <f t="shared" ca="1" si="47"/>
        <v>4.7307181830026072E-2</v>
      </c>
      <c r="WN11" s="30">
        <f t="shared" ca="1" si="47"/>
        <v>-1.8442058400777631E-2</v>
      </c>
      <c r="WO11" s="30">
        <f t="shared" ca="1" si="47"/>
        <v>3.679462774481148E-2</v>
      </c>
      <c r="WP11" s="30">
        <f t="shared" ca="1" si="47"/>
        <v>1.9177933808795126E-2</v>
      </c>
      <c r="WQ11" s="30">
        <f t="shared" ca="1" si="47"/>
        <v>7.6190119238044793E-2</v>
      </c>
      <c r="WR11" s="30">
        <f t="shared" ca="1" si="47"/>
        <v>7.0116369380025679E-3</v>
      </c>
      <c r="WS11" s="30">
        <f t="shared" ca="1" si="47"/>
        <v>-5.3713905397596129E-2</v>
      </c>
      <c r="WT11" s="30">
        <f t="shared" ca="1" si="47"/>
        <v>8.0558680618597722E-2</v>
      </c>
      <c r="WU11" s="30">
        <f t="shared" ca="1" si="47"/>
        <v>-5.8821855092903982E-2</v>
      </c>
      <c r="WV11" s="30">
        <f t="shared" ca="1" si="47"/>
        <v>1.3584351691090127E-3</v>
      </c>
      <c r="WW11" s="30">
        <f t="shared" ca="1" si="47"/>
        <v>-2.3668268974543421E-2</v>
      </c>
      <c r="WX11" s="30">
        <f t="shared" ca="1" si="47"/>
        <v>-2.9153807010274386E-2</v>
      </c>
      <c r="WY11" s="30">
        <f t="shared" ca="1" si="47"/>
        <v>0.1139435897759942</v>
      </c>
      <c r="WZ11" s="30">
        <f t="shared" ca="1" si="47"/>
        <v>3.4540762566882287E-2</v>
      </c>
      <c r="XA11" s="30">
        <f t="shared" ca="1" si="47"/>
        <v>-4.8500792154191419E-3</v>
      </c>
      <c r="XB11" s="30">
        <f t="shared" ca="1" si="47"/>
        <v>-2.5259157642224396E-2</v>
      </c>
      <c r="XC11" s="30">
        <f t="shared" ca="1" si="47"/>
        <v>6.9345186746028895E-2</v>
      </c>
      <c r="XD11" s="30">
        <f t="shared" ca="1" si="47"/>
        <v>-3.6095232630340229E-2</v>
      </c>
      <c r="XE11" s="30">
        <f t="shared" ca="1" si="47"/>
        <v>-2.8272478854751634E-2</v>
      </c>
      <c r="XF11" s="30">
        <f t="shared" ca="1" si="47"/>
        <v>9.5713812579499097E-2</v>
      </c>
      <c r="XG11" s="30">
        <f t="shared" ca="1" si="47"/>
        <v>2.9045586174503151E-3</v>
      </c>
      <c r="XH11" s="30">
        <f t="shared" ca="1" si="47"/>
        <v>-2.1829940072517755E-2</v>
      </c>
      <c r="XI11" s="30">
        <f t="shared" ca="1" si="47"/>
        <v>5.0347375233185318E-2</v>
      </c>
      <c r="XJ11" s="30">
        <f t="shared" ca="1" si="47"/>
        <v>-2.1551043558695075E-2</v>
      </c>
      <c r="XK11" s="30">
        <f t="shared" ca="1" si="47"/>
        <v>-6.2476135093066099E-3</v>
      </c>
      <c r="XL11" s="30">
        <f t="shared" ca="1" si="47"/>
        <v>3.4793794022370858E-2</v>
      </c>
      <c r="XM11" s="30">
        <f t="shared" ca="1" si="47"/>
        <v>1.4563067315602309E-3</v>
      </c>
      <c r="XN11" s="30">
        <f t="shared" ca="1" si="47"/>
        <v>-6.0708224827493718E-3</v>
      </c>
      <c r="XO11" s="30">
        <f t="shared" ca="1" si="47"/>
        <v>1.3234658814658226E-2</v>
      </c>
      <c r="XP11" s="30">
        <f t="shared" ca="1" si="47"/>
        <v>-1.7111770021909441E-2</v>
      </c>
      <c r="XQ11" s="30">
        <f t="shared" ca="1" si="47"/>
        <v>2.5754731120451832E-2</v>
      </c>
      <c r="XR11" s="30">
        <f t="shared" ca="1" si="47"/>
        <v>5.2441798153237885E-2</v>
      </c>
      <c r="XS11" s="30">
        <f t="shared" ca="1" si="47"/>
        <v>-4.1782691383044149E-3</v>
      </c>
      <c r="XT11" s="30">
        <f t="shared" ca="1" si="47"/>
        <v>-5.5014415763416659E-4</v>
      </c>
      <c r="XU11" s="30">
        <f t="shared" ca="1" si="47"/>
        <v>1.0279950162249297E-2</v>
      </c>
      <c r="XV11" s="30">
        <f t="shared" ca="1" si="47"/>
        <v>2.1181431951083487E-2</v>
      </c>
      <c r="XW11" s="30">
        <f t="shared" ca="1" si="47"/>
        <v>-3.0819978859998563E-2</v>
      </c>
      <c r="XX11" s="30">
        <f t="shared" ca="1" si="40"/>
        <v>-2.8405013740317408E-2</v>
      </c>
      <c r="XY11" s="30">
        <f t="shared" ca="1" si="40"/>
        <v>6.7155869237533361E-2</v>
      </c>
      <c r="XZ11" s="30">
        <f t="shared" ref="XZ11:AAK15" ca="1" si="57">_xlfn.NORM.INV(RAND(),$C$8,$C$9)</f>
        <v>1.2070336258220949E-2</v>
      </c>
      <c r="YA11" s="30">
        <f t="shared" ca="1" si="57"/>
        <v>-8.2574797791978211E-2</v>
      </c>
      <c r="YB11" s="30">
        <f t="shared" ca="1" si="57"/>
        <v>-2.7901625480800024E-2</v>
      </c>
      <c r="YC11" s="30">
        <f t="shared" ca="1" si="57"/>
        <v>-9.1422902076906551E-2</v>
      </c>
      <c r="YD11" s="30">
        <f t="shared" ca="1" si="57"/>
        <v>-8.1901197815557991E-2</v>
      </c>
      <c r="YE11" s="30">
        <f t="shared" ca="1" si="57"/>
        <v>-3.1084411009150395E-2</v>
      </c>
      <c r="YF11" s="30">
        <f t="shared" ca="1" si="57"/>
        <v>-2.8288124378129137E-2</v>
      </c>
      <c r="YG11" s="30">
        <f t="shared" ca="1" si="57"/>
        <v>9.3280547007709089E-2</v>
      </c>
      <c r="YH11" s="30">
        <f t="shared" ca="1" si="57"/>
        <v>2.9436219287617464E-2</v>
      </c>
      <c r="YI11" s="30">
        <f t="shared" ca="1" si="57"/>
        <v>-2.650688174430639E-2</v>
      </c>
      <c r="YJ11" s="30">
        <f t="shared" ca="1" si="57"/>
        <v>7.9789273878770439E-2</v>
      </c>
      <c r="YK11" s="30">
        <f t="shared" ca="1" si="57"/>
        <v>-1.0218216257070528E-3</v>
      </c>
      <c r="YL11" s="30">
        <f t="shared" ca="1" si="57"/>
        <v>1.923059219514886E-2</v>
      </c>
      <c r="YM11" s="30">
        <f t="shared" ca="1" si="57"/>
        <v>2.1888878962050592E-2</v>
      </c>
      <c r="YN11" s="30">
        <f t="shared" ca="1" si="57"/>
        <v>-2.9784578135568264E-3</v>
      </c>
      <c r="YO11" s="30">
        <f t="shared" ca="1" si="57"/>
        <v>9.4507873925213925E-2</v>
      </c>
      <c r="YP11" s="30">
        <f t="shared" ca="1" si="57"/>
        <v>1.3299122761443715E-2</v>
      </c>
      <c r="YQ11" s="30">
        <f t="shared" ca="1" si="57"/>
        <v>6.1471814362461227E-2</v>
      </c>
      <c r="YR11" s="30">
        <f t="shared" ca="1" si="57"/>
        <v>9.4236214702977713E-3</v>
      </c>
      <c r="YS11" s="30">
        <f t="shared" ca="1" si="57"/>
        <v>-3.8197816209603115E-2</v>
      </c>
      <c r="YT11" s="30">
        <f t="shared" ca="1" si="57"/>
        <v>-1.2372572652915928E-2</v>
      </c>
      <c r="YU11" s="30">
        <f t="shared" ca="1" si="57"/>
        <v>-3.6684170288612802E-2</v>
      </c>
      <c r="YV11" s="30">
        <f t="shared" ca="1" si="57"/>
        <v>-5.0461086165569664E-2</v>
      </c>
      <c r="YW11" s="30">
        <f t="shared" ca="1" si="57"/>
        <v>-6.7910917191241118E-3</v>
      </c>
      <c r="YX11" s="30">
        <f t="shared" ca="1" si="57"/>
        <v>1.6225332527127257E-2</v>
      </c>
      <c r="YY11" s="30">
        <f t="shared" ca="1" si="57"/>
        <v>7.2868854612416281E-2</v>
      </c>
      <c r="YZ11" s="30">
        <f t="shared" ca="1" si="57"/>
        <v>3.1347897601527709E-2</v>
      </c>
      <c r="ZA11" s="30">
        <f t="shared" ca="1" si="57"/>
        <v>5.1542606897541851E-2</v>
      </c>
      <c r="ZB11" s="30">
        <f t="shared" ca="1" si="57"/>
        <v>1.2776114795826684E-2</v>
      </c>
      <c r="ZC11" s="30">
        <f t="shared" ca="1" si="57"/>
        <v>3.5504130488591502E-2</v>
      </c>
      <c r="ZD11" s="30">
        <f t="shared" ca="1" si="57"/>
        <v>-2.2261802147261141E-2</v>
      </c>
      <c r="ZE11" s="30">
        <f t="shared" ca="1" si="57"/>
        <v>4.8012246936759685E-2</v>
      </c>
      <c r="ZF11" s="30">
        <f t="shared" ca="1" si="57"/>
        <v>-2.7201350592077799E-2</v>
      </c>
      <c r="ZG11" s="30">
        <f t="shared" ca="1" si="57"/>
        <v>-3.0800717588168103E-2</v>
      </c>
      <c r="ZH11" s="30">
        <f t="shared" ca="1" si="57"/>
        <v>-1.1109240071526923E-2</v>
      </c>
      <c r="ZI11" s="30">
        <f t="shared" ca="1" si="57"/>
        <v>-8.0682074478830842E-2</v>
      </c>
      <c r="ZJ11" s="30">
        <f t="shared" ca="1" si="57"/>
        <v>5.4411756998236513E-2</v>
      </c>
      <c r="ZK11" s="30">
        <f t="shared" ca="1" si="57"/>
        <v>2.2108103691037568E-2</v>
      </c>
      <c r="ZL11" s="30">
        <f t="shared" ca="1" si="57"/>
        <v>-1.2250151506841986E-2</v>
      </c>
      <c r="ZM11" s="30">
        <f t="shared" ca="1" si="57"/>
        <v>-5.7276801636639105E-2</v>
      </c>
      <c r="ZN11" s="30">
        <f t="shared" ca="1" si="57"/>
        <v>-7.5032625645093734E-3</v>
      </c>
      <c r="ZO11" s="30">
        <f t="shared" ca="1" si="57"/>
        <v>-2.0803918696006975E-2</v>
      </c>
      <c r="ZP11" s="30">
        <f t="shared" ca="1" si="57"/>
        <v>4.4389132226194117E-4</v>
      </c>
      <c r="ZQ11" s="30">
        <f t="shared" ca="1" si="57"/>
        <v>3.2927681997149572E-2</v>
      </c>
      <c r="ZR11" s="30">
        <f t="shared" ca="1" si="57"/>
        <v>1.7234109037800763E-2</v>
      </c>
      <c r="ZS11" s="30">
        <f t="shared" ca="1" si="57"/>
        <v>-5.0936609239339001E-2</v>
      </c>
      <c r="ZT11" s="30">
        <f t="shared" ca="1" si="57"/>
        <v>-3.5495845103777179E-2</v>
      </c>
      <c r="ZU11" s="30">
        <f t="shared" ca="1" si="57"/>
        <v>5.6982224078587364E-2</v>
      </c>
      <c r="ZV11" s="30">
        <f t="shared" ca="1" si="57"/>
        <v>7.3784453989772458E-2</v>
      </c>
      <c r="ZW11" s="30">
        <f t="shared" ca="1" si="57"/>
        <v>1.8397689869742044E-2</v>
      </c>
      <c r="ZX11" s="30">
        <f t="shared" ca="1" si="57"/>
        <v>2.0093470881062431E-3</v>
      </c>
      <c r="ZY11" s="30">
        <f t="shared" ca="1" si="57"/>
        <v>-4.8854325082622975E-2</v>
      </c>
      <c r="ZZ11" s="30">
        <f t="shared" ca="1" si="57"/>
        <v>-2.2958376049147085E-2</v>
      </c>
      <c r="AAA11" s="30">
        <f t="shared" ca="1" si="57"/>
        <v>-1.5596676064818193E-2</v>
      </c>
      <c r="AAB11" s="30">
        <f t="shared" ca="1" si="57"/>
        <v>2.648429565196498E-2</v>
      </c>
      <c r="AAC11" s="30">
        <f t="shared" ca="1" si="57"/>
        <v>-7.8167110101139359E-2</v>
      </c>
      <c r="AAD11" s="30">
        <f t="shared" ca="1" si="57"/>
        <v>-9.8147724467183617E-2</v>
      </c>
      <c r="AAE11" s="30">
        <f t="shared" ca="1" si="57"/>
        <v>1.9197857894787326E-2</v>
      </c>
      <c r="AAF11" s="30">
        <f t="shared" ca="1" si="57"/>
        <v>-7.1033545752147181E-2</v>
      </c>
      <c r="AAG11" s="30">
        <f t="shared" ca="1" si="57"/>
        <v>9.8030450328410526E-2</v>
      </c>
      <c r="AAH11" s="30">
        <f t="shared" ca="1" si="57"/>
        <v>-7.9666316684260802E-3</v>
      </c>
      <c r="AAI11" s="30">
        <f t="shared" ca="1" si="57"/>
        <v>-2.5872559608549874E-2</v>
      </c>
      <c r="AAJ11" s="30">
        <f t="shared" ca="1" si="57"/>
        <v>5.7317513712653777E-2</v>
      </c>
      <c r="AAK11" s="30">
        <f t="shared" ca="1" si="57"/>
        <v>-4.623694846718196E-2</v>
      </c>
      <c r="AAL11" s="30">
        <f t="shared" ca="1" si="48"/>
        <v>3.463155340759487E-2</v>
      </c>
      <c r="AAM11" s="30">
        <f t="shared" ca="1" si="48"/>
        <v>-3.9797893000699539E-2</v>
      </c>
      <c r="AAN11" s="30">
        <f t="shared" ca="1" si="48"/>
        <v>7.4343532419174447E-3</v>
      </c>
      <c r="AAO11" s="30">
        <f t="shared" ca="1" si="48"/>
        <v>-8.8870268693035299E-4</v>
      </c>
      <c r="AAP11" s="30">
        <f t="shared" ca="1" si="48"/>
        <v>7.2524916976870676E-2</v>
      </c>
      <c r="AAQ11" s="30">
        <f t="shared" ca="1" si="48"/>
        <v>1.3765992149987558E-4</v>
      </c>
      <c r="AAR11" s="30">
        <f t="shared" ca="1" si="48"/>
        <v>-5.1781719476541354E-3</v>
      </c>
      <c r="AAS11" s="30">
        <f t="shared" ca="1" si="48"/>
        <v>1.6029499932066593E-2</v>
      </c>
      <c r="AAT11" s="30">
        <f t="shared" ca="1" si="48"/>
        <v>2.622173724569829E-2</v>
      </c>
      <c r="AAU11" s="30">
        <f t="shared" ca="1" si="48"/>
        <v>2.2576698325206951E-2</v>
      </c>
      <c r="AAV11" s="30">
        <f t="shared" ca="1" si="48"/>
        <v>7.0872857496015934E-2</v>
      </c>
      <c r="AAW11" s="30">
        <f t="shared" ca="1" si="48"/>
        <v>4.284668065564675E-2</v>
      </c>
      <c r="AAX11" s="30">
        <f t="shared" ca="1" si="48"/>
        <v>9.4030339837012727E-2</v>
      </c>
      <c r="AAY11" s="30">
        <f t="shared" ca="1" si="48"/>
        <v>2.0181402940219792E-2</v>
      </c>
      <c r="AAZ11" s="30">
        <f t="shared" ca="1" si="48"/>
        <v>-1.1253651457016128E-2</v>
      </c>
      <c r="ABA11" s="30">
        <f t="shared" ca="1" si="48"/>
        <v>-2.7037198316711569E-2</v>
      </c>
      <c r="ABB11" s="30">
        <f t="shared" ca="1" si="48"/>
        <v>-0.11414862378550004</v>
      </c>
      <c r="ABC11" s="30">
        <f t="shared" ca="1" si="48"/>
        <v>1.3422727877696066E-2</v>
      </c>
      <c r="ABD11" s="30">
        <f t="shared" ca="1" si="48"/>
        <v>3.8710031167569159E-2</v>
      </c>
      <c r="ABE11" s="30">
        <f t="shared" ca="1" si="48"/>
        <v>-2.3893426355485407E-2</v>
      </c>
      <c r="ABF11" s="30">
        <f t="shared" ca="1" si="48"/>
        <v>9.3764116134295278E-2</v>
      </c>
      <c r="ABG11" s="30">
        <f t="shared" ca="1" si="48"/>
        <v>3.6470152686262337E-2</v>
      </c>
      <c r="ABH11" s="30">
        <f t="shared" ca="1" si="48"/>
        <v>0.10009431330609797</v>
      </c>
      <c r="ABI11" s="30">
        <f t="shared" ca="1" si="48"/>
        <v>-3.1021575627998198E-2</v>
      </c>
      <c r="ABJ11" s="30">
        <f t="shared" ca="1" si="48"/>
        <v>1.8304568794355778E-3</v>
      </c>
      <c r="ABK11" s="30">
        <f t="shared" ca="1" si="48"/>
        <v>1.939148137808833E-2</v>
      </c>
      <c r="ABL11" s="30">
        <f t="shared" ca="1" si="48"/>
        <v>-1.5896082398649522E-2</v>
      </c>
      <c r="ABM11" s="30">
        <f t="shared" ca="1" si="48"/>
        <v>4.4810487376424873E-2</v>
      </c>
      <c r="ABN11" s="30">
        <f t="shared" ca="1" si="48"/>
        <v>5.9511897521088153E-2</v>
      </c>
      <c r="ABO11" s="30">
        <f t="shared" ca="1" si="48"/>
        <v>-2.0374741850360902E-2</v>
      </c>
      <c r="ABP11" s="30">
        <f t="shared" ca="1" si="48"/>
        <v>3.7676623930676389E-2</v>
      </c>
      <c r="ABQ11" s="30">
        <f t="shared" ca="1" si="48"/>
        <v>-1.1057163630297811E-2</v>
      </c>
      <c r="ABR11" s="30">
        <f t="shared" ca="1" si="48"/>
        <v>6.8417261829741075E-2</v>
      </c>
      <c r="ABS11" s="30">
        <f t="shared" ca="1" si="48"/>
        <v>-2.1301230868965734E-2</v>
      </c>
      <c r="ABT11" s="30">
        <f t="shared" ca="1" si="48"/>
        <v>1.2811855893716266E-2</v>
      </c>
      <c r="ABU11" s="30">
        <f t="shared" ca="1" si="48"/>
        <v>-3.9636129478104194E-2</v>
      </c>
      <c r="ABV11" s="30">
        <f t="shared" ca="1" si="48"/>
        <v>3.4794800637805136E-2</v>
      </c>
      <c r="ABW11" s="30">
        <f t="shared" ca="1" si="48"/>
        <v>3.9835809022444471E-3</v>
      </c>
      <c r="ABX11" s="30">
        <f t="shared" ca="1" si="48"/>
        <v>7.5856369915309058E-2</v>
      </c>
      <c r="ABY11" s="30">
        <f t="shared" ca="1" si="48"/>
        <v>-2.1546365451358355E-2</v>
      </c>
      <c r="ABZ11" s="30">
        <f t="shared" ca="1" si="48"/>
        <v>1.0312274687257856E-2</v>
      </c>
      <c r="ACA11" s="30">
        <f t="shared" ca="1" si="48"/>
        <v>2.8950356503606021E-2</v>
      </c>
      <c r="ACB11" s="30">
        <f t="shared" ca="1" si="48"/>
        <v>1.675800601810009E-2</v>
      </c>
      <c r="ACC11" s="30">
        <f t="shared" ca="1" si="48"/>
        <v>-6.6364885424519723E-2</v>
      </c>
      <c r="ACD11" s="30">
        <f t="shared" ca="1" si="48"/>
        <v>1.5888424638115541E-2</v>
      </c>
      <c r="ACE11" s="30">
        <f t="shared" ca="1" si="48"/>
        <v>-1.6110707519679929E-2</v>
      </c>
      <c r="ACF11" s="30">
        <f t="shared" ca="1" si="48"/>
        <v>-9.5546106762225049E-3</v>
      </c>
      <c r="ACG11" s="30">
        <f t="shared" ca="1" si="48"/>
        <v>-2.2064136799676646E-2</v>
      </c>
      <c r="ACH11" s="30">
        <f t="shared" ca="1" si="48"/>
        <v>3.6380678115011687E-2</v>
      </c>
      <c r="ACI11" s="30">
        <f t="shared" ca="1" si="48"/>
        <v>5.8725555879841927E-2</v>
      </c>
      <c r="ACJ11" s="30">
        <f t="shared" ca="1" si="48"/>
        <v>8.7522657602038631E-2</v>
      </c>
      <c r="ACK11" s="30">
        <f t="shared" ca="1" si="48"/>
        <v>-2.0218780036688686E-3</v>
      </c>
      <c r="ACL11" s="30">
        <f t="shared" ca="1" si="48"/>
        <v>3.9951931125900661E-2</v>
      </c>
      <c r="ACM11" s="30">
        <f t="shared" ca="1" si="48"/>
        <v>-3.4179537752251493E-2</v>
      </c>
      <c r="ACN11" s="30">
        <f t="shared" ca="1" si="48"/>
        <v>4.2939406374678607E-2</v>
      </c>
      <c r="ACO11" s="30">
        <f t="shared" ca="1" si="48"/>
        <v>5.5864704159233419E-2</v>
      </c>
      <c r="ACP11" s="30">
        <f t="shared" ca="1" si="48"/>
        <v>6.0191202199756308E-4</v>
      </c>
      <c r="ACQ11" s="30">
        <f t="shared" ca="1" si="48"/>
        <v>-1.9134760456141202E-2</v>
      </c>
      <c r="ACR11" s="30">
        <f t="shared" ca="1" si="48"/>
        <v>8.5108589309605721E-3</v>
      </c>
      <c r="ACS11" s="30">
        <f t="shared" ca="1" si="48"/>
        <v>-5.5611999475154439E-2</v>
      </c>
      <c r="ACT11" s="30">
        <f t="shared" ca="1" si="48"/>
        <v>-2.2243084079208941E-2</v>
      </c>
      <c r="ACU11" s="30">
        <f t="shared" ca="1" si="48"/>
        <v>3.5003050601086085E-2</v>
      </c>
      <c r="ACV11" s="30">
        <f t="shared" ca="1" si="41"/>
        <v>-5.1332144417578163E-2</v>
      </c>
      <c r="ACW11" s="30">
        <f t="shared" ca="1" si="41"/>
        <v>-3.6794750629398035E-2</v>
      </c>
      <c r="ACX11" s="30">
        <f t="shared" ref="ACX11:AFI15" ca="1" si="58">_xlfn.NORM.INV(RAND(),$C$8,$C$9)</f>
        <v>2.2062271438083405E-3</v>
      </c>
      <c r="ACY11" s="30">
        <f t="shared" ca="1" si="58"/>
        <v>-1.587666775973259E-2</v>
      </c>
      <c r="ACZ11" s="30">
        <f t="shared" ca="1" si="58"/>
        <v>5.8846526824808849E-3</v>
      </c>
      <c r="ADA11" s="30">
        <f t="shared" ca="1" si="58"/>
        <v>9.9491982111820143E-2</v>
      </c>
      <c r="ADB11" s="30">
        <f t="shared" ca="1" si="58"/>
        <v>9.7490303212098197E-3</v>
      </c>
      <c r="ADC11" s="30">
        <f t="shared" ca="1" si="58"/>
        <v>8.385691826720585E-3</v>
      </c>
      <c r="ADD11" s="30">
        <f t="shared" ca="1" si="58"/>
        <v>-2.7288030590729546E-2</v>
      </c>
      <c r="ADE11" s="30">
        <f t="shared" ca="1" si="58"/>
        <v>-2.3157929756225412E-4</v>
      </c>
      <c r="ADF11" s="30">
        <f t="shared" ca="1" si="58"/>
        <v>2.0274277633198702E-2</v>
      </c>
      <c r="ADG11" s="30">
        <f t="shared" ca="1" si="58"/>
        <v>6.2906665485395655E-2</v>
      </c>
      <c r="ADH11" s="30">
        <f t="shared" ca="1" si="58"/>
        <v>-9.9765720180821305E-2</v>
      </c>
      <c r="ADI11" s="30">
        <f t="shared" ca="1" si="58"/>
        <v>4.6271044814329657E-2</v>
      </c>
      <c r="ADJ11" s="30">
        <f t="shared" ca="1" si="58"/>
        <v>-2.6626114789823848E-2</v>
      </c>
      <c r="ADK11" s="30">
        <f t="shared" ca="1" si="58"/>
        <v>-5.9324182069288843E-4</v>
      </c>
      <c r="ADL11" s="30">
        <f t="shared" ca="1" si="58"/>
        <v>-5.0641736635450907E-2</v>
      </c>
      <c r="ADM11" s="30">
        <f t="shared" ca="1" si="58"/>
        <v>-5.6647039056412482E-2</v>
      </c>
      <c r="ADN11" s="30">
        <f t="shared" ca="1" si="58"/>
        <v>-2.5292102179703322E-2</v>
      </c>
      <c r="ADO11" s="30">
        <f t="shared" ca="1" si="58"/>
        <v>2.293662273765975E-2</v>
      </c>
      <c r="ADP11" s="30">
        <f t="shared" ca="1" si="58"/>
        <v>2.9354483299067246E-3</v>
      </c>
      <c r="ADQ11" s="30">
        <f t="shared" ca="1" si="58"/>
        <v>-2.9860523298183171E-3</v>
      </c>
      <c r="ADR11" s="30">
        <f t="shared" ca="1" si="58"/>
        <v>6.5452655053743869E-2</v>
      </c>
      <c r="ADS11" s="30">
        <f t="shared" ca="1" si="58"/>
        <v>-2.3994384609530725E-2</v>
      </c>
      <c r="ADT11" s="30">
        <f t="shared" ca="1" si="58"/>
        <v>-1.8250358137634148E-2</v>
      </c>
      <c r="ADU11" s="30">
        <f t="shared" ca="1" si="58"/>
        <v>-1.2314002263139836E-2</v>
      </c>
      <c r="ADV11" s="30">
        <f t="shared" ca="1" si="58"/>
        <v>2.577406565639922E-3</v>
      </c>
      <c r="ADW11" s="30">
        <f t="shared" ca="1" si="58"/>
        <v>-2.7472096378310995E-2</v>
      </c>
      <c r="ADX11" s="30">
        <f t="shared" ca="1" si="58"/>
        <v>4.4425191000950714E-2</v>
      </c>
      <c r="ADY11" s="30">
        <f t="shared" ca="1" si="58"/>
        <v>6.6913974180534859E-3</v>
      </c>
      <c r="ADZ11" s="30">
        <f t="shared" ca="1" si="58"/>
        <v>2.9834674429253638E-2</v>
      </c>
      <c r="AEA11" s="30">
        <f t="shared" ca="1" si="58"/>
        <v>-1.6566565050487998E-2</v>
      </c>
      <c r="AEB11" s="30">
        <f t="shared" ca="1" si="58"/>
        <v>-7.5770155233758046E-2</v>
      </c>
      <c r="AEC11" s="30">
        <f t="shared" ca="1" si="58"/>
        <v>-1.7727368619031913E-2</v>
      </c>
      <c r="AED11" s="30">
        <f t="shared" ca="1" si="58"/>
        <v>2.0182677513354237E-2</v>
      </c>
      <c r="AEE11" s="30">
        <f t="shared" ca="1" si="58"/>
        <v>-3.4465400776707601E-2</v>
      </c>
      <c r="AEF11" s="30">
        <f t="shared" ca="1" si="58"/>
        <v>-4.9389863745703793E-3</v>
      </c>
      <c r="AEG11" s="30">
        <f t="shared" ca="1" si="58"/>
        <v>6.1892221852117282E-3</v>
      </c>
      <c r="AEH11" s="30">
        <f t="shared" ca="1" si="58"/>
        <v>-9.6050539109330327E-2</v>
      </c>
      <c r="AEI11" s="30">
        <f t="shared" ca="1" si="58"/>
        <v>4.419045885086352E-2</v>
      </c>
      <c r="AEJ11" s="30">
        <f t="shared" ca="1" si="58"/>
        <v>-3.7272253232460167E-2</v>
      </c>
      <c r="AEK11" s="30">
        <f t="shared" ca="1" si="58"/>
        <v>2.7247228967254133E-2</v>
      </c>
      <c r="AEL11" s="30">
        <f t="shared" ca="1" si="58"/>
        <v>1.4531358054824585E-2</v>
      </c>
      <c r="AEM11" s="30">
        <f t="shared" ca="1" si="58"/>
        <v>-5.5066943791593957E-2</v>
      </c>
      <c r="AEN11" s="30">
        <f t="shared" ca="1" si="58"/>
        <v>3.9014422814394406E-2</v>
      </c>
      <c r="AEO11" s="30">
        <f t="shared" ca="1" si="58"/>
        <v>3.6325658189284918E-2</v>
      </c>
      <c r="AEP11" s="30">
        <f t="shared" ca="1" si="58"/>
        <v>2.880667659874607E-2</v>
      </c>
      <c r="AEQ11" s="30">
        <f t="shared" ca="1" si="58"/>
        <v>2.39829272462364E-2</v>
      </c>
      <c r="AER11" s="30">
        <f t="shared" ca="1" si="58"/>
        <v>3.7124686382781925E-3</v>
      </c>
      <c r="AES11" s="30">
        <f t="shared" ca="1" si="58"/>
        <v>-3.710924635192988E-2</v>
      </c>
      <c r="AET11" s="30">
        <f t="shared" ca="1" si="58"/>
        <v>2.77352597672764E-2</v>
      </c>
      <c r="AEU11" s="30">
        <f t="shared" ca="1" si="58"/>
        <v>1.1458877951528725E-2</v>
      </c>
      <c r="AEV11" s="30">
        <f t="shared" ca="1" si="58"/>
        <v>2.1954234319629357E-2</v>
      </c>
      <c r="AEW11" s="30">
        <f t="shared" ca="1" si="58"/>
        <v>1.6204147893203954E-2</v>
      </c>
      <c r="AEX11" s="30">
        <f t="shared" ca="1" si="58"/>
        <v>3.2825208045607304E-2</v>
      </c>
      <c r="AEY11" s="30">
        <f t="shared" ca="1" si="58"/>
        <v>-1.5543902279030311E-2</v>
      </c>
      <c r="AEZ11" s="30">
        <f t="shared" ca="1" si="58"/>
        <v>-5.7476571537170555E-2</v>
      </c>
      <c r="AFA11" s="30">
        <f t="shared" ca="1" si="58"/>
        <v>2.2321949300189172E-3</v>
      </c>
      <c r="AFB11" s="30">
        <f t="shared" ca="1" si="58"/>
        <v>-2.5607666882454336E-2</v>
      </c>
      <c r="AFC11" s="30">
        <f t="shared" ca="1" si="58"/>
        <v>-2.7948779696194796E-2</v>
      </c>
      <c r="AFD11" s="30">
        <f t="shared" ca="1" si="58"/>
        <v>-4.160713822814939E-2</v>
      </c>
      <c r="AFE11" s="30">
        <f t="shared" ca="1" si="58"/>
        <v>-4.4934291565181285E-2</v>
      </c>
      <c r="AFF11" s="30">
        <f t="shared" ca="1" si="58"/>
        <v>1.7448427774711808E-2</v>
      </c>
      <c r="AFG11" s="30">
        <f t="shared" ca="1" si="58"/>
        <v>-5.968336955016329E-2</v>
      </c>
      <c r="AFH11" s="30">
        <f t="shared" ca="1" si="58"/>
        <v>-2.6428086779120433E-4</v>
      </c>
      <c r="AFI11" s="30">
        <f t="shared" ca="1" si="58"/>
        <v>-1.4423396925513237E-3</v>
      </c>
      <c r="AFJ11" s="30">
        <f t="shared" ca="1" si="49"/>
        <v>-5.8249228215488192E-5</v>
      </c>
      <c r="AFK11" s="30">
        <f t="shared" ca="1" si="49"/>
        <v>-4.9933008400401347E-3</v>
      </c>
      <c r="AFL11" s="30">
        <f t="shared" ca="1" si="49"/>
        <v>-2.7892000124363027E-2</v>
      </c>
      <c r="AFM11" s="30">
        <f t="shared" ca="1" si="49"/>
        <v>-2.0967601309106066E-2</v>
      </c>
      <c r="AFN11" s="30">
        <f t="shared" ca="1" si="49"/>
        <v>-1.0356320455965361E-2</v>
      </c>
      <c r="AFO11" s="30">
        <f t="shared" ca="1" si="49"/>
        <v>2.0916696569691248E-2</v>
      </c>
      <c r="AFP11" s="30">
        <f t="shared" ca="1" si="49"/>
        <v>-4.1949806081682715E-2</v>
      </c>
      <c r="AFQ11" s="30">
        <f t="shared" ca="1" si="49"/>
        <v>-2.690156024450412E-2</v>
      </c>
      <c r="AFR11" s="30">
        <f t="shared" ca="1" si="49"/>
        <v>2.8516627090522564E-2</v>
      </c>
      <c r="AFS11" s="30">
        <f t="shared" ca="1" si="49"/>
        <v>-3.400121707445676E-2</v>
      </c>
      <c r="AFT11" s="30">
        <f t="shared" ca="1" si="49"/>
        <v>3.1658611679450943E-2</v>
      </c>
      <c r="AFU11" s="30">
        <f t="shared" ca="1" si="49"/>
        <v>2.2389018726947311E-2</v>
      </c>
      <c r="AFV11" s="30">
        <f t="shared" ca="1" si="49"/>
        <v>-5.0120144404425956E-2</v>
      </c>
      <c r="AFW11" s="30">
        <f t="shared" ca="1" si="49"/>
        <v>4.6877221819904356E-2</v>
      </c>
      <c r="AFX11" s="30">
        <f t="shared" ca="1" si="49"/>
        <v>5.2485124022186164E-3</v>
      </c>
      <c r="AFY11" s="30">
        <f t="shared" ca="1" si="49"/>
        <v>-6.1144755365126792E-3</v>
      </c>
      <c r="AFZ11" s="30">
        <f t="shared" ca="1" si="49"/>
        <v>1.2294555700897328E-2</v>
      </c>
      <c r="AGA11" s="30">
        <f t="shared" ca="1" si="49"/>
        <v>1.5004300718223281E-2</v>
      </c>
      <c r="AGB11" s="30">
        <f t="shared" ca="1" si="49"/>
        <v>5.4311958420776602E-2</v>
      </c>
      <c r="AGC11" s="30">
        <f t="shared" ca="1" si="49"/>
        <v>7.7319156717347806E-2</v>
      </c>
      <c r="AGD11" s="30">
        <f t="shared" ca="1" si="49"/>
        <v>1.8569215402295433E-2</v>
      </c>
      <c r="AGE11" s="30">
        <f t="shared" ca="1" si="49"/>
        <v>1.490426876269333E-2</v>
      </c>
      <c r="AGF11" s="30">
        <f t="shared" ca="1" si="49"/>
        <v>2.2268587257472629E-2</v>
      </c>
      <c r="AGG11" s="30">
        <f t="shared" ca="1" si="49"/>
        <v>4.5606415820851891E-2</v>
      </c>
      <c r="AGH11" s="30">
        <f t="shared" ca="1" si="49"/>
        <v>8.3631688895710835E-2</v>
      </c>
      <c r="AGI11" s="30">
        <f t="shared" ca="1" si="49"/>
        <v>9.4330088059474979E-4</v>
      </c>
      <c r="AGJ11" s="30">
        <f t="shared" ca="1" si="49"/>
        <v>3.607024683535253E-2</v>
      </c>
      <c r="AGK11" s="30">
        <f t="shared" ca="1" si="49"/>
        <v>-2.190242803222351E-2</v>
      </c>
      <c r="AGL11" s="30">
        <f t="shared" ca="1" si="49"/>
        <v>-6.5991743034887917E-2</v>
      </c>
      <c r="AGM11" s="30">
        <f t="shared" ca="1" si="49"/>
        <v>9.1134952523420371E-3</v>
      </c>
      <c r="AGN11" s="30">
        <f t="shared" ca="1" si="49"/>
        <v>4.2538629249411651E-3</v>
      </c>
      <c r="AGO11" s="30">
        <f t="shared" ca="1" si="49"/>
        <v>-2.0227498254067815E-2</v>
      </c>
      <c r="AGP11" s="30">
        <f t="shared" ca="1" si="49"/>
        <v>-3.9753258507515189E-2</v>
      </c>
      <c r="AGQ11" s="30">
        <f t="shared" ca="1" si="49"/>
        <v>-3.8924826085025765E-3</v>
      </c>
      <c r="AGR11" s="30">
        <f t="shared" ca="1" si="49"/>
        <v>-5.3942785051043452E-5</v>
      </c>
      <c r="AGS11" s="30">
        <f t="shared" ca="1" si="49"/>
        <v>4.1109344953406214E-2</v>
      </c>
      <c r="AGT11" s="30">
        <f t="shared" ca="1" si="49"/>
        <v>2.1906616464151936E-2</v>
      </c>
      <c r="AGU11" s="30">
        <f t="shared" ca="1" si="49"/>
        <v>-1.146200347867969E-2</v>
      </c>
      <c r="AGV11" s="30">
        <f t="shared" ca="1" si="49"/>
        <v>1.1447703346565988E-2</v>
      </c>
      <c r="AGW11" s="30">
        <f t="shared" ca="1" si="49"/>
        <v>-1.2980490793159272E-2</v>
      </c>
      <c r="AGX11" s="30">
        <f t="shared" ca="1" si="49"/>
        <v>2.5555901684391497E-4</v>
      </c>
      <c r="AGY11" s="30">
        <f t="shared" ca="1" si="49"/>
        <v>2.1032229801596181E-2</v>
      </c>
      <c r="AGZ11" s="30">
        <f t="shared" ca="1" si="49"/>
        <v>-2.7294430107857225E-2</v>
      </c>
      <c r="AHA11" s="30">
        <f t="shared" ca="1" si="49"/>
        <v>-8.2565802335452503E-3</v>
      </c>
      <c r="AHB11" s="30">
        <f t="shared" ca="1" si="49"/>
        <v>4.9795546917307858E-2</v>
      </c>
      <c r="AHC11" s="30">
        <f t="shared" ca="1" si="49"/>
        <v>-3.1949460926322809E-2</v>
      </c>
      <c r="AHD11" s="30">
        <f t="shared" ca="1" si="49"/>
        <v>3.5478561852007581E-2</v>
      </c>
      <c r="AHE11" s="30">
        <f t="shared" ca="1" si="49"/>
        <v>4.0592863426905525E-2</v>
      </c>
      <c r="AHF11" s="30">
        <f t="shared" ca="1" si="49"/>
        <v>5.0986109731421564E-2</v>
      </c>
      <c r="AHG11" s="30">
        <f t="shared" ca="1" si="49"/>
        <v>1.0250147316332751E-2</v>
      </c>
      <c r="AHH11" s="30">
        <f t="shared" ca="1" si="49"/>
        <v>-1.1312003530205846E-2</v>
      </c>
      <c r="AHI11" s="30">
        <f t="shared" ca="1" si="49"/>
        <v>-1.9860589253394241E-2</v>
      </c>
      <c r="AHJ11" s="30">
        <f t="shared" ca="1" si="49"/>
        <v>3.2900601167697281E-2</v>
      </c>
      <c r="AHK11" s="30">
        <f t="shared" ca="1" si="49"/>
        <v>-3.1782108811962993E-2</v>
      </c>
      <c r="AHL11" s="30">
        <f t="shared" ca="1" si="49"/>
        <v>5.8393965097767522E-2</v>
      </c>
      <c r="AHM11" s="30">
        <f t="shared" ca="1" si="49"/>
        <v>-1.5319561051796105E-2</v>
      </c>
      <c r="AHN11" s="30">
        <f t="shared" ca="1" si="49"/>
        <v>-3.8781021473612301E-2</v>
      </c>
      <c r="AHO11" s="30">
        <f t="shared" ca="1" si="49"/>
        <v>-9.8756471197245128E-3</v>
      </c>
      <c r="AHP11" s="30">
        <f t="shared" ca="1" si="49"/>
        <v>4.2143998750594061E-2</v>
      </c>
      <c r="AHQ11" s="30">
        <f t="shared" ca="1" si="49"/>
        <v>5.1841980001382591E-2</v>
      </c>
      <c r="AHR11" s="30">
        <f t="shared" ca="1" si="49"/>
        <v>-2.9626839898655184E-2</v>
      </c>
      <c r="AHS11" s="30">
        <f t="shared" ca="1" si="49"/>
        <v>-8.6898487448181988E-2</v>
      </c>
      <c r="AHT11" s="30">
        <f t="shared" ca="1" si="42"/>
        <v>5.7459458113909654E-3</v>
      </c>
      <c r="AHU11" s="30">
        <f t="shared" ca="1" si="42"/>
        <v>1.0929339620319698E-2</v>
      </c>
      <c r="AHV11" s="30">
        <f t="shared" ref="AHV11:AKG15" ca="1" si="59">_xlfn.NORM.INV(RAND(),$C$8,$C$9)</f>
        <v>6.0510635293218804E-2</v>
      </c>
      <c r="AHW11" s="30">
        <f t="shared" ca="1" si="59"/>
        <v>2.1940969947857027E-2</v>
      </c>
      <c r="AHX11" s="30">
        <f t="shared" ca="1" si="59"/>
        <v>-5.2799328877182777E-2</v>
      </c>
      <c r="AHY11" s="30">
        <f t="shared" ca="1" si="59"/>
        <v>-5.7213048812475246E-3</v>
      </c>
      <c r="AHZ11" s="30">
        <f t="shared" ca="1" si="59"/>
        <v>3.8069997749644646E-2</v>
      </c>
      <c r="AIA11" s="30">
        <f t="shared" ca="1" si="59"/>
        <v>3.2380158545523598E-2</v>
      </c>
      <c r="AIB11" s="30">
        <f t="shared" ca="1" si="59"/>
        <v>1.9560405966777408E-2</v>
      </c>
      <c r="AIC11" s="30">
        <f t="shared" ca="1" si="59"/>
        <v>8.4122337573768573E-3</v>
      </c>
      <c r="AID11" s="30">
        <f t="shared" ca="1" si="59"/>
        <v>-2.0131874415234709E-2</v>
      </c>
      <c r="AIE11" s="30">
        <f t="shared" ca="1" si="59"/>
        <v>-2.7960361688929673E-2</v>
      </c>
      <c r="AIF11" s="30">
        <f t="shared" ca="1" si="59"/>
        <v>-6.9144123638190322E-2</v>
      </c>
      <c r="AIG11" s="30">
        <f t="shared" ca="1" si="59"/>
        <v>-7.7685822013570147E-2</v>
      </c>
      <c r="AIH11" s="30">
        <f t="shared" ca="1" si="59"/>
        <v>-1.0693464512513497E-2</v>
      </c>
      <c r="AII11" s="30">
        <f t="shared" ca="1" si="59"/>
        <v>2.3189819973457582E-2</v>
      </c>
      <c r="AIJ11" s="30">
        <f t="shared" ca="1" si="59"/>
        <v>-3.510318406055192E-2</v>
      </c>
      <c r="AIK11" s="30">
        <f t="shared" ca="1" si="59"/>
        <v>3.2742932343798277E-2</v>
      </c>
      <c r="AIL11" s="30">
        <f t="shared" ca="1" si="59"/>
        <v>1.915557036870328E-2</v>
      </c>
      <c r="AIM11" s="30">
        <f t="shared" ca="1" si="59"/>
        <v>-3.698244685154236E-2</v>
      </c>
      <c r="AIN11" s="30">
        <f t="shared" ca="1" si="59"/>
        <v>-5.1614188909540698E-2</v>
      </c>
      <c r="AIO11" s="30">
        <f t="shared" ca="1" si="59"/>
        <v>2.3952788770057326E-2</v>
      </c>
      <c r="AIP11" s="30">
        <f t="shared" ca="1" si="59"/>
        <v>-3.6256263918473474E-4</v>
      </c>
      <c r="AIQ11" s="30">
        <f t="shared" ca="1" si="59"/>
        <v>-4.2709433291655552E-2</v>
      </c>
      <c r="AIR11" s="30">
        <f t="shared" ca="1" si="59"/>
        <v>-3.3537844870478131E-2</v>
      </c>
      <c r="AIS11" s="30">
        <f t="shared" ca="1" si="59"/>
        <v>-1.0984627725206684E-3</v>
      </c>
      <c r="AIT11" s="30">
        <f t="shared" ca="1" si="59"/>
        <v>5.4708877195700868E-2</v>
      </c>
      <c r="AIU11" s="30">
        <f t="shared" ca="1" si="59"/>
        <v>6.7102787345833248E-2</v>
      </c>
      <c r="AIV11" s="30">
        <f t="shared" ca="1" si="59"/>
        <v>4.5517701747269997E-2</v>
      </c>
      <c r="AIW11" s="30">
        <f t="shared" ca="1" si="59"/>
        <v>-1.7752695194751641E-2</v>
      </c>
      <c r="AIX11" s="30">
        <f t="shared" ca="1" si="59"/>
        <v>-4.6148457380818493E-3</v>
      </c>
      <c r="AIY11" s="30">
        <f t="shared" ca="1" si="59"/>
        <v>-3.0228865553146592E-2</v>
      </c>
      <c r="AIZ11" s="30">
        <f t="shared" ca="1" si="59"/>
        <v>3.3349156173751983E-2</v>
      </c>
      <c r="AJA11" s="30">
        <f t="shared" ca="1" si="59"/>
        <v>2.7250672673740903E-2</v>
      </c>
      <c r="AJB11" s="30">
        <f t="shared" ca="1" si="59"/>
        <v>3.0450578617902034E-2</v>
      </c>
      <c r="AJC11" s="30">
        <f t="shared" ca="1" si="59"/>
        <v>9.6531324371177275E-3</v>
      </c>
      <c r="AJD11" s="30">
        <f t="shared" ca="1" si="59"/>
        <v>-4.5936174580178409E-2</v>
      </c>
      <c r="AJE11" s="30">
        <f t="shared" ca="1" si="59"/>
        <v>0.1014328028705397</v>
      </c>
      <c r="AJF11" s="30">
        <f t="shared" ca="1" si="59"/>
        <v>4.3136338116596248E-3</v>
      </c>
      <c r="AJG11" s="30">
        <f t="shared" ca="1" si="59"/>
        <v>-0.1077672811511948</v>
      </c>
      <c r="AJH11" s="30">
        <f t="shared" ca="1" si="59"/>
        <v>0.10330972623463841</v>
      </c>
      <c r="AJI11" s="30">
        <f t="shared" ca="1" si="59"/>
        <v>-4.5251252363004382E-2</v>
      </c>
      <c r="AJJ11" s="30">
        <f t="shared" ca="1" si="59"/>
        <v>1.5655756973921173E-2</v>
      </c>
      <c r="AJK11" s="30">
        <f t="shared" ca="1" si="59"/>
        <v>-9.0415063389362189E-3</v>
      </c>
      <c r="AJL11" s="30">
        <f t="shared" ca="1" si="59"/>
        <v>-4.2459655155838473E-2</v>
      </c>
      <c r="AJM11" s="30">
        <f t="shared" ca="1" si="59"/>
        <v>-4.7852891600398691E-2</v>
      </c>
      <c r="AJN11" s="30">
        <f t="shared" ca="1" si="59"/>
        <v>-2.270435069809814E-2</v>
      </c>
      <c r="AJO11" s="30">
        <f t="shared" ca="1" si="59"/>
        <v>-6.3632313231994329E-3</v>
      </c>
      <c r="AJP11" s="30">
        <f t="shared" ca="1" si="59"/>
        <v>1.3379307525993577E-2</v>
      </c>
      <c r="AJQ11" s="30">
        <f t="shared" ca="1" si="59"/>
        <v>2.365233602132558E-2</v>
      </c>
      <c r="AJR11" s="30">
        <f t="shared" ca="1" si="59"/>
        <v>7.5314685145600607E-2</v>
      </c>
      <c r="AJS11" s="30">
        <f t="shared" ca="1" si="59"/>
        <v>-1.143436716795861E-2</v>
      </c>
      <c r="AJT11" s="30">
        <f t="shared" ca="1" si="59"/>
        <v>-6.7499928586837177E-3</v>
      </c>
      <c r="AJU11" s="30">
        <f t="shared" ca="1" si="59"/>
        <v>6.8572582693280079E-2</v>
      </c>
      <c r="AJV11" s="30">
        <f t="shared" ca="1" si="59"/>
        <v>-4.3814450802665945E-2</v>
      </c>
      <c r="AJW11" s="30">
        <f t="shared" ca="1" si="59"/>
        <v>-8.8906495521016246E-2</v>
      </c>
      <c r="AJX11" s="30">
        <f t="shared" ca="1" si="59"/>
        <v>2.4585524898818364E-2</v>
      </c>
      <c r="AJY11" s="30">
        <f t="shared" ca="1" si="59"/>
        <v>-1.6507450255982537E-2</v>
      </c>
      <c r="AJZ11" s="30">
        <f t="shared" ca="1" si="59"/>
        <v>2.4284879574259862E-3</v>
      </c>
      <c r="AKA11" s="30">
        <f t="shared" ca="1" si="59"/>
        <v>1.7534259189925159E-2</v>
      </c>
      <c r="AKB11" s="30">
        <f t="shared" ca="1" si="59"/>
        <v>3.7346310962125462E-3</v>
      </c>
      <c r="AKC11" s="30">
        <f t="shared" ca="1" si="59"/>
        <v>-1.6324101141141235E-2</v>
      </c>
      <c r="AKD11" s="30">
        <f t="shared" ca="1" si="59"/>
        <v>-3.6402562308089401E-2</v>
      </c>
      <c r="AKE11" s="30">
        <f t="shared" ca="1" si="59"/>
        <v>-3.9843309543191138E-2</v>
      </c>
      <c r="AKF11" s="30">
        <f t="shared" ca="1" si="59"/>
        <v>-4.8612181469381302E-2</v>
      </c>
      <c r="AKG11" s="30">
        <f t="shared" ca="1" si="59"/>
        <v>1.5671864724960568E-2</v>
      </c>
      <c r="AKH11" s="30">
        <f t="shared" ref="AKH11:ALR15" ca="1" si="60">_xlfn.NORM.INV(RAND(),$C$8,$C$9)</f>
        <v>-1.4941064683650026E-2</v>
      </c>
      <c r="AKI11" s="30">
        <f t="shared" ca="1" si="60"/>
        <v>3.4833505842053823E-2</v>
      </c>
      <c r="AKJ11" s="30">
        <f t="shared" ca="1" si="60"/>
        <v>-1.6235870330070584E-3</v>
      </c>
      <c r="AKK11" s="30">
        <f t="shared" ca="1" si="60"/>
        <v>4.1288155881151922E-2</v>
      </c>
      <c r="AKL11" s="30">
        <f t="shared" ca="1" si="60"/>
        <v>1.586249380776002E-2</v>
      </c>
      <c r="AKM11" s="30">
        <f t="shared" ca="1" si="60"/>
        <v>3.8742402157051201E-2</v>
      </c>
      <c r="AKN11" s="30">
        <f t="shared" ca="1" si="60"/>
        <v>4.4325399583991926E-2</v>
      </c>
      <c r="AKO11" s="30">
        <f t="shared" ca="1" si="60"/>
        <v>-2.0652623496521187E-2</v>
      </c>
      <c r="AKP11" s="30">
        <f t="shared" ca="1" si="60"/>
        <v>-8.2783751904730099E-2</v>
      </c>
      <c r="AKQ11" s="30">
        <f t="shared" ca="1" si="60"/>
        <v>2.8723837487029613E-2</v>
      </c>
      <c r="AKR11" s="30">
        <f t="shared" ca="1" si="60"/>
        <v>1.6918569545803668E-3</v>
      </c>
      <c r="AKS11" s="30">
        <f t="shared" ca="1" si="60"/>
        <v>-2.5183023443236533E-2</v>
      </c>
      <c r="AKT11" s="30">
        <f t="shared" ca="1" si="60"/>
        <v>-1.5366292009618813E-2</v>
      </c>
      <c r="AKU11" s="30">
        <f t="shared" ca="1" si="60"/>
        <v>-3.222075248380403E-2</v>
      </c>
      <c r="AKV11" s="30">
        <f t="shared" ca="1" si="60"/>
        <v>3.761993999172983E-4</v>
      </c>
      <c r="AKW11" s="30">
        <f t="shared" ca="1" si="60"/>
        <v>-1.696839824943382E-2</v>
      </c>
      <c r="AKX11" s="30">
        <f t="shared" ca="1" si="60"/>
        <v>-1.2450192109290865E-2</v>
      </c>
      <c r="AKY11" s="30">
        <f t="shared" ca="1" si="60"/>
        <v>5.0427931016925963E-2</v>
      </c>
      <c r="AKZ11" s="30">
        <f t="shared" ca="1" si="60"/>
        <v>4.1472311534189503E-2</v>
      </c>
      <c r="ALA11" s="30">
        <f t="shared" ca="1" si="60"/>
        <v>1.6821366417021704E-3</v>
      </c>
      <c r="ALB11" s="30">
        <f t="shared" ca="1" si="60"/>
        <v>-7.2458300922204927E-2</v>
      </c>
      <c r="ALC11" s="30">
        <f t="shared" ca="1" si="60"/>
        <v>-4.7056446360321587E-2</v>
      </c>
      <c r="ALD11" s="30">
        <f t="shared" ca="1" si="60"/>
        <v>-2.5292226080591965E-2</v>
      </c>
      <c r="ALE11" s="30">
        <f t="shared" ca="1" si="60"/>
        <v>-2.7650456339719853E-2</v>
      </c>
      <c r="ALF11" s="30">
        <f t="shared" ca="1" si="60"/>
        <v>4.6676020661142625E-2</v>
      </c>
      <c r="ALG11" s="30">
        <f t="shared" ca="1" si="60"/>
        <v>-1.6060962538838847E-2</v>
      </c>
      <c r="ALH11" s="30">
        <f t="shared" ca="1" si="60"/>
        <v>5.1574585958620842E-2</v>
      </c>
      <c r="ALI11" s="30">
        <f t="shared" ca="1" si="60"/>
        <v>-9.9691580808649333E-3</v>
      </c>
      <c r="ALJ11" s="30">
        <f t="shared" ca="1" si="60"/>
        <v>-8.0781521552278843E-2</v>
      </c>
      <c r="ALK11" s="30">
        <f t="shared" ca="1" si="60"/>
        <v>-2.6264486191937969E-2</v>
      </c>
      <c r="ALL11" s="30">
        <f t="shared" ca="1" si="60"/>
        <v>-5.4177494820892826E-2</v>
      </c>
      <c r="ALM11" s="30">
        <f t="shared" ca="1" si="60"/>
        <v>-0.12940961585305977</v>
      </c>
      <c r="ALN11" s="30">
        <f t="shared" ca="1" si="60"/>
        <v>2.5224253074990915E-2</v>
      </c>
      <c r="ALO11" s="30">
        <f t="shared" ca="1" si="60"/>
        <v>-3.2471362650350465E-2</v>
      </c>
      <c r="ALP11" s="30">
        <f t="shared" ca="1" si="60"/>
        <v>-7.7531624736544222E-2</v>
      </c>
      <c r="ALQ11" s="30">
        <f t="shared" ca="1" si="60"/>
        <v>-1.5131947608695465E-2</v>
      </c>
      <c r="ALR11" s="30">
        <f t="shared" ca="1" si="60"/>
        <v>-5.1782478918964883E-2</v>
      </c>
    </row>
    <row r="12" spans="2:1006" s="29" customFormat="1" x14ac:dyDescent="0.2">
      <c r="B12" s="60" t="s">
        <v>1548</v>
      </c>
      <c r="C12" s="60"/>
      <c r="D12" s="36">
        <v>4.3</v>
      </c>
      <c r="F12" s="32">
        <f t="shared" si="35"/>
        <v>9</v>
      </c>
      <c r="G12" s="30">
        <f t="shared" ca="1" si="33"/>
        <v>-4.9009813796417577E-3</v>
      </c>
      <c r="H12" s="30">
        <f t="shared" ca="1" si="51"/>
        <v>-1.0736347989840566E-2</v>
      </c>
      <c r="I12" s="30">
        <f t="shared" ca="1" si="51"/>
        <v>-1.466082497305014E-2</v>
      </c>
      <c r="J12" s="30">
        <f t="shared" ca="1" si="51"/>
        <v>-1.8243237503631847E-2</v>
      </c>
      <c r="K12" s="30">
        <f t="shared" ca="1" si="51"/>
        <v>-1.9442141160805521E-2</v>
      </c>
      <c r="L12" s="30">
        <f t="shared" ca="1" si="51"/>
        <v>2.6451492105346971E-2</v>
      </c>
      <c r="M12" s="30">
        <f t="shared" ca="1" si="51"/>
        <v>1.4783536127736273E-2</v>
      </c>
      <c r="N12" s="30">
        <f t="shared" ca="1" si="51"/>
        <v>-9.3200339483086297E-3</v>
      </c>
      <c r="O12" s="30">
        <f t="shared" ca="1" si="51"/>
        <v>2.1055913638272583E-2</v>
      </c>
      <c r="P12" s="30">
        <f t="shared" ca="1" si="51"/>
        <v>-7.1226389871416662E-2</v>
      </c>
      <c r="Q12" s="30">
        <f t="shared" ca="1" si="51"/>
        <v>-2.9323239869507748E-2</v>
      </c>
      <c r="R12" s="30">
        <f t="shared" ca="1" si="51"/>
        <v>1.0974678748806093E-3</v>
      </c>
      <c r="S12" s="30">
        <f t="shared" ca="1" si="51"/>
        <v>2.7616051292390552E-2</v>
      </c>
      <c r="T12" s="30">
        <f t="shared" ca="1" si="51"/>
        <v>-6.0250593807771842E-3</v>
      </c>
      <c r="U12" s="30">
        <f t="shared" ca="1" si="51"/>
        <v>-1.8577929555999635E-2</v>
      </c>
      <c r="V12" s="30">
        <f t="shared" ca="1" si="51"/>
        <v>-2.5987048091213927E-2</v>
      </c>
      <c r="W12" s="30">
        <f t="shared" ca="1" si="51"/>
        <v>-1.8676157373991722E-2</v>
      </c>
      <c r="X12" s="30">
        <f t="shared" ca="1" si="51"/>
        <v>-1.9523822126038308E-2</v>
      </c>
      <c r="Y12" s="30">
        <f t="shared" ca="1" si="51"/>
        <v>-2.8217534779320364E-2</v>
      </c>
      <c r="Z12" s="30">
        <f t="shared" ca="1" si="51"/>
        <v>-5.9023691363590022E-2</v>
      </c>
      <c r="AA12" s="30">
        <f t="shared" ca="1" si="51"/>
        <v>-5.6073280788134219E-3</v>
      </c>
      <c r="AB12" s="30">
        <f t="shared" ca="1" si="51"/>
        <v>-2.0360489007200853E-2</v>
      </c>
      <c r="AC12" s="30">
        <f t="shared" ca="1" si="51"/>
        <v>6.8544527297676849E-2</v>
      </c>
      <c r="AD12" s="30">
        <f t="shared" ca="1" si="51"/>
        <v>6.4696618977491231E-3</v>
      </c>
      <c r="AE12" s="30">
        <f t="shared" ca="1" si="51"/>
        <v>-4.806226923722446E-2</v>
      </c>
      <c r="AF12" s="30">
        <f t="shared" ca="1" si="51"/>
        <v>-2.8948450022715674E-2</v>
      </c>
      <c r="AG12" s="30">
        <f t="shared" ca="1" si="51"/>
        <v>4.4255032010862255E-2</v>
      </c>
      <c r="AH12" s="30">
        <f t="shared" ca="1" si="51"/>
        <v>2.2071804933591127E-3</v>
      </c>
      <c r="AI12" s="30">
        <f t="shared" ca="1" si="51"/>
        <v>-1.0720788647381392E-2</v>
      </c>
      <c r="AJ12" s="30">
        <f t="shared" ca="1" si="51"/>
        <v>8.4512045915441422E-3</v>
      </c>
      <c r="AK12" s="30">
        <f t="shared" ca="1" si="51"/>
        <v>-4.0116471985318841E-2</v>
      </c>
      <c r="AL12" s="30">
        <f t="shared" ca="1" si="51"/>
        <v>-0.10210397628589282</v>
      </c>
      <c r="AM12" s="30">
        <f t="shared" ca="1" si="51"/>
        <v>6.2235602892524791E-2</v>
      </c>
      <c r="AN12" s="30">
        <f t="shared" ca="1" si="51"/>
        <v>5.757353663509527E-2</v>
      </c>
      <c r="AO12" s="30">
        <f t="shared" ca="1" si="51"/>
        <v>1.356475571092867E-2</v>
      </c>
      <c r="AP12" s="30">
        <f t="shared" ca="1" si="51"/>
        <v>2.6305937130392663E-2</v>
      </c>
      <c r="AQ12" s="30">
        <f t="shared" ca="1" si="51"/>
        <v>-4.2158446977500026E-3</v>
      </c>
      <c r="AR12" s="30">
        <f t="shared" ca="1" si="51"/>
        <v>-6.5598173527222067E-2</v>
      </c>
      <c r="AS12" s="30">
        <f t="shared" ca="1" si="51"/>
        <v>-1.8641104043179011E-2</v>
      </c>
      <c r="AT12" s="30">
        <f t="shared" ca="1" si="51"/>
        <v>-2.1443065678680887E-2</v>
      </c>
      <c r="AU12" s="30">
        <f t="shared" ca="1" si="51"/>
        <v>-2.950647008568762E-2</v>
      </c>
      <c r="AV12" s="30">
        <f t="shared" ca="1" si="51"/>
        <v>-4.8735648051232414E-2</v>
      </c>
      <c r="AW12" s="30">
        <f t="shared" ca="1" si="51"/>
        <v>-4.3132416469981597E-3</v>
      </c>
      <c r="AX12" s="30">
        <f t="shared" ca="1" si="51"/>
        <v>8.715326701823832E-2</v>
      </c>
      <c r="AY12" s="30">
        <f t="shared" ca="1" si="51"/>
        <v>-6.9608166629073126E-2</v>
      </c>
      <c r="AZ12" s="30">
        <f t="shared" ca="1" si="51"/>
        <v>-5.5527704126766685E-2</v>
      </c>
      <c r="BA12" s="30">
        <f t="shared" ca="1" si="51"/>
        <v>2.1391647861265298E-2</v>
      </c>
      <c r="BB12" s="30">
        <f t="shared" ca="1" si="51"/>
        <v>6.6725869160746921E-3</v>
      </c>
      <c r="BC12" s="30">
        <f t="shared" ca="1" si="51"/>
        <v>-2.958995603088722E-3</v>
      </c>
      <c r="BD12" s="30">
        <f t="shared" ca="1" si="51"/>
        <v>6.8928581738563754E-3</v>
      </c>
      <c r="BE12" s="30">
        <f t="shared" ca="1" si="51"/>
        <v>6.2625509130611297E-3</v>
      </c>
      <c r="BF12" s="30">
        <f t="shared" ca="1" si="51"/>
        <v>2.6277220472819884E-2</v>
      </c>
      <c r="BG12" s="30">
        <f t="shared" ca="1" si="51"/>
        <v>-2.7739320708808048E-2</v>
      </c>
      <c r="BH12" s="30">
        <f t="shared" ca="1" si="51"/>
        <v>-9.4553687438043016E-2</v>
      </c>
      <c r="BI12" s="30">
        <f t="shared" ca="1" si="51"/>
        <v>-3.1213289482110156E-2</v>
      </c>
      <c r="BJ12" s="30">
        <f t="shared" ca="1" si="51"/>
        <v>-7.6400950327488851E-2</v>
      </c>
      <c r="BK12" s="30">
        <f t="shared" ca="1" si="51"/>
        <v>1.0812540111063121E-2</v>
      </c>
      <c r="BL12" s="30">
        <f t="shared" ca="1" si="51"/>
        <v>-3.2417400637817749E-3</v>
      </c>
      <c r="BM12" s="30">
        <f t="shared" ca="1" si="51"/>
        <v>6.4584323488173744E-3</v>
      </c>
      <c r="BN12" s="30">
        <f t="shared" ca="1" si="51"/>
        <v>6.3732757599591558E-2</v>
      </c>
      <c r="BO12" s="30">
        <f t="shared" ca="1" si="51"/>
        <v>4.7209717489105456E-2</v>
      </c>
      <c r="BP12" s="30">
        <f t="shared" ca="1" si="51"/>
        <v>9.4168024273481189E-3</v>
      </c>
      <c r="BQ12" s="30">
        <f t="shared" ca="1" si="51"/>
        <v>-4.1467011041791492E-2</v>
      </c>
      <c r="BR12" s="30">
        <f t="shared" ca="1" si="51"/>
        <v>4.3904244336496867E-2</v>
      </c>
      <c r="BS12" s="30">
        <f t="shared" ca="1" si="51"/>
        <v>-6.1868857014439668E-3</v>
      </c>
      <c r="BT12" s="30">
        <f t="shared" ca="1" si="50"/>
        <v>1.7027207069388997E-2</v>
      </c>
      <c r="BU12" s="30">
        <f t="shared" ca="1" si="50"/>
        <v>1.549523726123269E-2</v>
      </c>
      <c r="BV12" s="30">
        <f t="shared" ca="1" si="50"/>
        <v>4.1413284006188945E-3</v>
      </c>
      <c r="BW12" s="30">
        <f t="shared" ca="1" si="50"/>
        <v>2.3317884297094804E-2</v>
      </c>
      <c r="BX12" s="30">
        <f t="shared" ca="1" si="50"/>
        <v>-4.0946532849908826E-3</v>
      </c>
      <c r="BY12" s="30">
        <f t="shared" ca="1" si="50"/>
        <v>-1.0859445969878194E-2</v>
      </c>
      <c r="BZ12" s="30">
        <f t="shared" ca="1" si="50"/>
        <v>-5.4904933842846199E-2</v>
      </c>
      <c r="CA12" s="30">
        <f t="shared" ca="1" si="50"/>
        <v>-4.8354951797247719E-2</v>
      </c>
      <c r="CB12" s="30">
        <f t="shared" ca="1" si="50"/>
        <v>3.7089660620342475E-2</v>
      </c>
      <c r="CC12" s="30">
        <f t="shared" ca="1" si="50"/>
        <v>6.3881617500798085E-2</v>
      </c>
      <c r="CD12" s="30">
        <f t="shared" ca="1" si="50"/>
        <v>4.6496253428894947E-3</v>
      </c>
      <c r="CE12" s="30">
        <f t="shared" ca="1" si="50"/>
        <v>1.2866285362985517E-2</v>
      </c>
      <c r="CF12" s="30">
        <f t="shared" ca="1" si="50"/>
        <v>3.4016042134829012E-2</v>
      </c>
      <c r="CG12" s="30">
        <f t="shared" ca="1" si="50"/>
        <v>5.7540561540434201E-2</v>
      </c>
      <c r="CH12" s="30">
        <f t="shared" ca="1" si="50"/>
        <v>-1.5032299275390033E-2</v>
      </c>
      <c r="CI12" s="30">
        <f t="shared" ca="1" si="50"/>
        <v>5.4241188758509962E-3</v>
      </c>
      <c r="CJ12" s="30">
        <f t="shared" ca="1" si="50"/>
        <v>-2.9288322161262936E-2</v>
      </c>
      <c r="CK12" s="30">
        <f t="shared" ca="1" si="50"/>
        <v>3.7717097511077158E-2</v>
      </c>
      <c r="CL12" s="30">
        <f t="shared" ca="1" si="50"/>
        <v>7.7711331005113479E-3</v>
      </c>
      <c r="CM12" s="30">
        <f t="shared" ca="1" si="50"/>
        <v>1.9271561860104803E-2</v>
      </c>
      <c r="CN12" s="30">
        <f t="shared" ca="1" si="50"/>
        <v>1.2175046842670064E-2</v>
      </c>
      <c r="CO12" s="30">
        <f t="shared" ca="1" si="50"/>
        <v>-1.1692140652069581E-2</v>
      </c>
      <c r="CP12" s="30">
        <f t="shared" ca="1" si="50"/>
        <v>3.3819899828082825E-2</v>
      </c>
      <c r="CQ12" s="30">
        <f t="shared" ca="1" si="50"/>
        <v>-2.3609199975031882E-2</v>
      </c>
      <c r="CR12" s="30">
        <f t="shared" ca="1" si="50"/>
        <v>2.5486511847233592E-2</v>
      </c>
      <c r="CS12" s="30">
        <f t="shared" ca="1" si="50"/>
        <v>1.4484778264933286E-2</v>
      </c>
      <c r="CT12" s="30">
        <f t="shared" ca="1" si="50"/>
        <v>1.5146708800013906E-2</v>
      </c>
      <c r="CU12" s="30">
        <f t="shared" ca="1" si="50"/>
        <v>-4.4275694069661628E-2</v>
      </c>
      <c r="CV12" s="30">
        <f t="shared" ca="1" si="50"/>
        <v>2.8703657097188591E-2</v>
      </c>
      <c r="CW12" s="30">
        <f t="shared" ca="1" si="50"/>
        <v>-2.944058775992317E-2</v>
      </c>
      <c r="CX12" s="30">
        <f t="shared" ca="1" si="50"/>
        <v>-7.4381114085529859E-2</v>
      </c>
      <c r="CY12" s="30">
        <f t="shared" ca="1" si="50"/>
        <v>5.0908300407744612E-2</v>
      </c>
      <c r="CZ12" s="30">
        <f t="shared" ca="1" si="50"/>
        <v>2.4819895841282389E-2</v>
      </c>
      <c r="DA12" s="30">
        <f t="shared" ca="1" si="50"/>
        <v>5.9550518930704559E-2</v>
      </c>
      <c r="DB12" s="30">
        <f t="shared" ca="1" si="50"/>
        <v>6.1417067437187171E-3</v>
      </c>
      <c r="DC12" s="30">
        <f t="shared" ca="1" si="50"/>
        <v>-6.5650645377680492E-2</v>
      </c>
      <c r="DD12" s="30">
        <f t="shared" ca="1" si="50"/>
        <v>-1.581442724564697E-2</v>
      </c>
      <c r="DE12" s="30">
        <f t="shared" ca="1" si="50"/>
        <v>-0.10405364088208964</v>
      </c>
      <c r="DF12" s="30">
        <f t="shared" ca="1" si="50"/>
        <v>3.5092286857953875E-2</v>
      </c>
      <c r="DG12" s="30">
        <f t="shared" ca="1" si="50"/>
        <v>-4.7943463042136938E-2</v>
      </c>
      <c r="DH12" s="30">
        <f t="shared" ca="1" si="50"/>
        <v>-6.7219187285968984E-2</v>
      </c>
      <c r="DI12" s="30">
        <f t="shared" ca="1" si="50"/>
        <v>-2.5792065169637845E-2</v>
      </c>
      <c r="DJ12" s="30">
        <f t="shared" ca="1" si="50"/>
        <v>-2.4939716449775728E-2</v>
      </c>
      <c r="DK12" s="30">
        <f t="shared" ca="1" si="50"/>
        <v>6.7139240209523776E-2</v>
      </c>
      <c r="DL12" s="30">
        <f t="shared" ca="1" si="50"/>
        <v>4.8016403170901327E-2</v>
      </c>
      <c r="DM12" s="30">
        <f t="shared" ca="1" si="50"/>
        <v>1.2991923320726654E-2</v>
      </c>
      <c r="DN12" s="30">
        <f t="shared" ca="1" si="50"/>
        <v>-2.7456143504469246E-2</v>
      </c>
      <c r="DO12" s="30">
        <f t="shared" ca="1" si="50"/>
        <v>-1.8637775699255368E-2</v>
      </c>
      <c r="DP12" s="30">
        <f t="shared" ca="1" si="50"/>
        <v>-2.478572623326894E-2</v>
      </c>
      <c r="DQ12" s="30">
        <f t="shared" ca="1" si="50"/>
        <v>2.4523298317839309E-2</v>
      </c>
      <c r="DR12" s="30">
        <f t="shared" ca="1" si="50"/>
        <v>5.8130018374932112E-2</v>
      </c>
      <c r="DS12" s="30">
        <f t="shared" ca="1" si="50"/>
        <v>-2.4844339011163709E-2</v>
      </c>
      <c r="DT12" s="30">
        <f t="shared" ca="1" si="50"/>
        <v>2.1453791413973966E-2</v>
      </c>
      <c r="DU12" s="30">
        <f t="shared" ca="1" si="50"/>
        <v>1.989190774626776E-3</v>
      </c>
      <c r="DV12" s="30">
        <f t="shared" ca="1" si="50"/>
        <v>-8.1243027574478655E-2</v>
      </c>
      <c r="DW12" s="30">
        <f t="shared" ca="1" si="50"/>
        <v>-6.2514692505098279E-2</v>
      </c>
      <c r="DX12" s="30">
        <f t="shared" ca="1" si="50"/>
        <v>1.6956597205143333E-2</v>
      </c>
      <c r="DY12" s="30">
        <f t="shared" ca="1" si="50"/>
        <v>9.8328349770550605E-2</v>
      </c>
      <c r="DZ12" s="30">
        <f t="shared" ca="1" si="50"/>
        <v>2.2300615252126132E-2</v>
      </c>
      <c r="EA12" s="30">
        <f t="shared" ca="1" si="50"/>
        <v>-9.9820863195764983E-3</v>
      </c>
      <c r="EB12" s="30">
        <f t="shared" ca="1" si="50"/>
        <v>-3.5798795758042373E-2</v>
      </c>
      <c r="EC12" s="30">
        <f t="shared" ca="1" si="50"/>
        <v>2.8381129278175259E-2</v>
      </c>
      <c r="ED12" s="30">
        <f t="shared" ca="1" si="50"/>
        <v>2.41311636263793E-2</v>
      </c>
      <c r="EE12" s="30">
        <f t="shared" ca="1" si="43"/>
        <v>-6.7000170752152352E-2</v>
      </c>
      <c r="EF12" s="30">
        <f t="shared" ref="EF12:GQ15" ca="1" si="61">_xlfn.NORM.INV(RAND(),$C$8,$C$9)</f>
        <v>-2.8784650550166508E-2</v>
      </c>
      <c r="EG12" s="30">
        <f t="shared" ca="1" si="61"/>
        <v>5.2698354223241518E-2</v>
      </c>
      <c r="EH12" s="30">
        <f t="shared" ca="1" si="61"/>
        <v>-5.0478896781463112E-2</v>
      </c>
      <c r="EI12" s="30">
        <f t="shared" ca="1" si="61"/>
        <v>3.4698103614830028E-2</v>
      </c>
      <c r="EJ12" s="30">
        <f t="shared" ca="1" si="61"/>
        <v>-3.1196575295473629E-2</v>
      </c>
      <c r="EK12" s="30">
        <f t="shared" ca="1" si="61"/>
        <v>1.5550848385060176E-2</v>
      </c>
      <c r="EL12" s="30">
        <f t="shared" ca="1" si="61"/>
        <v>-8.2456912717748937E-3</v>
      </c>
      <c r="EM12" s="30">
        <f t="shared" ca="1" si="61"/>
        <v>2.8322601358277341E-2</v>
      </c>
      <c r="EN12" s="30">
        <f t="shared" ca="1" si="61"/>
        <v>9.0861597801115065E-3</v>
      </c>
      <c r="EO12" s="30">
        <f t="shared" ca="1" si="61"/>
        <v>-7.5421204489500043E-2</v>
      </c>
      <c r="EP12" s="30">
        <f t="shared" ca="1" si="61"/>
        <v>2.1316559417250868E-2</v>
      </c>
      <c r="EQ12" s="30">
        <f t="shared" ca="1" si="61"/>
        <v>5.6272077495355219E-2</v>
      </c>
      <c r="ER12" s="30">
        <f t="shared" ca="1" si="61"/>
        <v>-6.6999635089434892E-2</v>
      </c>
      <c r="ES12" s="30">
        <f t="shared" ca="1" si="61"/>
        <v>1.2093941903837743E-2</v>
      </c>
      <c r="ET12" s="30">
        <f t="shared" ca="1" si="61"/>
        <v>-1.3085393873747178E-2</v>
      </c>
      <c r="EU12" s="30">
        <f t="shared" ca="1" si="61"/>
        <v>1.3229999745576305E-2</v>
      </c>
      <c r="EV12" s="30">
        <f t="shared" ca="1" si="61"/>
        <v>-2.8816657702795463E-2</v>
      </c>
      <c r="EW12" s="30">
        <f t="shared" ca="1" si="61"/>
        <v>-1.8697310055595378E-3</v>
      </c>
      <c r="EX12" s="30">
        <f t="shared" ca="1" si="61"/>
        <v>3.5454967685591983E-2</v>
      </c>
      <c r="EY12" s="30">
        <f t="shared" ca="1" si="61"/>
        <v>-5.2467623915839291E-2</v>
      </c>
      <c r="EZ12" s="30">
        <f t="shared" ca="1" si="61"/>
        <v>-4.0243185665201055E-2</v>
      </c>
      <c r="FA12" s="30">
        <f t="shared" ca="1" si="61"/>
        <v>-1.9124948720953869E-2</v>
      </c>
      <c r="FB12" s="30">
        <f t="shared" ca="1" si="61"/>
        <v>2.485916532207838E-2</v>
      </c>
      <c r="FC12" s="30">
        <f t="shared" ca="1" si="61"/>
        <v>1.2730972071077158E-2</v>
      </c>
      <c r="FD12" s="30">
        <f t="shared" ca="1" si="61"/>
        <v>2.8684052241844515E-2</v>
      </c>
      <c r="FE12" s="30">
        <f t="shared" ca="1" si="61"/>
        <v>-2.5670448001281269E-2</v>
      </c>
      <c r="FF12" s="30">
        <f t="shared" ca="1" si="61"/>
        <v>5.8646973364418625E-2</v>
      </c>
      <c r="FG12" s="30">
        <f t="shared" ca="1" si="61"/>
        <v>2.3634455210011271E-2</v>
      </c>
      <c r="FH12" s="30">
        <f t="shared" ca="1" si="61"/>
        <v>-3.9401301733154669E-2</v>
      </c>
      <c r="FI12" s="30">
        <f t="shared" ca="1" si="61"/>
        <v>-1.9974499785177839E-2</v>
      </c>
      <c r="FJ12" s="30">
        <f t="shared" ca="1" si="61"/>
        <v>8.7929218871621473E-2</v>
      </c>
      <c r="FK12" s="30">
        <f t="shared" ca="1" si="61"/>
        <v>2.0532926321013549E-2</v>
      </c>
      <c r="FL12" s="30">
        <f t="shared" ca="1" si="61"/>
        <v>-0.10411930031945878</v>
      </c>
      <c r="FM12" s="30">
        <f t="shared" ca="1" si="61"/>
        <v>4.8664520584409697E-2</v>
      </c>
      <c r="FN12" s="30">
        <f t="shared" ca="1" si="61"/>
        <v>5.9053435032202034E-2</v>
      </c>
      <c r="FO12" s="30">
        <f t="shared" ca="1" si="61"/>
        <v>2.2640329663322804E-2</v>
      </c>
      <c r="FP12" s="30">
        <f t="shared" ca="1" si="61"/>
        <v>5.8166276869010172E-2</v>
      </c>
      <c r="FQ12" s="30">
        <f t="shared" ca="1" si="61"/>
        <v>2.4528355975832104E-2</v>
      </c>
      <c r="FR12" s="30">
        <f t="shared" ca="1" si="61"/>
        <v>2.0593212066015332E-2</v>
      </c>
      <c r="FS12" s="30">
        <f t="shared" ca="1" si="61"/>
        <v>6.6427586286544257E-2</v>
      </c>
      <c r="FT12" s="30">
        <f t="shared" ca="1" si="61"/>
        <v>7.0914488013880145E-2</v>
      </c>
      <c r="FU12" s="30">
        <f t="shared" ca="1" si="61"/>
        <v>5.6515126829858049E-2</v>
      </c>
      <c r="FV12" s="30">
        <f t="shared" ca="1" si="61"/>
        <v>4.1906993452460579E-2</v>
      </c>
      <c r="FW12" s="30">
        <f t="shared" ca="1" si="61"/>
        <v>-9.3145029574693478E-2</v>
      </c>
      <c r="FX12" s="30">
        <f t="shared" ca="1" si="61"/>
        <v>-3.090484168313707E-2</v>
      </c>
      <c r="FY12" s="30">
        <f t="shared" ca="1" si="61"/>
        <v>3.7665575875497521E-2</v>
      </c>
      <c r="FZ12" s="30">
        <f t="shared" ca="1" si="61"/>
        <v>-1.3323134913846745E-2</v>
      </c>
      <c r="GA12" s="30">
        <f t="shared" ca="1" si="61"/>
        <v>-2.6773834168681145E-2</v>
      </c>
      <c r="GB12" s="30">
        <f t="shared" ca="1" si="61"/>
        <v>6.0675495883486051E-2</v>
      </c>
      <c r="GC12" s="30">
        <f t="shared" ca="1" si="61"/>
        <v>2.262057034360725E-2</v>
      </c>
      <c r="GD12" s="30">
        <f t="shared" ca="1" si="61"/>
        <v>-4.1879166064156009E-2</v>
      </c>
      <c r="GE12" s="30">
        <f t="shared" ca="1" si="61"/>
        <v>-3.0824925298403388E-2</v>
      </c>
      <c r="GF12" s="30">
        <f t="shared" ca="1" si="61"/>
        <v>-5.4624549349226777E-3</v>
      </c>
      <c r="GG12" s="30">
        <f t="shared" ca="1" si="61"/>
        <v>-1.768477256718546E-2</v>
      </c>
      <c r="GH12" s="30">
        <f t="shared" ca="1" si="61"/>
        <v>2.1965703576245717E-2</v>
      </c>
      <c r="GI12" s="30">
        <f t="shared" ca="1" si="61"/>
        <v>2.4939667696045789E-2</v>
      </c>
      <c r="GJ12" s="30">
        <f t="shared" ca="1" si="61"/>
        <v>2.3774367964799793E-2</v>
      </c>
      <c r="GK12" s="30">
        <f t="shared" ca="1" si="61"/>
        <v>-2.5456539298631276E-2</v>
      </c>
      <c r="GL12" s="30">
        <f t="shared" ca="1" si="61"/>
        <v>-6.2768410365271365E-2</v>
      </c>
      <c r="GM12" s="30">
        <f t="shared" ca="1" si="61"/>
        <v>4.9495071295989866E-2</v>
      </c>
      <c r="GN12" s="30">
        <f t="shared" ca="1" si="61"/>
        <v>2.3003764990521198E-3</v>
      </c>
      <c r="GO12" s="30">
        <f t="shared" ca="1" si="61"/>
        <v>2.6848958545988601E-3</v>
      </c>
      <c r="GP12" s="30">
        <f t="shared" ca="1" si="61"/>
        <v>-1.9664332308647437E-2</v>
      </c>
      <c r="GQ12" s="30">
        <f t="shared" ca="1" si="61"/>
        <v>-4.3633593922838713E-2</v>
      </c>
      <c r="GR12" s="30">
        <f t="shared" ca="1" si="53"/>
        <v>9.8931524079042179E-3</v>
      </c>
      <c r="GS12" s="30">
        <f t="shared" ca="1" si="53"/>
        <v>-1.0238031971838476E-2</v>
      </c>
      <c r="GT12" s="30">
        <f t="shared" ca="1" si="44"/>
        <v>6.3519814961629825E-2</v>
      </c>
      <c r="GU12" s="30">
        <f t="shared" ref="GU12:JF15" ca="1" si="62">_xlfn.NORM.INV(RAND(),$C$8,$C$9)</f>
        <v>-1.6965083228397126E-2</v>
      </c>
      <c r="GV12" s="30">
        <f t="shared" ca="1" si="62"/>
        <v>7.6721568782665242E-2</v>
      </c>
      <c r="GW12" s="30">
        <f t="shared" ca="1" si="62"/>
        <v>-2.7363295123913139E-2</v>
      </c>
      <c r="GX12" s="30">
        <f t="shared" ca="1" si="62"/>
        <v>1.8747611810000673E-3</v>
      </c>
      <c r="GY12" s="30">
        <f t="shared" ca="1" si="62"/>
        <v>-5.8356903437504805E-2</v>
      </c>
      <c r="GZ12" s="30">
        <f t="shared" ca="1" si="62"/>
        <v>-7.5342313960548773E-2</v>
      </c>
      <c r="HA12" s="30">
        <f t="shared" ca="1" si="62"/>
        <v>1.841518116838322E-2</v>
      </c>
      <c r="HB12" s="30">
        <f t="shared" ca="1" si="62"/>
        <v>4.3320704978926441E-3</v>
      </c>
      <c r="HC12" s="30">
        <f t="shared" ca="1" si="62"/>
        <v>-5.2367400920634945E-2</v>
      </c>
      <c r="HD12" s="30">
        <f t="shared" ca="1" si="62"/>
        <v>-1.7126605173367098E-2</v>
      </c>
      <c r="HE12" s="30">
        <f t="shared" ca="1" si="62"/>
        <v>-8.6428897313078692E-3</v>
      </c>
      <c r="HF12" s="30">
        <f t="shared" ca="1" si="62"/>
        <v>-9.5466946343075496E-2</v>
      </c>
      <c r="HG12" s="30">
        <f t="shared" ca="1" si="62"/>
        <v>-9.357301216127668E-3</v>
      </c>
      <c r="HH12" s="30">
        <f t="shared" ca="1" si="62"/>
        <v>2.8355742842067166E-2</v>
      </c>
      <c r="HI12" s="30">
        <f t="shared" ca="1" si="62"/>
        <v>-1.2282079250588782E-2</v>
      </c>
      <c r="HJ12" s="30">
        <f t="shared" ca="1" si="62"/>
        <v>-2.813028910416886E-2</v>
      </c>
      <c r="HK12" s="30">
        <f t="shared" ca="1" si="62"/>
        <v>3.2151290587327082E-2</v>
      </c>
      <c r="HL12" s="30">
        <f t="shared" ca="1" si="62"/>
        <v>4.5079477146883831E-3</v>
      </c>
      <c r="HM12" s="30">
        <f t="shared" ca="1" si="62"/>
        <v>-4.4217365288110141E-2</v>
      </c>
      <c r="HN12" s="30">
        <f t="shared" ca="1" si="62"/>
        <v>3.9322431206004977E-3</v>
      </c>
      <c r="HO12" s="30">
        <f t="shared" ca="1" si="62"/>
        <v>-2.9931027303358546E-2</v>
      </c>
      <c r="HP12" s="30">
        <f t="shared" ca="1" si="62"/>
        <v>2.3332113504443835E-2</v>
      </c>
      <c r="HQ12" s="30">
        <f t="shared" ca="1" si="62"/>
        <v>3.60356497399505E-2</v>
      </c>
      <c r="HR12" s="30">
        <f t="shared" ca="1" si="62"/>
        <v>-4.0762423510739096E-2</v>
      </c>
      <c r="HS12" s="30">
        <f t="shared" ca="1" si="62"/>
        <v>-3.3596639268603117E-2</v>
      </c>
      <c r="HT12" s="30">
        <f t="shared" ca="1" si="62"/>
        <v>7.6091102202944395E-3</v>
      </c>
      <c r="HU12" s="30">
        <f t="shared" ca="1" si="62"/>
        <v>-4.8794582705315101E-2</v>
      </c>
      <c r="HV12" s="30">
        <f t="shared" ca="1" si="62"/>
        <v>-2.1082697745725059E-2</v>
      </c>
      <c r="HW12" s="30">
        <f t="shared" ca="1" si="62"/>
        <v>-1.7462893095859246E-3</v>
      </c>
      <c r="HX12" s="30">
        <f t="shared" ca="1" si="62"/>
        <v>1.5133823631542876E-2</v>
      </c>
      <c r="HY12" s="30">
        <f t="shared" ca="1" si="62"/>
        <v>-3.9702844717907334E-3</v>
      </c>
      <c r="HZ12" s="30">
        <f t="shared" ca="1" si="62"/>
        <v>-1.9637809895193044E-2</v>
      </c>
      <c r="IA12" s="30">
        <f t="shared" ca="1" si="62"/>
        <v>2.7541473240364312E-2</v>
      </c>
      <c r="IB12" s="30">
        <f t="shared" ca="1" si="62"/>
        <v>5.2146631379816802E-2</v>
      </c>
      <c r="IC12" s="30">
        <f t="shared" ca="1" si="62"/>
        <v>-8.4075677319499428E-3</v>
      </c>
      <c r="ID12" s="30">
        <f t="shared" ca="1" si="62"/>
        <v>2.1958271043047071E-2</v>
      </c>
      <c r="IE12" s="30">
        <f t="shared" ca="1" si="62"/>
        <v>-3.7752661395794626E-2</v>
      </c>
      <c r="IF12" s="30">
        <f t="shared" ca="1" si="62"/>
        <v>-3.0553182300404082E-2</v>
      </c>
      <c r="IG12" s="30">
        <f t="shared" ca="1" si="62"/>
        <v>1.5089964758438986E-2</v>
      </c>
      <c r="IH12" s="30">
        <f t="shared" ca="1" si="62"/>
        <v>7.9943886345353848E-2</v>
      </c>
      <c r="II12" s="30">
        <f t="shared" ca="1" si="62"/>
        <v>6.6044188572210713E-2</v>
      </c>
      <c r="IJ12" s="30">
        <f t="shared" ca="1" si="62"/>
        <v>-1.4888240055215708E-2</v>
      </c>
      <c r="IK12" s="30">
        <f t="shared" ca="1" si="62"/>
        <v>-1.625466146330801E-2</v>
      </c>
      <c r="IL12" s="30">
        <f t="shared" ca="1" si="62"/>
        <v>-7.8065809874990049E-3</v>
      </c>
      <c r="IM12" s="30">
        <f t="shared" ca="1" si="62"/>
        <v>9.3018999110555563E-3</v>
      </c>
      <c r="IN12" s="30">
        <f t="shared" ca="1" si="62"/>
        <v>-2.1638264875794927E-2</v>
      </c>
      <c r="IO12" s="30">
        <f t="shared" ca="1" si="62"/>
        <v>4.3046070320696531E-2</v>
      </c>
      <c r="IP12" s="30">
        <f t="shared" ca="1" si="62"/>
        <v>7.1859239925122359E-2</v>
      </c>
      <c r="IQ12" s="30">
        <f t="shared" ca="1" si="62"/>
        <v>-9.5162200053081122E-3</v>
      </c>
      <c r="IR12" s="30">
        <f t="shared" ca="1" si="62"/>
        <v>1.0106601922735209E-2</v>
      </c>
      <c r="IS12" s="30">
        <f t="shared" ca="1" si="62"/>
        <v>1.007106573404741E-2</v>
      </c>
      <c r="IT12" s="30">
        <f t="shared" ca="1" si="62"/>
        <v>4.9767748040809891E-2</v>
      </c>
      <c r="IU12" s="30">
        <f t="shared" ca="1" si="62"/>
        <v>1.1126639342240273E-2</v>
      </c>
      <c r="IV12" s="30">
        <f t="shared" ca="1" si="62"/>
        <v>-1.6164455772730721E-2</v>
      </c>
      <c r="IW12" s="30">
        <f t="shared" ca="1" si="62"/>
        <v>-6.4702492180509136E-2</v>
      </c>
      <c r="IX12" s="30">
        <f t="shared" ca="1" si="62"/>
        <v>6.5914126296951606E-2</v>
      </c>
      <c r="IY12" s="30">
        <f t="shared" ca="1" si="62"/>
        <v>4.0556344122233974E-2</v>
      </c>
      <c r="IZ12" s="30">
        <f t="shared" ca="1" si="62"/>
        <v>4.1257159916864697E-2</v>
      </c>
      <c r="JA12" s="30">
        <f t="shared" ca="1" si="62"/>
        <v>-2.3769593085979434E-2</v>
      </c>
      <c r="JB12" s="30">
        <f t="shared" ca="1" si="62"/>
        <v>-5.4165641367047816E-2</v>
      </c>
      <c r="JC12" s="30">
        <f t="shared" ca="1" si="62"/>
        <v>-2.1829625398591332E-2</v>
      </c>
      <c r="JD12" s="30">
        <f t="shared" ca="1" si="62"/>
        <v>4.1874985339733625E-3</v>
      </c>
      <c r="JE12" s="30">
        <f t="shared" ca="1" si="62"/>
        <v>-5.5812878334367662E-2</v>
      </c>
      <c r="JF12" s="30">
        <f t="shared" ca="1" si="62"/>
        <v>4.8060666082186659E-4</v>
      </c>
      <c r="JG12" s="30">
        <f t="shared" ca="1" si="54"/>
        <v>2.4862721645366868E-2</v>
      </c>
      <c r="JH12" s="30">
        <f t="shared" ca="1" si="54"/>
        <v>-8.0701726634448811E-3</v>
      </c>
      <c r="JI12" s="30">
        <f t="shared" ca="1" si="54"/>
        <v>-6.2124485624992704E-2</v>
      </c>
      <c r="JJ12" s="30">
        <f t="shared" ca="1" si="54"/>
        <v>3.6685467004196184E-2</v>
      </c>
      <c r="JK12" s="30">
        <f t="shared" ca="1" si="54"/>
        <v>4.0655362504372745E-2</v>
      </c>
      <c r="JL12" s="30">
        <f t="shared" ca="1" si="54"/>
        <v>2.1262718299319718E-2</v>
      </c>
      <c r="JM12" s="30">
        <f t="shared" ca="1" si="54"/>
        <v>4.8918351827780662E-2</v>
      </c>
      <c r="JN12" s="30">
        <f t="shared" ca="1" si="54"/>
        <v>7.2420959544526625E-2</v>
      </c>
      <c r="JO12" s="30">
        <f t="shared" ca="1" si="54"/>
        <v>2.4066817547448911E-3</v>
      </c>
      <c r="JP12" s="30">
        <f t="shared" ca="1" si="54"/>
        <v>-4.8253677617793131E-2</v>
      </c>
      <c r="JQ12" s="30">
        <f t="shared" ca="1" si="54"/>
        <v>-1.195072736599789E-2</v>
      </c>
      <c r="JR12" s="30">
        <f t="shared" ca="1" si="54"/>
        <v>5.5618479379259768E-2</v>
      </c>
      <c r="JS12" s="30">
        <f t="shared" ca="1" si="54"/>
        <v>6.4946022074596779E-2</v>
      </c>
      <c r="JT12" s="30">
        <f t="shared" ca="1" si="54"/>
        <v>-1.4979278413161119E-2</v>
      </c>
      <c r="JU12" s="30">
        <f t="shared" ca="1" si="54"/>
        <v>-6.2005204091483482E-2</v>
      </c>
      <c r="JV12" s="30">
        <f t="shared" ca="1" si="54"/>
        <v>-9.0629766543585139E-3</v>
      </c>
      <c r="JW12" s="30">
        <f t="shared" ca="1" si="54"/>
        <v>1.1056687304392731E-3</v>
      </c>
      <c r="JX12" s="30">
        <f t="shared" ca="1" si="54"/>
        <v>-5.3632135015558219E-2</v>
      </c>
      <c r="JY12" s="30">
        <f t="shared" ca="1" si="54"/>
        <v>-4.1412671306333172E-2</v>
      </c>
      <c r="JZ12" s="30">
        <f t="shared" ca="1" si="54"/>
        <v>7.4246252040011465E-2</v>
      </c>
      <c r="KA12" s="30">
        <f t="shared" ca="1" si="54"/>
        <v>4.1055469701399651E-2</v>
      </c>
      <c r="KB12" s="30">
        <f t="shared" ca="1" si="54"/>
        <v>-7.7517358777267023E-2</v>
      </c>
      <c r="KC12" s="30">
        <f t="shared" ca="1" si="54"/>
        <v>-1.7943511631635635E-2</v>
      </c>
      <c r="KD12" s="30">
        <f t="shared" ca="1" si="54"/>
        <v>5.5009511752813836E-3</v>
      </c>
      <c r="KE12" s="30">
        <f t="shared" ca="1" si="54"/>
        <v>-8.7936242937380185E-2</v>
      </c>
      <c r="KF12" s="30">
        <f t="shared" ca="1" si="54"/>
        <v>4.6286384999146293E-2</v>
      </c>
      <c r="KG12" s="30">
        <f t="shared" ca="1" si="54"/>
        <v>-4.2317090803404053E-2</v>
      </c>
      <c r="KH12" s="30">
        <f t="shared" ca="1" si="54"/>
        <v>-6.6126705270171018E-2</v>
      </c>
      <c r="KI12" s="30">
        <f t="shared" ca="1" si="54"/>
        <v>-1.4092077812422801E-2</v>
      </c>
      <c r="KJ12" s="30">
        <f t="shared" ca="1" si="54"/>
        <v>5.5420870590448125E-2</v>
      </c>
      <c r="KK12" s="30">
        <f t="shared" ca="1" si="54"/>
        <v>3.6343033865373679E-2</v>
      </c>
      <c r="KL12" s="30">
        <f t="shared" ca="1" si="54"/>
        <v>-7.1511269865974277E-3</v>
      </c>
      <c r="KM12" s="30">
        <f t="shared" ca="1" si="54"/>
        <v>3.3406484256418227E-2</v>
      </c>
      <c r="KN12" s="30">
        <f t="shared" ca="1" si="54"/>
        <v>-7.8042807494223126E-2</v>
      </c>
      <c r="KO12" s="30">
        <f t="shared" ca="1" si="54"/>
        <v>-2.1352571514574755E-2</v>
      </c>
      <c r="KP12" s="30">
        <f t="shared" ca="1" si="54"/>
        <v>4.9400207967611173E-2</v>
      </c>
      <c r="KQ12" s="30">
        <f t="shared" ca="1" si="54"/>
        <v>8.4439689876523154E-3</v>
      </c>
      <c r="KR12" s="30">
        <f t="shared" ca="1" si="54"/>
        <v>2.8930976942095229E-2</v>
      </c>
      <c r="KS12" s="30">
        <f t="shared" ca="1" si="54"/>
        <v>-4.355284282916419E-2</v>
      </c>
      <c r="KT12" s="30">
        <f t="shared" ca="1" si="54"/>
        <v>9.6896905416588941E-4</v>
      </c>
      <c r="KU12" s="30">
        <f t="shared" ca="1" si="54"/>
        <v>9.3247264778688072E-3</v>
      </c>
      <c r="KV12" s="30">
        <f t="shared" ca="1" si="54"/>
        <v>-1.1955118961936349E-2</v>
      </c>
      <c r="KW12" s="30">
        <f t="shared" ca="1" si="54"/>
        <v>4.4143087038299923E-2</v>
      </c>
      <c r="KX12" s="30">
        <f t="shared" ca="1" si="54"/>
        <v>8.9566214695638802E-2</v>
      </c>
      <c r="KY12" s="30">
        <f t="shared" ca="1" si="54"/>
        <v>9.6570850504569358E-2</v>
      </c>
      <c r="KZ12" s="30">
        <f t="shared" ca="1" si="54"/>
        <v>-5.5718358569709732E-3</v>
      </c>
      <c r="LA12" s="30">
        <f t="shared" ca="1" si="54"/>
        <v>1.6539479999476631E-3</v>
      </c>
      <c r="LB12" s="30">
        <f t="shared" ca="1" si="54"/>
        <v>4.0607676308956349E-2</v>
      </c>
      <c r="LC12" s="30">
        <f t="shared" ca="1" si="54"/>
        <v>-9.929432172972423E-3</v>
      </c>
      <c r="LD12" s="30">
        <f t="shared" ca="1" si="54"/>
        <v>-5.1165116297528491E-2</v>
      </c>
      <c r="LE12" s="30">
        <f t="shared" ca="1" si="54"/>
        <v>3.0332888802412295E-2</v>
      </c>
      <c r="LF12" s="30">
        <f t="shared" ca="1" si="54"/>
        <v>4.8545523251716419E-2</v>
      </c>
      <c r="LG12" s="30">
        <f t="shared" ca="1" si="54"/>
        <v>-6.615543637080092E-4</v>
      </c>
      <c r="LH12" s="30">
        <f t="shared" ca="1" si="54"/>
        <v>1.9531255358753063E-2</v>
      </c>
      <c r="LI12" s="30">
        <f t="shared" ca="1" si="54"/>
        <v>3.5506224531498112E-2</v>
      </c>
      <c r="LJ12" s="30">
        <f t="shared" ca="1" si="54"/>
        <v>-1.8089356926883509E-4</v>
      </c>
      <c r="LK12" s="30">
        <f t="shared" ca="1" si="54"/>
        <v>8.9537271771578761E-2</v>
      </c>
      <c r="LL12" s="30">
        <f t="shared" ca="1" si="54"/>
        <v>5.3080641458925916E-2</v>
      </c>
      <c r="LM12" s="30">
        <f t="shared" ca="1" si="54"/>
        <v>5.5586355135843049E-2</v>
      </c>
      <c r="LN12" s="30">
        <f t="shared" ca="1" si="54"/>
        <v>1.9584337255027112E-3</v>
      </c>
      <c r="LO12" s="30">
        <f t="shared" ca="1" si="54"/>
        <v>-2.4614946651071893E-2</v>
      </c>
      <c r="LP12" s="30">
        <f t="shared" ca="1" si="54"/>
        <v>2.7614674988571789E-2</v>
      </c>
      <c r="LQ12" s="30">
        <f t="shared" ca="1" si="54"/>
        <v>-7.9729824185406639E-2</v>
      </c>
      <c r="LR12" s="30">
        <f t="shared" ca="1" si="45"/>
        <v>2.6604812643214633E-2</v>
      </c>
      <c r="LS12" s="30">
        <f t="shared" ref="LS12:OD15" ca="1" si="63">_xlfn.NORM.INV(RAND(),$C$8,$C$9)</f>
        <v>1.892329163127825E-2</v>
      </c>
      <c r="LT12" s="30">
        <f t="shared" ca="1" si="63"/>
        <v>3.4523147288041241E-2</v>
      </c>
      <c r="LU12" s="30">
        <f t="shared" ca="1" si="63"/>
        <v>3.2249844997341306E-2</v>
      </c>
      <c r="LV12" s="30">
        <f t="shared" ca="1" si="63"/>
        <v>-8.2802515696956021E-3</v>
      </c>
      <c r="LW12" s="30">
        <f t="shared" ca="1" si="63"/>
        <v>-2.0333262387776394E-3</v>
      </c>
      <c r="LX12" s="30">
        <f t="shared" ca="1" si="63"/>
        <v>-1.1071868947835774E-2</v>
      </c>
      <c r="LY12" s="30">
        <f t="shared" ca="1" si="63"/>
        <v>4.9081107657062088E-3</v>
      </c>
      <c r="LZ12" s="30">
        <f t="shared" ca="1" si="63"/>
        <v>-4.5000789787661255E-2</v>
      </c>
      <c r="MA12" s="30">
        <f t="shared" ca="1" si="63"/>
        <v>7.0341375438491647E-3</v>
      </c>
      <c r="MB12" s="30">
        <f t="shared" ca="1" si="63"/>
        <v>4.2891234309021441E-2</v>
      </c>
      <c r="MC12" s="30">
        <f t="shared" ca="1" si="63"/>
        <v>3.2923387844111827E-2</v>
      </c>
      <c r="MD12" s="30">
        <f t="shared" ca="1" si="63"/>
        <v>-5.0020345339833478E-3</v>
      </c>
      <c r="ME12" s="30">
        <f t="shared" ca="1" si="63"/>
        <v>3.6884287057812562E-2</v>
      </c>
      <c r="MF12" s="30">
        <f t="shared" ca="1" si="63"/>
        <v>-6.8552634320970859E-3</v>
      </c>
      <c r="MG12" s="30">
        <f t="shared" ca="1" si="63"/>
        <v>6.0010561414784638E-3</v>
      </c>
      <c r="MH12" s="30">
        <f t="shared" ca="1" si="63"/>
        <v>-5.5112776494526262E-2</v>
      </c>
      <c r="MI12" s="30">
        <f t="shared" ca="1" si="63"/>
        <v>5.2980460540399156E-2</v>
      </c>
      <c r="MJ12" s="30">
        <f t="shared" ca="1" si="63"/>
        <v>-6.2683475220137425E-2</v>
      </c>
      <c r="MK12" s="30">
        <f t="shared" ca="1" si="63"/>
        <v>6.1756218875591296E-2</v>
      </c>
      <c r="ML12" s="30">
        <f t="shared" ca="1" si="63"/>
        <v>1.368465574279038E-2</v>
      </c>
      <c r="MM12" s="30">
        <f t="shared" ca="1" si="63"/>
        <v>-7.9872968321603802E-2</v>
      </c>
      <c r="MN12" s="30">
        <f t="shared" ca="1" si="63"/>
        <v>-1.0355576116005436E-2</v>
      </c>
      <c r="MO12" s="30">
        <f t="shared" ca="1" si="63"/>
        <v>-1.8469855846596619E-2</v>
      </c>
      <c r="MP12" s="30">
        <f t="shared" ca="1" si="63"/>
        <v>-1.2782634339035825E-3</v>
      </c>
      <c r="MQ12" s="30">
        <f t="shared" ca="1" si="63"/>
        <v>3.258524879092526E-2</v>
      </c>
      <c r="MR12" s="30">
        <f t="shared" ca="1" si="63"/>
        <v>-3.7670411069694689E-4</v>
      </c>
      <c r="MS12" s="30">
        <f t="shared" ca="1" si="63"/>
        <v>-6.7202253825706902E-3</v>
      </c>
      <c r="MT12" s="30">
        <f t="shared" ca="1" si="63"/>
        <v>5.7945613788789194E-2</v>
      </c>
      <c r="MU12" s="30">
        <f t="shared" ca="1" si="63"/>
        <v>1.1279800288468471E-2</v>
      </c>
      <c r="MV12" s="30">
        <f t="shared" ca="1" si="63"/>
        <v>1.5950729282346539E-2</v>
      </c>
      <c r="MW12" s="30">
        <f t="shared" ca="1" si="63"/>
        <v>2.3972903003090665E-3</v>
      </c>
      <c r="MX12" s="30">
        <f t="shared" ca="1" si="63"/>
        <v>8.6161347504346997E-3</v>
      </c>
      <c r="MY12" s="30">
        <f t="shared" ca="1" si="63"/>
        <v>4.5229431293336841E-2</v>
      </c>
      <c r="MZ12" s="30">
        <f t="shared" ca="1" si="63"/>
        <v>-3.9622209179771904E-2</v>
      </c>
      <c r="NA12" s="30">
        <f t="shared" ca="1" si="63"/>
        <v>6.5035363734550156E-2</v>
      </c>
      <c r="NB12" s="30">
        <f t="shared" ca="1" si="63"/>
        <v>2.9199779619747792E-3</v>
      </c>
      <c r="NC12" s="30">
        <f t="shared" ca="1" si="63"/>
        <v>1.1038180662535499E-2</v>
      </c>
      <c r="ND12" s="30">
        <f t="shared" ca="1" si="63"/>
        <v>-8.3400361563881215E-3</v>
      </c>
      <c r="NE12" s="30">
        <f t="shared" ca="1" si="63"/>
        <v>8.6730813074359092E-3</v>
      </c>
      <c r="NF12" s="30">
        <f t="shared" ca="1" si="63"/>
        <v>3.8986122624772447E-2</v>
      </c>
      <c r="NG12" s="30">
        <f t="shared" ca="1" si="63"/>
        <v>-6.5696297833368455E-3</v>
      </c>
      <c r="NH12" s="30">
        <f t="shared" ca="1" si="63"/>
        <v>-8.1479702149511279E-2</v>
      </c>
      <c r="NI12" s="30">
        <f t="shared" ca="1" si="63"/>
        <v>-4.6409401425613513E-2</v>
      </c>
      <c r="NJ12" s="30">
        <f t="shared" ca="1" si="63"/>
        <v>-2.2367263442729903E-2</v>
      </c>
      <c r="NK12" s="30">
        <f t="shared" ca="1" si="63"/>
        <v>1.0516705649704205E-2</v>
      </c>
      <c r="NL12" s="30">
        <f t="shared" ca="1" si="63"/>
        <v>1.8448248232198275E-2</v>
      </c>
      <c r="NM12" s="30">
        <f t="shared" ca="1" si="63"/>
        <v>2.3741615780418134E-2</v>
      </c>
      <c r="NN12" s="30">
        <f t="shared" ca="1" si="63"/>
        <v>7.2130370265304951E-3</v>
      </c>
      <c r="NO12" s="30">
        <f t="shared" ca="1" si="63"/>
        <v>-1.4468774822899193E-2</v>
      </c>
      <c r="NP12" s="30">
        <f t="shared" ca="1" si="63"/>
        <v>2.9899319242649981E-2</v>
      </c>
      <c r="NQ12" s="30">
        <f t="shared" ca="1" si="63"/>
        <v>2.1219038959182122E-2</v>
      </c>
      <c r="NR12" s="30">
        <f t="shared" ca="1" si="63"/>
        <v>-7.317964323019694E-3</v>
      </c>
      <c r="NS12" s="30">
        <f t="shared" ca="1" si="63"/>
        <v>2.440121884976635E-2</v>
      </c>
      <c r="NT12" s="30">
        <f t="shared" ca="1" si="63"/>
        <v>-3.3333257833268383E-2</v>
      </c>
      <c r="NU12" s="30">
        <f t="shared" ca="1" si="63"/>
        <v>3.8335258360191207E-2</v>
      </c>
      <c r="NV12" s="30">
        <f t="shared" ca="1" si="63"/>
        <v>-3.4365185077143777E-2</v>
      </c>
      <c r="NW12" s="30">
        <f t="shared" ca="1" si="63"/>
        <v>6.2703276313418477E-3</v>
      </c>
      <c r="NX12" s="30">
        <f t="shared" ca="1" si="63"/>
        <v>3.3157902366356094E-2</v>
      </c>
      <c r="NY12" s="30">
        <f t="shared" ca="1" si="63"/>
        <v>-4.5629611736366919E-2</v>
      </c>
      <c r="NZ12" s="30">
        <f t="shared" ca="1" si="63"/>
        <v>-1.0049269586466488E-2</v>
      </c>
      <c r="OA12" s="30">
        <f t="shared" ca="1" si="63"/>
        <v>-2.365317542452202E-2</v>
      </c>
      <c r="OB12" s="30">
        <f t="shared" ca="1" si="63"/>
        <v>4.8121211787502123E-2</v>
      </c>
      <c r="OC12" s="30">
        <f t="shared" ca="1" si="63"/>
        <v>2.6940237419496978E-2</v>
      </c>
      <c r="OD12" s="30">
        <f t="shared" ca="1" si="63"/>
        <v>7.6406962562299474E-4</v>
      </c>
      <c r="OE12" s="30">
        <f t="shared" ca="1" si="55"/>
        <v>-5.339111960547633E-2</v>
      </c>
      <c r="OF12" s="30">
        <f t="shared" ca="1" si="55"/>
        <v>4.2983523556838071E-2</v>
      </c>
      <c r="OG12" s="30">
        <f t="shared" ca="1" si="55"/>
        <v>1.3081083452486512E-3</v>
      </c>
      <c r="OH12" s="30">
        <f t="shared" ca="1" si="55"/>
        <v>3.6041309237305988E-2</v>
      </c>
      <c r="OI12" s="30">
        <f t="shared" ca="1" si="55"/>
        <v>-9.2944243660025034E-3</v>
      </c>
      <c r="OJ12" s="30">
        <f t="shared" ca="1" si="55"/>
        <v>-7.5612920479042854E-3</v>
      </c>
      <c r="OK12" s="30">
        <f t="shared" ca="1" si="55"/>
        <v>7.4160946514043369E-2</v>
      </c>
      <c r="OL12" s="30">
        <f t="shared" ca="1" si="55"/>
        <v>2.6383626779488443E-2</v>
      </c>
      <c r="OM12" s="30">
        <f t="shared" ca="1" si="55"/>
        <v>-2.7352683931425214E-2</v>
      </c>
      <c r="ON12" s="30">
        <f t="shared" ca="1" si="55"/>
        <v>2.685657160617352E-2</v>
      </c>
      <c r="OO12" s="30">
        <f t="shared" ca="1" si="55"/>
        <v>-5.1504807580918313E-2</v>
      </c>
      <c r="OP12" s="30">
        <f t="shared" ca="1" si="55"/>
        <v>3.9253921244243151E-2</v>
      </c>
      <c r="OQ12" s="30">
        <f t="shared" ca="1" si="55"/>
        <v>-3.9167581603572633E-3</v>
      </c>
      <c r="OR12" s="30">
        <f t="shared" ca="1" si="55"/>
        <v>4.4302712895034631E-2</v>
      </c>
      <c r="OS12" s="30">
        <f t="shared" ca="1" si="55"/>
        <v>5.2951123654273752E-3</v>
      </c>
      <c r="OT12" s="30">
        <f t="shared" ca="1" si="55"/>
        <v>-1.1514263866830996E-2</v>
      </c>
      <c r="OU12" s="30">
        <f t="shared" ca="1" si="55"/>
        <v>-2.8167079612787801E-2</v>
      </c>
      <c r="OV12" s="30">
        <f t="shared" ca="1" si="55"/>
        <v>2.2930229276067804E-2</v>
      </c>
      <c r="OW12" s="30">
        <f t="shared" ca="1" si="55"/>
        <v>3.3387286307498924E-2</v>
      </c>
      <c r="OX12" s="30">
        <f t="shared" ca="1" si="55"/>
        <v>8.7240259815863294E-2</v>
      </c>
      <c r="OY12" s="30">
        <f t="shared" ca="1" si="55"/>
        <v>1.3089297559955883E-2</v>
      </c>
      <c r="OZ12" s="30">
        <f t="shared" ca="1" si="55"/>
        <v>-3.3200959259585626E-2</v>
      </c>
      <c r="PA12" s="30">
        <f t="shared" ca="1" si="55"/>
        <v>1.969274236434883E-4</v>
      </c>
      <c r="PB12" s="30">
        <f t="shared" ca="1" si="55"/>
        <v>3.2556605283544253E-2</v>
      </c>
      <c r="PC12" s="30">
        <f t="shared" ca="1" si="55"/>
        <v>-4.3543978363356405E-2</v>
      </c>
      <c r="PD12" s="30">
        <f t="shared" ca="1" si="55"/>
        <v>-3.1600424739869529E-2</v>
      </c>
      <c r="PE12" s="30">
        <f t="shared" ca="1" si="55"/>
        <v>7.4258959730181401E-2</v>
      </c>
      <c r="PF12" s="30">
        <f t="shared" ca="1" si="55"/>
        <v>2.5781080524534407E-2</v>
      </c>
      <c r="PG12" s="30">
        <f t="shared" ca="1" si="55"/>
        <v>-9.1638822425141164E-3</v>
      </c>
      <c r="PH12" s="30">
        <f t="shared" ca="1" si="55"/>
        <v>-7.1145943697256131E-3</v>
      </c>
      <c r="PI12" s="30">
        <f t="shared" ca="1" si="55"/>
        <v>-1.1534336922915816E-3</v>
      </c>
      <c r="PJ12" s="30">
        <f t="shared" ca="1" si="55"/>
        <v>-7.1224427783145014E-2</v>
      </c>
      <c r="PK12" s="30">
        <f t="shared" ca="1" si="55"/>
        <v>1.089934715828066E-2</v>
      </c>
      <c r="PL12" s="30">
        <f t="shared" ca="1" si="55"/>
        <v>1.5340901097366447E-2</v>
      </c>
      <c r="PM12" s="30">
        <f t="shared" ca="1" si="55"/>
        <v>-5.5665500588621006E-2</v>
      </c>
      <c r="PN12" s="30">
        <f t="shared" ca="1" si="55"/>
        <v>9.9051849386488765E-3</v>
      </c>
      <c r="PO12" s="30">
        <f t="shared" ca="1" si="55"/>
        <v>1.4923065817291628E-2</v>
      </c>
      <c r="PP12" s="30">
        <f t="shared" ca="1" si="55"/>
        <v>-1.0519959073960672E-2</v>
      </c>
      <c r="PQ12" s="30">
        <f t="shared" ca="1" si="55"/>
        <v>-2.7492725711769608E-2</v>
      </c>
      <c r="PR12" s="30">
        <f t="shared" ca="1" si="55"/>
        <v>-8.1055662129227019E-2</v>
      </c>
      <c r="PS12" s="30">
        <f t="shared" ca="1" si="55"/>
        <v>-4.6929616888296194E-2</v>
      </c>
      <c r="PT12" s="30">
        <f t="shared" ca="1" si="55"/>
        <v>-1.5668071236603374E-2</v>
      </c>
      <c r="PU12" s="30">
        <f t="shared" ca="1" si="55"/>
        <v>2.8095192569102111E-2</v>
      </c>
      <c r="PV12" s="30">
        <f t="shared" ca="1" si="55"/>
        <v>2.5079760015669292E-2</v>
      </c>
      <c r="PW12" s="30">
        <f t="shared" ca="1" si="55"/>
        <v>2.4214819104312831E-2</v>
      </c>
      <c r="PX12" s="30">
        <f t="shared" ca="1" si="55"/>
        <v>2.2841168395063761E-2</v>
      </c>
      <c r="PY12" s="30">
        <f t="shared" ca="1" si="55"/>
        <v>6.588529585621436E-2</v>
      </c>
      <c r="PZ12" s="30">
        <f t="shared" ca="1" si="55"/>
        <v>2.4573934830459263E-2</v>
      </c>
      <c r="QA12" s="30">
        <f t="shared" ca="1" si="55"/>
        <v>-6.920815915548123E-2</v>
      </c>
      <c r="QB12" s="30">
        <f t="shared" ca="1" si="55"/>
        <v>3.8983400126628508E-2</v>
      </c>
      <c r="QC12" s="30">
        <f t="shared" ca="1" si="55"/>
        <v>5.6572042247171024E-3</v>
      </c>
      <c r="QD12" s="30">
        <f t="shared" ca="1" si="55"/>
        <v>2.0303657129998216E-2</v>
      </c>
      <c r="QE12" s="30">
        <f t="shared" ca="1" si="55"/>
        <v>4.6879136618181834E-2</v>
      </c>
      <c r="QF12" s="30">
        <f t="shared" ca="1" si="55"/>
        <v>-2.5671787998401106E-2</v>
      </c>
      <c r="QG12" s="30">
        <f t="shared" ca="1" si="55"/>
        <v>-3.994376095859855E-2</v>
      </c>
      <c r="QH12" s="30">
        <f t="shared" ca="1" si="55"/>
        <v>0.10824822979246493</v>
      </c>
      <c r="QI12" s="30">
        <f t="shared" ca="1" si="55"/>
        <v>2.0635948472162085E-2</v>
      </c>
      <c r="QJ12" s="30">
        <f t="shared" ca="1" si="55"/>
        <v>3.8737274911215423E-4</v>
      </c>
      <c r="QK12" s="30">
        <f t="shared" ca="1" si="55"/>
        <v>-4.274072474864115E-2</v>
      </c>
      <c r="QL12" s="30">
        <f t="shared" ca="1" si="55"/>
        <v>1.3285346329011468E-3</v>
      </c>
      <c r="QM12" s="30">
        <f t="shared" ca="1" si="55"/>
        <v>-2.0384972136257607E-2</v>
      </c>
      <c r="QN12" s="30">
        <f t="shared" ca="1" si="55"/>
        <v>-1.9101180326510148E-2</v>
      </c>
      <c r="QO12" s="30">
        <f t="shared" ca="1" si="55"/>
        <v>-7.4836963976934956E-2</v>
      </c>
      <c r="QP12" s="30">
        <f t="shared" ca="1" si="46"/>
        <v>-2.8655439520574859E-2</v>
      </c>
      <c r="QQ12" s="30">
        <f t="shared" ref="QQ12:TB15" ca="1" si="64">_xlfn.NORM.INV(RAND(),$C$8,$C$9)</f>
        <v>-4.9369139629064446E-2</v>
      </c>
      <c r="QR12" s="30">
        <f t="shared" ca="1" si="64"/>
        <v>-5.4903565765736469E-2</v>
      </c>
      <c r="QS12" s="30">
        <f t="shared" ca="1" si="64"/>
        <v>5.5410840758218928E-2</v>
      </c>
      <c r="QT12" s="30">
        <f t="shared" ca="1" si="64"/>
        <v>-3.4925890642389303E-2</v>
      </c>
      <c r="QU12" s="30">
        <f t="shared" ca="1" si="64"/>
        <v>-3.0094896638641157E-2</v>
      </c>
      <c r="QV12" s="30">
        <f t="shared" ca="1" si="64"/>
        <v>-1.5321261907403811E-2</v>
      </c>
      <c r="QW12" s="30">
        <f t="shared" ca="1" si="64"/>
        <v>4.358634657424304E-2</v>
      </c>
      <c r="QX12" s="30">
        <f t="shared" ca="1" si="64"/>
        <v>-4.1204278753951169E-2</v>
      </c>
      <c r="QY12" s="30">
        <f t="shared" ca="1" si="64"/>
        <v>-1.99172006642622E-2</v>
      </c>
      <c r="QZ12" s="30">
        <f t="shared" ca="1" si="64"/>
        <v>4.4783149336405918E-2</v>
      </c>
      <c r="RA12" s="30">
        <f t="shared" ca="1" si="64"/>
        <v>4.0901422482507853E-2</v>
      </c>
      <c r="RB12" s="30">
        <f t="shared" ca="1" si="64"/>
        <v>-2.2445890727805746E-2</v>
      </c>
      <c r="RC12" s="30">
        <f t="shared" ca="1" si="64"/>
        <v>-8.538440754353914E-2</v>
      </c>
      <c r="RD12" s="30">
        <f t="shared" ca="1" si="64"/>
        <v>-4.5134516551992403E-2</v>
      </c>
      <c r="RE12" s="30">
        <f t="shared" ca="1" si="64"/>
        <v>1.2456644748541117E-2</v>
      </c>
      <c r="RF12" s="30">
        <f t="shared" ca="1" si="64"/>
        <v>-7.9939153611963219E-5</v>
      </c>
      <c r="RG12" s="30">
        <f t="shared" ca="1" si="64"/>
        <v>8.5509225529440697E-3</v>
      </c>
      <c r="RH12" s="30">
        <f t="shared" ca="1" si="64"/>
        <v>5.3560492720838127E-2</v>
      </c>
      <c r="RI12" s="30">
        <f t="shared" ca="1" si="64"/>
        <v>3.510030954547038E-2</v>
      </c>
      <c r="RJ12" s="30">
        <f t="shared" ca="1" si="64"/>
        <v>-3.4439134303143541E-2</v>
      </c>
      <c r="RK12" s="30">
        <f t="shared" ca="1" si="64"/>
        <v>3.4667088511030036E-2</v>
      </c>
      <c r="RL12" s="30">
        <f t="shared" ca="1" si="64"/>
        <v>3.6167236761320096E-2</v>
      </c>
      <c r="RM12" s="30">
        <f t="shared" ca="1" si="64"/>
        <v>-5.1705354553447859E-2</v>
      </c>
      <c r="RN12" s="30">
        <f t="shared" ca="1" si="64"/>
        <v>-2.1625290016100262E-2</v>
      </c>
      <c r="RO12" s="30">
        <f t="shared" ca="1" si="64"/>
        <v>8.4524498799795303E-2</v>
      </c>
      <c r="RP12" s="30">
        <f t="shared" ca="1" si="64"/>
        <v>-4.3722832553868378E-2</v>
      </c>
      <c r="RQ12" s="30">
        <f t="shared" ca="1" si="64"/>
        <v>3.2566310113638563E-3</v>
      </c>
      <c r="RR12" s="30">
        <f t="shared" ca="1" si="64"/>
        <v>3.2771137444025517E-2</v>
      </c>
      <c r="RS12" s="30">
        <f t="shared" ca="1" si="64"/>
        <v>3.2336756619338942E-2</v>
      </c>
      <c r="RT12" s="30">
        <f t="shared" ca="1" si="64"/>
        <v>6.032174114627957E-2</v>
      </c>
      <c r="RU12" s="30">
        <f t="shared" ca="1" si="64"/>
        <v>2.8243981183764593E-4</v>
      </c>
      <c r="RV12" s="30">
        <f t="shared" ca="1" si="64"/>
        <v>6.8312625067111679E-2</v>
      </c>
      <c r="RW12" s="30">
        <f t="shared" ca="1" si="64"/>
        <v>6.1253311739987E-2</v>
      </c>
      <c r="RX12" s="30">
        <f t="shared" ca="1" si="64"/>
        <v>6.9535235426278291E-2</v>
      </c>
      <c r="RY12" s="30">
        <f t="shared" ca="1" si="64"/>
        <v>-0.1097413263722386</v>
      </c>
      <c r="RZ12" s="30">
        <f t="shared" ca="1" si="64"/>
        <v>1.6522628098446995E-2</v>
      </c>
      <c r="SA12" s="30">
        <f t="shared" ca="1" si="64"/>
        <v>-3.4276663433975008E-2</v>
      </c>
      <c r="SB12" s="30">
        <f t="shared" ca="1" si="64"/>
        <v>-4.9210036922264187E-2</v>
      </c>
      <c r="SC12" s="30">
        <f t="shared" ca="1" si="64"/>
        <v>2.7700994072304302E-3</v>
      </c>
      <c r="SD12" s="30">
        <f t="shared" ca="1" si="64"/>
        <v>-5.0323624724154289E-2</v>
      </c>
      <c r="SE12" s="30">
        <f t="shared" ca="1" si="64"/>
        <v>4.3006484509335634E-2</v>
      </c>
      <c r="SF12" s="30">
        <f t="shared" ca="1" si="64"/>
        <v>-1.4212776086790244E-3</v>
      </c>
      <c r="SG12" s="30">
        <f t="shared" ca="1" si="64"/>
        <v>4.6548693457074963E-2</v>
      </c>
      <c r="SH12" s="30">
        <f t="shared" ca="1" si="64"/>
        <v>-4.3637216519076351E-2</v>
      </c>
      <c r="SI12" s="30">
        <f t="shared" ca="1" si="64"/>
        <v>5.0991351403295151E-2</v>
      </c>
      <c r="SJ12" s="30">
        <f t="shared" ca="1" si="64"/>
        <v>2.7986245158068676E-2</v>
      </c>
      <c r="SK12" s="30">
        <f t="shared" ca="1" si="64"/>
        <v>-2.400085758220059E-2</v>
      </c>
      <c r="SL12" s="30">
        <f t="shared" ca="1" si="64"/>
        <v>2.5788123287840404E-2</v>
      </c>
      <c r="SM12" s="30">
        <f t="shared" ca="1" si="64"/>
        <v>-3.3262068827093587E-2</v>
      </c>
      <c r="SN12" s="30">
        <f t="shared" ca="1" si="64"/>
        <v>3.7939510827855828E-2</v>
      </c>
      <c r="SO12" s="30">
        <f t="shared" ca="1" si="64"/>
        <v>-2.0169661502158012E-2</v>
      </c>
      <c r="SP12" s="30">
        <f t="shared" ca="1" si="64"/>
        <v>4.1030455177233083E-3</v>
      </c>
      <c r="SQ12" s="30">
        <f t="shared" ca="1" si="64"/>
        <v>1.5853719938430218E-2</v>
      </c>
      <c r="SR12" s="30">
        <f t="shared" ca="1" si="64"/>
        <v>-5.4962666907316549E-2</v>
      </c>
      <c r="SS12" s="30">
        <f t="shared" ca="1" si="64"/>
        <v>3.5990296013966194E-2</v>
      </c>
      <c r="ST12" s="30">
        <f t="shared" ca="1" si="64"/>
        <v>4.8390297397230046E-2</v>
      </c>
      <c r="SU12" s="30">
        <f t="shared" ca="1" si="64"/>
        <v>4.2882508833525686E-3</v>
      </c>
      <c r="SV12" s="30">
        <f t="shared" ca="1" si="64"/>
        <v>-2.7273799077920224E-2</v>
      </c>
      <c r="SW12" s="30">
        <f t="shared" ca="1" si="64"/>
        <v>-2.4113531485822008E-2</v>
      </c>
      <c r="SX12" s="30">
        <f t="shared" ca="1" si="64"/>
        <v>-7.8691681567615735E-3</v>
      </c>
      <c r="SY12" s="30">
        <f t="shared" ca="1" si="64"/>
        <v>-3.8349582016590202E-2</v>
      </c>
      <c r="SZ12" s="30">
        <f t="shared" ca="1" si="64"/>
        <v>1.0977373527496932E-2</v>
      </c>
      <c r="TA12" s="30">
        <f t="shared" ca="1" si="64"/>
        <v>1.1433123691014688E-2</v>
      </c>
      <c r="TB12" s="30">
        <f t="shared" ca="1" si="64"/>
        <v>1.5348139510799785E-2</v>
      </c>
      <c r="TC12" s="30">
        <f t="shared" ca="1" si="56"/>
        <v>-4.2389593883109256E-2</v>
      </c>
      <c r="TD12" s="30">
        <f t="shared" ca="1" si="56"/>
        <v>1.9531593372056639E-2</v>
      </c>
      <c r="TE12" s="30">
        <f t="shared" ca="1" si="56"/>
        <v>-2.7951405517412729E-2</v>
      </c>
      <c r="TF12" s="30">
        <f t="shared" ca="1" si="56"/>
        <v>3.0879358125526996E-3</v>
      </c>
      <c r="TG12" s="30">
        <f t="shared" ca="1" si="56"/>
        <v>-2.339964401629516E-2</v>
      </c>
      <c r="TH12" s="30">
        <f t="shared" ca="1" si="56"/>
        <v>-0.13516759743062351</v>
      </c>
      <c r="TI12" s="30">
        <f t="shared" ca="1" si="56"/>
        <v>-5.7223850779302469E-2</v>
      </c>
      <c r="TJ12" s="30">
        <f t="shared" ca="1" si="56"/>
        <v>-3.0879433536750531E-2</v>
      </c>
      <c r="TK12" s="30">
        <f t="shared" ca="1" si="56"/>
        <v>2.3829655642851232E-2</v>
      </c>
      <c r="TL12" s="30">
        <f t="shared" ca="1" si="56"/>
        <v>-1.1418578652389972E-2</v>
      </c>
      <c r="TM12" s="30">
        <f t="shared" ca="1" si="56"/>
        <v>5.6533328845480922E-2</v>
      </c>
      <c r="TN12" s="30">
        <f t="shared" ca="1" si="56"/>
        <v>-4.2483946236345528E-2</v>
      </c>
      <c r="TO12" s="30">
        <f t="shared" ca="1" si="56"/>
        <v>1.2225718360836066E-2</v>
      </c>
      <c r="TP12" s="30">
        <f t="shared" ca="1" si="56"/>
        <v>6.4221784844585303E-3</v>
      </c>
      <c r="TQ12" s="30">
        <f t="shared" ca="1" si="56"/>
        <v>-5.4020394504295119E-2</v>
      </c>
      <c r="TR12" s="30">
        <f t="shared" ca="1" si="56"/>
        <v>-4.3610286045004609E-2</v>
      </c>
      <c r="TS12" s="30">
        <f t="shared" ca="1" si="56"/>
        <v>2.6609180513551146E-3</v>
      </c>
      <c r="TT12" s="30">
        <f t="shared" ca="1" si="56"/>
        <v>5.4594354981096278E-2</v>
      </c>
      <c r="TU12" s="30">
        <f t="shared" ca="1" si="56"/>
        <v>6.3498801370773489E-2</v>
      </c>
      <c r="TV12" s="30">
        <f t="shared" ca="1" si="56"/>
        <v>5.024150927120815E-2</v>
      </c>
      <c r="TW12" s="30">
        <f t="shared" ca="1" si="56"/>
        <v>-1.0241831307746769E-2</v>
      </c>
      <c r="TX12" s="30">
        <f t="shared" ca="1" si="56"/>
        <v>2.6743577058881206E-2</v>
      </c>
      <c r="TY12" s="30">
        <f t="shared" ca="1" si="56"/>
        <v>9.6831185584142665E-2</v>
      </c>
      <c r="TZ12" s="30">
        <f t="shared" ca="1" si="56"/>
        <v>-4.5658457805251011E-2</v>
      </c>
      <c r="UA12" s="30">
        <f t="shared" ca="1" si="56"/>
        <v>1.0638064418868557E-4</v>
      </c>
      <c r="UB12" s="30">
        <f t="shared" ca="1" si="56"/>
        <v>3.9869073235857887E-2</v>
      </c>
      <c r="UC12" s="30">
        <f t="shared" ca="1" si="56"/>
        <v>-6.7402128065816705E-2</v>
      </c>
      <c r="UD12" s="30">
        <f t="shared" ca="1" si="56"/>
        <v>-4.6738314524258293E-2</v>
      </c>
      <c r="UE12" s="30">
        <f t="shared" ca="1" si="56"/>
        <v>-3.1303551779735962E-2</v>
      </c>
      <c r="UF12" s="30">
        <f t="shared" ca="1" si="56"/>
        <v>7.9975713408375393E-2</v>
      </c>
      <c r="UG12" s="30">
        <f t="shared" ca="1" si="56"/>
        <v>-4.392479606424507E-2</v>
      </c>
      <c r="UH12" s="30">
        <f t="shared" ca="1" si="56"/>
        <v>3.2312085674202065E-3</v>
      </c>
      <c r="UI12" s="30">
        <f t="shared" ca="1" si="56"/>
        <v>-2.583163034470513E-2</v>
      </c>
      <c r="UJ12" s="30">
        <f t="shared" ca="1" si="56"/>
        <v>5.4214736520607079E-3</v>
      </c>
      <c r="UK12" s="30">
        <f t="shared" ca="1" si="56"/>
        <v>3.8893946979347907E-2</v>
      </c>
      <c r="UL12" s="30">
        <f t="shared" ca="1" si="56"/>
        <v>-1.1193169892729662E-2</v>
      </c>
      <c r="UM12" s="30">
        <f t="shared" ca="1" si="56"/>
        <v>2.5148647002854952E-2</v>
      </c>
      <c r="UN12" s="30">
        <f t="shared" ca="1" si="56"/>
        <v>1.3073859982378314E-2</v>
      </c>
      <c r="UO12" s="30">
        <f t="shared" ca="1" si="56"/>
        <v>1.0537600984059132E-2</v>
      </c>
      <c r="UP12" s="30">
        <f t="shared" ca="1" si="56"/>
        <v>-3.2488880322876085E-2</v>
      </c>
      <c r="UQ12" s="30">
        <f t="shared" ca="1" si="56"/>
        <v>2.5163708173860599E-2</v>
      </c>
      <c r="UR12" s="30">
        <f t="shared" ca="1" si="56"/>
        <v>-3.1057500047479904E-2</v>
      </c>
      <c r="US12" s="30">
        <f t="shared" ca="1" si="56"/>
        <v>-5.0225509407755504E-2</v>
      </c>
      <c r="UT12" s="30">
        <f t="shared" ca="1" si="56"/>
        <v>-3.4367131873536051E-2</v>
      </c>
      <c r="UU12" s="30">
        <f t="shared" ca="1" si="56"/>
        <v>1.6248856261433822E-2</v>
      </c>
      <c r="UV12" s="30">
        <f t="shared" ca="1" si="56"/>
        <v>-5.5139630794193449E-2</v>
      </c>
      <c r="UW12" s="30">
        <f t="shared" ca="1" si="56"/>
        <v>8.2352372673968624E-2</v>
      </c>
      <c r="UX12" s="30">
        <f t="shared" ca="1" si="56"/>
        <v>-4.0761675993434193E-2</v>
      </c>
      <c r="UY12" s="30">
        <f t="shared" ca="1" si="56"/>
        <v>-5.4786109698221909E-4</v>
      </c>
      <c r="UZ12" s="30">
        <f t="shared" ca="1" si="56"/>
        <v>5.3790733112699753E-2</v>
      </c>
      <c r="VA12" s="30">
        <f t="shared" ca="1" si="56"/>
        <v>2.7301455760102313E-2</v>
      </c>
      <c r="VB12" s="30">
        <f t="shared" ca="1" si="56"/>
        <v>1.7231392494609832E-3</v>
      </c>
      <c r="VC12" s="30">
        <f t="shared" ca="1" si="56"/>
        <v>3.0404923572156196E-3</v>
      </c>
      <c r="VD12" s="30">
        <f t="shared" ca="1" si="56"/>
        <v>-2.0841578434784288E-2</v>
      </c>
      <c r="VE12" s="30">
        <f t="shared" ca="1" si="56"/>
        <v>1.7030108814994237E-2</v>
      </c>
      <c r="VF12" s="30">
        <f t="shared" ca="1" si="56"/>
        <v>-4.4199644684725772E-2</v>
      </c>
      <c r="VG12" s="30">
        <f t="shared" ca="1" si="56"/>
        <v>-3.9463660419544418E-2</v>
      </c>
      <c r="VH12" s="30">
        <f t="shared" ca="1" si="56"/>
        <v>3.2129641389729404E-4</v>
      </c>
      <c r="VI12" s="30">
        <f t="shared" ca="1" si="56"/>
        <v>-5.0902290479249733E-2</v>
      </c>
      <c r="VJ12" s="30">
        <f t="shared" ca="1" si="56"/>
        <v>1.3025488706068821E-2</v>
      </c>
      <c r="VK12" s="30">
        <f t="shared" ca="1" si="56"/>
        <v>-4.1414688152847927E-2</v>
      </c>
      <c r="VL12" s="30">
        <f t="shared" ca="1" si="56"/>
        <v>1.3588817487091721E-2</v>
      </c>
      <c r="VM12" s="30">
        <f t="shared" ca="1" si="56"/>
        <v>4.0909007520787917E-2</v>
      </c>
      <c r="VN12" s="30">
        <f t="shared" ca="1" si="47"/>
        <v>3.8055053000335799E-2</v>
      </c>
      <c r="VO12" s="30">
        <f t="shared" ref="VO12:XZ15" ca="1" si="65">_xlfn.NORM.INV(RAND(),$C$8,$C$9)</f>
        <v>5.6524053179556846E-2</v>
      </c>
      <c r="VP12" s="30">
        <f t="shared" ca="1" si="65"/>
        <v>7.1897075676195688E-2</v>
      </c>
      <c r="VQ12" s="30">
        <f t="shared" ca="1" si="65"/>
        <v>1.3919973075189802E-3</v>
      </c>
      <c r="VR12" s="30">
        <f t="shared" ca="1" si="65"/>
        <v>2.7632003326623772E-3</v>
      </c>
      <c r="VS12" s="30">
        <f t="shared" ca="1" si="65"/>
        <v>6.4870768175488328E-2</v>
      </c>
      <c r="VT12" s="30">
        <f t="shared" ca="1" si="65"/>
        <v>9.1844752309250779E-2</v>
      </c>
      <c r="VU12" s="30">
        <f t="shared" ca="1" si="65"/>
        <v>-1.9112383114469618E-2</v>
      </c>
      <c r="VV12" s="30">
        <f t="shared" ca="1" si="65"/>
        <v>-1.50348778533477E-2</v>
      </c>
      <c r="VW12" s="30">
        <f t="shared" ca="1" si="65"/>
        <v>6.6695122308808507E-3</v>
      </c>
      <c r="VX12" s="30">
        <f t="shared" ca="1" si="65"/>
        <v>2.1679837185415763E-2</v>
      </c>
      <c r="VY12" s="30">
        <f t="shared" ca="1" si="65"/>
        <v>-8.4314243587150631E-2</v>
      </c>
      <c r="VZ12" s="30">
        <f t="shared" ca="1" si="65"/>
        <v>1.4663300027025344E-2</v>
      </c>
      <c r="WA12" s="30">
        <f t="shared" ca="1" si="65"/>
        <v>-2.9806654238661301E-2</v>
      </c>
      <c r="WB12" s="30">
        <f t="shared" ca="1" si="65"/>
        <v>6.2975012972640243E-2</v>
      </c>
      <c r="WC12" s="30">
        <f t="shared" ca="1" si="65"/>
        <v>6.8321754428336753E-2</v>
      </c>
      <c r="WD12" s="30">
        <f t="shared" ca="1" si="65"/>
        <v>-3.1852653629438461E-2</v>
      </c>
      <c r="WE12" s="30">
        <f t="shared" ca="1" si="65"/>
        <v>-9.8000480501874848E-3</v>
      </c>
      <c r="WF12" s="30">
        <f t="shared" ca="1" si="65"/>
        <v>-2.9013799385436054E-2</v>
      </c>
      <c r="WG12" s="30">
        <f t="shared" ca="1" si="65"/>
        <v>8.5721207297178772E-3</v>
      </c>
      <c r="WH12" s="30">
        <f t="shared" ca="1" si="65"/>
        <v>3.0263815098173726E-2</v>
      </c>
      <c r="WI12" s="30">
        <f t="shared" ca="1" si="65"/>
        <v>1.0722783447007474E-2</v>
      </c>
      <c r="WJ12" s="30">
        <f t="shared" ca="1" si="65"/>
        <v>-3.124071055693671E-2</v>
      </c>
      <c r="WK12" s="30">
        <f t="shared" ca="1" si="65"/>
        <v>2.0050889816444897E-2</v>
      </c>
      <c r="WL12" s="30">
        <f t="shared" ca="1" si="65"/>
        <v>5.1397914238264328E-2</v>
      </c>
      <c r="WM12" s="30">
        <f t="shared" ca="1" si="65"/>
        <v>-3.76635066588423E-2</v>
      </c>
      <c r="WN12" s="30">
        <f t="shared" ca="1" si="65"/>
        <v>1.2242853055717691E-2</v>
      </c>
      <c r="WO12" s="30">
        <f t="shared" ca="1" si="65"/>
        <v>2.0769667525919088E-2</v>
      </c>
      <c r="WP12" s="30">
        <f t="shared" ca="1" si="65"/>
        <v>5.2436917923435737E-2</v>
      </c>
      <c r="WQ12" s="30">
        <f t="shared" ca="1" si="65"/>
        <v>3.2826053013829443E-3</v>
      </c>
      <c r="WR12" s="30">
        <f t="shared" ca="1" si="65"/>
        <v>-4.1171364672369044E-2</v>
      </c>
      <c r="WS12" s="30">
        <f t="shared" ca="1" si="65"/>
        <v>4.2088178948940923E-2</v>
      </c>
      <c r="WT12" s="30">
        <f t="shared" ca="1" si="65"/>
        <v>-3.2657431803766474E-3</v>
      </c>
      <c r="WU12" s="30">
        <f t="shared" ca="1" si="65"/>
        <v>1.0665540613119067E-2</v>
      </c>
      <c r="WV12" s="30">
        <f t="shared" ca="1" si="65"/>
        <v>3.1191031927811461E-2</v>
      </c>
      <c r="WW12" s="30">
        <f t="shared" ca="1" si="65"/>
        <v>-4.2244912099262816E-2</v>
      </c>
      <c r="WX12" s="30">
        <f t="shared" ca="1" si="65"/>
        <v>1.5845403905832802E-2</v>
      </c>
      <c r="WY12" s="30">
        <f t="shared" ca="1" si="65"/>
        <v>3.9243682595032144E-2</v>
      </c>
      <c r="WZ12" s="30">
        <f t="shared" ca="1" si="65"/>
        <v>-2.6575587286883435E-2</v>
      </c>
      <c r="XA12" s="30">
        <f t="shared" ca="1" si="65"/>
        <v>5.3559872775252055E-3</v>
      </c>
      <c r="XB12" s="30">
        <f t="shared" ca="1" si="65"/>
        <v>3.3352776286082741E-2</v>
      </c>
      <c r="XC12" s="30">
        <f t="shared" ca="1" si="65"/>
        <v>-2.0136220425348399E-2</v>
      </c>
      <c r="XD12" s="30">
        <f t="shared" ca="1" si="65"/>
        <v>-4.7324541640270938E-2</v>
      </c>
      <c r="XE12" s="30">
        <f t="shared" ca="1" si="65"/>
        <v>-1.8879802453960266E-2</v>
      </c>
      <c r="XF12" s="30">
        <f t="shared" ca="1" si="65"/>
        <v>9.3967954410830515E-3</v>
      </c>
      <c r="XG12" s="30">
        <f t="shared" ca="1" si="65"/>
        <v>-1.8132379899565877E-2</v>
      </c>
      <c r="XH12" s="30">
        <f t="shared" ca="1" si="65"/>
        <v>-1.750259146593738E-2</v>
      </c>
      <c r="XI12" s="30">
        <f t="shared" ca="1" si="65"/>
        <v>-3.0530035528163503E-2</v>
      </c>
      <c r="XJ12" s="30">
        <f t="shared" ca="1" si="65"/>
        <v>-4.6810715904804075E-2</v>
      </c>
      <c r="XK12" s="30">
        <f t="shared" ca="1" si="65"/>
        <v>-8.1957713618486961E-3</v>
      </c>
      <c r="XL12" s="30">
        <f t="shared" ca="1" si="65"/>
        <v>2.1771071504343778E-3</v>
      </c>
      <c r="XM12" s="30">
        <f t="shared" ca="1" si="65"/>
        <v>2.0203310681784419E-2</v>
      </c>
      <c r="XN12" s="30">
        <f t="shared" ca="1" si="65"/>
        <v>7.1794697992984824E-2</v>
      </c>
      <c r="XO12" s="30">
        <f t="shared" ca="1" si="65"/>
        <v>-3.1870103669870281E-3</v>
      </c>
      <c r="XP12" s="30">
        <f t="shared" ca="1" si="65"/>
        <v>9.4166494288981578E-2</v>
      </c>
      <c r="XQ12" s="30">
        <f t="shared" ca="1" si="65"/>
        <v>-9.306188416604137E-4</v>
      </c>
      <c r="XR12" s="30">
        <f t="shared" ca="1" si="65"/>
        <v>-2.1858975298453587E-2</v>
      </c>
      <c r="XS12" s="30">
        <f t="shared" ca="1" si="65"/>
        <v>5.1393331904671005E-2</v>
      </c>
      <c r="XT12" s="30">
        <f t="shared" ca="1" si="65"/>
        <v>3.1423022413581261E-2</v>
      </c>
      <c r="XU12" s="30">
        <f t="shared" ca="1" si="65"/>
        <v>-5.0614862513261256E-2</v>
      </c>
      <c r="XV12" s="30">
        <f t="shared" ca="1" si="65"/>
        <v>4.3624553930588256E-2</v>
      </c>
      <c r="XW12" s="30">
        <f t="shared" ca="1" si="65"/>
        <v>-4.0045103468911245E-3</v>
      </c>
      <c r="XX12" s="30">
        <f t="shared" ca="1" si="65"/>
        <v>1.8948791525214087E-2</v>
      </c>
      <c r="XY12" s="30">
        <f t="shared" ca="1" si="65"/>
        <v>-1.4664086110468107E-2</v>
      </c>
      <c r="XZ12" s="30">
        <f t="shared" ca="1" si="65"/>
        <v>6.4095232831321111E-2</v>
      </c>
      <c r="YA12" s="30">
        <f t="shared" ca="1" si="57"/>
        <v>-4.3529236837647492E-2</v>
      </c>
      <c r="YB12" s="30">
        <f t="shared" ca="1" si="57"/>
        <v>-2.3467870609633103E-3</v>
      </c>
      <c r="YC12" s="30">
        <f t="shared" ca="1" si="57"/>
        <v>3.4348774582094066E-2</v>
      </c>
      <c r="YD12" s="30">
        <f t="shared" ca="1" si="57"/>
        <v>-8.1373366208499307E-3</v>
      </c>
      <c r="YE12" s="30">
        <f t="shared" ca="1" si="57"/>
        <v>-4.2694092672480574E-2</v>
      </c>
      <c r="YF12" s="30">
        <f t="shared" ca="1" si="57"/>
        <v>-2.7515622270914445E-4</v>
      </c>
      <c r="YG12" s="30">
        <f t="shared" ca="1" si="57"/>
        <v>0.10034913286338901</v>
      </c>
      <c r="YH12" s="30">
        <f t="shared" ca="1" si="57"/>
        <v>5.8806722825237141E-2</v>
      </c>
      <c r="YI12" s="30">
        <f t="shared" ca="1" si="57"/>
        <v>3.3864439782461148E-2</v>
      </c>
      <c r="YJ12" s="30">
        <f t="shared" ca="1" si="57"/>
        <v>4.1130325473993687E-2</v>
      </c>
      <c r="YK12" s="30">
        <f t="shared" ca="1" si="57"/>
        <v>-2.7489632431845004E-2</v>
      </c>
      <c r="YL12" s="30">
        <f t="shared" ca="1" si="57"/>
        <v>-2.590751289882989E-2</v>
      </c>
      <c r="YM12" s="30">
        <f t="shared" ca="1" si="57"/>
        <v>-2.4180463977157989E-2</v>
      </c>
      <c r="YN12" s="30">
        <f t="shared" ca="1" si="57"/>
        <v>-3.7322494182426794E-2</v>
      </c>
      <c r="YO12" s="30">
        <f t="shared" ca="1" si="57"/>
        <v>-6.2052328801052228E-2</v>
      </c>
      <c r="YP12" s="30">
        <f t="shared" ca="1" si="57"/>
        <v>-6.3645717070375016E-2</v>
      </c>
      <c r="YQ12" s="30">
        <f t="shared" ca="1" si="57"/>
        <v>-1.3615237929744062E-2</v>
      </c>
      <c r="YR12" s="30">
        <f t="shared" ca="1" si="57"/>
        <v>-1.6402176733893578E-3</v>
      </c>
      <c r="YS12" s="30">
        <f t="shared" ca="1" si="57"/>
        <v>1.169455066462646E-2</v>
      </c>
      <c r="YT12" s="30">
        <f t="shared" ca="1" si="57"/>
        <v>-6.2699289584486201E-2</v>
      </c>
      <c r="YU12" s="30">
        <f t="shared" ca="1" si="57"/>
        <v>4.63389959527402E-2</v>
      </c>
      <c r="YV12" s="30">
        <f t="shared" ca="1" si="57"/>
        <v>7.3511986195249956E-2</v>
      </c>
      <c r="YW12" s="30">
        <f t="shared" ca="1" si="57"/>
        <v>-2.0651455922607982E-2</v>
      </c>
      <c r="YX12" s="30">
        <f t="shared" ca="1" si="57"/>
        <v>4.399301048307435E-2</v>
      </c>
      <c r="YY12" s="30">
        <f t="shared" ca="1" si="57"/>
        <v>2.3686194755354287E-2</v>
      </c>
      <c r="YZ12" s="30">
        <f t="shared" ca="1" si="57"/>
        <v>-1.7700728129338743E-2</v>
      </c>
      <c r="ZA12" s="30">
        <f t="shared" ca="1" si="57"/>
        <v>6.4844395097754498E-2</v>
      </c>
      <c r="ZB12" s="30">
        <f t="shared" ca="1" si="57"/>
        <v>2.9183063567564314E-2</v>
      </c>
      <c r="ZC12" s="30">
        <f t="shared" ca="1" si="57"/>
        <v>2.7055340492483794E-2</v>
      </c>
      <c r="ZD12" s="30">
        <f t="shared" ca="1" si="57"/>
        <v>5.0617987957441136E-2</v>
      </c>
      <c r="ZE12" s="30">
        <f t="shared" ca="1" si="57"/>
        <v>-3.3854087468921323E-2</v>
      </c>
      <c r="ZF12" s="30">
        <f t="shared" ca="1" si="57"/>
        <v>5.1152980702043931E-2</v>
      </c>
      <c r="ZG12" s="30">
        <f t="shared" ca="1" si="57"/>
        <v>7.2185743428471505E-2</v>
      </c>
      <c r="ZH12" s="30">
        <f t="shared" ca="1" si="57"/>
        <v>-2.8131241736805153E-2</v>
      </c>
      <c r="ZI12" s="30">
        <f t="shared" ca="1" si="57"/>
        <v>3.6867048450595047E-2</v>
      </c>
      <c r="ZJ12" s="30">
        <f t="shared" ca="1" si="57"/>
        <v>-6.9564406057047914E-3</v>
      </c>
      <c r="ZK12" s="30">
        <f t="shared" ca="1" si="57"/>
        <v>-2.5252050002163712E-2</v>
      </c>
      <c r="ZL12" s="30">
        <f t="shared" ca="1" si="57"/>
        <v>4.1478535609875682E-2</v>
      </c>
      <c r="ZM12" s="30">
        <f t="shared" ca="1" si="57"/>
        <v>3.891512386174175E-2</v>
      </c>
      <c r="ZN12" s="30">
        <f t="shared" ca="1" si="57"/>
        <v>4.3566555529263959E-2</v>
      </c>
      <c r="ZO12" s="30">
        <f t="shared" ca="1" si="57"/>
        <v>2.1041640877576522E-2</v>
      </c>
      <c r="ZP12" s="30">
        <f t="shared" ca="1" si="57"/>
        <v>-5.9923609084377182E-2</v>
      </c>
      <c r="ZQ12" s="30">
        <f t="shared" ca="1" si="57"/>
        <v>3.0735420170999207E-2</v>
      </c>
      <c r="ZR12" s="30">
        <f t="shared" ca="1" si="57"/>
        <v>-2.7721038956859415E-2</v>
      </c>
      <c r="ZS12" s="30">
        <f t="shared" ca="1" si="57"/>
        <v>1.5786370546960908E-2</v>
      </c>
      <c r="ZT12" s="30">
        <f t="shared" ca="1" si="57"/>
        <v>-4.4215657012536616E-2</v>
      </c>
      <c r="ZU12" s="30">
        <f t="shared" ca="1" si="57"/>
        <v>3.6603500513851986E-2</v>
      </c>
      <c r="ZV12" s="30">
        <f t="shared" ca="1" si="57"/>
        <v>2.893426347001098E-2</v>
      </c>
      <c r="ZW12" s="30">
        <f t="shared" ca="1" si="57"/>
        <v>1.5033926948334496E-3</v>
      </c>
      <c r="ZX12" s="30">
        <f t="shared" ca="1" si="57"/>
        <v>-1.2275979895675587E-3</v>
      </c>
      <c r="ZY12" s="30">
        <f t="shared" ca="1" si="57"/>
        <v>5.6874979046235861E-2</v>
      </c>
      <c r="ZZ12" s="30">
        <f t="shared" ca="1" si="57"/>
        <v>9.5525556035279888E-3</v>
      </c>
      <c r="AAA12" s="30">
        <f t="shared" ca="1" si="57"/>
        <v>-2.8381929464983222E-3</v>
      </c>
      <c r="AAB12" s="30">
        <f t="shared" ca="1" si="57"/>
        <v>-1.1152531021851845E-2</v>
      </c>
      <c r="AAC12" s="30">
        <f t="shared" ca="1" si="57"/>
        <v>-2.2976216488393882E-2</v>
      </c>
      <c r="AAD12" s="30">
        <f t="shared" ca="1" si="57"/>
        <v>-9.070350414821253E-2</v>
      </c>
      <c r="AAE12" s="30">
        <f t="shared" ca="1" si="57"/>
        <v>1.6116796192481103E-2</v>
      </c>
      <c r="AAF12" s="30">
        <f t="shared" ca="1" si="57"/>
        <v>9.9213968446898275E-3</v>
      </c>
      <c r="AAG12" s="30">
        <f t="shared" ca="1" si="57"/>
        <v>9.1405519696133569E-3</v>
      </c>
      <c r="AAH12" s="30">
        <f t="shared" ca="1" si="57"/>
        <v>-6.1036196694556649E-2</v>
      </c>
      <c r="AAI12" s="30">
        <f t="shared" ca="1" si="57"/>
        <v>4.452593789625723E-2</v>
      </c>
      <c r="AAJ12" s="30">
        <f t="shared" ca="1" si="57"/>
        <v>2.5942782880222798E-3</v>
      </c>
      <c r="AAK12" s="30">
        <f t="shared" ca="1" si="57"/>
        <v>-2.4884533426060562E-3</v>
      </c>
      <c r="AAL12" s="30">
        <f t="shared" ca="1" si="48"/>
        <v>-5.4449685653857657E-3</v>
      </c>
      <c r="AAM12" s="30">
        <f t="shared" ref="AAM12:ACX15" ca="1" si="66">_xlfn.NORM.INV(RAND(),$C$8,$C$9)</f>
        <v>7.3637777347660929E-2</v>
      </c>
      <c r="AAN12" s="30">
        <f t="shared" ca="1" si="66"/>
        <v>-9.7361270993220322E-3</v>
      </c>
      <c r="AAO12" s="30">
        <f t="shared" ca="1" si="66"/>
        <v>-6.2513876486673725E-2</v>
      </c>
      <c r="AAP12" s="30">
        <f t="shared" ca="1" si="66"/>
        <v>2.7919678404924885E-2</v>
      </c>
      <c r="AAQ12" s="30">
        <f t="shared" ca="1" si="66"/>
        <v>1.263072844141885E-2</v>
      </c>
      <c r="AAR12" s="30">
        <f t="shared" ca="1" si="66"/>
        <v>-9.2346382630138866E-3</v>
      </c>
      <c r="AAS12" s="30">
        <f t="shared" ca="1" si="66"/>
        <v>3.7012510941960924E-2</v>
      </c>
      <c r="AAT12" s="30">
        <f t="shared" ca="1" si="66"/>
        <v>-1.4527705654453424E-2</v>
      </c>
      <c r="AAU12" s="30">
        <f t="shared" ca="1" si="66"/>
        <v>-5.5996370401596919E-2</v>
      </c>
      <c r="AAV12" s="30">
        <f t="shared" ca="1" si="66"/>
        <v>-1.8156377577990129E-2</v>
      </c>
      <c r="AAW12" s="30">
        <f t="shared" ca="1" si="66"/>
        <v>-2.857205929660632E-2</v>
      </c>
      <c r="AAX12" s="30">
        <f t="shared" ca="1" si="66"/>
        <v>4.6819745408430168E-2</v>
      </c>
      <c r="AAY12" s="30">
        <f t="shared" ca="1" si="66"/>
        <v>-2.8405286352455334E-2</v>
      </c>
      <c r="AAZ12" s="30">
        <f t="shared" ca="1" si="66"/>
        <v>-2.1538638002151457E-3</v>
      </c>
      <c r="ABA12" s="30">
        <f t="shared" ca="1" si="66"/>
        <v>8.0795269177339438E-2</v>
      </c>
      <c r="ABB12" s="30">
        <f t="shared" ca="1" si="66"/>
        <v>-6.6446584184054747E-2</v>
      </c>
      <c r="ABC12" s="30">
        <f t="shared" ca="1" si="66"/>
        <v>-2.1147310587193293E-2</v>
      </c>
      <c r="ABD12" s="30">
        <f t="shared" ca="1" si="66"/>
        <v>-7.0579007416796513E-2</v>
      </c>
      <c r="ABE12" s="30">
        <f t="shared" ca="1" si="66"/>
        <v>1.0235299666886724E-2</v>
      </c>
      <c r="ABF12" s="30">
        <f t="shared" ca="1" si="66"/>
        <v>-1.6753798227407395E-2</v>
      </c>
      <c r="ABG12" s="30">
        <f t="shared" ca="1" si="66"/>
        <v>3.69704121014326E-2</v>
      </c>
      <c r="ABH12" s="30">
        <f t="shared" ca="1" si="66"/>
        <v>-5.2360763096713968E-2</v>
      </c>
      <c r="ABI12" s="30">
        <f t="shared" ca="1" si="66"/>
        <v>-7.2362943280250849E-2</v>
      </c>
      <c r="ABJ12" s="30">
        <f t="shared" ca="1" si="66"/>
        <v>-4.1157134358776631E-2</v>
      </c>
      <c r="ABK12" s="30">
        <f t="shared" ca="1" si="66"/>
        <v>7.4178682011024732E-2</v>
      </c>
      <c r="ABL12" s="30">
        <f t="shared" ca="1" si="66"/>
        <v>1.0633485147000135E-3</v>
      </c>
      <c r="ABM12" s="30">
        <f t="shared" ca="1" si="66"/>
        <v>4.3395319029273611E-3</v>
      </c>
      <c r="ABN12" s="30">
        <f t="shared" ca="1" si="66"/>
        <v>-1.3170751347443487E-2</v>
      </c>
      <c r="ABO12" s="30">
        <f t="shared" ca="1" si="66"/>
        <v>-7.329578035810777E-2</v>
      </c>
      <c r="ABP12" s="30">
        <f t="shared" ca="1" si="66"/>
        <v>6.5876738070500304E-2</v>
      </c>
      <c r="ABQ12" s="30">
        <f t="shared" ca="1" si="66"/>
        <v>-1.574396299433117E-2</v>
      </c>
      <c r="ABR12" s="30">
        <f t="shared" ca="1" si="66"/>
        <v>2.96905396589324E-2</v>
      </c>
      <c r="ABS12" s="30">
        <f t="shared" ca="1" si="66"/>
        <v>-3.449016874835973E-2</v>
      </c>
      <c r="ABT12" s="30">
        <f t="shared" ca="1" si="66"/>
        <v>2.9719583796283363E-2</v>
      </c>
      <c r="ABU12" s="30">
        <f t="shared" ca="1" si="66"/>
        <v>5.2512756950065173E-2</v>
      </c>
      <c r="ABV12" s="30">
        <f t="shared" ca="1" si="66"/>
        <v>-4.7036693659048653E-2</v>
      </c>
      <c r="ABW12" s="30">
        <f t="shared" ca="1" si="66"/>
        <v>1.7394470462104858E-3</v>
      </c>
      <c r="ABX12" s="30">
        <f t="shared" ca="1" si="66"/>
        <v>-3.4706236316424464E-2</v>
      </c>
      <c r="ABY12" s="30">
        <f t="shared" ca="1" si="66"/>
        <v>8.5855059148382679E-2</v>
      </c>
      <c r="ABZ12" s="30">
        <f t="shared" ca="1" si="66"/>
        <v>6.8026113020489262E-2</v>
      </c>
      <c r="ACA12" s="30">
        <f t="shared" ca="1" si="66"/>
        <v>-1.3359151672139517E-2</v>
      </c>
      <c r="ACB12" s="30">
        <f t="shared" ca="1" si="66"/>
        <v>-7.3413234364085894E-2</v>
      </c>
      <c r="ACC12" s="30">
        <f t="shared" ca="1" si="66"/>
        <v>7.6541739988791324E-3</v>
      </c>
      <c r="ACD12" s="30">
        <f t="shared" ca="1" si="66"/>
        <v>-2.8715884720666461E-2</v>
      </c>
      <c r="ACE12" s="30">
        <f t="shared" ca="1" si="66"/>
        <v>-1.3142538394787489E-3</v>
      </c>
      <c r="ACF12" s="30">
        <f t="shared" ca="1" si="66"/>
        <v>-5.6290402028178747E-2</v>
      </c>
      <c r="ACG12" s="30">
        <f t="shared" ca="1" si="66"/>
        <v>-6.376015352062149E-2</v>
      </c>
      <c r="ACH12" s="30">
        <f t="shared" ca="1" si="66"/>
        <v>-1.5658480234641965E-2</v>
      </c>
      <c r="ACI12" s="30">
        <f t="shared" ca="1" si="66"/>
        <v>1.1523275755414227E-2</v>
      </c>
      <c r="ACJ12" s="30">
        <f t="shared" ca="1" si="66"/>
        <v>8.2875293958865281E-2</v>
      </c>
      <c r="ACK12" s="30">
        <f t="shared" ca="1" si="66"/>
        <v>-5.849948676039448E-2</v>
      </c>
      <c r="ACL12" s="30">
        <f t="shared" ca="1" si="66"/>
        <v>2.197763522867436E-2</v>
      </c>
      <c r="ACM12" s="30">
        <f t="shared" ca="1" si="66"/>
        <v>1.3463718288228023E-3</v>
      </c>
      <c r="ACN12" s="30">
        <f t="shared" ca="1" si="66"/>
        <v>2.1897342391336776E-2</v>
      </c>
      <c r="ACO12" s="30">
        <f t="shared" ca="1" si="66"/>
        <v>-5.4071039849530808E-3</v>
      </c>
      <c r="ACP12" s="30">
        <f t="shared" ca="1" si="66"/>
        <v>7.1976880121276801E-2</v>
      </c>
      <c r="ACQ12" s="30">
        <f t="shared" ca="1" si="66"/>
        <v>-1.5618583656023893E-2</v>
      </c>
      <c r="ACR12" s="30">
        <f t="shared" ca="1" si="66"/>
        <v>-1.0901092931840124E-2</v>
      </c>
      <c r="ACS12" s="30">
        <f t="shared" ca="1" si="66"/>
        <v>-1.8499393208367836E-2</v>
      </c>
      <c r="ACT12" s="30">
        <f t="shared" ca="1" si="66"/>
        <v>5.879833062763689E-2</v>
      </c>
      <c r="ACU12" s="30">
        <f t="shared" ca="1" si="66"/>
        <v>2.7457994116842639E-2</v>
      </c>
      <c r="ACV12" s="30">
        <f t="shared" ca="1" si="66"/>
        <v>2.8520515583274477E-2</v>
      </c>
      <c r="ACW12" s="30">
        <f t="shared" ca="1" si="66"/>
        <v>1.875566669638868E-2</v>
      </c>
      <c r="ACX12" s="30">
        <f t="shared" ca="1" si="66"/>
        <v>-2.0758887694593595E-2</v>
      </c>
      <c r="ACY12" s="30">
        <f t="shared" ca="1" si="58"/>
        <v>6.6352904911137628E-2</v>
      </c>
      <c r="ACZ12" s="30">
        <f t="shared" ca="1" si="58"/>
        <v>3.9006545189554591E-2</v>
      </c>
      <c r="ADA12" s="30">
        <f t="shared" ca="1" si="58"/>
        <v>4.4437974622569792E-2</v>
      </c>
      <c r="ADB12" s="30">
        <f t="shared" ca="1" si="58"/>
        <v>5.3965420684881089E-2</v>
      </c>
      <c r="ADC12" s="30">
        <f t="shared" ca="1" si="58"/>
        <v>-5.4302517464535127E-2</v>
      </c>
      <c r="ADD12" s="30">
        <f t="shared" ca="1" si="58"/>
        <v>3.5222630600485791E-2</v>
      </c>
      <c r="ADE12" s="30">
        <f t="shared" ca="1" si="58"/>
        <v>6.5377835376429485E-3</v>
      </c>
      <c r="ADF12" s="30">
        <f t="shared" ca="1" si="58"/>
        <v>4.3088961173289288E-2</v>
      </c>
      <c r="ADG12" s="30">
        <f t="shared" ca="1" si="58"/>
        <v>-3.8392851407327594E-2</v>
      </c>
      <c r="ADH12" s="30">
        <f t="shared" ca="1" si="58"/>
        <v>-1.8054620902576184E-2</v>
      </c>
      <c r="ADI12" s="30">
        <f t="shared" ca="1" si="58"/>
        <v>-4.8942049681874239E-2</v>
      </c>
      <c r="ADJ12" s="30">
        <f t="shared" ca="1" si="58"/>
        <v>-4.6808962415998683E-2</v>
      </c>
      <c r="ADK12" s="30">
        <f t="shared" ca="1" si="58"/>
        <v>1.9208913362583683E-2</v>
      </c>
      <c r="ADL12" s="30">
        <f t="shared" ca="1" si="58"/>
        <v>-6.9655016590557089E-2</v>
      </c>
      <c r="ADM12" s="30">
        <f t="shared" ca="1" si="58"/>
        <v>-7.673492836786611E-3</v>
      </c>
      <c r="ADN12" s="30">
        <f t="shared" ca="1" si="58"/>
        <v>2.7588412592483038E-2</v>
      </c>
      <c r="ADO12" s="30">
        <f t="shared" ca="1" si="58"/>
        <v>5.7821443278370702E-2</v>
      </c>
      <c r="ADP12" s="30">
        <f t="shared" ca="1" si="58"/>
        <v>1.3782307032731315E-2</v>
      </c>
      <c r="ADQ12" s="30">
        <f t="shared" ca="1" si="58"/>
        <v>4.2868441218774908E-2</v>
      </c>
      <c r="ADR12" s="30">
        <f t="shared" ca="1" si="58"/>
        <v>-2.1590472944420611E-2</v>
      </c>
      <c r="ADS12" s="30">
        <f t="shared" ca="1" si="58"/>
        <v>-4.3469934661176414E-2</v>
      </c>
      <c r="ADT12" s="30">
        <f t="shared" ca="1" si="58"/>
        <v>1.088414278570877E-2</v>
      </c>
      <c r="ADU12" s="30">
        <f t="shared" ca="1" si="58"/>
        <v>5.2033993398608341E-2</v>
      </c>
      <c r="ADV12" s="30">
        <f t="shared" ca="1" si="58"/>
        <v>3.2719479550049869E-2</v>
      </c>
      <c r="ADW12" s="30">
        <f t="shared" ca="1" si="58"/>
        <v>-4.7387628088749773E-2</v>
      </c>
      <c r="ADX12" s="30">
        <f t="shared" ca="1" si="58"/>
        <v>-2.3273900179220781E-2</v>
      </c>
      <c r="ADY12" s="30">
        <f t="shared" ca="1" si="58"/>
        <v>6.5834405281271491E-2</v>
      </c>
      <c r="ADZ12" s="30">
        <f t="shared" ca="1" si="58"/>
        <v>-1.9849175828670598E-2</v>
      </c>
      <c r="AEA12" s="30">
        <f t="shared" ca="1" si="58"/>
        <v>-1.6409983180091959E-3</v>
      </c>
      <c r="AEB12" s="30">
        <f t="shared" ca="1" si="58"/>
        <v>-3.5812835237466874E-2</v>
      </c>
      <c r="AEC12" s="30">
        <f t="shared" ca="1" si="58"/>
        <v>2.5940714258276872E-2</v>
      </c>
      <c r="AED12" s="30">
        <f t="shared" ca="1" si="58"/>
        <v>-2.94628948078451E-2</v>
      </c>
      <c r="AEE12" s="30">
        <f t="shared" ca="1" si="58"/>
        <v>1.2372574310509357E-2</v>
      </c>
      <c r="AEF12" s="30">
        <f t="shared" ca="1" si="58"/>
        <v>5.128350577810447E-2</v>
      </c>
      <c r="AEG12" s="30">
        <f t="shared" ca="1" si="58"/>
        <v>1.6749998497635999E-3</v>
      </c>
      <c r="AEH12" s="30">
        <f t="shared" ca="1" si="58"/>
        <v>-3.2929253779879951E-2</v>
      </c>
      <c r="AEI12" s="30">
        <f t="shared" ca="1" si="58"/>
        <v>2.4434120693301309E-3</v>
      </c>
      <c r="AEJ12" s="30">
        <f t="shared" ca="1" si="58"/>
        <v>-7.1333959994757862E-2</v>
      </c>
      <c r="AEK12" s="30">
        <f t="shared" ca="1" si="58"/>
        <v>-4.6528368499819207E-2</v>
      </c>
      <c r="AEL12" s="30">
        <f t="shared" ca="1" si="58"/>
        <v>-5.1052904501873213E-2</v>
      </c>
      <c r="AEM12" s="30">
        <f t="shared" ca="1" si="58"/>
        <v>3.8591267833938549E-2</v>
      </c>
      <c r="AEN12" s="30">
        <f t="shared" ca="1" si="58"/>
        <v>-9.7317462051880986E-3</v>
      </c>
      <c r="AEO12" s="30">
        <f t="shared" ca="1" si="58"/>
        <v>-2.385462262448259E-2</v>
      </c>
      <c r="AEP12" s="30">
        <f t="shared" ca="1" si="58"/>
        <v>3.9526792908601449E-2</v>
      </c>
      <c r="AEQ12" s="30">
        <f t="shared" ca="1" si="58"/>
        <v>1.0730710246621648E-3</v>
      </c>
      <c r="AER12" s="30">
        <f t="shared" ca="1" si="58"/>
        <v>-4.2376949169466042E-2</v>
      </c>
      <c r="AES12" s="30">
        <f t="shared" ca="1" si="58"/>
        <v>3.201505236731033E-2</v>
      </c>
      <c r="AET12" s="30">
        <f t="shared" ca="1" si="58"/>
        <v>4.9471730510057734E-3</v>
      </c>
      <c r="AEU12" s="30">
        <f t="shared" ca="1" si="58"/>
        <v>0.10090550188759997</v>
      </c>
      <c r="AEV12" s="30">
        <f t="shared" ca="1" si="58"/>
        <v>-3.9494976437076425E-2</v>
      </c>
      <c r="AEW12" s="30">
        <f t="shared" ca="1" si="58"/>
        <v>3.5775030195437735E-2</v>
      </c>
      <c r="AEX12" s="30">
        <f t="shared" ca="1" si="58"/>
        <v>9.7589219400128751E-3</v>
      </c>
      <c r="AEY12" s="30">
        <f t="shared" ca="1" si="58"/>
        <v>-1.3121370409338961E-2</v>
      </c>
      <c r="AEZ12" s="30">
        <f t="shared" ca="1" si="58"/>
        <v>2.221182998115263E-2</v>
      </c>
      <c r="AFA12" s="30">
        <f t="shared" ca="1" si="58"/>
        <v>3.7760412560573435E-2</v>
      </c>
      <c r="AFB12" s="30">
        <f t="shared" ca="1" si="58"/>
        <v>1.6817895448969725E-2</v>
      </c>
      <c r="AFC12" s="30">
        <f t="shared" ca="1" si="58"/>
        <v>-6.0601514575475662E-2</v>
      </c>
      <c r="AFD12" s="30">
        <f t="shared" ca="1" si="58"/>
        <v>1.1081355725594507E-2</v>
      </c>
      <c r="AFE12" s="30">
        <f t="shared" ca="1" si="58"/>
        <v>4.9591842414915899E-3</v>
      </c>
      <c r="AFF12" s="30">
        <f t="shared" ca="1" si="58"/>
        <v>-2.6064912946532601E-2</v>
      </c>
      <c r="AFG12" s="30">
        <f t="shared" ca="1" si="58"/>
        <v>-1.9944544277224592E-2</v>
      </c>
      <c r="AFH12" s="30">
        <f t="shared" ca="1" si="58"/>
        <v>-4.509507690781326E-2</v>
      </c>
      <c r="AFI12" s="30">
        <f t="shared" ca="1" si="58"/>
        <v>7.0758787935933293E-2</v>
      </c>
      <c r="AFJ12" s="30">
        <f t="shared" ca="1" si="49"/>
        <v>1.7546309045544208E-3</v>
      </c>
      <c r="AFK12" s="30">
        <f t="shared" ref="AFK12:AHV15" ca="1" si="67">_xlfn.NORM.INV(RAND(),$C$8,$C$9)</f>
        <v>5.3413980781647927E-2</v>
      </c>
      <c r="AFL12" s="30">
        <f t="shared" ca="1" si="67"/>
        <v>7.481321632669573E-3</v>
      </c>
      <c r="AFM12" s="30">
        <f t="shared" ca="1" si="67"/>
        <v>5.1200983074269034E-2</v>
      </c>
      <c r="AFN12" s="30">
        <f t="shared" ca="1" si="67"/>
        <v>-2.8984066156033418E-3</v>
      </c>
      <c r="AFO12" s="30">
        <f t="shared" ca="1" si="67"/>
        <v>-1.4675399827395047E-2</v>
      </c>
      <c r="AFP12" s="30">
        <f t="shared" ca="1" si="67"/>
        <v>3.0983128426280832E-2</v>
      </c>
      <c r="AFQ12" s="30">
        <f t="shared" ca="1" si="67"/>
        <v>-2.6764844336595831E-2</v>
      </c>
      <c r="AFR12" s="30">
        <f t="shared" ca="1" si="67"/>
        <v>-9.0857640121896246E-2</v>
      </c>
      <c r="AFS12" s="30">
        <f t="shared" ca="1" si="67"/>
        <v>-4.9213434297445395E-2</v>
      </c>
      <c r="AFT12" s="30">
        <f t="shared" ca="1" si="67"/>
        <v>1.2351149738661742E-2</v>
      </c>
      <c r="AFU12" s="30">
        <f t="shared" ca="1" si="67"/>
        <v>-3.8957357248814342E-2</v>
      </c>
      <c r="AFV12" s="30">
        <f t="shared" ca="1" si="67"/>
        <v>-1.7414306385936017E-2</v>
      </c>
      <c r="AFW12" s="30">
        <f t="shared" ca="1" si="67"/>
        <v>1.4945381238091204E-2</v>
      </c>
      <c r="AFX12" s="30">
        <f t="shared" ca="1" si="67"/>
        <v>5.0520740033974082E-2</v>
      </c>
      <c r="AFY12" s="30">
        <f t="shared" ca="1" si="67"/>
        <v>8.1328244103852226E-2</v>
      </c>
      <c r="AFZ12" s="30">
        <f t="shared" ca="1" si="67"/>
        <v>-2.7837882333214933E-2</v>
      </c>
      <c r="AGA12" s="30">
        <f t="shared" ca="1" si="67"/>
        <v>5.3509528956715346E-2</v>
      </c>
      <c r="AGB12" s="30">
        <f t="shared" ca="1" si="67"/>
        <v>-1.4943701081336101E-2</v>
      </c>
      <c r="AGC12" s="30">
        <f t="shared" ca="1" si="67"/>
        <v>-2.9146495604374541E-2</v>
      </c>
      <c r="AGD12" s="30">
        <f t="shared" ca="1" si="67"/>
        <v>2.6623722457988644E-3</v>
      </c>
      <c r="AGE12" s="30">
        <f t="shared" ca="1" si="67"/>
        <v>-2.4719196400270975E-2</v>
      </c>
      <c r="AGF12" s="30">
        <f t="shared" ca="1" si="67"/>
        <v>-3.4526872746697523E-2</v>
      </c>
      <c r="AGG12" s="30">
        <f t="shared" ca="1" si="67"/>
        <v>-6.8705769227543817E-2</v>
      </c>
      <c r="AGH12" s="30">
        <f t="shared" ca="1" si="67"/>
        <v>-5.6300774467042888E-2</v>
      </c>
      <c r="AGI12" s="30">
        <f t="shared" ca="1" si="67"/>
        <v>-4.1203840526551065E-2</v>
      </c>
      <c r="AGJ12" s="30">
        <f t="shared" ca="1" si="67"/>
        <v>-5.5071744173164926E-2</v>
      </c>
      <c r="AGK12" s="30">
        <f t="shared" ca="1" si="67"/>
        <v>-2.6733326097062055E-2</v>
      </c>
      <c r="AGL12" s="30">
        <f t="shared" ca="1" si="67"/>
        <v>8.2619081536902519E-2</v>
      </c>
      <c r="AGM12" s="30">
        <f t="shared" ca="1" si="67"/>
        <v>-2.001024176122336E-2</v>
      </c>
      <c r="AGN12" s="30">
        <f t="shared" ca="1" si="67"/>
        <v>-2.1949914302928506E-2</v>
      </c>
      <c r="AGO12" s="30">
        <f t="shared" ca="1" si="67"/>
        <v>-8.7333187397173828E-2</v>
      </c>
      <c r="AGP12" s="30">
        <f t="shared" ca="1" si="67"/>
        <v>-3.6909774097789649E-3</v>
      </c>
      <c r="AGQ12" s="30">
        <f t="shared" ca="1" si="67"/>
        <v>0.10453083234509182</v>
      </c>
      <c r="AGR12" s="30">
        <f t="shared" ca="1" si="67"/>
        <v>3.191653609607624E-2</v>
      </c>
      <c r="AGS12" s="30">
        <f t="shared" ca="1" si="67"/>
        <v>1.6485941570078586E-2</v>
      </c>
      <c r="AGT12" s="30">
        <f t="shared" ca="1" si="67"/>
        <v>-8.3489132362486E-3</v>
      </c>
      <c r="AGU12" s="30">
        <f t="shared" ca="1" si="67"/>
        <v>1.2260534485641688E-2</v>
      </c>
      <c r="AGV12" s="30">
        <f t="shared" ca="1" si="67"/>
        <v>-3.5269066519355401E-2</v>
      </c>
      <c r="AGW12" s="30">
        <f t="shared" ca="1" si="67"/>
        <v>4.9503351011973465E-2</v>
      </c>
      <c r="AGX12" s="30">
        <f t="shared" ca="1" si="67"/>
        <v>1.5316201694437735E-2</v>
      </c>
      <c r="AGY12" s="30">
        <f t="shared" ca="1" si="67"/>
        <v>-6.884703512647497E-2</v>
      </c>
      <c r="AGZ12" s="30">
        <f t="shared" ca="1" si="67"/>
        <v>3.2805359218932781E-2</v>
      </c>
      <c r="AHA12" s="30">
        <f t="shared" ca="1" si="67"/>
        <v>-2.1508801650817665E-2</v>
      </c>
      <c r="AHB12" s="30">
        <f t="shared" ca="1" si="67"/>
        <v>3.3383463437523953E-3</v>
      </c>
      <c r="AHC12" s="30">
        <f t="shared" ca="1" si="67"/>
        <v>5.3532293778849284E-3</v>
      </c>
      <c r="AHD12" s="30">
        <f t="shared" ca="1" si="67"/>
        <v>-1.9075853973694556E-2</v>
      </c>
      <c r="AHE12" s="30">
        <f t="shared" ca="1" si="67"/>
        <v>-5.3802297006541114E-2</v>
      </c>
      <c r="AHF12" s="30">
        <f t="shared" ca="1" si="67"/>
        <v>-1.8696554806034275E-2</v>
      </c>
      <c r="AHG12" s="30">
        <f t="shared" ca="1" si="67"/>
        <v>1.7131764341685965E-2</v>
      </c>
      <c r="AHH12" s="30">
        <f t="shared" ca="1" si="67"/>
        <v>-2.6435997014883483E-3</v>
      </c>
      <c r="AHI12" s="30">
        <f t="shared" ca="1" si="67"/>
        <v>4.9992632645765048E-2</v>
      </c>
      <c r="AHJ12" s="30">
        <f t="shared" ca="1" si="67"/>
        <v>3.6968314963963043E-2</v>
      </c>
      <c r="AHK12" s="30">
        <f t="shared" ca="1" si="67"/>
        <v>1.235397897589535E-2</v>
      </c>
      <c r="AHL12" s="30">
        <f t="shared" ca="1" si="67"/>
        <v>-5.4961601443803861E-2</v>
      </c>
      <c r="AHM12" s="30">
        <f t="shared" ca="1" si="67"/>
        <v>-5.2977093188040668E-3</v>
      </c>
      <c r="AHN12" s="30">
        <f t="shared" ca="1" si="67"/>
        <v>6.9741594307050375E-2</v>
      </c>
      <c r="AHO12" s="30">
        <f t="shared" ca="1" si="67"/>
        <v>1.4409589798191198E-2</v>
      </c>
      <c r="AHP12" s="30">
        <f t="shared" ca="1" si="67"/>
        <v>1.7755488900854887E-2</v>
      </c>
      <c r="AHQ12" s="30">
        <f t="shared" ca="1" si="67"/>
        <v>2.2602453411568302E-2</v>
      </c>
      <c r="AHR12" s="30">
        <f t="shared" ca="1" si="67"/>
        <v>-1.7805552518557633E-2</v>
      </c>
      <c r="AHS12" s="30">
        <f t="shared" ca="1" si="67"/>
        <v>2.882114935494914E-2</v>
      </c>
      <c r="AHT12" s="30">
        <f t="shared" ca="1" si="67"/>
        <v>-8.0974178905149824E-2</v>
      </c>
      <c r="AHU12" s="30">
        <f t="shared" ca="1" si="67"/>
        <v>2.4166377015835645E-2</v>
      </c>
      <c r="AHV12" s="30">
        <f t="shared" ca="1" si="67"/>
        <v>-1.4833952337224444E-2</v>
      </c>
      <c r="AHW12" s="30">
        <f t="shared" ca="1" si="59"/>
        <v>1.0075858215027987E-2</v>
      </c>
      <c r="AHX12" s="30">
        <f t="shared" ca="1" si="59"/>
        <v>-4.8713206255398961E-3</v>
      </c>
      <c r="AHY12" s="30">
        <f t="shared" ca="1" si="59"/>
        <v>2.3444919720470987E-2</v>
      </c>
      <c r="AHZ12" s="30">
        <f t="shared" ca="1" si="59"/>
        <v>-5.3078326189543498E-3</v>
      </c>
      <c r="AIA12" s="30">
        <f t="shared" ca="1" si="59"/>
        <v>3.2900283909439694E-3</v>
      </c>
      <c r="AIB12" s="30">
        <f t="shared" ca="1" si="59"/>
        <v>6.2308649384248049E-4</v>
      </c>
      <c r="AIC12" s="30">
        <f t="shared" ca="1" si="59"/>
        <v>4.8580942357737196E-2</v>
      </c>
      <c r="AID12" s="30">
        <f t="shared" ca="1" si="59"/>
        <v>2.1844633692359807E-2</v>
      </c>
      <c r="AIE12" s="30">
        <f t="shared" ca="1" si="59"/>
        <v>-3.3899656617127627E-2</v>
      </c>
      <c r="AIF12" s="30">
        <f t="shared" ca="1" si="59"/>
        <v>1.6997568484935568E-2</v>
      </c>
      <c r="AIG12" s="30">
        <f t="shared" ca="1" si="59"/>
        <v>1.8801215372913422E-2</v>
      </c>
      <c r="AIH12" s="30">
        <f t="shared" ca="1" si="59"/>
        <v>-3.3688877105676534E-3</v>
      </c>
      <c r="AII12" s="30">
        <f t="shared" ca="1" si="59"/>
        <v>-4.8214892123534553E-2</v>
      </c>
      <c r="AIJ12" s="30">
        <f t="shared" ca="1" si="59"/>
        <v>3.8288549889898008E-2</v>
      </c>
      <c r="AIK12" s="30">
        <f t="shared" ca="1" si="59"/>
        <v>4.7725825657570949E-2</v>
      </c>
      <c r="AIL12" s="30">
        <f t="shared" ca="1" si="59"/>
        <v>-4.3043665375497109E-3</v>
      </c>
      <c r="AIM12" s="30">
        <f t="shared" ca="1" si="59"/>
        <v>1.0986972818899963E-2</v>
      </c>
      <c r="AIN12" s="30">
        <f t="shared" ca="1" si="59"/>
        <v>4.5994646554276203E-5</v>
      </c>
      <c r="AIO12" s="30">
        <f t="shared" ca="1" si="59"/>
        <v>-3.8468060578010992E-2</v>
      </c>
      <c r="AIP12" s="30">
        <f t="shared" ca="1" si="59"/>
        <v>1.4503519245790965E-2</v>
      </c>
      <c r="AIQ12" s="30">
        <f t="shared" ca="1" si="59"/>
        <v>1.4144021272058788E-2</v>
      </c>
      <c r="AIR12" s="30">
        <f t="shared" ca="1" si="59"/>
        <v>1.4517592720287536E-2</v>
      </c>
      <c r="AIS12" s="30">
        <f t="shared" ca="1" si="59"/>
        <v>1.0221729756038115E-2</v>
      </c>
      <c r="AIT12" s="30">
        <f t="shared" ca="1" si="59"/>
        <v>1.9062256574311393E-2</v>
      </c>
      <c r="AIU12" s="30">
        <f t="shared" ca="1" si="59"/>
        <v>1.5523694621301983E-2</v>
      </c>
      <c r="AIV12" s="30">
        <f t="shared" ca="1" si="59"/>
        <v>-2.6428205774778817E-2</v>
      </c>
      <c r="AIW12" s="30">
        <f t="shared" ca="1" si="59"/>
        <v>-2.6352194546631954E-2</v>
      </c>
      <c r="AIX12" s="30">
        <f t="shared" ca="1" si="59"/>
        <v>2.9465647382241594E-2</v>
      </c>
      <c r="AIY12" s="30">
        <f t="shared" ca="1" si="59"/>
        <v>1.3561095225546388E-2</v>
      </c>
      <c r="AIZ12" s="30">
        <f t="shared" ca="1" si="59"/>
        <v>1.0358847735358176E-2</v>
      </c>
      <c r="AJA12" s="30">
        <f t="shared" ca="1" si="59"/>
        <v>6.8446324385414661E-2</v>
      </c>
      <c r="AJB12" s="30">
        <f t="shared" ca="1" si="59"/>
        <v>5.1575862107258535E-2</v>
      </c>
      <c r="AJC12" s="30">
        <f t="shared" ca="1" si="59"/>
        <v>-1.8566149298673548E-2</v>
      </c>
      <c r="AJD12" s="30">
        <f t="shared" ca="1" si="59"/>
        <v>6.4234378354073021E-3</v>
      </c>
      <c r="AJE12" s="30">
        <f t="shared" ca="1" si="59"/>
        <v>-1.2992478568105488E-2</v>
      </c>
      <c r="AJF12" s="30">
        <f t="shared" ca="1" si="59"/>
        <v>1.8694619014261532E-2</v>
      </c>
      <c r="AJG12" s="30">
        <f t="shared" ca="1" si="59"/>
        <v>0.10210593479755231</v>
      </c>
      <c r="AJH12" s="30">
        <f t="shared" ca="1" si="59"/>
        <v>1.9074679469283623E-2</v>
      </c>
      <c r="AJI12" s="30">
        <f t="shared" ca="1" si="59"/>
        <v>1.8096691927453265E-2</v>
      </c>
      <c r="AJJ12" s="30">
        <f t="shared" ca="1" si="59"/>
        <v>-6.2693364966035642E-2</v>
      </c>
      <c r="AJK12" s="30">
        <f t="shared" ca="1" si="59"/>
        <v>4.3330886357583767E-2</v>
      </c>
      <c r="AJL12" s="30">
        <f t="shared" ca="1" si="59"/>
        <v>5.1830266885487655E-2</v>
      </c>
      <c r="AJM12" s="30">
        <f t="shared" ca="1" si="59"/>
        <v>-1.0929793090871836E-2</v>
      </c>
      <c r="AJN12" s="30">
        <f t="shared" ca="1" si="59"/>
        <v>3.4847616268868786E-2</v>
      </c>
      <c r="AJO12" s="30">
        <f t="shared" ca="1" si="59"/>
        <v>2.4197417550042601E-3</v>
      </c>
      <c r="AJP12" s="30">
        <f t="shared" ca="1" si="59"/>
        <v>-1.3697935059102829E-3</v>
      </c>
      <c r="AJQ12" s="30">
        <f t="shared" ca="1" si="59"/>
        <v>6.0054528347667476E-3</v>
      </c>
      <c r="AJR12" s="30">
        <f t="shared" ca="1" si="59"/>
        <v>7.87727411240388E-2</v>
      </c>
      <c r="AJS12" s="30">
        <f t="shared" ca="1" si="59"/>
        <v>3.6889870481182606E-2</v>
      </c>
      <c r="AJT12" s="30">
        <f t="shared" ca="1" si="59"/>
        <v>4.2694498315468642E-2</v>
      </c>
      <c r="AJU12" s="30">
        <f t="shared" ca="1" si="59"/>
        <v>2.9014050508156163E-2</v>
      </c>
      <c r="AJV12" s="30">
        <f t="shared" ca="1" si="59"/>
        <v>-3.0513539497994187E-2</v>
      </c>
      <c r="AJW12" s="30">
        <f t="shared" ca="1" si="59"/>
        <v>-6.8460074298791473E-2</v>
      </c>
      <c r="AJX12" s="30">
        <f t="shared" ca="1" si="59"/>
        <v>6.3038114295950104E-2</v>
      </c>
      <c r="AJY12" s="30">
        <f t="shared" ca="1" si="59"/>
        <v>8.5371538093204566E-3</v>
      </c>
      <c r="AJZ12" s="30">
        <f t="shared" ca="1" si="59"/>
        <v>-5.6062250105220063E-2</v>
      </c>
      <c r="AKA12" s="30">
        <f t="shared" ca="1" si="59"/>
        <v>-3.0888793438858149E-2</v>
      </c>
      <c r="AKB12" s="30">
        <f t="shared" ca="1" si="59"/>
        <v>4.2140101703423402E-2</v>
      </c>
      <c r="AKC12" s="30">
        <f t="shared" ca="1" si="59"/>
        <v>9.7266145249491238E-3</v>
      </c>
      <c r="AKD12" s="30">
        <f t="shared" ca="1" si="59"/>
        <v>5.979685021447316E-2</v>
      </c>
      <c r="AKE12" s="30">
        <f t="shared" ca="1" si="59"/>
        <v>-8.705717103027488E-4</v>
      </c>
      <c r="AKF12" s="30">
        <f t="shared" ca="1" si="59"/>
        <v>2.0379264473203509E-2</v>
      </c>
      <c r="AKG12" s="30">
        <f t="shared" ca="1" si="59"/>
        <v>1.8678076423405743E-2</v>
      </c>
      <c r="AKH12" s="30">
        <f t="shared" ca="1" si="60"/>
        <v>-9.6664974898325365E-4</v>
      </c>
      <c r="AKI12" s="30">
        <f t="shared" ca="1" si="60"/>
        <v>-5.6313137649069853E-2</v>
      </c>
      <c r="AKJ12" s="30">
        <f t="shared" ca="1" si="60"/>
        <v>-7.5916781357509039E-2</v>
      </c>
      <c r="AKK12" s="30">
        <f t="shared" ca="1" si="60"/>
        <v>-2.7815796929374196E-2</v>
      </c>
      <c r="AKL12" s="30">
        <f t="shared" ca="1" si="60"/>
        <v>3.6430567938663172E-2</v>
      </c>
      <c r="AKM12" s="30">
        <f t="shared" ca="1" si="60"/>
        <v>8.2608873751777536E-4</v>
      </c>
      <c r="AKN12" s="30">
        <f t="shared" ca="1" si="60"/>
        <v>1.3876035561648107E-4</v>
      </c>
      <c r="AKO12" s="30">
        <f t="shared" ca="1" si="60"/>
        <v>8.0288600814243539E-3</v>
      </c>
      <c r="AKP12" s="30">
        <f t="shared" ca="1" si="60"/>
        <v>6.7530576438765269E-2</v>
      </c>
      <c r="AKQ12" s="30">
        <f t="shared" ca="1" si="60"/>
        <v>-1.625082567631039E-2</v>
      </c>
      <c r="AKR12" s="30">
        <f t="shared" ca="1" si="60"/>
        <v>8.936054391543842E-2</v>
      </c>
      <c r="AKS12" s="30">
        <f t="shared" ca="1" si="60"/>
        <v>2.9649762653197995E-2</v>
      </c>
      <c r="AKT12" s="30">
        <f t="shared" ca="1" si="60"/>
        <v>5.7878006958676148E-2</v>
      </c>
      <c r="AKU12" s="30">
        <f t="shared" ca="1" si="60"/>
        <v>5.6814163755501586E-2</v>
      </c>
      <c r="AKV12" s="30">
        <f t="shared" ca="1" si="60"/>
        <v>-3.9574117711507713E-2</v>
      </c>
      <c r="AKW12" s="30">
        <f t="shared" ca="1" si="60"/>
        <v>-1.6055198499809145E-2</v>
      </c>
      <c r="AKX12" s="30">
        <f t="shared" ca="1" si="60"/>
        <v>-7.7882494903709895E-2</v>
      </c>
      <c r="AKY12" s="30">
        <f t="shared" ca="1" si="60"/>
        <v>-7.7645921159951881E-3</v>
      </c>
      <c r="AKZ12" s="30">
        <f t="shared" ca="1" si="60"/>
        <v>2.8736410244848264E-2</v>
      </c>
      <c r="ALA12" s="30">
        <f t="shared" ca="1" si="60"/>
        <v>-3.3092385921620428E-2</v>
      </c>
      <c r="ALB12" s="30">
        <f t="shared" ca="1" si="60"/>
        <v>2.7638344082933121E-4</v>
      </c>
      <c r="ALC12" s="30">
        <f t="shared" ca="1" si="60"/>
        <v>-5.3150428619058991E-2</v>
      </c>
      <c r="ALD12" s="30">
        <f t="shared" ca="1" si="60"/>
        <v>5.5567820740360881E-2</v>
      </c>
      <c r="ALE12" s="30">
        <f t="shared" ca="1" si="60"/>
        <v>-4.8775948937770888E-2</v>
      </c>
      <c r="ALF12" s="30">
        <f t="shared" ca="1" si="60"/>
        <v>-1.4139204217033408E-2</v>
      </c>
      <c r="ALG12" s="30">
        <f t="shared" ca="1" si="60"/>
        <v>3.2191781550770467E-2</v>
      </c>
      <c r="ALH12" s="30">
        <f t="shared" ca="1" si="60"/>
        <v>-1.5284642277655615E-2</v>
      </c>
      <c r="ALI12" s="30">
        <f t="shared" ca="1" si="60"/>
        <v>3.4494350511698954E-2</v>
      </c>
      <c r="ALJ12" s="30">
        <f t="shared" ca="1" si="60"/>
        <v>4.4727363717368324E-2</v>
      </c>
      <c r="ALK12" s="30">
        <f t="shared" ca="1" si="60"/>
        <v>2.1833289476906378E-2</v>
      </c>
      <c r="ALL12" s="30">
        <f t="shared" ca="1" si="60"/>
        <v>1.466932262434789E-2</v>
      </c>
      <c r="ALM12" s="30">
        <f t="shared" ca="1" si="60"/>
        <v>-1.073949074970588E-2</v>
      </c>
      <c r="ALN12" s="30">
        <f t="shared" ca="1" si="60"/>
        <v>-4.3040532315412577E-2</v>
      </c>
      <c r="ALO12" s="30">
        <f t="shared" ca="1" si="60"/>
        <v>-2.6578616733733053E-2</v>
      </c>
      <c r="ALP12" s="30">
        <f t="shared" ca="1" si="60"/>
        <v>-3.4908358948358829E-2</v>
      </c>
      <c r="ALQ12" s="30">
        <f t="shared" ca="1" si="60"/>
        <v>5.493021670085857E-2</v>
      </c>
      <c r="ALR12" s="30">
        <f t="shared" ca="1" si="60"/>
        <v>5.0359378058125376E-2</v>
      </c>
    </row>
    <row r="13" spans="2:1006" s="29" customFormat="1" x14ac:dyDescent="0.2">
      <c r="F13" s="32">
        <f t="shared" si="35"/>
        <v>10</v>
      </c>
      <c r="G13" s="30">
        <f t="shared" ca="1" si="33"/>
        <v>5.6167301127394926E-3</v>
      </c>
      <c r="H13" s="30">
        <f t="shared" ca="1" si="51"/>
        <v>5.4368185005299198E-2</v>
      </c>
      <c r="I13" s="30">
        <f t="shared" ca="1" si="51"/>
        <v>-2.4177981748101526E-2</v>
      </c>
      <c r="J13" s="30">
        <f t="shared" ca="1" si="51"/>
        <v>-1.604352046958572E-2</v>
      </c>
      <c r="K13" s="30">
        <f t="shared" ca="1" si="51"/>
        <v>5.1354071871040699E-2</v>
      </c>
      <c r="L13" s="30">
        <f t="shared" ca="1" si="51"/>
        <v>-8.1850915796607745E-3</v>
      </c>
      <c r="M13" s="30">
        <f t="shared" ca="1" si="51"/>
        <v>2.7082277710323375E-3</v>
      </c>
      <c r="N13" s="30">
        <f t="shared" ca="1" si="51"/>
        <v>-1.2813553785149076E-2</v>
      </c>
      <c r="O13" s="30">
        <f t="shared" ca="1" si="51"/>
        <v>1.6512511412101822E-2</v>
      </c>
      <c r="P13" s="30">
        <f t="shared" ca="1" si="51"/>
        <v>-3.6560949716810343E-2</v>
      </c>
      <c r="Q13" s="30">
        <f t="shared" ca="1" si="51"/>
        <v>-7.5352193272117066E-3</v>
      </c>
      <c r="R13" s="30">
        <f t="shared" ca="1" si="51"/>
        <v>2.3549772221892633E-2</v>
      </c>
      <c r="S13" s="30">
        <f t="shared" ca="1" si="51"/>
        <v>-2.8525572575563932E-3</v>
      </c>
      <c r="T13" s="30">
        <f t="shared" ca="1" si="51"/>
        <v>-7.6952178968877228E-3</v>
      </c>
      <c r="U13" s="30">
        <f t="shared" ca="1" si="51"/>
        <v>-2.3584118834421922E-2</v>
      </c>
      <c r="V13" s="30">
        <f t="shared" ca="1" si="51"/>
        <v>3.3551135022751186E-2</v>
      </c>
      <c r="W13" s="30">
        <f t="shared" ca="1" si="51"/>
        <v>8.3176741120779725E-3</v>
      </c>
      <c r="X13" s="30">
        <f t="shared" ca="1" si="51"/>
        <v>7.2675271036301567E-3</v>
      </c>
      <c r="Y13" s="30">
        <f t="shared" ca="1" si="51"/>
        <v>-9.7118516748402398E-2</v>
      </c>
      <c r="Z13" s="30">
        <f t="shared" ca="1" si="51"/>
        <v>-1.0276328531056585E-3</v>
      </c>
      <c r="AA13" s="30">
        <f t="shared" ca="1" si="51"/>
        <v>-1.7774668314949942E-2</v>
      </c>
      <c r="AB13" s="30">
        <f t="shared" ca="1" si="51"/>
        <v>4.7006494095365892E-2</v>
      </c>
      <c r="AC13" s="30">
        <f t="shared" ca="1" si="51"/>
        <v>-5.6511937714259228E-3</v>
      </c>
      <c r="AD13" s="30">
        <f t="shared" ca="1" si="51"/>
        <v>-5.8038839252159491E-3</v>
      </c>
      <c r="AE13" s="30">
        <f t="shared" ca="1" si="51"/>
        <v>-2.5203206995103901E-2</v>
      </c>
      <c r="AF13" s="30">
        <f t="shared" ca="1" si="51"/>
        <v>-2.245374729330487E-2</v>
      </c>
      <c r="AG13" s="30">
        <f t="shared" ca="1" si="51"/>
        <v>-4.2229174445833691E-2</v>
      </c>
      <c r="AH13" s="30">
        <f t="shared" ca="1" si="51"/>
        <v>3.7935196617845064E-2</v>
      </c>
      <c r="AI13" s="30">
        <f t="shared" ca="1" si="51"/>
        <v>-1.2617222530892874E-2</v>
      </c>
      <c r="AJ13" s="30">
        <f t="shared" ca="1" si="51"/>
        <v>-1.6374350877139596E-3</v>
      </c>
      <c r="AK13" s="30">
        <f t="shared" ca="1" si="51"/>
        <v>-1.4333559379977764E-2</v>
      </c>
      <c r="AL13" s="30">
        <f t="shared" ca="1" si="51"/>
        <v>9.9500309107323961E-3</v>
      </c>
      <c r="AM13" s="30">
        <f t="shared" ca="1" si="51"/>
        <v>-3.2079038278674581E-2</v>
      </c>
      <c r="AN13" s="30">
        <f t="shared" ca="1" si="51"/>
        <v>-5.0227920810430544E-2</v>
      </c>
      <c r="AO13" s="30">
        <f t="shared" ca="1" si="51"/>
        <v>-7.6402136746959559E-2</v>
      </c>
      <c r="AP13" s="30">
        <f t="shared" ca="1" si="51"/>
        <v>4.208428142325913E-2</v>
      </c>
      <c r="AQ13" s="30">
        <f t="shared" ca="1" si="51"/>
        <v>4.1678733788052334E-2</v>
      </c>
      <c r="AR13" s="30">
        <f t="shared" ca="1" si="51"/>
        <v>3.392292841201118E-2</v>
      </c>
      <c r="AS13" s="30">
        <f t="shared" ca="1" si="51"/>
        <v>5.1764884806513839E-2</v>
      </c>
      <c r="AT13" s="30">
        <f t="shared" ca="1" si="51"/>
        <v>-3.6402590092158467E-2</v>
      </c>
      <c r="AU13" s="30">
        <f t="shared" ca="1" si="51"/>
        <v>-3.2946194828188252E-2</v>
      </c>
      <c r="AV13" s="30">
        <f t="shared" ca="1" si="51"/>
        <v>0.13468214890511923</v>
      </c>
      <c r="AW13" s="30">
        <f t="shared" ca="1" si="51"/>
        <v>3.3522162384979785E-2</v>
      </c>
      <c r="AX13" s="30">
        <f t="shared" ca="1" si="51"/>
        <v>-2.6185177335712313E-2</v>
      </c>
      <c r="AY13" s="30">
        <f t="shared" ca="1" si="51"/>
        <v>2.5624679916841494E-3</v>
      </c>
      <c r="AZ13" s="30">
        <f t="shared" ca="1" si="51"/>
        <v>-4.6472413654745887E-2</v>
      </c>
      <c r="BA13" s="30">
        <f t="shared" ca="1" si="51"/>
        <v>-5.3783332731086909E-2</v>
      </c>
      <c r="BB13" s="30">
        <f t="shared" ca="1" si="51"/>
        <v>4.9379441271511705E-2</v>
      </c>
      <c r="BC13" s="30">
        <f t="shared" ca="1" si="51"/>
        <v>-2.8348111287762882E-2</v>
      </c>
      <c r="BD13" s="30">
        <f t="shared" ca="1" si="51"/>
        <v>7.6829330377356397E-2</v>
      </c>
      <c r="BE13" s="30">
        <f t="shared" ca="1" si="51"/>
        <v>7.0231673663495323E-2</v>
      </c>
      <c r="BF13" s="30">
        <f t="shared" ca="1" si="51"/>
        <v>5.0057353642122128E-4</v>
      </c>
      <c r="BG13" s="30">
        <f t="shared" ca="1" si="51"/>
        <v>-1.1004834788835833E-2</v>
      </c>
      <c r="BH13" s="30">
        <f t="shared" ca="1" si="51"/>
        <v>6.2256491289738376E-2</v>
      </c>
      <c r="BI13" s="30">
        <f t="shared" ca="1" si="51"/>
        <v>2.2967638319475694E-2</v>
      </c>
      <c r="BJ13" s="30">
        <f t="shared" ca="1" si="51"/>
        <v>5.2718872643222871E-2</v>
      </c>
      <c r="BK13" s="30">
        <f t="shared" ca="1" si="51"/>
        <v>1.7530959820290955E-2</v>
      </c>
      <c r="BL13" s="30">
        <f t="shared" ca="1" si="51"/>
        <v>7.7630139703142457E-3</v>
      </c>
      <c r="BM13" s="30">
        <f t="shared" ca="1" si="51"/>
        <v>6.3880652618794484E-2</v>
      </c>
      <c r="BN13" s="30">
        <f t="shared" ca="1" si="51"/>
        <v>1.1599888767734672E-2</v>
      </c>
      <c r="BO13" s="30">
        <f t="shared" ca="1" si="51"/>
        <v>6.2935732211846646E-3</v>
      </c>
      <c r="BP13" s="30">
        <f t="shared" ca="1" si="51"/>
        <v>5.5313123127145016E-2</v>
      </c>
      <c r="BQ13" s="30">
        <f t="shared" ca="1" si="51"/>
        <v>4.5003371866266823E-2</v>
      </c>
      <c r="BR13" s="30">
        <f t="shared" ca="1" si="51"/>
        <v>3.9757977778505905E-2</v>
      </c>
      <c r="BS13" s="30">
        <f t="shared" ref="BS13:ED15" ca="1" si="68">_xlfn.NORM.INV(RAND(),$C$8,$C$9)</f>
        <v>4.753624695153353E-3</v>
      </c>
      <c r="BT13" s="30">
        <f t="shared" ca="1" si="68"/>
        <v>4.9812563000877851E-2</v>
      </c>
      <c r="BU13" s="30">
        <f t="shared" ca="1" si="68"/>
        <v>3.0004480406775148E-2</v>
      </c>
      <c r="BV13" s="30">
        <f t="shared" ca="1" si="68"/>
        <v>1.1482612465576343E-2</v>
      </c>
      <c r="BW13" s="30">
        <f t="shared" ca="1" si="68"/>
        <v>1.607701279239878E-2</v>
      </c>
      <c r="BX13" s="30">
        <f t="shared" ca="1" si="68"/>
        <v>-4.2622118999065171E-2</v>
      </c>
      <c r="BY13" s="30">
        <f t="shared" ca="1" si="68"/>
        <v>3.4573619882292884E-2</v>
      </c>
      <c r="BZ13" s="30">
        <f t="shared" ca="1" si="68"/>
        <v>-2.3041998673494452E-2</v>
      </c>
      <c r="CA13" s="30">
        <f t="shared" ca="1" si="68"/>
        <v>-9.6936657921070882E-2</v>
      </c>
      <c r="CB13" s="30">
        <f t="shared" ca="1" si="68"/>
        <v>4.0855867963666102E-2</v>
      </c>
      <c r="CC13" s="30">
        <f t="shared" ca="1" si="68"/>
        <v>-5.1983635673512538E-2</v>
      </c>
      <c r="CD13" s="30">
        <f t="shared" ca="1" si="68"/>
        <v>2.4206743361449835E-2</v>
      </c>
      <c r="CE13" s="30">
        <f t="shared" ca="1" si="68"/>
        <v>-5.8515440869266822E-3</v>
      </c>
      <c r="CF13" s="30">
        <f t="shared" ca="1" si="68"/>
        <v>-1.6463953765268494E-2</v>
      </c>
      <c r="CG13" s="30">
        <f t="shared" ca="1" si="68"/>
        <v>-7.9690789651471611E-2</v>
      </c>
      <c r="CH13" s="30">
        <f t="shared" ca="1" si="68"/>
        <v>6.9089838246449028E-2</v>
      </c>
      <c r="CI13" s="30">
        <f t="shared" ca="1" si="68"/>
        <v>5.8247987246423574E-4</v>
      </c>
      <c r="CJ13" s="30">
        <f t="shared" ca="1" si="68"/>
        <v>-6.6218691987591394E-2</v>
      </c>
      <c r="CK13" s="30">
        <f t="shared" ca="1" si="68"/>
        <v>-2.2916829179415159E-2</v>
      </c>
      <c r="CL13" s="30">
        <f t="shared" ca="1" si="68"/>
        <v>8.5737957262360526E-2</v>
      </c>
      <c r="CM13" s="30">
        <f t="shared" ca="1" si="68"/>
        <v>-2.5560476017915817E-2</v>
      </c>
      <c r="CN13" s="30">
        <f t="shared" ca="1" si="68"/>
        <v>-3.6613774110822235E-2</v>
      </c>
      <c r="CO13" s="30">
        <f t="shared" ca="1" si="68"/>
        <v>-1.5474270843992E-2</v>
      </c>
      <c r="CP13" s="30">
        <f t="shared" ca="1" si="68"/>
        <v>3.5840691404231455E-2</v>
      </c>
      <c r="CQ13" s="30">
        <f t="shared" ca="1" si="68"/>
        <v>1.3318527403827177E-2</v>
      </c>
      <c r="CR13" s="30">
        <f t="shared" ca="1" si="68"/>
        <v>-2.1375868696301214E-2</v>
      </c>
      <c r="CS13" s="30">
        <f t="shared" ca="1" si="68"/>
        <v>5.2284989567843672E-2</v>
      </c>
      <c r="CT13" s="30">
        <f t="shared" ca="1" si="68"/>
        <v>-9.6683351969420062E-3</v>
      </c>
      <c r="CU13" s="30">
        <f t="shared" ca="1" si="68"/>
        <v>-9.5610775642104587E-2</v>
      </c>
      <c r="CV13" s="30">
        <f t="shared" ca="1" si="68"/>
        <v>6.4443989781127059E-3</v>
      </c>
      <c r="CW13" s="30">
        <f t="shared" ca="1" si="68"/>
        <v>-4.4576038633443664E-2</v>
      </c>
      <c r="CX13" s="30">
        <f t="shared" ca="1" si="68"/>
        <v>-5.1758625579654671E-3</v>
      </c>
      <c r="CY13" s="30">
        <f t="shared" ca="1" si="68"/>
        <v>1.5947207533064809E-2</v>
      </c>
      <c r="CZ13" s="30">
        <f t="shared" ca="1" si="68"/>
        <v>-8.8527320725964435E-4</v>
      </c>
      <c r="DA13" s="30">
        <f t="shared" ca="1" si="68"/>
        <v>1.9402244014233447E-2</v>
      </c>
      <c r="DB13" s="30">
        <f t="shared" ca="1" si="68"/>
        <v>1.9968681298737728E-2</v>
      </c>
      <c r="DC13" s="30">
        <f t="shared" ca="1" si="68"/>
        <v>-1.4524020511048143E-2</v>
      </c>
      <c r="DD13" s="30">
        <f t="shared" ca="1" si="68"/>
        <v>9.7828827511386978E-3</v>
      </c>
      <c r="DE13" s="30">
        <f t="shared" ca="1" si="68"/>
        <v>-4.4613665820964703E-2</v>
      </c>
      <c r="DF13" s="30">
        <f t="shared" ca="1" si="68"/>
        <v>0.10107321612545707</v>
      </c>
      <c r="DG13" s="30">
        <f t="shared" ca="1" si="68"/>
        <v>5.160839979911994E-3</v>
      </c>
      <c r="DH13" s="30">
        <f t="shared" ca="1" si="68"/>
        <v>1.7879844853147055E-2</v>
      </c>
      <c r="DI13" s="30">
        <f t="shared" ca="1" si="68"/>
        <v>4.0339977189308686E-2</v>
      </c>
      <c r="DJ13" s="30">
        <f t="shared" ca="1" si="68"/>
        <v>4.4966280389651885E-2</v>
      </c>
      <c r="DK13" s="30">
        <f t="shared" ca="1" si="68"/>
        <v>-1.0884963028265126E-2</v>
      </c>
      <c r="DL13" s="30">
        <f t="shared" ca="1" si="68"/>
        <v>-5.3847534907789887E-2</v>
      </c>
      <c r="DM13" s="30">
        <f t="shared" ca="1" si="68"/>
        <v>2.4507905624196118E-2</v>
      </c>
      <c r="DN13" s="30">
        <f t="shared" ca="1" si="68"/>
        <v>3.756812852072502E-3</v>
      </c>
      <c r="DO13" s="30">
        <f t="shared" ca="1" si="68"/>
        <v>6.4330091555511943E-3</v>
      </c>
      <c r="DP13" s="30">
        <f t="shared" ca="1" si="68"/>
        <v>4.745618223131038E-2</v>
      </c>
      <c r="DQ13" s="30">
        <f t="shared" ca="1" si="68"/>
        <v>-6.8855764766219199E-2</v>
      </c>
      <c r="DR13" s="30">
        <f t="shared" ca="1" si="68"/>
        <v>-1.6867079580307649E-2</v>
      </c>
      <c r="DS13" s="30">
        <f t="shared" ca="1" si="68"/>
        <v>-3.1648061832973758E-2</v>
      </c>
      <c r="DT13" s="30">
        <f t="shared" ca="1" si="68"/>
        <v>-4.0005693837680358E-2</v>
      </c>
      <c r="DU13" s="30">
        <f t="shared" ca="1" si="68"/>
        <v>0.10902125696234238</v>
      </c>
      <c r="DV13" s="30">
        <f t="shared" ca="1" si="68"/>
        <v>7.0672093245589776E-2</v>
      </c>
      <c r="DW13" s="30">
        <f t="shared" ca="1" si="68"/>
        <v>5.9966678758920922E-2</v>
      </c>
      <c r="DX13" s="30">
        <f t="shared" ca="1" si="68"/>
        <v>-2.5187943782683214E-2</v>
      </c>
      <c r="DY13" s="30">
        <f t="shared" ca="1" si="68"/>
        <v>-6.4691509466574093E-2</v>
      </c>
      <c r="DZ13" s="30">
        <f t="shared" ca="1" si="68"/>
        <v>7.5672763497056733E-2</v>
      </c>
      <c r="EA13" s="30">
        <f t="shared" ca="1" si="68"/>
        <v>1.7469176898484592E-2</v>
      </c>
      <c r="EB13" s="30">
        <f t="shared" ca="1" si="68"/>
        <v>-6.0412748735089259E-3</v>
      </c>
      <c r="EC13" s="30">
        <f t="shared" ca="1" si="68"/>
        <v>7.2787038382178537E-2</v>
      </c>
      <c r="ED13" s="30">
        <f t="shared" ca="1" si="68"/>
        <v>-1.9878145389555818E-2</v>
      </c>
      <c r="EE13" s="30">
        <f t="shared" ca="1" si="43"/>
        <v>5.0596207268381203E-2</v>
      </c>
      <c r="EF13" s="30">
        <f t="shared" ca="1" si="61"/>
        <v>1.7269524395821908E-2</v>
      </c>
      <c r="EG13" s="30">
        <f t="shared" ca="1" si="61"/>
        <v>-7.6463778635472032E-2</v>
      </c>
      <c r="EH13" s="30">
        <f t="shared" ca="1" si="61"/>
        <v>2.1659156192206205E-2</v>
      </c>
      <c r="EI13" s="30">
        <f t="shared" ca="1" si="61"/>
        <v>-6.3017539148486582E-2</v>
      </c>
      <c r="EJ13" s="30">
        <f t="shared" ca="1" si="61"/>
        <v>-2.7517990775623877E-2</v>
      </c>
      <c r="EK13" s="30">
        <f t="shared" ca="1" si="61"/>
        <v>1.7311560787585466E-2</v>
      </c>
      <c r="EL13" s="30">
        <f t="shared" ca="1" si="61"/>
        <v>7.8370437859888314E-2</v>
      </c>
      <c r="EM13" s="30">
        <f t="shared" ca="1" si="61"/>
        <v>-5.2312297437764929E-2</v>
      </c>
      <c r="EN13" s="30">
        <f t="shared" ca="1" si="61"/>
        <v>-1.3169467947046846E-2</v>
      </c>
      <c r="EO13" s="30">
        <f t="shared" ca="1" si="61"/>
        <v>-5.2457988901813898E-2</v>
      </c>
      <c r="EP13" s="30">
        <f t="shared" ca="1" si="61"/>
        <v>7.6570873768186651E-2</v>
      </c>
      <c r="EQ13" s="30">
        <f t="shared" ca="1" si="61"/>
        <v>6.5860091570478924E-3</v>
      </c>
      <c r="ER13" s="30">
        <f t="shared" ca="1" si="61"/>
        <v>-1.506091685550805E-2</v>
      </c>
      <c r="ES13" s="30">
        <f t="shared" ca="1" si="61"/>
        <v>0.12924863437000625</v>
      </c>
      <c r="ET13" s="30">
        <f t="shared" ca="1" si="61"/>
        <v>1.8984578103585489E-2</v>
      </c>
      <c r="EU13" s="30">
        <f t="shared" ca="1" si="61"/>
        <v>0.11913891883822193</v>
      </c>
      <c r="EV13" s="30">
        <f t="shared" ca="1" si="61"/>
        <v>-5.9243021641050733E-2</v>
      </c>
      <c r="EW13" s="30">
        <f t="shared" ca="1" si="61"/>
        <v>-4.3537414467919536E-3</v>
      </c>
      <c r="EX13" s="30">
        <f t="shared" ca="1" si="61"/>
        <v>-7.6048143535664484E-2</v>
      </c>
      <c r="EY13" s="30">
        <f t="shared" ca="1" si="61"/>
        <v>-6.6410784822997962E-2</v>
      </c>
      <c r="EZ13" s="30">
        <f t="shared" ca="1" si="61"/>
        <v>-1.3312792357170382E-2</v>
      </c>
      <c r="FA13" s="30">
        <f t="shared" ca="1" si="61"/>
        <v>4.7046364061795104E-2</v>
      </c>
      <c r="FB13" s="30">
        <f t="shared" ca="1" si="61"/>
        <v>7.566698610470024E-2</v>
      </c>
      <c r="FC13" s="30">
        <f t="shared" ca="1" si="61"/>
        <v>1.8474979347402432E-2</v>
      </c>
      <c r="FD13" s="30">
        <f t="shared" ca="1" si="61"/>
        <v>9.6784301702342902E-3</v>
      </c>
      <c r="FE13" s="30">
        <f t="shared" ca="1" si="61"/>
        <v>-3.7382135758260618E-2</v>
      </c>
      <c r="FF13" s="30">
        <f t="shared" ca="1" si="61"/>
        <v>7.2942666464722332E-3</v>
      </c>
      <c r="FG13" s="30">
        <f t="shared" ca="1" si="61"/>
        <v>8.0499564024392751E-4</v>
      </c>
      <c r="FH13" s="30">
        <f t="shared" ca="1" si="61"/>
        <v>-2.0233990834271135E-2</v>
      </c>
      <c r="FI13" s="30">
        <f t="shared" ca="1" si="61"/>
        <v>-7.7163191408263707E-2</v>
      </c>
      <c r="FJ13" s="30">
        <f t="shared" ca="1" si="61"/>
        <v>2.9207272054831673E-2</v>
      </c>
      <c r="FK13" s="30">
        <f t="shared" ca="1" si="61"/>
        <v>-5.6617613664306623E-3</v>
      </c>
      <c r="FL13" s="30">
        <f t="shared" ca="1" si="61"/>
        <v>-5.220794925347913E-2</v>
      </c>
      <c r="FM13" s="30">
        <f t="shared" ca="1" si="61"/>
        <v>4.6288157954467108E-3</v>
      </c>
      <c r="FN13" s="30">
        <f t="shared" ca="1" si="61"/>
        <v>3.4516017910550437E-2</v>
      </c>
      <c r="FO13" s="30">
        <f t="shared" ca="1" si="61"/>
        <v>1.3924637392247918E-2</v>
      </c>
      <c r="FP13" s="30">
        <f t="shared" ca="1" si="61"/>
        <v>6.7168683031816348E-2</v>
      </c>
      <c r="FQ13" s="30">
        <f t="shared" ca="1" si="61"/>
        <v>1.7725429655406422E-3</v>
      </c>
      <c r="FR13" s="30">
        <f t="shared" ca="1" si="61"/>
        <v>-3.1083176314762623E-2</v>
      </c>
      <c r="FS13" s="30">
        <f t="shared" ca="1" si="61"/>
        <v>-3.83297423348729E-2</v>
      </c>
      <c r="FT13" s="30">
        <f t="shared" ca="1" si="61"/>
        <v>-2.9842559475081673E-2</v>
      </c>
      <c r="FU13" s="30">
        <f t="shared" ca="1" si="61"/>
        <v>-9.7252728690368356E-3</v>
      </c>
      <c r="FV13" s="30">
        <f t="shared" ca="1" si="61"/>
        <v>-4.2612338269259246E-2</v>
      </c>
      <c r="FW13" s="30">
        <f t="shared" ca="1" si="61"/>
        <v>-3.9364150158832253E-2</v>
      </c>
      <c r="FX13" s="30">
        <f t="shared" ca="1" si="61"/>
        <v>-2.0893311166223099E-2</v>
      </c>
      <c r="FY13" s="30">
        <f t="shared" ca="1" si="61"/>
        <v>-0.10870591343475437</v>
      </c>
      <c r="FZ13" s="30">
        <f t="shared" ca="1" si="61"/>
        <v>-1.4682013658286797E-2</v>
      </c>
      <c r="GA13" s="30">
        <f t="shared" ca="1" si="61"/>
        <v>1.3525900372127898E-2</v>
      </c>
      <c r="GB13" s="30">
        <f t="shared" ca="1" si="61"/>
        <v>-6.0855996879181362E-2</v>
      </c>
      <c r="GC13" s="30">
        <f t="shared" ca="1" si="61"/>
        <v>-2.7591181034667945E-2</v>
      </c>
      <c r="GD13" s="30">
        <f t="shared" ca="1" si="61"/>
        <v>-1.0029369725104915E-2</v>
      </c>
      <c r="GE13" s="30">
        <f t="shared" ca="1" si="61"/>
        <v>1.1656236937852008E-2</v>
      </c>
      <c r="GF13" s="30">
        <f t="shared" ca="1" si="61"/>
        <v>-2.3345797111564232E-2</v>
      </c>
      <c r="GG13" s="30">
        <f t="shared" ca="1" si="61"/>
        <v>-2.0883403154214143E-2</v>
      </c>
      <c r="GH13" s="30">
        <f t="shared" ca="1" si="61"/>
        <v>2.6886135949216423E-2</v>
      </c>
      <c r="GI13" s="30">
        <f t="shared" ca="1" si="61"/>
        <v>2.3761833935802409E-4</v>
      </c>
      <c r="GJ13" s="30">
        <f t="shared" ca="1" si="61"/>
        <v>1.9780206535091813E-2</v>
      </c>
      <c r="GK13" s="30">
        <f t="shared" ca="1" si="61"/>
        <v>-4.3803133798300687E-3</v>
      </c>
      <c r="GL13" s="30">
        <f t="shared" ca="1" si="61"/>
        <v>-1.4678013927932748E-2</v>
      </c>
      <c r="GM13" s="30">
        <f t="shared" ca="1" si="61"/>
        <v>8.2547272001727207E-2</v>
      </c>
      <c r="GN13" s="30">
        <f t="shared" ca="1" si="61"/>
        <v>-1.088039970852236E-2</v>
      </c>
      <c r="GO13" s="30">
        <f t="shared" ca="1" si="61"/>
        <v>-2.2243321262254111E-3</v>
      </c>
      <c r="GP13" s="30">
        <f t="shared" ca="1" si="61"/>
        <v>-3.3269192817936459E-3</v>
      </c>
      <c r="GQ13" s="30">
        <f t="shared" ca="1" si="61"/>
        <v>4.5112162174716364E-2</v>
      </c>
      <c r="GR13" s="30">
        <f t="shared" ca="1" si="53"/>
        <v>-3.1681351953803061E-2</v>
      </c>
      <c r="GS13" s="30">
        <f t="shared" ca="1" si="53"/>
        <v>-1.2206652188356804E-2</v>
      </c>
      <c r="GT13" s="30">
        <f t="shared" ref="GT13:JE15" ca="1" si="69">_xlfn.NORM.INV(RAND(),$C$8,$C$9)</f>
        <v>3.678009113330083E-2</v>
      </c>
      <c r="GU13" s="30">
        <f t="shared" ca="1" si="69"/>
        <v>4.0485596110098797E-2</v>
      </c>
      <c r="GV13" s="30">
        <f t="shared" ca="1" si="69"/>
        <v>-3.070815259141442E-3</v>
      </c>
      <c r="GW13" s="30">
        <f t="shared" ca="1" si="69"/>
        <v>-1.5955896111469633E-2</v>
      </c>
      <c r="GX13" s="30">
        <f t="shared" ca="1" si="69"/>
        <v>2.4968761702153751E-2</v>
      </c>
      <c r="GY13" s="30">
        <f t="shared" ca="1" si="69"/>
        <v>-0.10181585196822247</v>
      </c>
      <c r="GZ13" s="30">
        <f t="shared" ca="1" si="69"/>
        <v>-1.7953520457551671E-2</v>
      </c>
      <c r="HA13" s="30">
        <f t="shared" ca="1" si="69"/>
        <v>-6.023710411940302E-3</v>
      </c>
      <c r="HB13" s="30">
        <f t="shared" ca="1" si="69"/>
        <v>3.6962454493939721E-2</v>
      </c>
      <c r="HC13" s="30">
        <f t="shared" ca="1" si="69"/>
        <v>-3.2212904097788014E-2</v>
      </c>
      <c r="HD13" s="30">
        <f t="shared" ca="1" si="69"/>
        <v>-2.0963129878973547E-2</v>
      </c>
      <c r="HE13" s="30">
        <f t="shared" ca="1" si="69"/>
        <v>4.2051424748454823E-2</v>
      </c>
      <c r="HF13" s="30">
        <f t="shared" ca="1" si="69"/>
        <v>-1.9366783460991556E-2</v>
      </c>
      <c r="HG13" s="30">
        <f t="shared" ca="1" si="69"/>
        <v>-4.2935559597123502E-2</v>
      </c>
      <c r="HH13" s="30">
        <f t="shared" ca="1" si="69"/>
        <v>1.6702451033925134E-2</v>
      </c>
      <c r="HI13" s="30">
        <f t="shared" ca="1" si="69"/>
        <v>-1.1036124213753997E-2</v>
      </c>
      <c r="HJ13" s="30">
        <f t="shared" ca="1" si="69"/>
        <v>3.220293806973791E-2</v>
      </c>
      <c r="HK13" s="30">
        <f t="shared" ca="1" si="69"/>
        <v>-4.2287994570565389E-2</v>
      </c>
      <c r="HL13" s="30">
        <f t="shared" ca="1" si="69"/>
        <v>5.1730050727235863E-3</v>
      </c>
      <c r="HM13" s="30">
        <f t="shared" ca="1" si="69"/>
        <v>1.6067543604192776E-2</v>
      </c>
      <c r="HN13" s="30">
        <f t="shared" ca="1" si="69"/>
        <v>-3.4837323615495554E-2</v>
      </c>
      <c r="HO13" s="30">
        <f t="shared" ca="1" si="69"/>
        <v>-2.0870471909928332E-2</v>
      </c>
      <c r="HP13" s="30">
        <f t="shared" ca="1" si="69"/>
        <v>9.1497552000723362E-2</v>
      </c>
      <c r="HQ13" s="30">
        <f t="shared" ca="1" si="69"/>
        <v>5.6770951858112824E-2</v>
      </c>
      <c r="HR13" s="30">
        <f t="shared" ca="1" si="69"/>
        <v>-5.249902449400172E-2</v>
      </c>
      <c r="HS13" s="30">
        <f t="shared" ca="1" si="69"/>
        <v>3.3609852797526506E-2</v>
      </c>
      <c r="HT13" s="30">
        <f t="shared" ca="1" si="69"/>
        <v>1.6713104395020471E-2</v>
      </c>
      <c r="HU13" s="30">
        <f t="shared" ca="1" si="69"/>
        <v>5.0923520132860133E-2</v>
      </c>
      <c r="HV13" s="30">
        <f t="shared" ca="1" si="69"/>
        <v>7.4061454510602961E-2</v>
      </c>
      <c r="HW13" s="30">
        <f t="shared" ca="1" si="69"/>
        <v>7.849361178234504E-4</v>
      </c>
      <c r="HX13" s="30">
        <f t="shared" ca="1" si="69"/>
        <v>-1.2001701009684812E-3</v>
      </c>
      <c r="HY13" s="30">
        <f t="shared" ca="1" si="69"/>
        <v>2.504208510950319E-2</v>
      </c>
      <c r="HZ13" s="30">
        <f t="shared" ca="1" si="69"/>
        <v>1.6082697611702178E-2</v>
      </c>
      <c r="IA13" s="30">
        <f t="shared" ca="1" si="69"/>
        <v>1.3192820018036034E-2</v>
      </c>
      <c r="IB13" s="30">
        <f t="shared" ca="1" si="69"/>
        <v>2.508763962955117E-2</v>
      </c>
      <c r="IC13" s="30">
        <f t="shared" ca="1" si="69"/>
        <v>5.3358780414154046E-2</v>
      </c>
      <c r="ID13" s="30">
        <f t="shared" ca="1" si="69"/>
        <v>1.1634210872809849E-3</v>
      </c>
      <c r="IE13" s="30">
        <f t="shared" ca="1" si="69"/>
        <v>3.9552725883212313E-2</v>
      </c>
      <c r="IF13" s="30">
        <f t="shared" ca="1" si="69"/>
        <v>-2.2459632807602173E-2</v>
      </c>
      <c r="IG13" s="30">
        <f t="shared" ca="1" si="69"/>
        <v>-2.2821743891776995E-2</v>
      </c>
      <c r="IH13" s="30">
        <f t="shared" ca="1" si="69"/>
        <v>7.8741159428091147E-3</v>
      </c>
      <c r="II13" s="30">
        <f t="shared" ca="1" si="69"/>
        <v>7.977270792578052E-2</v>
      </c>
      <c r="IJ13" s="30">
        <f t="shared" ca="1" si="69"/>
        <v>2.2800500384545133E-2</v>
      </c>
      <c r="IK13" s="30">
        <f t="shared" ca="1" si="69"/>
        <v>8.7294785888877263E-2</v>
      </c>
      <c r="IL13" s="30">
        <f t="shared" ca="1" si="69"/>
        <v>4.8024998934346481E-2</v>
      </c>
      <c r="IM13" s="30">
        <f t="shared" ca="1" si="69"/>
        <v>-3.1852001962632513E-3</v>
      </c>
      <c r="IN13" s="30">
        <f t="shared" ca="1" si="69"/>
        <v>-1.1096028150484778E-2</v>
      </c>
      <c r="IO13" s="30">
        <f t="shared" ca="1" si="69"/>
        <v>7.2174388165954076E-2</v>
      </c>
      <c r="IP13" s="30">
        <f t="shared" ca="1" si="69"/>
        <v>1.3453020565847702E-2</v>
      </c>
      <c r="IQ13" s="30">
        <f t="shared" ca="1" si="69"/>
        <v>-1.4486088181813669E-2</v>
      </c>
      <c r="IR13" s="30">
        <f t="shared" ca="1" si="69"/>
        <v>9.6303732207680889E-2</v>
      </c>
      <c r="IS13" s="30">
        <f t="shared" ca="1" si="69"/>
        <v>-3.3047907510093497E-2</v>
      </c>
      <c r="IT13" s="30">
        <f t="shared" ca="1" si="69"/>
        <v>4.8275647425254239E-2</v>
      </c>
      <c r="IU13" s="30">
        <f t="shared" ca="1" si="69"/>
        <v>4.9547461736522205E-2</v>
      </c>
      <c r="IV13" s="30">
        <f t="shared" ca="1" si="69"/>
        <v>-2.6628582762342201E-3</v>
      </c>
      <c r="IW13" s="30">
        <f t="shared" ca="1" si="69"/>
        <v>6.1227041446875997E-2</v>
      </c>
      <c r="IX13" s="30">
        <f t="shared" ca="1" si="69"/>
        <v>2.5848823594080746E-2</v>
      </c>
      <c r="IY13" s="30">
        <f t="shared" ca="1" si="69"/>
        <v>-5.5137735743371545E-2</v>
      </c>
      <c r="IZ13" s="30">
        <f t="shared" ca="1" si="69"/>
        <v>2.4987467234647003E-2</v>
      </c>
      <c r="JA13" s="30">
        <f t="shared" ca="1" si="69"/>
        <v>-2.2197321799797158E-2</v>
      </c>
      <c r="JB13" s="30">
        <f t="shared" ca="1" si="69"/>
        <v>-7.7637694904142587E-2</v>
      </c>
      <c r="JC13" s="30">
        <f t="shared" ca="1" si="69"/>
        <v>1.7442656251074287E-2</v>
      </c>
      <c r="JD13" s="30">
        <f t="shared" ca="1" si="69"/>
        <v>-2.3563927791002921E-2</v>
      </c>
      <c r="JE13" s="30">
        <f t="shared" ca="1" si="69"/>
        <v>2.3947241264013402E-2</v>
      </c>
      <c r="JF13" s="30">
        <f t="shared" ca="1" si="62"/>
        <v>-5.7951707313466445E-2</v>
      </c>
      <c r="JG13" s="30">
        <f t="shared" ca="1" si="54"/>
        <v>6.9022766106361759E-3</v>
      </c>
      <c r="JH13" s="30">
        <f t="shared" ca="1" si="54"/>
        <v>1.1577233539362903E-2</v>
      </c>
      <c r="JI13" s="30">
        <f t="shared" ca="1" si="54"/>
        <v>-3.4636594928919906E-2</v>
      </c>
      <c r="JJ13" s="30">
        <f t="shared" ca="1" si="54"/>
        <v>9.2484488585349689E-2</v>
      </c>
      <c r="JK13" s="30">
        <f t="shared" ca="1" si="54"/>
        <v>-1.8184092401463112E-2</v>
      </c>
      <c r="JL13" s="30">
        <f t="shared" ca="1" si="54"/>
        <v>3.1600798539963684E-2</v>
      </c>
      <c r="JM13" s="30">
        <f t="shared" ca="1" si="54"/>
        <v>-1.1955379277534674E-2</v>
      </c>
      <c r="JN13" s="30">
        <f t="shared" ca="1" si="54"/>
        <v>2.8225578992857429E-2</v>
      </c>
      <c r="JO13" s="30">
        <f t="shared" ca="1" si="54"/>
        <v>-1.2197182528407343E-2</v>
      </c>
      <c r="JP13" s="30">
        <f t="shared" ca="1" si="54"/>
        <v>-9.4320210702908136E-3</v>
      </c>
      <c r="JQ13" s="30">
        <f t="shared" ca="1" si="54"/>
        <v>-7.6407776102180178E-2</v>
      </c>
      <c r="JR13" s="30">
        <f t="shared" ca="1" si="54"/>
        <v>-1.5560850798926912E-2</v>
      </c>
      <c r="JS13" s="30">
        <f t="shared" ca="1" si="54"/>
        <v>1.78870769446671E-2</v>
      </c>
      <c r="JT13" s="30">
        <f t="shared" ca="1" si="54"/>
        <v>-5.0637548351467193E-2</v>
      </c>
      <c r="JU13" s="30">
        <f t="shared" ca="1" si="54"/>
        <v>-2.9746283110391715E-2</v>
      </c>
      <c r="JV13" s="30">
        <f t="shared" ca="1" si="54"/>
        <v>-1.7949272822627753E-2</v>
      </c>
      <c r="JW13" s="30">
        <f t="shared" ca="1" si="54"/>
        <v>4.4284103311635181E-2</v>
      </c>
      <c r="JX13" s="30">
        <f t="shared" ca="1" si="54"/>
        <v>-7.4928649294568855E-2</v>
      </c>
      <c r="JY13" s="30">
        <f t="shared" ca="1" si="54"/>
        <v>8.2242157264387661E-2</v>
      </c>
      <c r="JZ13" s="30">
        <f t="shared" ca="1" si="54"/>
        <v>4.0818586943875385E-2</v>
      </c>
      <c r="KA13" s="30">
        <f t="shared" ca="1" si="54"/>
        <v>3.4995825898771128E-2</v>
      </c>
      <c r="KB13" s="30">
        <f t="shared" ca="1" si="54"/>
        <v>6.1387877516264254E-2</v>
      </c>
      <c r="KC13" s="30">
        <f t="shared" ca="1" si="54"/>
        <v>3.5305127626909912E-2</v>
      </c>
      <c r="KD13" s="30">
        <f t="shared" ca="1" si="54"/>
        <v>4.1067927878001675E-2</v>
      </c>
      <c r="KE13" s="30">
        <f t="shared" ca="1" si="54"/>
        <v>-8.5066380133223644E-3</v>
      </c>
      <c r="KF13" s="30">
        <f t="shared" ca="1" si="54"/>
        <v>-9.5706213423815481E-2</v>
      </c>
      <c r="KG13" s="30">
        <f t="shared" ca="1" si="54"/>
        <v>6.035176635578237E-2</v>
      </c>
      <c r="KH13" s="30">
        <f t="shared" ca="1" si="54"/>
        <v>8.4632771296091369E-2</v>
      </c>
      <c r="KI13" s="30">
        <f t="shared" ca="1" si="54"/>
        <v>-3.3447024726781273E-2</v>
      </c>
      <c r="KJ13" s="30">
        <f t="shared" ca="1" si="54"/>
        <v>4.2886010318033047E-2</v>
      </c>
      <c r="KK13" s="30">
        <f t="shared" ca="1" si="54"/>
        <v>9.1878523573257469E-3</v>
      </c>
      <c r="KL13" s="30">
        <f t="shared" ca="1" si="54"/>
        <v>-7.8876510698615131E-3</v>
      </c>
      <c r="KM13" s="30">
        <f t="shared" ca="1" si="54"/>
        <v>2.2751010056175858E-2</v>
      </c>
      <c r="KN13" s="30">
        <f t="shared" ca="1" si="54"/>
        <v>6.5723728252757227E-2</v>
      </c>
      <c r="KO13" s="30">
        <f t="shared" ca="1" si="54"/>
        <v>2.4418299664370931E-2</v>
      </c>
      <c r="KP13" s="30">
        <f t="shared" ca="1" si="54"/>
        <v>1.0114622737182829E-2</v>
      </c>
      <c r="KQ13" s="30">
        <f t="shared" ca="1" si="54"/>
        <v>1.2501730577364045E-2</v>
      </c>
      <c r="KR13" s="30">
        <f t="shared" ca="1" si="54"/>
        <v>1.8821775100817353E-2</v>
      </c>
      <c r="KS13" s="30">
        <f t="shared" ca="1" si="54"/>
        <v>-2.6744799850485775E-2</v>
      </c>
      <c r="KT13" s="30">
        <f t="shared" ca="1" si="54"/>
        <v>-7.1666043732258045E-3</v>
      </c>
      <c r="KU13" s="30">
        <f t="shared" ca="1" si="54"/>
        <v>-1.2764994187237855E-2</v>
      </c>
      <c r="KV13" s="30">
        <f t="shared" ca="1" si="54"/>
        <v>-3.0756028272407289E-2</v>
      </c>
      <c r="KW13" s="30">
        <f t="shared" ca="1" si="54"/>
        <v>-1.9955027158890651E-2</v>
      </c>
      <c r="KX13" s="30">
        <f t="shared" ca="1" si="54"/>
        <v>2.3130407665231556E-2</v>
      </c>
      <c r="KY13" s="30">
        <f t="shared" ca="1" si="54"/>
        <v>-5.6592184273103929E-4</v>
      </c>
      <c r="KZ13" s="30">
        <f t="shared" ca="1" si="54"/>
        <v>7.1820915704582503E-2</v>
      </c>
      <c r="LA13" s="30">
        <f t="shared" ca="1" si="54"/>
        <v>-2.8823935955945176E-2</v>
      </c>
      <c r="LB13" s="30">
        <f t="shared" ca="1" si="54"/>
        <v>3.4875355314666227E-2</v>
      </c>
      <c r="LC13" s="30">
        <f t="shared" ca="1" si="54"/>
        <v>4.1425742267127821E-2</v>
      </c>
      <c r="LD13" s="30">
        <f t="shared" ca="1" si="54"/>
        <v>3.8019820814540875E-2</v>
      </c>
      <c r="LE13" s="30">
        <f t="shared" ca="1" si="54"/>
        <v>-2.7043208428153682E-2</v>
      </c>
      <c r="LF13" s="30">
        <f t="shared" ca="1" si="54"/>
        <v>-3.8426250268918339E-3</v>
      </c>
      <c r="LG13" s="30">
        <f t="shared" ca="1" si="54"/>
        <v>-2.7865692252772321E-2</v>
      </c>
      <c r="LH13" s="30">
        <f t="shared" ca="1" si="54"/>
        <v>8.2340733219077047E-2</v>
      </c>
      <c r="LI13" s="30">
        <f t="shared" ca="1" si="54"/>
        <v>-4.6996522728369447E-2</v>
      </c>
      <c r="LJ13" s="30">
        <f t="shared" ca="1" si="54"/>
        <v>4.2102700750109578E-2</v>
      </c>
      <c r="LK13" s="30">
        <f t="shared" ca="1" si="54"/>
        <v>3.2261224336569444E-2</v>
      </c>
      <c r="LL13" s="30">
        <f t="shared" ca="1" si="54"/>
        <v>7.7612110161616954E-2</v>
      </c>
      <c r="LM13" s="30">
        <f t="shared" ca="1" si="54"/>
        <v>-2.7437092738787583E-2</v>
      </c>
      <c r="LN13" s="30">
        <f t="shared" ca="1" si="54"/>
        <v>5.6157650703003964E-2</v>
      </c>
      <c r="LO13" s="30">
        <f t="shared" ca="1" si="54"/>
        <v>-1.104645334590852E-2</v>
      </c>
      <c r="LP13" s="30">
        <f t="shared" ca="1" si="54"/>
        <v>3.3637027889598173E-5</v>
      </c>
      <c r="LQ13" s="30">
        <f t="shared" ca="1" si="54"/>
        <v>-4.2613750081263786E-2</v>
      </c>
      <c r="LR13" s="30">
        <f t="shared" ref="LR13:OC15" ca="1" si="70">_xlfn.NORM.INV(RAND(),$C$8,$C$9)</f>
        <v>-1.9198707541510925E-2</v>
      </c>
      <c r="LS13" s="30">
        <f t="shared" ca="1" si="70"/>
        <v>-7.6776964618882823E-2</v>
      </c>
      <c r="LT13" s="30">
        <f t="shared" ca="1" si="70"/>
        <v>3.2022276381488777E-3</v>
      </c>
      <c r="LU13" s="30">
        <f t="shared" ca="1" si="70"/>
        <v>5.5213834432546377E-2</v>
      </c>
      <c r="LV13" s="30">
        <f t="shared" ca="1" si="70"/>
        <v>4.5094239746475105E-2</v>
      </c>
      <c r="LW13" s="30">
        <f t="shared" ca="1" si="70"/>
        <v>-9.6285515350373066E-2</v>
      </c>
      <c r="LX13" s="30">
        <f t="shared" ca="1" si="70"/>
        <v>-5.2664200697253222E-2</v>
      </c>
      <c r="LY13" s="30">
        <f t="shared" ca="1" si="70"/>
        <v>1.2905827422485234E-2</v>
      </c>
      <c r="LZ13" s="30">
        <f t="shared" ca="1" si="70"/>
        <v>4.4487657909363931E-2</v>
      </c>
      <c r="MA13" s="30">
        <f t="shared" ca="1" si="70"/>
        <v>-6.8577547440319096E-3</v>
      </c>
      <c r="MB13" s="30">
        <f t="shared" ca="1" si="70"/>
        <v>-3.4467653165858925E-2</v>
      </c>
      <c r="MC13" s="30">
        <f t="shared" ca="1" si="70"/>
        <v>6.0660958097624451E-2</v>
      </c>
      <c r="MD13" s="30">
        <f t="shared" ca="1" si="70"/>
        <v>3.2936085936326923E-2</v>
      </c>
      <c r="ME13" s="30">
        <f t="shared" ca="1" si="70"/>
        <v>-3.7244874351954282E-2</v>
      </c>
      <c r="MF13" s="30">
        <f t="shared" ca="1" si="70"/>
        <v>-1.5399124978880036E-2</v>
      </c>
      <c r="MG13" s="30">
        <f t="shared" ca="1" si="70"/>
        <v>-1.5361941801019244E-2</v>
      </c>
      <c r="MH13" s="30">
        <f t="shared" ca="1" si="70"/>
        <v>2.6862025551407945E-2</v>
      </c>
      <c r="MI13" s="30">
        <f t="shared" ca="1" si="70"/>
        <v>-3.734885579529508E-2</v>
      </c>
      <c r="MJ13" s="30">
        <f t="shared" ca="1" si="70"/>
        <v>-7.4489239218079976E-3</v>
      </c>
      <c r="MK13" s="30">
        <f t="shared" ca="1" si="70"/>
        <v>-5.3543181683051701E-2</v>
      </c>
      <c r="ML13" s="30">
        <f t="shared" ca="1" si="70"/>
        <v>7.3499491002946324E-2</v>
      </c>
      <c r="MM13" s="30">
        <f t="shared" ca="1" si="70"/>
        <v>2.9901361483738325E-2</v>
      </c>
      <c r="MN13" s="30">
        <f t="shared" ca="1" si="70"/>
        <v>4.1634220696314915E-2</v>
      </c>
      <c r="MO13" s="30">
        <f t="shared" ca="1" si="70"/>
        <v>-1.9905454253864707E-2</v>
      </c>
      <c r="MP13" s="30">
        <f t="shared" ca="1" si="70"/>
        <v>-6.9372945446396536E-2</v>
      </c>
      <c r="MQ13" s="30">
        <f t="shared" ca="1" si="70"/>
        <v>1.7652686962809704E-2</v>
      </c>
      <c r="MR13" s="30">
        <f t="shared" ca="1" si="70"/>
        <v>-2.5507050572443155E-2</v>
      </c>
      <c r="MS13" s="30">
        <f t="shared" ca="1" si="70"/>
        <v>-4.1279810155760072E-2</v>
      </c>
      <c r="MT13" s="30">
        <f t="shared" ca="1" si="70"/>
        <v>6.8126105638538367E-2</v>
      </c>
      <c r="MU13" s="30">
        <f t="shared" ca="1" si="70"/>
        <v>1.2234013418126067E-3</v>
      </c>
      <c r="MV13" s="30">
        <f t="shared" ca="1" si="70"/>
        <v>6.4525287308826534E-2</v>
      </c>
      <c r="MW13" s="30">
        <f t="shared" ca="1" si="70"/>
        <v>2.1519804087180707E-2</v>
      </c>
      <c r="MX13" s="30">
        <f t="shared" ca="1" si="70"/>
        <v>-8.8158479590427663E-2</v>
      </c>
      <c r="MY13" s="30">
        <f t="shared" ca="1" si="70"/>
        <v>5.2098512495711541E-2</v>
      </c>
      <c r="MZ13" s="30">
        <f t="shared" ca="1" si="70"/>
        <v>-1.3340452410080146E-2</v>
      </c>
      <c r="NA13" s="30">
        <f t="shared" ca="1" si="70"/>
        <v>-0.1134820220059877</v>
      </c>
      <c r="NB13" s="30">
        <f t="shared" ca="1" si="70"/>
        <v>-3.6844651965781502E-2</v>
      </c>
      <c r="NC13" s="30">
        <f t="shared" ca="1" si="70"/>
        <v>8.0721386918621768E-2</v>
      </c>
      <c r="ND13" s="30">
        <f t="shared" ca="1" si="70"/>
        <v>-1.8894421123021466E-2</v>
      </c>
      <c r="NE13" s="30">
        <f t="shared" ca="1" si="70"/>
        <v>4.6795035704537261E-2</v>
      </c>
      <c r="NF13" s="30">
        <f t="shared" ca="1" si="70"/>
        <v>-2.5387519060916981E-2</v>
      </c>
      <c r="NG13" s="30">
        <f t="shared" ca="1" si="70"/>
        <v>5.6932478258944368E-2</v>
      </c>
      <c r="NH13" s="30">
        <f t="shared" ca="1" si="70"/>
        <v>2.0044255941030608E-2</v>
      </c>
      <c r="NI13" s="30">
        <f t="shared" ca="1" si="70"/>
        <v>1.1317878206560827E-2</v>
      </c>
      <c r="NJ13" s="30">
        <f t="shared" ca="1" si="70"/>
        <v>1.8219993234458734E-2</v>
      </c>
      <c r="NK13" s="30">
        <f t="shared" ca="1" si="70"/>
        <v>4.9319342418601461E-2</v>
      </c>
      <c r="NL13" s="30">
        <f t="shared" ca="1" si="70"/>
        <v>4.6774619952191593E-2</v>
      </c>
      <c r="NM13" s="30">
        <f t="shared" ca="1" si="70"/>
        <v>4.4863691605351672E-3</v>
      </c>
      <c r="NN13" s="30">
        <f t="shared" ca="1" si="70"/>
        <v>6.852280674178441E-3</v>
      </c>
      <c r="NO13" s="30">
        <f t="shared" ca="1" si="70"/>
        <v>2.7181701713709285E-2</v>
      </c>
      <c r="NP13" s="30">
        <f t="shared" ca="1" si="70"/>
        <v>-1.1732798398271989E-2</v>
      </c>
      <c r="NQ13" s="30">
        <f t="shared" ca="1" si="70"/>
        <v>-1.2380413845308828E-2</v>
      </c>
      <c r="NR13" s="30">
        <f t="shared" ca="1" si="70"/>
        <v>-8.0804303912489165E-3</v>
      </c>
      <c r="NS13" s="30">
        <f t="shared" ca="1" si="70"/>
        <v>-4.8217842945107066E-2</v>
      </c>
      <c r="NT13" s="30">
        <f t="shared" ca="1" si="70"/>
        <v>-3.2507494768904757E-2</v>
      </c>
      <c r="NU13" s="30">
        <f t="shared" ca="1" si="70"/>
        <v>-2.9971874744430336E-3</v>
      </c>
      <c r="NV13" s="30">
        <f t="shared" ca="1" si="70"/>
        <v>-5.1359217283905537E-2</v>
      </c>
      <c r="NW13" s="30">
        <f t="shared" ca="1" si="70"/>
        <v>-5.064922500897398E-2</v>
      </c>
      <c r="NX13" s="30">
        <f t="shared" ca="1" si="70"/>
        <v>-1.5825860832002698E-3</v>
      </c>
      <c r="NY13" s="30">
        <f t="shared" ca="1" si="70"/>
        <v>-5.6566231252820733E-3</v>
      </c>
      <c r="NZ13" s="30">
        <f t="shared" ca="1" si="70"/>
        <v>4.9067394883569879E-3</v>
      </c>
      <c r="OA13" s="30">
        <f t="shared" ca="1" si="70"/>
        <v>5.9625889415511585E-2</v>
      </c>
      <c r="OB13" s="30">
        <f t="shared" ca="1" si="70"/>
        <v>9.6359543071869377E-3</v>
      </c>
      <c r="OC13" s="30">
        <f t="shared" ca="1" si="70"/>
        <v>5.6498062929471259E-2</v>
      </c>
      <c r="OD13" s="30">
        <f t="shared" ca="1" si="63"/>
        <v>-2.7384517530232969E-2</v>
      </c>
      <c r="OE13" s="30">
        <f t="shared" ca="1" si="55"/>
        <v>-1.3396062344067455E-2</v>
      </c>
      <c r="OF13" s="30">
        <f t="shared" ca="1" si="55"/>
        <v>2.1064823540255625E-2</v>
      </c>
      <c r="OG13" s="30">
        <f t="shared" ca="1" si="55"/>
        <v>7.072654570851894E-2</v>
      </c>
      <c r="OH13" s="30">
        <f t="shared" ca="1" si="55"/>
        <v>5.4888758429764539E-2</v>
      </c>
      <c r="OI13" s="30">
        <f t="shared" ca="1" si="55"/>
        <v>4.4257729721088608E-2</v>
      </c>
      <c r="OJ13" s="30">
        <f t="shared" ca="1" si="55"/>
        <v>-4.2332893553136575E-2</v>
      </c>
      <c r="OK13" s="30">
        <f t="shared" ca="1" si="55"/>
        <v>-5.986523336524268E-2</v>
      </c>
      <c r="OL13" s="30">
        <f t="shared" ca="1" si="55"/>
        <v>-1.9522658273940965E-2</v>
      </c>
      <c r="OM13" s="30">
        <f t="shared" ca="1" si="55"/>
        <v>1.5889421513831582E-2</v>
      </c>
      <c r="ON13" s="30">
        <f t="shared" ca="1" si="55"/>
        <v>-1.3323137612366242E-2</v>
      </c>
      <c r="OO13" s="30">
        <f t="shared" ca="1" si="55"/>
        <v>3.9526582852708943E-2</v>
      </c>
      <c r="OP13" s="30">
        <f t="shared" ca="1" si="55"/>
        <v>-7.5267946270809225E-2</v>
      </c>
      <c r="OQ13" s="30">
        <f t="shared" ca="1" si="55"/>
        <v>5.386753985264589E-2</v>
      </c>
      <c r="OR13" s="30">
        <f t="shared" ca="1" si="55"/>
        <v>-5.3929424677935635E-2</v>
      </c>
      <c r="OS13" s="30">
        <f t="shared" ca="1" si="55"/>
        <v>2.0198607145221467E-2</v>
      </c>
      <c r="OT13" s="30">
        <f t="shared" ca="1" si="55"/>
        <v>-8.0307217054904744E-3</v>
      </c>
      <c r="OU13" s="30">
        <f t="shared" ca="1" si="55"/>
        <v>-2.8072362043993285E-2</v>
      </c>
      <c r="OV13" s="30">
        <f t="shared" ca="1" si="55"/>
        <v>4.3428948131289974E-2</v>
      </c>
      <c r="OW13" s="30">
        <f t="shared" ca="1" si="55"/>
        <v>-2.1642861738675911E-2</v>
      </c>
      <c r="OX13" s="30">
        <f t="shared" ca="1" si="55"/>
        <v>1.5886162428205605E-2</v>
      </c>
      <c r="OY13" s="30">
        <f t="shared" ca="1" si="55"/>
        <v>6.3334377068296269E-3</v>
      </c>
      <c r="OZ13" s="30">
        <f t="shared" ca="1" si="55"/>
        <v>1.4869227648359415E-2</v>
      </c>
      <c r="PA13" s="30">
        <f t="shared" ca="1" si="55"/>
        <v>-1.3376744809979543E-2</v>
      </c>
      <c r="PB13" s="30">
        <f t="shared" ca="1" si="55"/>
        <v>-2.521279290397669E-2</v>
      </c>
      <c r="PC13" s="30">
        <f t="shared" ca="1" si="55"/>
        <v>-2.6108360048816906E-3</v>
      </c>
      <c r="PD13" s="30">
        <f t="shared" ca="1" si="55"/>
        <v>2.5888808575749715E-2</v>
      </c>
      <c r="PE13" s="30">
        <f t="shared" ca="1" si="55"/>
        <v>6.4126089378065007E-2</v>
      </c>
      <c r="PF13" s="30">
        <f t="shared" ca="1" si="55"/>
        <v>5.566128226913581E-2</v>
      </c>
      <c r="PG13" s="30">
        <f t="shared" ca="1" si="55"/>
        <v>2.1897045548504149E-2</v>
      </c>
      <c r="PH13" s="30">
        <f t="shared" ca="1" si="55"/>
        <v>4.8066580328360808E-2</v>
      </c>
      <c r="PI13" s="30">
        <f t="shared" ca="1" si="55"/>
        <v>-4.7392623030834682E-3</v>
      </c>
      <c r="PJ13" s="30">
        <f t="shared" ca="1" si="55"/>
        <v>7.8740741813260018E-2</v>
      </c>
      <c r="PK13" s="30">
        <f t="shared" ca="1" si="55"/>
        <v>4.3981453357263452E-3</v>
      </c>
      <c r="PL13" s="30">
        <f t="shared" ca="1" si="55"/>
        <v>1.925382053820663E-2</v>
      </c>
      <c r="PM13" s="30">
        <f t="shared" ca="1" si="55"/>
        <v>3.2599803699360025E-2</v>
      </c>
      <c r="PN13" s="30">
        <f t="shared" ca="1" si="55"/>
        <v>-3.7925798578156825E-2</v>
      </c>
      <c r="PO13" s="30">
        <f t="shared" ca="1" si="55"/>
        <v>6.6045016489951799E-2</v>
      </c>
      <c r="PP13" s="30">
        <f t="shared" ca="1" si="55"/>
        <v>3.8818344984602508E-2</v>
      </c>
      <c r="PQ13" s="30">
        <f t="shared" ca="1" si="55"/>
        <v>0.15479635003320269</v>
      </c>
      <c r="PR13" s="30">
        <f t="shared" ca="1" si="55"/>
        <v>-6.6530246185272177E-3</v>
      </c>
      <c r="PS13" s="30">
        <f t="shared" ca="1" si="55"/>
        <v>-1.8265058595074404E-2</v>
      </c>
      <c r="PT13" s="30">
        <f t="shared" ca="1" si="55"/>
        <v>4.9958108291985916E-2</v>
      </c>
      <c r="PU13" s="30">
        <f t="shared" ca="1" si="55"/>
        <v>-2.1659607380555133E-2</v>
      </c>
      <c r="PV13" s="30">
        <f t="shared" ca="1" si="55"/>
        <v>3.8462480277702521E-2</v>
      </c>
      <c r="PW13" s="30">
        <f t="shared" ca="1" si="55"/>
        <v>8.0382630165393959E-2</v>
      </c>
      <c r="PX13" s="30">
        <f t="shared" ca="1" si="55"/>
        <v>5.2929834539487313E-3</v>
      </c>
      <c r="PY13" s="30">
        <f t="shared" ca="1" si="55"/>
        <v>7.5666010258023247E-2</v>
      </c>
      <c r="PZ13" s="30">
        <f t="shared" ca="1" si="55"/>
        <v>0.10244570291704916</v>
      </c>
      <c r="QA13" s="30">
        <f t="shared" ca="1" si="55"/>
        <v>3.6683506425909795E-3</v>
      </c>
      <c r="QB13" s="30">
        <f t="shared" ca="1" si="55"/>
        <v>5.9924376985704596E-2</v>
      </c>
      <c r="QC13" s="30">
        <f t="shared" ca="1" si="55"/>
        <v>-5.0372027048666564E-2</v>
      </c>
      <c r="QD13" s="30">
        <f t="shared" ca="1" si="55"/>
        <v>2.022248447322663E-2</v>
      </c>
      <c r="QE13" s="30">
        <f t="shared" ca="1" si="55"/>
        <v>-7.8190727219886749E-2</v>
      </c>
      <c r="QF13" s="30">
        <f t="shared" ca="1" si="55"/>
        <v>-1.2540530777959901E-2</v>
      </c>
      <c r="QG13" s="30">
        <f t="shared" ca="1" si="55"/>
        <v>3.110822410944962E-2</v>
      </c>
      <c r="QH13" s="30">
        <f t="shared" ca="1" si="55"/>
        <v>-6.8821871822707895E-2</v>
      </c>
      <c r="QI13" s="30">
        <f t="shared" ca="1" si="55"/>
        <v>-4.779494598472548E-2</v>
      </c>
      <c r="QJ13" s="30">
        <f t="shared" ca="1" si="55"/>
        <v>-1.4848873787775482E-2</v>
      </c>
      <c r="QK13" s="30">
        <f t="shared" ca="1" si="55"/>
        <v>5.1775607420876897E-2</v>
      </c>
      <c r="QL13" s="30">
        <f t="shared" ca="1" si="55"/>
        <v>-1.1145852725398284E-2</v>
      </c>
      <c r="QM13" s="30">
        <f t="shared" ca="1" si="55"/>
        <v>3.6827166454630314E-2</v>
      </c>
      <c r="QN13" s="30">
        <f t="shared" ca="1" si="55"/>
        <v>4.8091451970651983E-5</v>
      </c>
      <c r="QO13" s="30">
        <f t="shared" ca="1" si="55"/>
        <v>-6.1157693984342246E-2</v>
      </c>
      <c r="QP13" s="30">
        <f t="shared" ref="QP13:TA15" ca="1" si="71">_xlfn.NORM.INV(RAND(),$C$8,$C$9)</f>
        <v>-1.8675030889856347E-2</v>
      </c>
      <c r="QQ13" s="30">
        <f t="shared" ca="1" si="71"/>
        <v>3.6382326669006364E-2</v>
      </c>
      <c r="QR13" s="30">
        <f t="shared" ca="1" si="71"/>
        <v>-1.4185184591513418E-2</v>
      </c>
      <c r="QS13" s="30">
        <f t="shared" ca="1" si="71"/>
        <v>1.7669911350317081E-2</v>
      </c>
      <c r="QT13" s="30">
        <f t="shared" ca="1" si="71"/>
        <v>-5.4834705606907515E-2</v>
      </c>
      <c r="QU13" s="30">
        <f t="shared" ca="1" si="71"/>
        <v>1.5324533160490979E-2</v>
      </c>
      <c r="QV13" s="30">
        <f t="shared" ca="1" si="71"/>
        <v>2.6054296335665864E-2</v>
      </c>
      <c r="QW13" s="30">
        <f t="shared" ca="1" si="71"/>
        <v>-3.738704821491122E-2</v>
      </c>
      <c r="QX13" s="30">
        <f t="shared" ca="1" si="71"/>
        <v>-2.959565641511919E-2</v>
      </c>
      <c r="QY13" s="30">
        <f t="shared" ca="1" si="71"/>
        <v>2.9364158841099636E-2</v>
      </c>
      <c r="QZ13" s="30">
        <f t="shared" ca="1" si="71"/>
        <v>-6.3539783175978998E-2</v>
      </c>
      <c r="RA13" s="30">
        <f t="shared" ca="1" si="71"/>
        <v>-2.8014072013730119E-2</v>
      </c>
      <c r="RB13" s="30">
        <f t="shared" ca="1" si="71"/>
        <v>1.6984578311342285E-2</v>
      </c>
      <c r="RC13" s="30">
        <f t="shared" ca="1" si="71"/>
        <v>1.2403160079872912E-2</v>
      </c>
      <c r="RD13" s="30">
        <f t="shared" ca="1" si="71"/>
        <v>-3.0413809806487953E-2</v>
      </c>
      <c r="RE13" s="30">
        <f t="shared" ca="1" si="71"/>
        <v>-7.1701581014765023E-2</v>
      </c>
      <c r="RF13" s="30">
        <f t="shared" ca="1" si="71"/>
        <v>-2.0420671301133148E-2</v>
      </c>
      <c r="RG13" s="30">
        <f t="shared" ca="1" si="71"/>
        <v>-5.5768038013291237E-3</v>
      </c>
      <c r="RH13" s="30">
        <f t="shared" ca="1" si="71"/>
        <v>3.9577890817707059E-2</v>
      </c>
      <c r="RI13" s="30">
        <f t="shared" ca="1" si="71"/>
        <v>-2.4393292507472977E-2</v>
      </c>
      <c r="RJ13" s="30">
        <f t="shared" ca="1" si="71"/>
        <v>6.6427716579798273E-3</v>
      </c>
      <c r="RK13" s="30">
        <f t="shared" ca="1" si="71"/>
        <v>-4.0644213307271995E-3</v>
      </c>
      <c r="RL13" s="30">
        <f t="shared" ca="1" si="71"/>
        <v>4.1209094791554886E-2</v>
      </c>
      <c r="RM13" s="30">
        <f t="shared" ca="1" si="71"/>
        <v>8.1097839433721345E-3</v>
      </c>
      <c r="RN13" s="30">
        <f t="shared" ca="1" si="71"/>
        <v>3.3596503247689827E-2</v>
      </c>
      <c r="RO13" s="30">
        <f t="shared" ca="1" si="71"/>
        <v>-3.8322938888987849E-2</v>
      </c>
      <c r="RP13" s="30">
        <f t="shared" ca="1" si="71"/>
        <v>-3.6740093310115116E-2</v>
      </c>
      <c r="RQ13" s="30">
        <f t="shared" ca="1" si="71"/>
        <v>9.7524612700881516E-2</v>
      </c>
      <c r="RR13" s="30">
        <f t="shared" ca="1" si="71"/>
        <v>-9.1551817366311745E-3</v>
      </c>
      <c r="RS13" s="30">
        <f t="shared" ca="1" si="71"/>
        <v>-1.5814348421300532E-2</v>
      </c>
      <c r="RT13" s="30">
        <f t="shared" ca="1" si="71"/>
        <v>8.8379257583884624E-2</v>
      </c>
      <c r="RU13" s="30">
        <f t="shared" ca="1" si="71"/>
        <v>-1.6876982695233748E-2</v>
      </c>
      <c r="RV13" s="30">
        <f t="shared" ca="1" si="71"/>
        <v>5.5076419326453768E-2</v>
      </c>
      <c r="RW13" s="30">
        <f t="shared" ca="1" si="71"/>
        <v>-4.1286340894834191E-2</v>
      </c>
      <c r="RX13" s="30">
        <f t="shared" ca="1" si="71"/>
        <v>2.1268415332593472E-2</v>
      </c>
      <c r="RY13" s="30">
        <f t="shared" ca="1" si="71"/>
        <v>2.4620007509935189E-3</v>
      </c>
      <c r="RZ13" s="30">
        <f t="shared" ca="1" si="71"/>
        <v>-1.2312580746358987E-2</v>
      </c>
      <c r="SA13" s="30">
        <f t="shared" ca="1" si="71"/>
        <v>2.6320492172129183E-2</v>
      </c>
      <c r="SB13" s="30">
        <f t="shared" ca="1" si="71"/>
        <v>4.3203599159056881E-2</v>
      </c>
      <c r="SC13" s="30">
        <f t="shared" ca="1" si="71"/>
        <v>2.931731975276709E-2</v>
      </c>
      <c r="SD13" s="30">
        <f t="shared" ca="1" si="71"/>
        <v>-6.4617129420159208E-2</v>
      </c>
      <c r="SE13" s="30">
        <f t="shared" ca="1" si="71"/>
        <v>-2.9022661300068683E-2</v>
      </c>
      <c r="SF13" s="30">
        <f t="shared" ca="1" si="71"/>
        <v>4.1848031244274539E-2</v>
      </c>
      <c r="SG13" s="30">
        <f t="shared" ca="1" si="71"/>
        <v>5.4460311719934243E-3</v>
      </c>
      <c r="SH13" s="30">
        <f t="shared" ca="1" si="71"/>
        <v>-4.715508626877183E-2</v>
      </c>
      <c r="SI13" s="30">
        <f t="shared" ca="1" si="71"/>
        <v>-5.6671893243328652E-4</v>
      </c>
      <c r="SJ13" s="30">
        <f t="shared" ca="1" si="71"/>
        <v>5.0099880684504938E-2</v>
      </c>
      <c r="SK13" s="30">
        <f t="shared" ca="1" si="71"/>
        <v>2.5791110319210973E-2</v>
      </c>
      <c r="SL13" s="30">
        <f t="shared" ca="1" si="71"/>
        <v>-3.0450883629449005E-2</v>
      </c>
      <c r="SM13" s="30">
        <f t="shared" ca="1" si="71"/>
        <v>8.3473966446479355E-4</v>
      </c>
      <c r="SN13" s="30">
        <f t="shared" ca="1" si="71"/>
        <v>-6.1118123153108314E-2</v>
      </c>
      <c r="SO13" s="30">
        <f t="shared" ca="1" si="71"/>
        <v>-2.5301738556991905E-3</v>
      </c>
      <c r="SP13" s="30">
        <f t="shared" ca="1" si="71"/>
        <v>2.7615623306891417E-2</v>
      </c>
      <c r="SQ13" s="30">
        <f t="shared" ca="1" si="71"/>
        <v>2.5379235449730243E-2</v>
      </c>
      <c r="SR13" s="30">
        <f t="shared" ca="1" si="71"/>
        <v>6.9810903966386215E-2</v>
      </c>
      <c r="SS13" s="30">
        <f t="shared" ca="1" si="71"/>
        <v>3.8276647365210244E-3</v>
      </c>
      <c r="ST13" s="30">
        <f t="shared" ca="1" si="71"/>
        <v>-1.1873452117009112E-2</v>
      </c>
      <c r="SU13" s="30">
        <f t="shared" ca="1" si="71"/>
        <v>1.259397536838275E-2</v>
      </c>
      <c r="SV13" s="30">
        <f t="shared" ca="1" si="71"/>
        <v>-2.2821872121102971E-2</v>
      </c>
      <c r="SW13" s="30">
        <f t="shared" ca="1" si="71"/>
        <v>-8.0624186318824662E-2</v>
      </c>
      <c r="SX13" s="30">
        <f t="shared" ca="1" si="71"/>
        <v>-5.1844129715749639E-3</v>
      </c>
      <c r="SY13" s="30">
        <f t="shared" ca="1" si="71"/>
        <v>3.4675116792754215E-2</v>
      </c>
      <c r="SZ13" s="30">
        <f t="shared" ca="1" si="71"/>
        <v>-2.3481531914154342E-2</v>
      </c>
      <c r="TA13" s="30">
        <f t="shared" ca="1" si="71"/>
        <v>-5.4478305289785936E-2</v>
      </c>
      <c r="TB13" s="30">
        <f t="shared" ca="1" si="64"/>
        <v>-3.2846993043915036E-2</v>
      </c>
      <c r="TC13" s="30">
        <f t="shared" ca="1" si="56"/>
        <v>-7.3615409276638205E-3</v>
      </c>
      <c r="TD13" s="30">
        <f t="shared" ca="1" si="56"/>
        <v>-2.116753240439165E-3</v>
      </c>
      <c r="TE13" s="30">
        <f t="shared" ca="1" si="56"/>
        <v>9.6103792863012294E-2</v>
      </c>
      <c r="TF13" s="30">
        <f t="shared" ca="1" si="56"/>
        <v>-4.2350530374061314E-2</v>
      </c>
      <c r="TG13" s="30">
        <f t="shared" ca="1" si="56"/>
        <v>-2.9831821666050785E-2</v>
      </c>
      <c r="TH13" s="30">
        <f t="shared" ca="1" si="56"/>
        <v>5.3969715336140311E-2</v>
      </c>
      <c r="TI13" s="30">
        <f t="shared" ca="1" si="56"/>
        <v>0.11231666002267336</v>
      </c>
      <c r="TJ13" s="30">
        <f t="shared" ca="1" si="56"/>
        <v>1.3769826361342261E-2</v>
      </c>
      <c r="TK13" s="30">
        <f t="shared" ca="1" si="56"/>
        <v>-7.1015300413954721E-2</v>
      </c>
      <c r="TL13" s="30">
        <f t="shared" ca="1" si="56"/>
        <v>-6.385494544164351E-2</v>
      </c>
      <c r="TM13" s="30">
        <f t="shared" ca="1" si="56"/>
        <v>-6.3836934536993239E-2</v>
      </c>
      <c r="TN13" s="30">
        <f t="shared" ca="1" si="56"/>
        <v>7.5458368659225396E-3</v>
      </c>
      <c r="TO13" s="30">
        <f t="shared" ca="1" si="56"/>
        <v>-3.1218273454488278E-2</v>
      </c>
      <c r="TP13" s="30">
        <f t="shared" ca="1" si="56"/>
        <v>1.8009985188889802E-2</v>
      </c>
      <c r="TQ13" s="30">
        <f t="shared" ca="1" si="56"/>
        <v>3.882305478445517E-2</v>
      </c>
      <c r="TR13" s="30">
        <f t="shared" ca="1" si="56"/>
        <v>4.4488458686393222E-2</v>
      </c>
      <c r="TS13" s="30">
        <f t="shared" ca="1" si="56"/>
        <v>-5.8928277824239768E-2</v>
      </c>
      <c r="TT13" s="30">
        <f t="shared" ca="1" si="56"/>
        <v>-8.6507925517959605E-3</v>
      </c>
      <c r="TU13" s="30">
        <f t="shared" ca="1" si="56"/>
        <v>-4.3075878973705517E-2</v>
      </c>
      <c r="TV13" s="30">
        <f t="shared" ca="1" si="56"/>
        <v>-0.1065136344957541</v>
      </c>
      <c r="TW13" s="30">
        <f t="shared" ca="1" si="56"/>
        <v>1.0992367723606906E-2</v>
      </c>
      <c r="TX13" s="30">
        <f t="shared" ca="1" si="56"/>
        <v>1.6321338455008102E-2</v>
      </c>
      <c r="TY13" s="30">
        <f t="shared" ca="1" si="56"/>
        <v>4.2668392249335164E-4</v>
      </c>
      <c r="TZ13" s="30">
        <f t="shared" ca="1" si="56"/>
        <v>-4.8640751624547127E-3</v>
      </c>
      <c r="UA13" s="30">
        <f t="shared" ca="1" si="56"/>
        <v>2.1635733961958021E-2</v>
      </c>
      <c r="UB13" s="30">
        <f t="shared" ca="1" si="56"/>
        <v>-7.4189607143635566E-2</v>
      </c>
      <c r="UC13" s="30">
        <f t="shared" ca="1" si="56"/>
        <v>5.851571888188381E-2</v>
      </c>
      <c r="UD13" s="30">
        <f t="shared" ca="1" si="56"/>
        <v>3.0133449615312089E-2</v>
      </c>
      <c r="UE13" s="30">
        <f t="shared" ca="1" si="56"/>
        <v>-8.243725314111075E-2</v>
      </c>
      <c r="UF13" s="30">
        <f t="shared" ca="1" si="56"/>
        <v>-4.3726418744224865E-2</v>
      </c>
      <c r="UG13" s="30">
        <f t="shared" ca="1" si="56"/>
        <v>4.4843112801959351E-2</v>
      </c>
      <c r="UH13" s="30">
        <f t="shared" ca="1" si="56"/>
        <v>-2.6001758189771261E-2</v>
      </c>
      <c r="UI13" s="30">
        <f t="shared" ca="1" si="56"/>
        <v>-4.7007200263152679E-3</v>
      </c>
      <c r="UJ13" s="30">
        <f t="shared" ca="1" si="56"/>
        <v>0.13761407071763873</v>
      </c>
      <c r="UK13" s="30">
        <f t="shared" ca="1" si="56"/>
        <v>9.8529649557601625E-3</v>
      </c>
      <c r="UL13" s="30">
        <f t="shared" ca="1" si="56"/>
        <v>-8.8109750873006584E-2</v>
      </c>
      <c r="UM13" s="30">
        <f t="shared" ca="1" si="56"/>
        <v>-8.191642646869406E-3</v>
      </c>
      <c r="UN13" s="30">
        <f t="shared" ca="1" si="56"/>
        <v>5.3388873111191441E-2</v>
      </c>
      <c r="UO13" s="30">
        <f t="shared" ca="1" si="56"/>
        <v>2.2810903927663394E-2</v>
      </c>
      <c r="UP13" s="30">
        <f t="shared" ca="1" si="56"/>
        <v>7.7367716654598143E-2</v>
      </c>
      <c r="UQ13" s="30">
        <f t="shared" ca="1" si="56"/>
        <v>2.8217550010166483E-2</v>
      </c>
      <c r="UR13" s="30">
        <f t="shared" ca="1" si="56"/>
        <v>-1.0968748768820164E-2</v>
      </c>
      <c r="US13" s="30">
        <f t="shared" ca="1" si="56"/>
        <v>2.8919333279325918E-3</v>
      </c>
      <c r="UT13" s="30">
        <f t="shared" ca="1" si="56"/>
        <v>-6.5151050707491401E-2</v>
      </c>
      <c r="UU13" s="30">
        <f t="shared" ca="1" si="56"/>
        <v>-4.0263679650014185E-2</v>
      </c>
      <c r="UV13" s="30">
        <f t="shared" ca="1" si="56"/>
        <v>2.5842539445047729E-2</v>
      </c>
      <c r="UW13" s="30">
        <f t="shared" ca="1" si="56"/>
        <v>6.8093414924294306E-3</v>
      </c>
      <c r="UX13" s="30">
        <f t="shared" ca="1" si="56"/>
        <v>-2.8932676263036337E-2</v>
      </c>
      <c r="UY13" s="30">
        <f t="shared" ca="1" si="56"/>
        <v>-7.2374971114377035E-3</v>
      </c>
      <c r="UZ13" s="30">
        <f t="shared" ca="1" si="56"/>
        <v>-2.3061903708284145E-2</v>
      </c>
      <c r="VA13" s="30">
        <f t="shared" ca="1" si="56"/>
        <v>1.5427289536157521E-2</v>
      </c>
      <c r="VB13" s="30">
        <f t="shared" ca="1" si="56"/>
        <v>-2.7002522881607451E-2</v>
      </c>
      <c r="VC13" s="30">
        <f t="shared" ca="1" si="56"/>
        <v>-7.624605848781002E-2</v>
      </c>
      <c r="VD13" s="30">
        <f t="shared" ca="1" si="56"/>
        <v>7.9822719111817958E-2</v>
      </c>
      <c r="VE13" s="30">
        <f t="shared" ca="1" si="56"/>
        <v>-7.0726546000412963E-2</v>
      </c>
      <c r="VF13" s="30">
        <f t="shared" ca="1" si="56"/>
        <v>-3.3077348922398296E-2</v>
      </c>
      <c r="VG13" s="30">
        <f t="shared" ca="1" si="56"/>
        <v>1.598618068791428E-2</v>
      </c>
      <c r="VH13" s="30">
        <f t="shared" ca="1" si="56"/>
        <v>-4.6630895408652203E-3</v>
      </c>
      <c r="VI13" s="30">
        <f t="shared" ca="1" si="56"/>
        <v>7.0239958212271275E-2</v>
      </c>
      <c r="VJ13" s="30">
        <f t="shared" ca="1" si="56"/>
        <v>-2.2554536267077728E-2</v>
      </c>
      <c r="VK13" s="30">
        <f t="shared" ca="1" si="56"/>
        <v>7.9331222196626153E-2</v>
      </c>
      <c r="VL13" s="30">
        <f t="shared" ca="1" si="56"/>
        <v>7.0911369035363478E-2</v>
      </c>
      <c r="VM13" s="30">
        <f t="shared" ca="1" si="56"/>
        <v>6.154126625077893E-2</v>
      </c>
      <c r="VN13" s="30">
        <f t="shared" ref="VN13:XY15" ca="1" si="72">_xlfn.NORM.INV(RAND(),$C$8,$C$9)</f>
        <v>-3.4693484137886157E-2</v>
      </c>
      <c r="VO13" s="30">
        <f t="shared" ca="1" si="72"/>
        <v>2.2148586963595413E-2</v>
      </c>
      <c r="VP13" s="30">
        <f t="shared" ca="1" si="72"/>
        <v>1.3567338060052156E-2</v>
      </c>
      <c r="VQ13" s="30">
        <f t="shared" ca="1" si="72"/>
        <v>7.2915731801166006E-2</v>
      </c>
      <c r="VR13" s="30">
        <f t="shared" ca="1" si="72"/>
        <v>6.4322667047913493E-3</v>
      </c>
      <c r="VS13" s="30">
        <f t="shared" ca="1" si="72"/>
        <v>1.4652574444835179E-2</v>
      </c>
      <c r="VT13" s="30">
        <f t="shared" ca="1" si="72"/>
        <v>3.4318397349545324E-2</v>
      </c>
      <c r="VU13" s="30">
        <f t="shared" ca="1" si="72"/>
        <v>-1.4923299289775243E-2</v>
      </c>
      <c r="VV13" s="30">
        <f t="shared" ca="1" si="72"/>
        <v>2.2134428981709928E-3</v>
      </c>
      <c r="VW13" s="30">
        <f t="shared" ca="1" si="72"/>
        <v>5.8629746786960209E-2</v>
      </c>
      <c r="VX13" s="30">
        <f t="shared" ca="1" si="72"/>
        <v>-0.13337055342857068</v>
      </c>
      <c r="VY13" s="30">
        <f t="shared" ca="1" si="72"/>
        <v>-2.5471958173561474E-2</v>
      </c>
      <c r="VZ13" s="30">
        <f t="shared" ca="1" si="72"/>
        <v>-3.68063245747525E-3</v>
      </c>
      <c r="WA13" s="30">
        <f t="shared" ca="1" si="72"/>
        <v>-4.5751262006371432E-2</v>
      </c>
      <c r="WB13" s="30">
        <f t="shared" ca="1" si="72"/>
        <v>-2.8215368342547821E-2</v>
      </c>
      <c r="WC13" s="30">
        <f t="shared" ca="1" si="72"/>
        <v>-4.0834496000011752E-2</v>
      </c>
      <c r="WD13" s="30">
        <f t="shared" ca="1" si="72"/>
        <v>-1.1741194756200652E-2</v>
      </c>
      <c r="WE13" s="30">
        <f t="shared" ca="1" si="72"/>
        <v>3.0539190883931141E-2</v>
      </c>
      <c r="WF13" s="30">
        <f t="shared" ca="1" si="72"/>
        <v>-2.5002633627091875E-2</v>
      </c>
      <c r="WG13" s="30">
        <f t="shared" ca="1" si="72"/>
        <v>3.792903416322832E-2</v>
      </c>
      <c r="WH13" s="30">
        <f t="shared" ca="1" si="72"/>
        <v>3.3985910528679955E-2</v>
      </c>
      <c r="WI13" s="30">
        <f t="shared" ca="1" si="72"/>
        <v>-7.5002972043931707E-2</v>
      </c>
      <c r="WJ13" s="30">
        <f t="shared" ca="1" si="72"/>
        <v>2.8727556171940491E-2</v>
      </c>
      <c r="WK13" s="30">
        <f t="shared" ca="1" si="72"/>
        <v>3.0966869484598002E-2</v>
      </c>
      <c r="WL13" s="30">
        <f t="shared" ca="1" si="72"/>
        <v>-6.1146754572519821E-2</v>
      </c>
      <c r="WM13" s="30">
        <f t="shared" ca="1" si="72"/>
        <v>-3.1622135003639418E-2</v>
      </c>
      <c r="WN13" s="30">
        <f t="shared" ca="1" si="72"/>
        <v>-3.9109771994958978E-2</v>
      </c>
      <c r="WO13" s="30">
        <f t="shared" ca="1" si="72"/>
        <v>-1.059701084357605E-2</v>
      </c>
      <c r="WP13" s="30">
        <f t="shared" ca="1" si="72"/>
        <v>3.3891752908742093E-2</v>
      </c>
      <c r="WQ13" s="30">
        <f t="shared" ca="1" si="72"/>
        <v>-4.4862863608610283E-2</v>
      </c>
      <c r="WR13" s="30">
        <f t="shared" ca="1" si="72"/>
        <v>8.6390220104628449E-4</v>
      </c>
      <c r="WS13" s="30">
        <f t="shared" ca="1" si="72"/>
        <v>-1.9728369710270626E-2</v>
      </c>
      <c r="WT13" s="30">
        <f t="shared" ca="1" si="72"/>
        <v>-2.7625476544070385E-2</v>
      </c>
      <c r="WU13" s="30">
        <f t="shared" ca="1" si="72"/>
        <v>2.186036410873235E-2</v>
      </c>
      <c r="WV13" s="30">
        <f t="shared" ca="1" si="72"/>
        <v>-0.11768548823858582</v>
      </c>
      <c r="WW13" s="30">
        <f t="shared" ca="1" si="72"/>
        <v>2.7061160990339665E-2</v>
      </c>
      <c r="WX13" s="30">
        <f t="shared" ca="1" si="72"/>
        <v>-4.3025467859182244E-2</v>
      </c>
      <c r="WY13" s="30">
        <f t="shared" ca="1" si="72"/>
        <v>4.3867371558599308E-2</v>
      </c>
      <c r="WZ13" s="30">
        <f t="shared" ca="1" si="72"/>
        <v>-3.679018033966739E-2</v>
      </c>
      <c r="XA13" s="30">
        <f t="shared" ca="1" si="72"/>
        <v>-7.0271878444417762E-2</v>
      </c>
      <c r="XB13" s="30">
        <f t="shared" ca="1" si="72"/>
        <v>-3.4421225257158386E-3</v>
      </c>
      <c r="XC13" s="30">
        <f t="shared" ca="1" si="72"/>
        <v>-5.7465319432786644E-3</v>
      </c>
      <c r="XD13" s="30">
        <f t="shared" ca="1" si="72"/>
        <v>-5.5829592753715178E-2</v>
      </c>
      <c r="XE13" s="30">
        <f t="shared" ca="1" si="72"/>
        <v>1.3549940950619632E-2</v>
      </c>
      <c r="XF13" s="30">
        <f t="shared" ca="1" si="72"/>
        <v>3.9239263242071935E-2</v>
      </c>
      <c r="XG13" s="30">
        <f t="shared" ca="1" si="72"/>
        <v>2.4365722157308881E-2</v>
      </c>
      <c r="XH13" s="30">
        <f t="shared" ca="1" si="72"/>
        <v>-2.7242939400587234E-2</v>
      </c>
      <c r="XI13" s="30">
        <f t="shared" ca="1" si="72"/>
        <v>-9.1198171300873057E-2</v>
      </c>
      <c r="XJ13" s="30">
        <f t="shared" ca="1" si="72"/>
        <v>2.921262374231277E-2</v>
      </c>
      <c r="XK13" s="30">
        <f t="shared" ca="1" si="72"/>
        <v>3.1514755240607074E-2</v>
      </c>
      <c r="XL13" s="30">
        <f t="shared" ca="1" si="72"/>
        <v>-7.8746943408061473E-2</v>
      </c>
      <c r="XM13" s="30">
        <f t="shared" ca="1" si="72"/>
        <v>4.1839054716897757E-2</v>
      </c>
      <c r="XN13" s="30">
        <f t="shared" ca="1" si="72"/>
        <v>-9.4371813135462931E-2</v>
      </c>
      <c r="XO13" s="30">
        <f t="shared" ca="1" si="72"/>
        <v>-6.5589124334929742E-3</v>
      </c>
      <c r="XP13" s="30">
        <f t="shared" ca="1" si="72"/>
        <v>-4.7666225436047413E-2</v>
      </c>
      <c r="XQ13" s="30">
        <f t="shared" ca="1" si="72"/>
        <v>1.2551964738998316E-2</v>
      </c>
      <c r="XR13" s="30">
        <f t="shared" ca="1" si="72"/>
        <v>3.356718086004562E-2</v>
      </c>
      <c r="XS13" s="30">
        <f t="shared" ca="1" si="72"/>
        <v>-2.748437240001898E-2</v>
      </c>
      <c r="XT13" s="30">
        <f t="shared" ca="1" si="72"/>
        <v>4.45608200081231E-2</v>
      </c>
      <c r="XU13" s="30">
        <f t="shared" ca="1" si="72"/>
        <v>1.6889128967712084E-2</v>
      </c>
      <c r="XV13" s="30">
        <f t="shared" ca="1" si="72"/>
        <v>-3.285925125499866E-2</v>
      </c>
      <c r="XW13" s="30">
        <f t="shared" ca="1" si="72"/>
        <v>8.413185746284057E-4</v>
      </c>
      <c r="XX13" s="30">
        <f t="shared" ca="1" si="72"/>
        <v>-1.4797439613888723E-3</v>
      </c>
      <c r="XY13" s="30">
        <f t="shared" ca="1" si="72"/>
        <v>1.347901848992903E-2</v>
      </c>
      <c r="XZ13" s="30">
        <f t="shared" ca="1" si="65"/>
        <v>-4.0948180699248583E-2</v>
      </c>
      <c r="YA13" s="30">
        <f t="shared" ca="1" si="57"/>
        <v>-2.7037607657470045E-2</v>
      </c>
      <c r="YB13" s="30">
        <f t="shared" ca="1" si="57"/>
        <v>7.6532095643184264E-2</v>
      </c>
      <c r="YC13" s="30">
        <f t="shared" ca="1" si="57"/>
        <v>2.3210735686568135E-2</v>
      </c>
      <c r="YD13" s="30">
        <f t="shared" ca="1" si="57"/>
        <v>3.8029051614658867E-2</v>
      </c>
      <c r="YE13" s="30">
        <f t="shared" ca="1" si="57"/>
        <v>7.3668368231695813E-2</v>
      </c>
      <c r="YF13" s="30">
        <f t="shared" ca="1" si="57"/>
        <v>-6.14286569256247E-2</v>
      </c>
      <c r="YG13" s="30">
        <f t="shared" ca="1" si="57"/>
        <v>9.7282462088681049E-2</v>
      </c>
      <c r="YH13" s="30">
        <f t="shared" ca="1" si="57"/>
        <v>8.4823904234149101E-3</v>
      </c>
      <c r="YI13" s="30">
        <f t="shared" ca="1" si="57"/>
        <v>-7.0083205927097214E-2</v>
      </c>
      <c r="YJ13" s="30">
        <f t="shared" ca="1" si="57"/>
        <v>-0.12438960291118664</v>
      </c>
      <c r="YK13" s="30">
        <f t="shared" ca="1" si="57"/>
        <v>7.7663791588156684E-3</v>
      </c>
      <c r="YL13" s="30">
        <f t="shared" ca="1" si="57"/>
        <v>-8.9291032063863914E-3</v>
      </c>
      <c r="YM13" s="30">
        <f t="shared" ca="1" si="57"/>
        <v>-1.0837879093990338E-2</v>
      </c>
      <c r="YN13" s="30">
        <f t="shared" ca="1" si="57"/>
        <v>3.6857310901333741E-2</v>
      </c>
      <c r="YO13" s="30">
        <f t="shared" ca="1" si="57"/>
        <v>-1.6555515714085336E-2</v>
      </c>
      <c r="YP13" s="30">
        <f t="shared" ca="1" si="57"/>
        <v>4.0538858209427993E-2</v>
      </c>
      <c r="YQ13" s="30">
        <f t="shared" ca="1" si="57"/>
        <v>5.2479914311436733E-2</v>
      </c>
      <c r="YR13" s="30">
        <f t="shared" ca="1" si="57"/>
        <v>-4.4354406272531085E-3</v>
      </c>
      <c r="YS13" s="30">
        <f t="shared" ca="1" si="57"/>
        <v>-7.6444654995161565E-2</v>
      </c>
      <c r="YT13" s="30">
        <f t="shared" ca="1" si="57"/>
        <v>-7.4541622332198049E-2</v>
      </c>
      <c r="YU13" s="30">
        <f t="shared" ca="1" si="57"/>
        <v>3.4258263049211013E-3</v>
      </c>
      <c r="YV13" s="30">
        <f t="shared" ca="1" si="57"/>
        <v>-3.5155510414536378E-2</v>
      </c>
      <c r="YW13" s="30">
        <f t="shared" ca="1" si="57"/>
        <v>-8.6097115606881991E-2</v>
      </c>
      <c r="YX13" s="30">
        <f t="shared" ca="1" si="57"/>
        <v>-2.6619193727468928E-2</v>
      </c>
      <c r="YY13" s="30">
        <f t="shared" ca="1" si="57"/>
        <v>9.5625101123608287E-3</v>
      </c>
      <c r="YZ13" s="30">
        <f t="shared" ca="1" si="57"/>
        <v>-3.0176408878421317E-2</v>
      </c>
      <c r="ZA13" s="30">
        <f t="shared" ca="1" si="57"/>
        <v>-2.6142203484991591E-2</v>
      </c>
      <c r="ZB13" s="30">
        <f t="shared" ca="1" si="57"/>
        <v>-2.3996446593208116E-2</v>
      </c>
      <c r="ZC13" s="30">
        <f t="shared" ca="1" si="57"/>
        <v>-5.2396757412860692E-2</v>
      </c>
      <c r="ZD13" s="30">
        <f t="shared" ca="1" si="57"/>
        <v>-2.0529883305255729E-2</v>
      </c>
      <c r="ZE13" s="30">
        <f t="shared" ca="1" si="57"/>
        <v>2.5364524577742603E-2</v>
      </c>
      <c r="ZF13" s="30">
        <f t="shared" ca="1" si="57"/>
        <v>2.8231656846267265E-2</v>
      </c>
      <c r="ZG13" s="30">
        <f t="shared" ca="1" si="57"/>
        <v>-3.4767427642578792E-2</v>
      </c>
      <c r="ZH13" s="30">
        <f t="shared" ca="1" si="57"/>
        <v>-4.4235168870417292E-2</v>
      </c>
      <c r="ZI13" s="30">
        <f t="shared" ca="1" si="57"/>
        <v>-1.8276724435756508E-2</v>
      </c>
      <c r="ZJ13" s="30">
        <f t="shared" ca="1" si="57"/>
        <v>9.7973836657323718E-3</v>
      </c>
      <c r="ZK13" s="30">
        <f t="shared" ca="1" si="57"/>
        <v>-6.403927844924457E-3</v>
      </c>
      <c r="ZL13" s="30">
        <f t="shared" ca="1" si="57"/>
        <v>3.4503264497973009E-2</v>
      </c>
      <c r="ZM13" s="30">
        <f t="shared" ca="1" si="57"/>
        <v>-2.7386481799404325E-2</v>
      </c>
      <c r="ZN13" s="30">
        <f t="shared" ca="1" si="57"/>
        <v>8.0330810343260412E-3</v>
      </c>
      <c r="ZO13" s="30">
        <f t="shared" ca="1" si="57"/>
        <v>3.7081595810991339E-2</v>
      </c>
      <c r="ZP13" s="30">
        <f t="shared" ca="1" si="57"/>
        <v>4.790232743901747E-2</v>
      </c>
      <c r="ZQ13" s="30">
        <f t="shared" ca="1" si="57"/>
        <v>-1.0825887802137934E-2</v>
      </c>
      <c r="ZR13" s="30">
        <f t="shared" ca="1" si="57"/>
        <v>7.4188017952673199E-2</v>
      </c>
      <c r="ZS13" s="30">
        <f t="shared" ca="1" si="57"/>
        <v>7.4705976663234516E-2</v>
      </c>
      <c r="ZT13" s="30">
        <f t="shared" ca="1" si="57"/>
        <v>-5.9917075979534815E-2</v>
      </c>
      <c r="ZU13" s="30">
        <f t="shared" ca="1" si="57"/>
        <v>-4.4758216830077718E-2</v>
      </c>
      <c r="ZV13" s="30">
        <f t="shared" ca="1" si="57"/>
        <v>-1.1745425974841643E-2</v>
      </c>
      <c r="ZW13" s="30">
        <f t="shared" ca="1" si="57"/>
        <v>8.3035270546120091E-3</v>
      </c>
      <c r="ZX13" s="30">
        <f t="shared" ca="1" si="57"/>
        <v>-1.6525823008609729E-2</v>
      </c>
      <c r="ZY13" s="30">
        <f t="shared" ca="1" si="57"/>
        <v>2.3584128617154507E-2</v>
      </c>
      <c r="ZZ13" s="30">
        <f t="shared" ca="1" si="57"/>
        <v>-7.652858950721568E-2</v>
      </c>
      <c r="AAA13" s="30">
        <f t="shared" ca="1" si="57"/>
        <v>-3.2725874454529978E-3</v>
      </c>
      <c r="AAB13" s="30">
        <f t="shared" ca="1" si="57"/>
        <v>-7.0808273326053162E-2</v>
      </c>
      <c r="AAC13" s="30">
        <f t="shared" ca="1" si="57"/>
        <v>4.7184782938396272E-2</v>
      </c>
      <c r="AAD13" s="30">
        <f t="shared" ca="1" si="57"/>
        <v>7.5215319226808732E-3</v>
      </c>
      <c r="AAE13" s="30">
        <f t="shared" ca="1" si="57"/>
        <v>7.2938458247221909E-3</v>
      </c>
      <c r="AAF13" s="30">
        <f t="shared" ca="1" si="57"/>
        <v>-7.1706417916221621E-3</v>
      </c>
      <c r="AAG13" s="30">
        <f t="shared" ca="1" si="57"/>
        <v>5.1876612364995453E-2</v>
      </c>
      <c r="AAH13" s="30">
        <f t="shared" ca="1" si="57"/>
        <v>6.797612466241125E-2</v>
      </c>
      <c r="AAI13" s="30">
        <f t="shared" ca="1" si="57"/>
        <v>0.10520493426237851</v>
      </c>
      <c r="AAJ13" s="30">
        <f t="shared" ca="1" si="57"/>
        <v>-2.2567547504583275E-2</v>
      </c>
      <c r="AAK13" s="30">
        <f t="shared" ca="1" si="57"/>
        <v>4.6673703273455484E-2</v>
      </c>
      <c r="AAL13" s="30">
        <f t="shared" ref="AAL13:ACW15" ca="1" si="73">_xlfn.NORM.INV(RAND(),$C$8,$C$9)</f>
        <v>-1.1483265698325181E-3</v>
      </c>
      <c r="AAM13" s="30">
        <f t="shared" ca="1" si="73"/>
        <v>-2.6412478949582471E-2</v>
      </c>
      <c r="AAN13" s="30">
        <f t="shared" ca="1" si="73"/>
        <v>3.4509714050825702E-2</v>
      </c>
      <c r="AAO13" s="30">
        <f t="shared" ca="1" si="73"/>
        <v>-1.677815704251447E-2</v>
      </c>
      <c r="AAP13" s="30">
        <f t="shared" ca="1" si="73"/>
        <v>1.8398923900987782E-2</v>
      </c>
      <c r="AAQ13" s="30">
        <f t="shared" ca="1" si="73"/>
        <v>4.3156011283815793E-3</v>
      </c>
      <c r="AAR13" s="30">
        <f t="shared" ca="1" si="73"/>
        <v>-3.1639640634284302E-2</v>
      </c>
      <c r="AAS13" s="30">
        <f t="shared" ca="1" si="73"/>
        <v>5.6916990683976834E-2</v>
      </c>
      <c r="AAT13" s="30">
        <f t="shared" ca="1" si="73"/>
        <v>-8.4524339006852217E-2</v>
      </c>
      <c r="AAU13" s="30">
        <f t="shared" ca="1" si="73"/>
        <v>-1.5055360646225622E-2</v>
      </c>
      <c r="AAV13" s="30">
        <f t="shared" ca="1" si="73"/>
        <v>2.4236587900672551E-2</v>
      </c>
      <c r="AAW13" s="30">
        <f t="shared" ca="1" si="73"/>
        <v>5.6534109378374192E-2</v>
      </c>
      <c r="AAX13" s="30">
        <f t="shared" ca="1" si="73"/>
        <v>1.7496735227198787E-2</v>
      </c>
      <c r="AAY13" s="30">
        <f t="shared" ca="1" si="73"/>
        <v>9.2582226761421332E-2</v>
      </c>
      <c r="AAZ13" s="30">
        <f t="shared" ca="1" si="73"/>
        <v>4.4234821990097248E-2</v>
      </c>
      <c r="ABA13" s="30">
        <f t="shared" ca="1" si="73"/>
        <v>-1.5946446942928234E-4</v>
      </c>
      <c r="ABB13" s="30">
        <f t="shared" ca="1" si="73"/>
        <v>3.7268269247917193E-2</v>
      </c>
      <c r="ABC13" s="30">
        <f t="shared" ca="1" si="73"/>
        <v>1.6713850394537974E-2</v>
      </c>
      <c r="ABD13" s="30">
        <f t="shared" ca="1" si="73"/>
        <v>-2.5115152647480887E-2</v>
      </c>
      <c r="ABE13" s="30">
        <f t="shared" ca="1" si="73"/>
        <v>-2.4832013795365506E-3</v>
      </c>
      <c r="ABF13" s="30">
        <f t="shared" ca="1" si="73"/>
        <v>-2.9511279415666333E-2</v>
      </c>
      <c r="ABG13" s="30">
        <f t="shared" ca="1" si="73"/>
        <v>5.3508965356964713E-2</v>
      </c>
      <c r="ABH13" s="30">
        <f t="shared" ca="1" si="73"/>
        <v>2.327191287760063E-2</v>
      </c>
      <c r="ABI13" s="30">
        <f t="shared" ca="1" si="73"/>
        <v>-2.5808356394474975E-2</v>
      </c>
      <c r="ABJ13" s="30">
        <f t="shared" ca="1" si="73"/>
        <v>6.3592559652548994E-2</v>
      </c>
      <c r="ABK13" s="30">
        <f t="shared" ca="1" si="73"/>
        <v>5.3481558544739662E-2</v>
      </c>
      <c r="ABL13" s="30">
        <f t="shared" ca="1" si="73"/>
        <v>7.3723291329140152E-3</v>
      </c>
      <c r="ABM13" s="30">
        <f t="shared" ca="1" si="73"/>
        <v>-3.6311021484649444E-2</v>
      </c>
      <c r="ABN13" s="30">
        <f t="shared" ca="1" si="73"/>
        <v>-2.3875503350176828E-2</v>
      </c>
      <c r="ABO13" s="30">
        <f t="shared" ca="1" si="73"/>
        <v>3.93070280901789E-2</v>
      </c>
      <c r="ABP13" s="30">
        <f t="shared" ca="1" si="73"/>
        <v>3.196231056946182E-3</v>
      </c>
      <c r="ABQ13" s="30">
        <f t="shared" ca="1" si="73"/>
        <v>-1.0505642632998358E-2</v>
      </c>
      <c r="ABR13" s="30">
        <f t="shared" ca="1" si="73"/>
        <v>-1.5460480771325044E-2</v>
      </c>
      <c r="ABS13" s="30">
        <f t="shared" ca="1" si="73"/>
        <v>-2.1979790045949819E-2</v>
      </c>
      <c r="ABT13" s="30">
        <f t="shared" ca="1" si="73"/>
        <v>3.7742540745512665E-3</v>
      </c>
      <c r="ABU13" s="30">
        <f t="shared" ca="1" si="73"/>
        <v>-1.1837364106696488E-2</v>
      </c>
      <c r="ABV13" s="30">
        <f t="shared" ca="1" si="73"/>
        <v>-1.328988464261256E-2</v>
      </c>
      <c r="ABW13" s="30">
        <f t="shared" ca="1" si="73"/>
        <v>-3.5136507770463357E-2</v>
      </c>
      <c r="ABX13" s="30">
        <f t="shared" ca="1" si="73"/>
        <v>7.5026821588252704E-2</v>
      </c>
      <c r="ABY13" s="30">
        <f t="shared" ca="1" si="73"/>
        <v>4.3232987772018311E-2</v>
      </c>
      <c r="ABZ13" s="30">
        <f t="shared" ca="1" si="73"/>
        <v>1.9867022790210451E-2</v>
      </c>
      <c r="ACA13" s="30">
        <f t="shared" ca="1" si="73"/>
        <v>8.1925849274051832E-2</v>
      </c>
      <c r="ACB13" s="30">
        <f t="shared" ca="1" si="73"/>
        <v>-4.5726569816024749E-2</v>
      </c>
      <c r="ACC13" s="30">
        <f t="shared" ca="1" si="73"/>
        <v>1.4162220922253776E-2</v>
      </c>
      <c r="ACD13" s="30">
        <f t="shared" ca="1" si="73"/>
        <v>-3.2037039141643471E-2</v>
      </c>
      <c r="ACE13" s="30">
        <f t="shared" ca="1" si="73"/>
        <v>-2.2329779703975438E-2</v>
      </c>
      <c r="ACF13" s="30">
        <f t="shared" ca="1" si="73"/>
        <v>-3.2194357571875831E-3</v>
      </c>
      <c r="ACG13" s="30">
        <f t="shared" ca="1" si="73"/>
        <v>-3.4121311242115884E-2</v>
      </c>
      <c r="ACH13" s="30">
        <f t="shared" ca="1" si="73"/>
        <v>3.6172575051928463E-3</v>
      </c>
      <c r="ACI13" s="30">
        <f t="shared" ca="1" si="73"/>
        <v>-9.6423444430612529E-2</v>
      </c>
      <c r="ACJ13" s="30">
        <f t="shared" ca="1" si="73"/>
        <v>-7.8624260772001742E-2</v>
      </c>
      <c r="ACK13" s="30">
        <f t="shared" ca="1" si="73"/>
        <v>2.6555524618258608E-2</v>
      </c>
      <c r="ACL13" s="30">
        <f t="shared" ca="1" si="73"/>
        <v>4.5229934551055145E-2</v>
      </c>
      <c r="ACM13" s="30">
        <f t="shared" ca="1" si="73"/>
        <v>4.6486996154436383E-2</v>
      </c>
      <c r="ACN13" s="30">
        <f t="shared" ca="1" si="73"/>
        <v>-1.049406806891671E-3</v>
      </c>
      <c r="ACO13" s="30">
        <f t="shared" ca="1" si="73"/>
        <v>-4.7733842587969873E-2</v>
      </c>
      <c r="ACP13" s="30">
        <f t="shared" ca="1" si="73"/>
        <v>4.2841712578037703E-3</v>
      </c>
      <c r="ACQ13" s="30">
        <f t="shared" ca="1" si="73"/>
        <v>-8.1072253698960713E-3</v>
      </c>
      <c r="ACR13" s="30">
        <f t="shared" ca="1" si="73"/>
        <v>-2.067432303489272E-3</v>
      </c>
      <c r="ACS13" s="30">
        <f t="shared" ca="1" si="73"/>
        <v>9.8990356384872302E-2</v>
      </c>
      <c r="ACT13" s="30">
        <f t="shared" ca="1" si="73"/>
        <v>7.0576334209966229E-2</v>
      </c>
      <c r="ACU13" s="30">
        <f t="shared" ca="1" si="73"/>
        <v>3.1039787919584234E-2</v>
      </c>
      <c r="ACV13" s="30">
        <f t="shared" ca="1" si="73"/>
        <v>-1.0073246864015725E-2</v>
      </c>
      <c r="ACW13" s="30">
        <f t="shared" ca="1" si="73"/>
        <v>4.3430834767661651E-2</v>
      </c>
      <c r="ACX13" s="30">
        <f t="shared" ca="1" si="66"/>
        <v>3.3584923001245381E-2</v>
      </c>
      <c r="ACY13" s="30">
        <f t="shared" ca="1" si="58"/>
        <v>-4.2499399414817812E-2</v>
      </c>
      <c r="ACZ13" s="30">
        <f t="shared" ca="1" si="58"/>
        <v>3.2893598680454376E-2</v>
      </c>
      <c r="ADA13" s="30">
        <f t="shared" ca="1" si="58"/>
        <v>1.6057279057569832E-2</v>
      </c>
      <c r="ADB13" s="30">
        <f t="shared" ca="1" si="58"/>
        <v>-7.8508290294750982E-2</v>
      </c>
      <c r="ADC13" s="30">
        <f t="shared" ca="1" si="58"/>
        <v>-6.3541057079760946E-2</v>
      </c>
      <c r="ADD13" s="30">
        <f t="shared" ca="1" si="58"/>
        <v>5.3395790773357286E-2</v>
      </c>
      <c r="ADE13" s="30">
        <f t="shared" ca="1" si="58"/>
        <v>-1.8592943750405293E-3</v>
      </c>
      <c r="ADF13" s="30">
        <f t="shared" ca="1" si="58"/>
        <v>1.3812412213875896E-2</v>
      </c>
      <c r="ADG13" s="30">
        <f t="shared" ca="1" si="58"/>
        <v>1.9604861121724142E-2</v>
      </c>
      <c r="ADH13" s="30">
        <f t="shared" ca="1" si="58"/>
        <v>0.10316977703237214</v>
      </c>
      <c r="ADI13" s="30">
        <f t="shared" ca="1" si="58"/>
        <v>-7.9441110125710146E-2</v>
      </c>
      <c r="ADJ13" s="30">
        <f t="shared" ca="1" si="58"/>
        <v>-2.2951663003019703E-2</v>
      </c>
      <c r="ADK13" s="30">
        <f t="shared" ca="1" si="58"/>
        <v>2.9021003735317824E-2</v>
      </c>
      <c r="ADL13" s="30">
        <f t="shared" ca="1" si="58"/>
        <v>-3.3929210119472974E-3</v>
      </c>
      <c r="ADM13" s="30">
        <f t="shared" ca="1" si="58"/>
        <v>1.4741818602874096E-2</v>
      </c>
      <c r="ADN13" s="30">
        <f t="shared" ca="1" si="58"/>
        <v>7.3080252111213245E-2</v>
      </c>
      <c r="ADO13" s="30">
        <f t="shared" ca="1" si="58"/>
        <v>9.0129840256216495E-2</v>
      </c>
      <c r="ADP13" s="30">
        <f t="shared" ca="1" si="58"/>
        <v>-3.7451830590388459E-2</v>
      </c>
      <c r="ADQ13" s="30">
        <f t="shared" ca="1" si="58"/>
        <v>4.7323075244479096E-2</v>
      </c>
      <c r="ADR13" s="30">
        <f t="shared" ca="1" si="58"/>
        <v>-1.2769823654568061E-2</v>
      </c>
      <c r="ADS13" s="30">
        <f t="shared" ca="1" si="58"/>
        <v>5.8734180975188101E-2</v>
      </c>
      <c r="ADT13" s="30">
        <f t="shared" ca="1" si="58"/>
        <v>1.2440501549633309E-2</v>
      </c>
      <c r="ADU13" s="30">
        <f t="shared" ca="1" si="58"/>
        <v>4.9264196153051436E-2</v>
      </c>
      <c r="ADV13" s="30">
        <f t="shared" ca="1" si="58"/>
        <v>-1.6241084017545072E-2</v>
      </c>
      <c r="ADW13" s="30">
        <f t="shared" ca="1" si="58"/>
        <v>4.3941599614473352E-2</v>
      </c>
      <c r="ADX13" s="30">
        <f t="shared" ca="1" si="58"/>
        <v>-8.082077418391816E-3</v>
      </c>
      <c r="ADY13" s="30">
        <f t="shared" ca="1" si="58"/>
        <v>2.9094872062035367E-2</v>
      </c>
      <c r="ADZ13" s="30">
        <f t="shared" ca="1" si="58"/>
        <v>3.9560753916879694E-2</v>
      </c>
      <c r="AEA13" s="30">
        <f t="shared" ca="1" si="58"/>
        <v>-6.778801909108978E-2</v>
      </c>
      <c r="AEB13" s="30">
        <f t="shared" ca="1" si="58"/>
        <v>-5.5196306371799057E-2</v>
      </c>
      <c r="AEC13" s="30">
        <f t="shared" ca="1" si="58"/>
        <v>5.9364960033042806E-2</v>
      </c>
      <c r="AED13" s="30">
        <f t="shared" ca="1" si="58"/>
        <v>0.10443798676186701</v>
      </c>
      <c r="AEE13" s="30">
        <f t="shared" ca="1" si="58"/>
        <v>-1.8063108666416004E-2</v>
      </c>
      <c r="AEF13" s="30">
        <f t="shared" ca="1" si="58"/>
        <v>-1.6900351355853931E-2</v>
      </c>
      <c r="AEG13" s="30">
        <f t="shared" ca="1" si="58"/>
        <v>-2.3467504016610113E-2</v>
      </c>
      <c r="AEH13" s="30">
        <f t="shared" ca="1" si="58"/>
        <v>2.8256364089730979E-2</v>
      </c>
      <c r="AEI13" s="30">
        <f t="shared" ca="1" si="58"/>
        <v>2.0287903652620051E-2</v>
      </c>
      <c r="AEJ13" s="30">
        <f t="shared" ca="1" si="58"/>
        <v>-3.7368574167458618E-2</v>
      </c>
      <c r="AEK13" s="30">
        <f t="shared" ca="1" si="58"/>
        <v>1.3826907975346173E-2</v>
      </c>
      <c r="AEL13" s="30">
        <f t="shared" ca="1" si="58"/>
        <v>2.0488514074715195E-2</v>
      </c>
      <c r="AEM13" s="30">
        <f t="shared" ca="1" si="58"/>
        <v>2.5940436727930449E-2</v>
      </c>
      <c r="AEN13" s="30">
        <f t="shared" ca="1" si="58"/>
        <v>-3.7469612347962214E-2</v>
      </c>
      <c r="AEO13" s="30">
        <f t="shared" ca="1" si="58"/>
        <v>-2.163146692454904E-2</v>
      </c>
      <c r="AEP13" s="30">
        <f t="shared" ca="1" si="58"/>
        <v>2.4174290093769903E-2</v>
      </c>
      <c r="AEQ13" s="30">
        <f t="shared" ca="1" si="58"/>
        <v>1.3910975313028843E-2</v>
      </c>
      <c r="AER13" s="30">
        <f t="shared" ca="1" si="58"/>
        <v>1.8031664826117278E-2</v>
      </c>
      <c r="AES13" s="30">
        <f t="shared" ca="1" si="58"/>
        <v>2.2806584999439543E-2</v>
      </c>
      <c r="AET13" s="30">
        <f t="shared" ca="1" si="58"/>
        <v>-2.388367868679795E-2</v>
      </c>
      <c r="AEU13" s="30">
        <f t="shared" ca="1" si="58"/>
        <v>2.2089100002980783E-2</v>
      </c>
      <c r="AEV13" s="30">
        <f t="shared" ca="1" si="58"/>
        <v>-3.0116342905418233E-3</v>
      </c>
      <c r="AEW13" s="30">
        <f t="shared" ca="1" si="58"/>
        <v>2.5158355623064763E-2</v>
      </c>
      <c r="AEX13" s="30">
        <f t="shared" ca="1" si="58"/>
        <v>5.5799832314184904E-3</v>
      </c>
      <c r="AEY13" s="30">
        <f t="shared" ca="1" si="58"/>
        <v>-5.7573015431622715E-3</v>
      </c>
      <c r="AEZ13" s="30">
        <f t="shared" ca="1" si="58"/>
        <v>-7.3857992409820383E-2</v>
      </c>
      <c r="AFA13" s="30">
        <f t="shared" ca="1" si="58"/>
        <v>1.5324906764145473E-3</v>
      </c>
      <c r="AFB13" s="30">
        <f t="shared" ca="1" si="58"/>
        <v>-2.4153025517562536E-2</v>
      </c>
      <c r="AFC13" s="30">
        <f t="shared" ca="1" si="58"/>
        <v>-7.5682028207762986E-2</v>
      </c>
      <c r="AFD13" s="30">
        <f t="shared" ca="1" si="58"/>
        <v>-7.8568409473596858E-3</v>
      </c>
      <c r="AFE13" s="30">
        <f t="shared" ca="1" si="58"/>
        <v>-5.0846766093253794E-4</v>
      </c>
      <c r="AFF13" s="30">
        <f t="shared" ca="1" si="58"/>
        <v>-4.3431029095390331E-2</v>
      </c>
      <c r="AFG13" s="30">
        <f t="shared" ca="1" si="58"/>
        <v>9.3644444763913898E-2</v>
      </c>
      <c r="AFH13" s="30">
        <f t="shared" ca="1" si="58"/>
        <v>-2.0337237198774033E-2</v>
      </c>
      <c r="AFI13" s="30">
        <f t="shared" ca="1" si="58"/>
        <v>5.5862893349981263E-2</v>
      </c>
      <c r="AFJ13" s="30">
        <f t="shared" ref="AFJ13:AHU15" ca="1" si="74">_xlfn.NORM.INV(RAND(),$C$8,$C$9)</f>
        <v>-5.9006992558540495E-3</v>
      </c>
      <c r="AFK13" s="30">
        <f t="shared" ca="1" si="74"/>
        <v>-1.72679039667148E-2</v>
      </c>
      <c r="AFL13" s="30">
        <f t="shared" ca="1" si="74"/>
        <v>-2.6347831008297639E-2</v>
      </c>
      <c r="AFM13" s="30">
        <f t="shared" ca="1" si="74"/>
        <v>4.2015773116062152E-2</v>
      </c>
      <c r="AFN13" s="30">
        <f t="shared" ca="1" si="74"/>
        <v>3.0472672447048987E-2</v>
      </c>
      <c r="AFO13" s="30">
        <f t="shared" ca="1" si="74"/>
        <v>-8.0771521449370942E-2</v>
      </c>
      <c r="AFP13" s="30">
        <f t="shared" ca="1" si="74"/>
        <v>-5.1352391769143448E-2</v>
      </c>
      <c r="AFQ13" s="30">
        <f t="shared" ca="1" si="74"/>
        <v>5.1847896099674981E-2</v>
      </c>
      <c r="AFR13" s="30">
        <f t="shared" ca="1" si="74"/>
        <v>0.10431326879127156</v>
      </c>
      <c r="AFS13" s="30">
        <f t="shared" ca="1" si="74"/>
        <v>-1.1682391447401652E-2</v>
      </c>
      <c r="AFT13" s="30">
        <f t="shared" ca="1" si="74"/>
        <v>-7.6928350198224207E-2</v>
      </c>
      <c r="AFU13" s="30">
        <f t="shared" ca="1" si="74"/>
        <v>-3.544651481089206E-2</v>
      </c>
      <c r="AFV13" s="30">
        <f t="shared" ca="1" si="74"/>
        <v>1.3061959299745173E-2</v>
      </c>
      <c r="AFW13" s="30">
        <f t="shared" ca="1" si="74"/>
        <v>-1.856355070770438E-3</v>
      </c>
      <c r="AFX13" s="30">
        <f t="shared" ca="1" si="74"/>
        <v>5.4073635447684017E-2</v>
      </c>
      <c r="AFY13" s="30">
        <f t="shared" ca="1" si="74"/>
        <v>-4.2425863606735024E-2</v>
      </c>
      <c r="AFZ13" s="30">
        <f t="shared" ca="1" si="74"/>
        <v>-4.276542066875378E-2</v>
      </c>
      <c r="AGA13" s="30">
        <f t="shared" ca="1" si="74"/>
        <v>4.6388681349770582E-3</v>
      </c>
      <c r="AGB13" s="30">
        <f t="shared" ca="1" si="74"/>
        <v>-4.4730423012179108E-3</v>
      </c>
      <c r="AGC13" s="30">
        <f t="shared" ca="1" si="74"/>
        <v>-8.5010690863708705E-3</v>
      </c>
      <c r="AGD13" s="30">
        <f t="shared" ca="1" si="74"/>
        <v>8.1206764584826688E-3</v>
      </c>
      <c r="AGE13" s="30">
        <f t="shared" ca="1" si="74"/>
        <v>-4.5391030237010868E-2</v>
      </c>
      <c r="AGF13" s="30">
        <f t="shared" ca="1" si="74"/>
        <v>-4.2609360637847614E-2</v>
      </c>
      <c r="AGG13" s="30">
        <f t="shared" ca="1" si="74"/>
        <v>-1.8780221287823261E-2</v>
      </c>
      <c r="AGH13" s="30">
        <f t="shared" ca="1" si="74"/>
        <v>9.710368124790994E-3</v>
      </c>
      <c r="AGI13" s="30">
        <f t="shared" ca="1" si="74"/>
        <v>-4.0815297391329455E-2</v>
      </c>
      <c r="AGJ13" s="30">
        <f t="shared" ca="1" si="74"/>
        <v>4.9866026292997481E-2</v>
      </c>
      <c r="AGK13" s="30">
        <f t="shared" ca="1" si="74"/>
        <v>-3.5778355871183283E-2</v>
      </c>
      <c r="AGL13" s="30">
        <f t="shared" ca="1" si="74"/>
        <v>0.10215926343975398</v>
      </c>
      <c r="AGM13" s="30">
        <f t="shared" ca="1" si="74"/>
        <v>-3.8582214451935368E-2</v>
      </c>
      <c r="AGN13" s="30">
        <f t="shared" ca="1" si="74"/>
        <v>6.5519050298031541E-3</v>
      </c>
      <c r="AGO13" s="30">
        <f t="shared" ca="1" si="74"/>
        <v>-2.0232613792750247E-2</v>
      </c>
      <c r="AGP13" s="30">
        <f t="shared" ca="1" si="74"/>
        <v>-7.2727337652668186E-3</v>
      </c>
      <c r="AGQ13" s="30">
        <f t="shared" ca="1" si="74"/>
        <v>-3.8007251924818295E-3</v>
      </c>
      <c r="AGR13" s="30">
        <f t="shared" ca="1" si="74"/>
        <v>-7.5453680516570972E-3</v>
      </c>
      <c r="AGS13" s="30">
        <f t="shared" ca="1" si="74"/>
        <v>3.5093805127186212E-2</v>
      </c>
      <c r="AGT13" s="30">
        <f t="shared" ca="1" si="74"/>
        <v>2.8569853380823081E-2</v>
      </c>
      <c r="AGU13" s="30">
        <f t="shared" ca="1" si="74"/>
        <v>3.1050207834641106E-2</v>
      </c>
      <c r="AGV13" s="30">
        <f t="shared" ca="1" si="74"/>
        <v>2.0454636672333822E-2</v>
      </c>
      <c r="AGW13" s="30">
        <f t="shared" ca="1" si="74"/>
        <v>4.8770968024527739E-2</v>
      </c>
      <c r="AGX13" s="30">
        <f t="shared" ca="1" si="74"/>
        <v>7.543281232657335E-3</v>
      </c>
      <c r="AGY13" s="30">
        <f t="shared" ca="1" si="74"/>
        <v>8.2211951638478612E-3</v>
      </c>
      <c r="AGZ13" s="30">
        <f t="shared" ca="1" si="74"/>
        <v>-3.4256364365442193E-3</v>
      </c>
      <c r="AHA13" s="30">
        <f t="shared" ca="1" si="74"/>
        <v>3.8707923712476097E-2</v>
      </c>
      <c r="AHB13" s="30">
        <f t="shared" ca="1" si="74"/>
        <v>-2.4987698108265548E-2</v>
      </c>
      <c r="AHC13" s="30">
        <f t="shared" ca="1" si="74"/>
        <v>1.153944119790962E-2</v>
      </c>
      <c r="AHD13" s="30">
        <f t="shared" ca="1" si="74"/>
        <v>-3.569986145558024E-2</v>
      </c>
      <c r="AHE13" s="30">
        <f t="shared" ca="1" si="74"/>
        <v>-4.4004913803601935E-2</v>
      </c>
      <c r="AHF13" s="30">
        <f t="shared" ca="1" si="74"/>
        <v>-2.0247197862972126E-2</v>
      </c>
      <c r="AHG13" s="30">
        <f t="shared" ca="1" si="74"/>
        <v>-1.0510614531959585E-2</v>
      </c>
      <c r="AHH13" s="30">
        <f t="shared" ca="1" si="74"/>
        <v>3.5056653420927709E-2</v>
      </c>
      <c r="AHI13" s="30">
        <f t="shared" ca="1" si="74"/>
        <v>-2.6262044666508021E-2</v>
      </c>
      <c r="AHJ13" s="30">
        <f t="shared" ca="1" si="74"/>
        <v>4.6552457238166818E-2</v>
      </c>
      <c r="AHK13" s="30">
        <f t="shared" ca="1" si="74"/>
        <v>-5.5929056592918441E-2</v>
      </c>
      <c r="AHL13" s="30">
        <f t="shared" ca="1" si="74"/>
        <v>5.3464936930774788E-2</v>
      </c>
      <c r="AHM13" s="30">
        <f t="shared" ca="1" si="74"/>
        <v>1.1733865569998999E-2</v>
      </c>
      <c r="AHN13" s="30">
        <f t="shared" ca="1" si="74"/>
        <v>-2.4672561654105793E-2</v>
      </c>
      <c r="AHO13" s="30">
        <f t="shared" ca="1" si="74"/>
        <v>-2.6449707393618519E-2</v>
      </c>
      <c r="AHP13" s="30">
        <f t="shared" ca="1" si="74"/>
        <v>1.4375550034007614E-2</v>
      </c>
      <c r="AHQ13" s="30">
        <f t="shared" ca="1" si="74"/>
        <v>5.1463765856175035E-2</v>
      </c>
      <c r="AHR13" s="30">
        <f t="shared" ca="1" si="74"/>
        <v>0.10775853618041824</v>
      </c>
      <c r="AHS13" s="30">
        <f t="shared" ca="1" si="74"/>
        <v>-2.5639571392319191E-2</v>
      </c>
      <c r="AHT13" s="30">
        <f t="shared" ca="1" si="74"/>
        <v>-1.2233899638913545E-2</v>
      </c>
      <c r="AHU13" s="30">
        <f t="shared" ca="1" si="74"/>
        <v>3.187284909106413E-2</v>
      </c>
      <c r="AHV13" s="30">
        <f t="shared" ca="1" si="67"/>
        <v>3.7558855616620576E-2</v>
      </c>
      <c r="AHW13" s="30">
        <f t="shared" ca="1" si="59"/>
        <v>-1.313796485579218E-2</v>
      </c>
      <c r="AHX13" s="30">
        <f t="shared" ca="1" si="59"/>
        <v>-3.1847656328826641E-2</v>
      </c>
      <c r="AHY13" s="30">
        <f t="shared" ca="1" si="59"/>
        <v>-1.8695013558858883E-2</v>
      </c>
      <c r="AHZ13" s="30">
        <f t="shared" ca="1" si="59"/>
        <v>-4.4883330926293027E-2</v>
      </c>
      <c r="AIA13" s="30">
        <f t="shared" ca="1" si="59"/>
        <v>1.4689044591900588E-2</v>
      </c>
      <c r="AIB13" s="30">
        <f t="shared" ca="1" si="59"/>
        <v>1.2471517953217506E-2</v>
      </c>
      <c r="AIC13" s="30">
        <f t="shared" ca="1" si="59"/>
        <v>-1.654596484164882E-2</v>
      </c>
      <c r="AID13" s="30">
        <f t="shared" ca="1" si="59"/>
        <v>-1.3067756457969482E-2</v>
      </c>
      <c r="AIE13" s="30">
        <f t="shared" ca="1" si="59"/>
        <v>3.2101301874623629E-2</v>
      </c>
      <c r="AIF13" s="30">
        <f t="shared" ca="1" si="59"/>
        <v>1.1582758352688807E-2</v>
      </c>
      <c r="AIG13" s="30">
        <f t="shared" ca="1" si="59"/>
        <v>4.2647150550842589E-2</v>
      </c>
      <c r="AIH13" s="30">
        <f t="shared" ca="1" si="59"/>
        <v>8.2350315101051244E-2</v>
      </c>
      <c r="AII13" s="30">
        <f t="shared" ca="1" si="59"/>
        <v>5.8376276183935892E-2</v>
      </c>
      <c r="AIJ13" s="30">
        <f t="shared" ca="1" si="59"/>
        <v>2.5345486005684162E-2</v>
      </c>
      <c r="AIK13" s="30">
        <f t="shared" ca="1" si="59"/>
        <v>1.7600229478357605E-2</v>
      </c>
      <c r="AIL13" s="30">
        <f t="shared" ca="1" si="59"/>
        <v>8.3024560150089285E-2</v>
      </c>
      <c r="AIM13" s="30">
        <f t="shared" ca="1" si="59"/>
        <v>-7.2680912349665384E-3</v>
      </c>
      <c r="AIN13" s="30">
        <f t="shared" ca="1" si="59"/>
        <v>-4.7554391235145932E-2</v>
      </c>
      <c r="AIO13" s="30">
        <f t="shared" ca="1" si="59"/>
        <v>1.8751529916304219E-2</v>
      </c>
      <c r="AIP13" s="30">
        <f t="shared" ca="1" si="59"/>
        <v>3.6038189473813549E-2</v>
      </c>
      <c r="AIQ13" s="30">
        <f t="shared" ca="1" si="59"/>
        <v>-1.6890281491855876E-2</v>
      </c>
      <c r="AIR13" s="30">
        <f t="shared" ca="1" si="59"/>
        <v>5.8745043121192268E-2</v>
      </c>
      <c r="AIS13" s="30">
        <f t="shared" ca="1" si="59"/>
        <v>-0.10003398722861925</v>
      </c>
      <c r="AIT13" s="30">
        <f t="shared" ca="1" si="59"/>
        <v>-6.6725593926199978E-2</v>
      </c>
      <c r="AIU13" s="30">
        <f t="shared" ca="1" si="59"/>
        <v>-5.7518869473480803E-2</v>
      </c>
      <c r="AIV13" s="30">
        <f t="shared" ca="1" si="59"/>
        <v>-3.5414107411436378E-2</v>
      </c>
      <c r="AIW13" s="30">
        <f t="shared" ca="1" si="59"/>
        <v>8.7318739272298926E-2</v>
      </c>
      <c r="AIX13" s="30">
        <f t="shared" ca="1" si="59"/>
        <v>8.4419082284609592E-2</v>
      </c>
      <c r="AIY13" s="30">
        <f t="shared" ca="1" si="59"/>
        <v>3.3270813826615168E-2</v>
      </c>
      <c r="AIZ13" s="30">
        <f t="shared" ca="1" si="59"/>
        <v>-6.7184341423074556E-2</v>
      </c>
      <c r="AJA13" s="30">
        <f t="shared" ca="1" si="59"/>
        <v>-1.0593553404995048E-3</v>
      </c>
      <c r="AJB13" s="30">
        <f t="shared" ca="1" si="59"/>
        <v>-3.7872082303494703E-2</v>
      </c>
      <c r="AJC13" s="30">
        <f t="shared" ca="1" si="59"/>
        <v>-1.3342290770509781E-2</v>
      </c>
      <c r="AJD13" s="30">
        <f t="shared" ca="1" si="59"/>
        <v>2.9504540418225516E-2</v>
      </c>
      <c r="AJE13" s="30">
        <f t="shared" ca="1" si="59"/>
        <v>-0.10038397930391239</v>
      </c>
      <c r="AJF13" s="30">
        <f t="shared" ca="1" si="59"/>
        <v>-4.1997306433982209E-2</v>
      </c>
      <c r="AJG13" s="30">
        <f t="shared" ca="1" si="59"/>
        <v>-5.5269348261024458E-3</v>
      </c>
      <c r="AJH13" s="30">
        <f t="shared" ca="1" si="59"/>
        <v>3.8419217109274997E-2</v>
      </c>
      <c r="AJI13" s="30">
        <f t="shared" ca="1" si="59"/>
        <v>2.2810634361958425E-2</v>
      </c>
      <c r="AJJ13" s="30">
        <f t="shared" ca="1" si="59"/>
        <v>-2.7870121248736862E-3</v>
      </c>
      <c r="AJK13" s="30">
        <f t="shared" ca="1" si="59"/>
        <v>-3.5208652936322998E-2</v>
      </c>
      <c r="AJL13" s="30">
        <f t="shared" ca="1" si="59"/>
        <v>-3.622407218310366E-2</v>
      </c>
      <c r="AJM13" s="30">
        <f t="shared" ca="1" si="59"/>
        <v>5.4285554604196824E-2</v>
      </c>
      <c r="AJN13" s="30">
        <f t="shared" ca="1" si="59"/>
        <v>-1.6289383243121736E-2</v>
      </c>
      <c r="AJO13" s="30">
        <f t="shared" ca="1" si="59"/>
        <v>9.8462892258230447E-2</v>
      </c>
      <c r="AJP13" s="30">
        <f t="shared" ca="1" si="59"/>
        <v>7.4103244102336442E-3</v>
      </c>
      <c r="AJQ13" s="30">
        <f t="shared" ca="1" si="59"/>
        <v>-9.3387297576875035E-3</v>
      </c>
      <c r="AJR13" s="30">
        <f t="shared" ca="1" si="59"/>
        <v>-3.0214397790290171E-2</v>
      </c>
      <c r="AJS13" s="30">
        <f t="shared" ca="1" si="59"/>
        <v>-3.6736681012443075E-2</v>
      </c>
      <c r="AJT13" s="30">
        <f t="shared" ca="1" si="59"/>
        <v>-6.2648661033724282E-2</v>
      </c>
      <c r="AJU13" s="30">
        <f t="shared" ca="1" si="59"/>
        <v>0.10150699614853867</v>
      </c>
      <c r="AJV13" s="30">
        <f t="shared" ca="1" si="59"/>
        <v>-2.14808616566779E-2</v>
      </c>
      <c r="AJW13" s="30">
        <f t="shared" ca="1" si="59"/>
        <v>-1.5436045410675354E-2</v>
      </c>
      <c r="AJX13" s="30">
        <f t="shared" ca="1" si="59"/>
        <v>-3.2966176156239545E-3</v>
      </c>
      <c r="AJY13" s="30">
        <f t="shared" ca="1" si="59"/>
        <v>1.1389610271314092E-2</v>
      </c>
      <c r="AJZ13" s="30">
        <f t="shared" ca="1" si="59"/>
        <v>-4.1964039480955832E-2</v>
      </c>
      <c r="AKA13" s="30">
        <f t="shared" ca="1" si="59"/>
        <v>1.2167739775857059E-3</v>
      </c>
      <c r="AKB13" s="30">
        <f t="shared" ca="1" si="59"/>
        <v>3.4322236673137829E-2</v>
      </c>
      <c r="AKC13" s="30">
        <f t="shared" ca="1" si="59"/>
        <v>4.7165393347323517E-2</v>
      </c>
      <c r="AKD13" s="30">
        <f t="shared" ca="1" si="59"/>
        <v>-5.9028925767911987E-2</v>
      </c>
      <c r="AKE13" s="30">
        <f t="shared" ca="1" si="59"/>
        <v>4.607025801732742E-2</v>
      </c>
      <c r="AKF13" s="30">
        <f t="shared" ca="1" si="59"/>
        <v>-5.1897233394403164E-2</v>
      </c>
      <c r="AKG13" s="30">
        <f t="shared" ca="1" si="59"/>
        <v>3.033479243243941E-2</v>
      </c>
      <c r="AKH13" s="30">
        <f t="shared" ca="1" si="60"/>
        <v>4.8379267725849807E-2</v>
      </c>
      <c r="AKI13" s="30">
        <f t="shared" ca="1" si="60"/>
        <v>1.7106245427647188E-2</v>
      </c>
      <c r="AKJ13" s="30">
        <f t="shared" ca="1" si="60"/>
        <v>-7.0680519852922494E-3</v>
      </c>
      <c r="AKK13" s="30">
        <f t="shared" ca="1" si="60"/>
        <v>1.1525425008662637E-2</v>
      </c>
      <c r="AKL13" s="30">
        <f t="shared" ca="1" si="60"/>
        <v>-2.0636722396211327E-2</v>
      </c>
      <c r="AKM13" s="30">
        <f t="shared" ca="1" si="60"/>
        <v>9.8778783646779555E-2</v>
      </c>
      <c r="AKN13" s="30">
        <f t="shared" ca="1" si="60"/>
        <v>-9.9872322418068909E-3</v>
      </c>
      <c r="AKO13" s="30">
        <f t="shared" ca="1" si="60"/>
        <v>4.1313730036513688E-2</v>
      </c>
      <c r="AKP13" s="30">
        <f t="shared" ca="1" si="60"/>
        <v>-1.4034269966580051E-2</v>
      </c>
      <c r="AKQ13" s="30">
        <f t="shared" ca="1" si="60"/>
        <v>-8.3741527196741342E-4</v>
      </c>
      <c r="AKR13" s="30">
        <f t="shared" ca="1" si="60"/>
        <v>-1.0963386047698167E-2</v>
      </c>
      <c r="AKS13" s="30">
        <f t="shared" ca="1" si="60"/>
        <v>-3.9582305954394353E-2</v>
      </c>
      <c r="AKT13" s="30">
        <f t="shared" ca="1" si="60"/>
        <v>-6.6981868908539785E-2</v>
      </c>
      <c r="AKU13" s="30">
        <f t="shared" ca="1" si="60"/>
        <v>-1.0875919257761055E-2</v>
      </c>
      <c r="AKV13" s="30">
        <f t="shared" ca="1" si="60"/>
        <v>-7.1711208274074678E-2</v>
      </c>
      <c r="AKW13" s="30">
        <f t="shared" ca="1" si="60"/>
        <v>-2.9175216041851006E-2</v>
      </c>
      <c r="AKX13" s="30">
        <f t="shared" ca="1" si="60"/>
        <v>-1.9301356886452754E-2</v>
      </c>
      <c r="AKY13" s="30">
        <f t="shared" ca="1" si="60"/>
        <v>2.5459564193661355E-2</v>
      </c>
      <c r="AKZ13" s="30">
        <f t="shared" ca="1" si="60"/>
        <v>1.6895528903730157E-2</v>
      </c>
      <c r="ALA13" s="30">
        <f t="shared" ca="1" si="60"/>
        <v>2.4372199535178211E-3</v>
      </c>
      <c r="ALB13" s="30">
        <f t="shared" ca="1" si="60"/>
        <v>2.7066794150716394E-5</v>
      </c>
      <c r="ALC13" s="30">
        <f t="shared" ca="1" si="60"/>
        <v>7.7290529695508972E-3</v>
      </c>
      <c r="ALD13" s="30">
        <f t="shared" ca="1" si="60"/>
        <v>-5.0886942863901066E-2</v>
      </c>
      <c r="ALE13" s="30">
        <f t="shared" ca="1" si="60"/>
        <v>4.469840877768709E-2</v>
      </c>
      <c r="ALF13" s="30">
        <f t="shared" ca="1" si="60"/>
        <v>-4.2383631769026875E-2</v>
      </c>
      <c r="ALG13" s="30">
        <f t="shared" ca="1" si="60"/>
        <v>-5.0826527287202779E-2</v>
      </c>
      <c r="ALH13" s="30">
        <f t="shared" ca="1" si="60"/>
        <v>1.3394483123168089E-2</v>
      </c>
      <c r="ALI13" s="30">
        <f t="shared" ca="1" si="60"/>
        <v>-1.1709407744241743E-2</v>
      </c>
      <c r="ALJ13" s="30">
        <f t="shared" ca="1" si="60"/>
        <v>5.0962550990075746E-2</v>
      </c>
      <c r="ALK13" s="30">
        <f t="shared" ca="1" si="60"/>
        <v>-2.4140497855018581E-2</v>
      </c>
      <c r="ALL13" s="30">
        <f t="shared" ca="1" si="60"/>
        <v>-7.3232946248615524E-2</v>
      </c>
      <c r="ALM13" s="30">
        <f t="shared" ca="1" si="60"/>
        <v>-5.5659532712010157E-2</v>
      </c>
      <c r="ALN13" s="30">
        <f t="shared" ca="1" si="60"/>
        <v>-6.867724861078334E-3</v>
      </c>
      <c r="ALO13" s="30">
        <f t="shared" ca="1" si="60"/>
        <v>3.6104573058716671E-2</v>
      </c>
      <c r="ALP13" s="30">
        <f t="shared" ca="1" si="60"/>
        <v>4.6883521554194944E-2</v>
      </c>
      <c r="ALQ13" s="30">
        <f t="shared" ca="1" si="60"/>
        <v>-7.8454070810047516E-2</v>
      </c>
      <c r="ALR13" s="30">
        <f t="shared" ca="1" si="60"/>
        <v>2.4816547468350054E-2</v>
      </c>
    </row>
    <row r="14" spans="2:1006" s="29" customFormat="1" x14ac:dyDescent="0.2">
      <c r="B14" s="63" t="s">
        <v>1538</v>
      </c>
      <c r="C14" s="63"/>
      <c r="D14" s="63"/>
      <c r="F14" s="32">
        <f t="shared" si="35"/>
        <v>11</v>
      </c>
      <c r="G14" s="30">
        <f t="shared" ca="1" si="33"/>
        <v>-4.790786836973835E-2</v>
      </c>
      <c r="H14" s="30">
        <f t="shared" ref="H14:BS15" ca="1" si="75">_xlfn.NORM.INV(RAND(),$C$8,$C$9)</f>
        <v>-2.2791629113108693E-2</v>
      </c>
      <c r="I14" s="30">
        <f t="shared" ca="1" si="75"/>
        <v>9.9205642704177616E-2</v>
      </c>
      <c r="J14" s="30">
        <f t="shared" ca="1" si="75"/>
        <v>4.3087783772167806E-2</v>
      </c>
      <c r="K14" s="30">
        <f t="shared" ca="1" si="75"/>
        <v>6.5356565400136749E-2</v>
      </c>
      <c r="L14" s="30">
        <f t="shared" ca="1" si="75"/>
        <v>0.11430707834902397</v>
      </c>
      <c r="M14" s="30">
        <f t="shared" ca="1" si="75"/>
        <v>-6.2774827773719871E-2</v>
      </c>
      <c r="N14" s="30">
        <f t="shared" ca="1" si="75"/>
        <v>-0.10649895145258841</v>
      </c>
      <c r="O14" s="30">
        <f t="shared" ca="1" si="75"/>
        <v>6.8319441504434517E-2</v>
      </c>
      <c r="P14" s="30">
        <f t="shared" ca="1" si="75"/>
        <v>-3.3917987499134529E-2</v>
      </c>
      <c r="Q14" s="30">
        <f t="shared" ca="1" si="75"/>
        <v>-2.3266969740574704E-2</v>
      </c>
      <c r="R14" s="30">
        <f t="shared" ca="1" si="75"/>
        <v>3.39611185170016E-2</v>
      </c>
      <c r="S14" s="30">
        <f t="shared" ca="1" si="75"/>
        <v>-2.1248711545606189E-2</v>
      </c>
      <c r="T14" s="30">
        <f t="shared" ca="1" si="75"/>
        <v>5.2109607509242414E-2</v>
      </c>
      <c r="U14" s="30">
        <f t="shared" ca="1" si="75"/>
        <v>7.7147393888282135E-3</v>
      </c>
      <c r="V14" s="30">
        <f t="shared" ca="1" si="75"/>
        <v>5.5557878286824737E-3</v>
      </c>
      <c r="W14" s="30">
        <f t="shared" ca="1" si="75"/>
        <v>2.1240508322919904E-2</v>
      </c>
      <c r="X14" s="30">
        <f t="shared" ca="1" si="75"/>
        <v>6.5688403492119823E-2</v>
      </c>
      <c r="Y14" s="30">
        <f t="shared" ca="1" si="75"/>
        <v>-5.9152266324915721E-3</v>
      </c>
      <c r="Z14" s="30">
        <f t="shared" ca="1" si="75"/>
        <v>1.8715494755682176E-2</v>
      </c>
      <c r="AA14" s="30">
        <f t="shared" ca="1" si="75"/>
        <v>-4.3012984029118774E-2</v>
      </c>
      <c r="AB14" s="30">
        <f t="shared" ca="1" si="75"/>
        <v>2.8375087759698693E-2</v>
      </c>
      <c r="AC14" s="30">
        <f t="shared" ca="1" si="75"/>
        <v>-4.5987494712266243E-2</v>
      </c>
      <c r="AD14" s="30">
        <f t="shared" ca="1" si="75"/>
        <v>-5.1122605348930698E-2</v>
      </c>
      <c r="AE14" s="30">
        <f t="shared" ca="1" si="75"/>
        <v>5.4535985278888109E-2</v>
      </c>
      <c r="AF14" s="30">
        <f t="shared" ca="1" si="75"/>
        <v>3.1351796850847789E-2</v>
      </c>
      <c r="AG14" s="30">
        <f t="shared" ca="1" si="75"/>
        <v>1.98883492826912E-2</v>
      </c>
      <c r="AH14" s="30">
        <f t="shared" ca="1" si="75"/>
        <v>3.6092756080010689E-2</v>
      </c>
      <c r="AI14" s="30">
        <f t="shared" ca="1" si="75"/>
        <v>-5.2137963795377357E-2</v>
      </c>
      <c r="AJ14" s="30">
        <f t="shared" ca="1" si="75"/>
        <v>-2.7832999247399123E-2</v>
      </c>
      <c r="AK14" s="30">
        <f t="shared" ca="1" si="75"/>
        <v>-1.495138601808235E-3</v>
      </c>
      <c r="AL14" s="30">
        <f t="shared" ca="1" si="75"/>
        <v>4.2132872689538851E-2</v>
      </c>
      <c r="AM14" s="30">
        <f t="shared" ca="1" si="75"/>
        <v>5.7768502697119986E-2</v>
      </c>
      <c r="AN14" s="30">
        <f t="shared" ca="1" si="75"/>
        <v>1.6740298253432689E-2</v>
      </c>
      <c r="AO14" s="30">
        <f t="shared" ca="1" si="75"/>
        <v>2.7778019997532102E-3</v>
      </c>
      <c r="AP14" s="30">
        <f t="shared" ca="1" si="75"/>
        <v>-3.0742406549454397E-3</v>
      </c>
      <c r="AQ14" s="30">
        <f t="shared" ca="1" si="75"/>
        <v>-3.4669880219348565E-3</v>
      </c>
      <c r="AR14" s="30">
        <f t="shared" ca="1" si="75"/>
        <v>1.8038498126116739E-2</v>
      </c>
      <c r="AS14" s="30">
        <f t="shared" ca="1" si="75"/>
        <v>-2.1976189294697027E-2</v>
      </c>
      <c r="AT14" s="30">
        <f t="shared" ca="1" si="75"/>
        <v>3.5219203818551717E-2</v>
      </c>
      <c r="AU14" s="30">
        <f t="shared" ca="1" si="75"/>
        <v>-8.7561355824597835E-3</v>
      </c>
      <c r="AV14" s="30">
        <f t="shared" ca="1" si="75"/>
        <v>-2.410787375375454E-2</v>
      </c>
      <c r="AW14" s="30">
        <f t="shared" ca="1" si="75"/>
        <v>-2.3428517729772697E-2</v>
      </c>
      <c r="AX14" s="30">
        <f t="shared" ca="1" si="75"/>
        <v>-1.5926147837377717E-2</v>
      </c>
      <c r="AY14" s="30">
        <f t="shared" ca="1" si="75"/>
        <v>-7.1371738306964777E-2</v>
      </c>
      <c r="AZ14" s="30">
        <f t="shared" ca="1" si="75"/>
        <v>1.9611837646808239E-3</v>
      </c>
      <c r="BA14" s="30">
        <f t="shared" ca="1" si="75"/>
        <v>-0.10209123073427182</v>
      </c>
      <c r="BB14" s="30">
        <f t="shared" ca="1" si="75"/>
        <v>-1.0445206651887031E-3</v>
      </c>
      <c r="BC14" s="30">
        <f t="shared" ca="1" si="75"/>
        <v>4.1799063002230255E-2</v>
      </c>
      <c r="BD14" s="30">
        <f t="shared" ca="1" si="75"/>
        <v>-5.7751438636620342E-2</v>
      </c>
      <c r="BE14" s="30">
        <f t="shared" ca="1" si="75"/>
        <v>-3.4866620779252941E-2</v>
      </c>
      <c r="BF14" s="30">
        <f t="shared" ca="1" si="75"/>
        <v>-1.1952301053129274E-2</v>
      </c>
      <c r="BG14" s="30">
        <f t="shared" ca="1" si="75"/>
        <v>5.4967026269741447E-2</v>
      </c>
      <c r="BH14" s="30">
        <f t="shared" ca="1" si="75"/>
        <v>-4.2534591987252388E-2</v>
      </c>
      <c r="BI14" s="30">
        <f t="shared" ca="1" si="75"/>
        <v>-4.6515748539164938E-2</v>
      </c>
      <c r="BJ14" s="30">
        <f t="shared" ca="1" si="75"/>
        <v>1.4808799986393095E-2</v>
      </c>
      <c r="BK14" s="30">
        <f t="shared" ca="1" si="75"/>
        <v>1.6705535738147946E-2</v>
      </c>
      <c r="BL14" s="30">
        <f t="shared" ca="1" si="75"/>
        <v>-5.8202774319749156E-2</v>
      </c>
      <c r="BM14" s="30">
        <f t="shared" ca="1" si="75"/>
        <v>3.1631822274586305E-3</v>
      </c>
      <c r="BN14" s="30">
        <f t="shared" ca="1" si="75"/>
        <v>2.8442785674702253E-3</v>
      </c>
      <c r="BO14" s="30">
        <f t="shared" ca="1" si="75"/>
        <v>-0.11347645362803377</v>
      </c>
      <c r="BP14" s="30">
        <f t="shared" ca="1" si="75"/>
        <v>-1.9882466664447769E-3</v>
      </c>
      <c r="BQ14" s="30">
        <f t="shared" ca="1" si="75"/>
        <v>4.1303147129418794E-2</v>
      </c>
      <c r="BR14" s="30">
        <f t="shared" ca="1" si="75"/>
        <v>-5.9431257330419283E-2</v>
      </c>
      <c r="BS14" s="30">
        <f t="shared" ca="1" si="75"/>
        <v>-5.0751181222097701E-2</v>
      </c>
      <c r="BT14" s="30">
        <f t="shared" ca="1" si="68"/>
        <v>4.1360075169129228E-3</v>
      </c>
      <c r="BU14" s="30">
        <f t="shared" ca="1" si="68"/>
        <v>-6.2060811740386659E-3</v>
      </c>
      <c r="BV14" s="30">
        <f t="shared" ca="1" si="68"/>
        <v>-0.11283688927617622</v>
      </c>
      <c r="BW14" s="30">
        <f t="shared" ca="1" si="68"/>
        <v>5.7264013157603275E-3</v>
      </c>
      <c r="BX14" s="30">
        <f t="shared" ca="1" si="68"/>
        <v>-3.7231944382754248E-2</v>
      </c>
      <c r="BY14" s="30">
        <f t="shared" ca="1" si="68"/>
        <v>1.4577811226647298E-2</v>
      </c>
      <c r="BZ14" s="30">
        <f t="shared" ca="1" si="68"/>
        <v>4.7246800757858691E-2</v>
      </c>
      <c r="CA14" s="30">
        <f t="shared" ca="1" si="68"/>
        <v>3.7492854313869665E-2</v>
      </c>
      <c r="CB14" s="30">
        <f t="shared" ca="1" si="68"/>
        <v>-1.7137373495566311E-2</v>
      </c>
      <c r="CC14" s="30">
        <f t="shared" ca="1" si="68"/>
        <v>1.7128962810114185E-2</v>
      </c>
      <c r="CD14" s="30">
        <f t="shared" ca="1" si="68"/>
        <v>3.7820186529792105E-2</v>
      </c>
      <c r="CE14" s="30">
        <f t="shared" ca="1" si="68"/>
        <v>-1.4704772621790074E-3</v>
      </c>
      <c r="CF14" s="30">
        <f t="shared" ca="1" si="68"/>
        <v>6.9694217541764452E-3</v>
      </c>
      <c r="CG14" s="30">
        <f t="shared" ca="1" si="68"/>
        <v>9.7632116867970575E-3</v>
      </c>
      <c r="CH14" s="30">
        <f t="shared" ca="1" si="68"/>
        <v>-2.9790820033251612E-2</v>
      </c>
      <c r="CI14" s="30">
        <f t="shared" ca="1" si="68"/>
        <v>3.2493578589380373E-2</v>
      </c>
      <c r="CJ14" s="30">
        <f t="shared" ca="1" si="68"/>
        <v>2.7086046152997846E-2</v>
      </c>
      <c r="CK14" s="30">
        <f t="shared" ca="1" si="68"/>
        <v>-3.576993926682375E-4</v>
      </c>
      <c r="CL14" s="30">
        <f t="shared" ca="1" si="68"/>
        <v>-6.9580539057991178E-2</v>
      </c>
      <c r="CM14" s="30">
        <f t="shared" ca="1" si="68"/>
        <v>-2.6251965615242859E-2</v>
      </c>
      <c r="CN14" s="30">
        <f t="shared" ca="1" si="68"/>
        <v>-1.8654014663288289E-2</v>
      </c>
      <c r="CO14" s="30">
        <f t="shared" ca="1" si="68"/>
        <v>-2.6941660232067854E-2</v>
      </c>
      <c r="CP14" s="30">
        <f t="shared" ca="1" si="68"/>
        <v>4.1777864770113131E-2</v>
      </c>
      <c r="CQ14" s="30">
        <f t="shared" ca="1" si="68"/>
        <v>5.5628376641904696E-2</v>
      </c>
      <c r="CR14" s="30">
        <f t="shared" ca="1" si="68"/>
        <v>-7.1110969283504036E-2</v>
      </c>
      <c r="CS14" s="30">
        <f t="shared" ca="1" si="68"/>
        <v>-9.5470830437143217E-3</v>
      </c>
      <c r="CT14" s="30">
        <f t="shared" ca="1" si="68"/>
        <v>-3.9450954892535549E-2</v>
      </c>
      <c r="CU14" s="30">
        <f t="shared" ca="1" si="68"/>
        <v>-4.5131365282700224E-3</v>
      </c>
      <c r="CV14" s="30">
        <f t="shared" ca="1" si="68"/>
        <v>-4.2602452715588761E-2</v>
      </c>
      <c r="CW14" s="30">
        <f t="shared" ca="1" si="68"/>
        <v>-4.332445048016223E-2</v>
      </c>
      <c r="CX14" s="30">
        <f t="shared" ca="1" si="68"/>
        <v>2.2554030958008772E-2</v>
      </c>
      <c r="CY14" s="30">
        <f t="shared" ca="1" si="68"/>
        <v>3.248933305462931E-2</v>
      </c>
      <c r="CZ14" s="30">
        <f t="shared" ca="1" si="68"/>
        <v>3.2283960519921672E-3</v>
      </c>
      <c r="DA14" s="30">
        <f t="shared" ca="1" si="68"/>
        <v>4.9025536859847951E-2</v>
      </c>
      <c r="DB14" s="30">
        <f t="shared" ca="1" si="68"/>
        <v>-0.10471737586104332</v>
      </c>
      <c r="DC14" s="30">
        <f t="shared" ca="1" si="68"/>
        <v>2.1382354120757417E-2</v>
      </c>
      <c r="DD14" s="30">
        <f t="shared" ca="1" si="68"/>
        <v>4.3927930934143641E-2</v>
      </c>
      <c r="DE14" s="30">
        <f t="shared" ca="1" si="68"/>
        <v>4.4168866987828695E-2</v>
      </c>
      <c r="DF14" s="30">
        <f t="shared" ca="1" si="68"/>
        <v>4.5634172778962576E-2</v>
      </c>
      <c r="DG14" s="30">
        <f t="shared" ca="1" si="68"/>
        <v>-2.0619167921391811E-2</v>
      </c>
      <c r="DH14" s="30">
        <f t="shared" ca="1" si="68"/>
        <v>-3.3873043445691857E-2</v>
      </c>
      <c r="DI14" s="30">
        <f t="shared" ca="1" si="68"/>
        <v>-6.0988249977784653E-2</v>
      </c>
      <c r="DJ14" s="30">
        <f t="shared" ca="1" si="68"/>
        <v>-4.4674144643391152E-2</v>
      </c>
      <c r="DK14" s="30">
        <f t="shared" ca="1" si="68"/>
        <v>8.1055045609967222E-2</v>
      </c>
      <c r="DL14" s="30">
        <f t="shared" ca="1" si="68"/>
        <v>4.5192526319081661E-2</v>
      </c>
      <c r="DM14" s="30">
        <f t="shared" ca="1" si="68"/>
        <v>1.0680888733180547E-2</v>
      </c>
      <c r="DN14" s="30">
        <f t="shared" ca="1" si="68"/>
        <v>-1.7467121710275597E-2</v>
      </c>
      <c r="DO14" s="30">
        <f t="shared" ca="1" si="68"/>
        <v>3.9329924412257786E-2</v>
      </c>
      <c r="DP14" s="30">
        <f t="shared" ca="1" si="68"/>
        <v>5.163972532388604E-2</v>
      </c>
      <c r="DQ14" s="30">
        <f t="shared" ca="1" si="68"/>
        <v>8.8680982207901115E-3</v>
      </c>
      <c r="DR14" s="30">
        <f t="shared" ca="1" si="68"/>
        <v>-3.8524540059562667E-3</v>
      </c>
      <c r="DS14" s="30">
        <f t="shared" ca="1" si="68"/>
        <v>2.2721892239715224E-2</v>
      </c>
      <c r="DT14" s="30">
        <f t="shared" ca="1" si="68"/>
        <v>5.6523683096289586E-2</v>
      </c>
      <c r="DU14" s="30">
        <f t="shared" ca="1" si="68"/>
        <v>-2.0617519902593622E-2</v>
      </c>
      <c r="DV14" s="30">
        <f t="shared" ca="1" si="68"/>
        <v>-4.4893228349539918E-2</v>
      </c>
      <c r="DW14" s="30">
        <f t="shared" ca="1" si="68"/>
        <v>2.5684744497707869E-3</v>
      </c>
      <c r="DX14" s="30">
        <f t="shared" ca="1" si="68"/>
        <v>4.1783122526537354E-2</v>
      </c>
      <c r="DY14" s="30">
        <f t="shared" ca="1" si="68"/>
        <v>-3.5482539607078312E-2</v>
      </c>
      <c r="DZ14" s="30">
        <f t="shared" ca="1" si="68"/>
        <v>7.2479776061118951E-3</v>
      </c>
      <c r="EA14" s="30">
        <f t="shared" ca="1" si="68"/>
        <v>6.4507183427575917E-3</v>
      </c>
      <c r="EB14" s="30">
        <f t="shared" ca="1" si="68"/>
        <v>-4.9485235650769226E-3</v>
      </c>
      <c r="EC14" s="30">
        <f t="shared" ca="1" si="68"/>
        <v>3.0080418780113711E-2</v>
      </c>
      <c r="ED14" s="30">
        <f t="shared" ca="1" si="68"/>
        <v>-3.0203581192620253E-2</v>
      </c>
      <c r="EE14" s="30">
        <f t="shared" ca="1" si="43"/>
        <v>3.2002795792902636E-3</v>
      </c>
      <c r="EF14" s="30">
        <f t="shared" ca="1" si="61"/>
        <v>-1.7469029649561672E-2</v>
      </c>
      <c r="EG14" s="30">
        <f t="shared" ca="1" si="61"/>
        <v>1.522482487569592E-2</v>
      </c>
      <c r="EH14" s="30">
        <f t="shared" ca="1" si="61"/>
        <v>1.65865841299686E-2</v>
      </c>
      <c r="EI14" s="30">
        <f t="shared" ca="1" si="61"/>
        <v>2.2187897494682959E-2</v>
      </c>
      <c r="EJ14" s="30">
        <f t="shared" ca="1" si="61"/>
        <v>-4.8044269319778062E-3</v>
      </c>
      <c r="EK14" s="30">
        <f t="shared" ca="1" si="61"/>
        <v>-9.0259444145978328E-3</v>
      </c>
      <c r="EL14" s="30">
        <f t="shared" ca="1" si="61"/>
        <v>6.0338260469912823E-3</v>
      </c>
      <c r="EM14" s="30">
        <f t="shared" ca="1" si="61"/>
        <v>-6.312888148057573E-2</v>
      </c>
      <c r="EN14" s="30">
        <f t="shared" ca="1" si="61"/>
        <v>-1.7304104621856269E-2</v>
      </c>
      <c r="EO14" s="30">
        <f t="shared" ca="1" si="61"/>
        <v>-1.2373810316867693E-2</v>
      </c>
      <c r="EP14" s="30">
        <f t="shared" ca="1" si="61"/>
        <v>-6.0253452388670102E-2</v>
      </c>
      <c r="EQ14" s="30">
        <f t="shared" ca="1" si="61"/>
        <v>-9.0544782600258555E-2</v>
      </c>
      <c r="ER14" s="30">
        <f t="shared" ca="1" si="61"/>
        <v>6.1811525024970108E-2</v>
      </c>
      <c r="ES14" s="30">
        <f t="shared" ca="1" si="61"/>
        <v>7.7107454836842532E-2</v>
      </c>
      <c r="ET14" s="30">
        <f t="shared" ca="1" si="61"/>
        <v>-7.6018703061249346E-3</v>
      </c>
      <c r="EU14" s="30">
        <f t="shared" ca="1" si="61"/>
        <v>4.3122991845968961E-2</v>
      </c>
      <c r="EV14" s="30">
        <f t="shared" ca="1" si="61"/>
        <v>-2.6703626193582408E-2</v>
      </c>
      <c r="EW14" s="30">
        <f t="shared" ca="1" si="61"/>
        <v>-5.9260605095023136E-2</v>
      </c>
      <c r="EX14" s="30">
        <f t="shared" ca="1" si="61"/>
        <v>6.2844419699028306E-2</v>
      </c>
      <c r="EY14" s="30">
        <f t="shared" ca="1" si="61"/>
        <v>-2.132932872323267E-2</v>
      </c>
      <c r="EZ14" s="30">
        <f t="shared" ca="1" si="61"/>
        <v>2.015963332847473E-2</v>
      </c>
      <c r="FA14" s="30">
        <f t="shared" ca="1" si="61"/>
        <v>2.7737639091705537E-2</v>
      </c>
      <c r="FB14" s="30">
        <f t="shared" ca="1" si="61"/>
        <v>7.4477349032121609E-2</v>
      </c>
      <c r="FC14" s="30">
        <f t="shared" ca="1" si="61"/>
        <v>-5.8251415605720662E-2</v>
      </c>
      <c r="FD14" s="30">
        <f t="shared" ca="1" si="61"/>
        <v>6.1776481446361366E-2</v>
      </c>
      <c r="FE14" s="30">
        <f t="shared" ca="1" si="61"/>
        <v>-3.5306639768450714E-2</v>
      </c>
      <c r="FF14" s="30">
        <f t="shared" ca="1" si="61"/>
        <v>-2.5207509198876248E-3</v>
      </c>
      <c r="FG14" s="30">
        <f t="shared" ca="1" si="61"/>
        <v>2.1902310686303623E-2</v>
      </c>
      <c r="FH14" s="30">
        <f t="shared" ca="1" si="61"/>
        <v>-1.6688863056579562E-2</v>
      </c>
      <c r="FI14" s="30">
        <f t="shared" ca="1" si="61"/>
        <v>-1.9651652752928846E-2</v>
      </c>
      <c r="FJ14" s="30">
        <f t="shared" ca="1" si="61"/>
        <v>-1.1881970586484094E-2</v>
      </c>
      <c r="FK14" s="30">
        <f t="shared" ca="1" si="61"/>
        <v>3.0815533432135025E-2</v>
      </c>
      <c r="FL14" s="30">
        <f t="shared" ca="1" si="61"/>
        <v>2.3015772985509466E-2</v>
      </c>
      <c r="FM14" s="30">
        <f t="shared" ca="1" si="61"/>
        <v>-3.6092671227900039E-2</v>
      </c>
      <c r="FN14" s="30">
        <f t="shared" ca="1" si="61"/>
        <v>1.4903025257077528E-2</v>
      </c>
      <c r="FO14" s="30">
        <f t="shared" ca="1" si="61"/>
        <v>-3.9869382227238445E-2</v>
      </c>
      <c r="FP14" s="30">
        <f t="shared" ca="1" si="61"/>
        <v>3.980022757148264E-2</v>
      </c>
      <c r="FQ14" s="30">
        <f t="shared" ca="1" si="61"/>
        <v>-4.8386723958603953E-2</v>
      </c>
      <c r="FR14" s="30">
        <f t="shared" ca="1" si="61"/>
        <v>2.1854450407919241E-2</v>
      </c>
      <c r="FS14" s="30">
        <f t="shared" ca="1" si="61"/>
        <v>-5.3031716583677195E-3</v>
      </c>
      <c r="FT14" s="30">
        <f t="shared" ca="1" si="61"/>
        <v>3.5645870777011486E-2</v>
      </c>
      <c r="FU14" s="30">
        <f t="shared" ca="1" si="61"/>
        <v>-7.9096117574290747E-3</v>
      </c>
      <c r="FV14" s="30">
        <f t="shared" ca="1" si="61"/>
        <v>2.2537048917925406E-2</v>
      </c>
      <c r="FW14" s="30">
        <f t="shared" ca="1" si="61"/>
        <v>-3.7930611711959744E-2</v>
      </c>
      <c r="FX14" s="30">
        <f t="shared" ca="1" si="61"/>
        <v>2.8564710505687058E-2</v>
      </c>
      <c r="FY14" s="30">
        <f t="shared" ca="1" si="61"/>
        <v>-3.9741009088368098E-2</v>
      </c>
      <c r="FZ14" s="30">
        <f t="shared" ca="1" si="61"/>
        <v>-1.827349430106243E-2</v>
      </c>
      <c r="GA14" s="30">
        <f t="shared" ca="1" si="61"/>
        <v>-1.4185199196623602E-2</v>
      </c>
      <c r="GB14" s="30">
        <f t="shared" ca="1" si="61"/>
        <v>-3.1208007727498543E-2</v>
      </c>
      <c r="GC14" s="30">
        <f t="shared" ca="1" si="61"/>
        <v>-2.5650600101433829E-2</v>
      </c>
      <c r="GD14" s="30">
        <f t="shared" ca="1" si="61"/>
        <v>2.0605066679083687E-2</v>
      </c>
      <c r="GE14" s="30">
        <f t="shared" ca="1" si="61"/>
        <v>-3.5142942807193878E-2</v>
      </c>
      <c r="GF14" s="30">
        <f t="shared" ca="1" si="61"/>
        <v>1.8896028882661917E-3</v>
      </c>
      <c r="GG14" s="30">
        <f t="shared" ca="1" si="61"/>
        <v>-9.6517557754374733E-2</v>
      </c>
      <c r="GH14" s="30">
        <f t="shared" ca="1" si="61"/>
        <v>-6.0390174432794215E-2</v>
      </c>
      <c r="GI14" s="30">
        <f t="shared" ca="1" si="61"/>
        <v>-2.029838347987311E-2</v>
      </c>
      <c r="GJ14" s="30">
        <f t="shared" ca="1" si="61"/>
        <v>-1.2298224823280872E-2</v>
      </c>
      <c r="GK14" s="30">
        <f t="shared" ca="1" si="61"/>
        <v>4.6596520215930306E-3</v>
      </c>
      <c r="GL14" s="30">
        <f t="shared" ca="1" si="61"/>
        <v>-3.2761877252262858E-2</v>
      </c>
      <c r="GM14" s="30">
        <f t="shared" ca="1" si="61"/>
        <v>4.2065305006238202E-3</v>
      </c>
      <c r="GN14" s="30">
        <f t="shared" ca="1" si="61"/>
        <v>1.1868612011542324E-3</v>
      </c>
      <c r="GO14" s="30">
        <f t="shared" ca="1" si="61"/>
        <v>6.6307195826013918E-3</v>
      </c>
      <c r="GP14" s="30">
        <f t="shared" ca="1" si="61"/>
        <v>-3.3220750138071076E-2</v>
      </c>
      <c r="GQ14" s="30">
        <f t="shared" ca="1" si="61"/>
        <v>-1.5153093610582275E-2</v>
      </c>
      <c r="GR14" s="30">
        <f t="shared" ca="1" si="53"/>
        <v>-4.8086062950292087E-2</v>
      </c>
      <c r="GS14" s="30">
        <f t="shared" ca="1" si="53"/>
        <v>-2.8385760507668882E-2</v>
      </c>
      <c r="GT14" s="30">
        <f t="shared" ca="1" si="69"/>
        <v>1.9049535881669792E-2</v>
      </c>
      <c r="GU14" s="30">
        <f t="shared" ca="1" si="69"/>
        <v>-1.6783662098134795E-3</v>
      </c>
      <c r="GV14" s="30">
        <f t="shared" ca="1" si="69"/>
        <v>-5.8859934320463055E-2</v>
      </c>
      <c r="GW14" s="30">
        <f t="shared" ca="1" si="69"/>
        <v>4.9262897191689962E-2</v>
      </c>
      <c r="GX14" s="30">
        <f t="shared" ca="1" si="69"/>
        <v>9.633466874482504E-3</v>
      </c>
      <c r="GY14" s="30">
        <f t="shared" ca="1" si="69"/>
        <v>6.4074386011636661E-2</v>
      </c>
      <c r="GZ14" s="30">
        <f t="shared" ca="1" si="69"/>
        <v>3.7632833872193058E-2</v>
      </c>
      <c r="HA14" s="30">
        <f t="shared" ca="1" si="69"/>
        <v>-6.422830155632886E-3</v>
      </c>
      <c r="HB14" s="30">
        <f t="shared" ca="1" si="69"/>
        <v>8.571924830498534E-2</v>
      </c>
      <c r="HC14" s="30">
        <f t="shared" ca="1" si="69"/>
        <v>7.3751207723320958E-2</v>
      </c>
      <c r="HD14" s="30">
        <f t="shared" ca="1" si="69"/>
        <v>-3.2149350454972775E-2</v>
      </c>
      <c r="HE14" s="30">
        <f t="shared" ca="1" si="69"/>
        <v>-1.9436578196773316E-2</v>
      </c>
      <c r="HF14" s="30">
        <f t="shared" ca="1" si="69"/>
        <v>-3.5240717434155949E-3</v>
      </c>
      <c r="HG14" s="30">
        <f t="shared" ca="1" si="69"/>
        <v>-1.980283583157361E-2</v>
      </c>
      <c r="HH14" s="30">
        <f t="shared" ca="1" si="69"/>
        <v>-3.8601236526195085E-2</v>
      </c>
      <c r="HI14" s="30">
        <f t="shared" ca="1" si="69"/>
        <v>3.6196010114454925E-2</v>
      </c>
      <c r="HJ14" s="30">
        <f t="shared" ca="1" si="69"/>
        <v>1.7458955177100641E-2</v>
      </c>
      <c r="HK14" s="30">
        <f t="shared" ca="1" si="69"/>
        <v>7.5362071150879381E-2</v>
      </c>
      <c r="HL14" s="30">
        <f t="shared" ca="1" si="69"/>
        <v>3.9941916767263906E-2</v>
      </c>
      <c r="HM14" s="30">
        <f t="shared" ca="1" si="69"/>
        <v>6.070830939728096E-2</v>
      </c>
      <c r="HN14" s="30">
        <f t="shared" ca="1" si="69"/>
        <v>-1.0008171903564959E-2</v>
      </c>
      <c r="HO14" s="30">
        <f t="shared" ca="1" si="69"/>
        <v>1.5072491147839307E-2</v>
      </c>
      <c r="HP14" s="30">
        <f t="shared" ca="1" si="69"/>
        <v>-3.6143076445706773E-2</v>
      </c>
      <c r="HQ14" s="30">
        <f t="shared" ca="1" si="69"/>
        <v>0.14212606513482731</v>
      </c>
      <c r="HR14" s="30">
        <f t="shared" ca="1" si="69"/>
        <v>-1.5898479897452966E-2</v>
      </c>
      <c r="HS14" s="30">
        <f t="shared" ca="1" si="69"/>
        <v>-7.3435477115532024E-3</v>
      </c>
      <c r="HT14" s="30">
        <f t="shared" ca="1" si="69"/>
        <v>4.0133070430571426E-2</v>
      </c>
      <c r="HU14" s="30">
        <f t="shared" ca="1" si="69"/>
        <v>-4.3085781984758861E-2</v>
      </c>
      <c r="HV14" s="30">
        <f t="shared" ca="1" si="69"/>
        <v>-1.1035295998632174E-2</v>
      </c>
      <c r="HW14" s="30">
        <f t="shared" ca="1" si="69"/>
        <v>-1.2252372478279542E-2</v>
      </c>
      <c r="HX14" s="30">
        <f t="shared" ca="1" si="69"/>
        <v>-4.6535675961734317E-3</v>
      </c>
      <c r="HY14" s="30">
        <f t="shared" ca="1" si="69"/>
        <v>-3.4353135546582265E-2</v>
      </c>
      <c r="HZ14" s="30">
        <f t="shared" ca="1" si="69"/>
        <v>3.5057308630441063E-2</v>
      </c>
      <c r="IA14" s="30">
        <f t="shared" ca="1" si="69"/>
        <v>1.0998008498795951E-2</v>
      </c>
      <c r="IB14" s="30">
        <f t="shared" ca="1" si="69"/>
        <v>3.3110869318228778E-2</v>
      </c>
      <c r="IC14" s="30">
        <f t="shared" ca="1" si="69"/>
        <v>-1.6368199771682985E-2</v>
      </c>
      <c r="ID14" s="30">
        <f t="shared" ca="1" si="69"/>
        <v>3.9826976952996862E-2</v>
      </c>
      <c r="IE14" s="30">
        <f t="shared" ca="1" si="69"/>
        <v>2.7735278634863466E-2</v>
      </c>
      <c r="IF14" s="30">
        <f t="shared" ca="1" si="69"/>
        <v>-1.0530026693209413E-2</v>
      </c>
      <c r="IG14" s="30">
        <f t="shared" ca="1" si="69"/>
        <v>-6.4101023602003565E-2</v>
      </c>
      <c r="IH14" s="30">
        <f t="shared" ca="1" si="69"/>
        <v>-1.6486831037241265E-3</v>
      </c>
      <c r="II14" s="30">
        <f t="shared" ca="1" si="69"/>
        <v>1.2828857038164294E-2</v>
      </c>
      <c r="IJ14" s="30">
        <f t="shared" ca="1" si="69"/>
        <v>-3.364927239188694E-2</v>
      </c>
      <c r="IK14" s="30">
        <f t="shared" ca="1" si="69"/>
        <v>2.4620714181741946E-2</v>
      </c>
      <c r="IL14" s="30">
        <f t="shared" ca="1" si="69"/>
        <v>-1.7321961085046349E-2</v>
      </c>
      <c r="IM14" s="30">
        <f t="shared" ca="1" si="69"/>
        <v>-5.3634608762014112E-2</v>
      </c>
      <c r="IN14" s="30">
        <f t="shared" ca="1" si="69"/>
        <v>7.630133005786606E-2</v>
      </c>
      <c r="IO14" s="30">
        <f t="shared" ca="1" si="69"/>
        <v>-2.5431579367921363E-2</v>
      </c>
      <c r="IP14" s="30">
        <f t="shared" ca="1" si="69"/>
        <v>1.9178548427612779E-2</v>
      </c>
      <c r="IQ14" s="30">
        <f t="shared" ca="1" si="69"/>
        <v>4.921614176595813E-3</v>
      </c>
      <c r="IR14" s="30">
        <f t="shared" ca="1" si="69"/>
        <v>4.8303712971493343E-2</v>
      </c>
      <c r="IS14" s="30">
        <f t="shared" ca="1" si="69"/>
        <v>-1.6790625570236438E-2</v>
      </c>
      <c r="IT14" s="30">
        <f t="shared" ca="1" si="69"/>
        <v>3.4226934827305648E-2</v>
      </c>
      <c r="IU14" s="30">
        <f t="shared" ca="1" si="69"/>
        <v>3.5824899135374351E-2</v>
      </c>
      <c r="IV14" s="30">
        <f t="shared" ca="1" si="69"/>
        <v>-4.4570132019974333E-2</v>
      </c>
      <c r="IW14" s="30">
        <f t="shared" ca="1" si="69"/>
        <v>6.3268405422472168E-2</v>
      </c>
      <c r="IX14" s="30">
        <f t="shared" ca="1" si="69"/>
        <v>2.6017532862237108E-2</v>
      </c>
      <c r="IY14" s="30">
        <f t="shared" ca="1" si="69"/>
        <v>1.6155463472061045E-2</v>
      </c>
      <c r="IZ14" s="30">
        <f t="shared" ca="1" si="69"/>
        <v>3.8140091587196098E-2</v>
      </c>
      <c r="JA14" s="30">
        <f t="shared" ca="1" si="69"/>
        <v>-1.0790394000385005E-2</v>
      </c>
      <c r="JB14" s="30">
        <f t="shared" ca="1" si="69"/>
        <v>9.9792100680417086E-4</v>
      </c>
      <c r="JC14" s="30">
        <f t="shared" ca="1" si="69"/>
        <v>-3.0875180975562098E-2</v>
      </c>
      <c r="JD14" s="30">
        <f t="shared" ca="1" si="69"/>
        <v>4.6920475980748458E-2</v>
      </c>
      <c r="JE14" s="30">
        <f t="shared" ca="1" si="69"/>
        <v>3.3560398914568003E-2</v>
      </c>
      <c r="JF14" s="30">
        <f t="shared" ca="1" si="62"/>
        <v>3.6398188749209498E-2</v>
      </c>
      <c r="JG14" s="30">
        <f t="shared" ca="1" si="54"/>
        <v>2.4585955003498311E-3</v>
      </c>
      <c r="JH14" s="30">
        <f t="shared" ca="1" si="54"/>
        <v>3.0223163579897305E-2</v>
      </c>
      <c r="JI14" s="30">
        <f t="shared" ca="1" si="54"/>
        <v>2.1464989153663024E-2</v>
      </c>
      <c r="JJ14" s="30">
        <f t="shared" ca="1" si="54"/>
        <v>-2.4046994970391776E-2</v>
      </c>
      <c r="JK14" s="30">
        <f t="shared" ca="1" si="54"/>
        <v>2.8719102597678497E-3</v>
      </c>
      <c r="JL14" s="30">
        <f t="shared" ca="1" si="54"/>
        <v>-1.102388235675417E-2</v>
      </c>
      <c r="JM14" s="30">
        <f t="shared" ca="1" si="54"/>
        <v>3.4283261551918111E-2</v>
      </c>
      <c r="JN14" s="30">
        <f t="shared" ca="1" si="54"/>
        <v>1.105090231707017E-2</v>
      </c>
      <c r="JO14" s="30">
        <f t="shared" ca="1" si="54"/>
        <v>-1.6021161490673095E-2</v>
      </c>
      <c r="JP14" s="30">
        <f t="shared" ca="1" si="54"/>
        <v>-1.8740621785380527E-2</v>
      </c>
      <c r="JQ14" s="30">
        <f t="shared" ca="1" si="54"/>
        <v>-2.3991959458886623E-2</v>
      </c>
      <c r="JR14" s="30">
        <f t="shared" ca="1" si="54"/>
        <v>4.0227511733026182E-2</v>
      </c>
      <c r="JS14" s="30">
        <f t="shared" ca="1" si="54"/>
        <v>1.7419412719093499E-2</v>
      </c>
      <c r="JT14" s="30">
        <f t="shared" ca="1" si="54"/>
        <v>6.1115024557558795E-2</v>
      </c>
      <c r="JU14" s="30">
        <f t="shared" ca="1" si="54"/>
        <v>4.6860701061482227E-2</v>
      </c>
      <c r="JV14" s="30">
        <f t="shared" ca="1" si="54"/>
        <v>-3.917699565482733E-2</v>
      </c>
      <c r="JW14" s="30">
        <f t="shared" ca="1" si="54"/>
        <v>9.9722582964859854E-4</v>
      </c>
      <c r="JX14" s="30">
        <f t="shared" ca="1" si="54"/>
        <v>7.2980971391167188E-2</v>
      </c>
      <c r="JY14" s="30">
        <f t="shared" ca="1" si="54"/>
        <v>-1.4319453838157532E-2</v>
      </c>
      <c r="JZ14" s="30">
        <f t="shared" ca="1" si="54"/>
        <v>1.6270186373933359E-3</v>
      </c>
      <c r="KA14" s="30">
        <f t="shared" ca="1" si="54"/>
        <v>1.7940932458884448E-2</v>
      </c>
      <c r="KB14" s="30">
        <f t="shared" ca="1" si="54"/>
        <v>-3.8004748859584672E-2</v>
      </c>
      <c r="KC14" s="30">
        <f t="shared" ca="1" si="54"/>
        <v>-2.3654180421377315E-2</v>
      </c>
      <c r="KD14" s="30">
        <f t="shared" ca="1" si="54"/>
        <v>3.7749153151405972E-2</v>
      </c>
      <c r="KE14" s="30">
        <f t="shared" ca="1" si="54"/>
        <v>-3.5716803693211743E-2</v>
      </c>
      <c r="KF14" s="30">
        <f t="shared" ca="1" si="54"/>
        <v>8.3032761946750626E-3</v>
      </c>
      <c r="KG14" s="30">
        <f t="shared" ca="1" si="54"/>
        <v>4.9256218588456164E-4</v>
      </c>
      <c r="KH14" s="30">
        <f t="shared" ca="1" si="54"/>
        <v>3.5556727154976119E-2</v>
      </c>
      <c r="KI14" s="30">
        <f t="shared" ca="1" si="54"/>
        <v>6.9383849611299273E-2</v>
      </c>
      <c r="KJ14" s="30">
        <f t="shared" ca="1" si="54"/>
        <v>3.4656483432360288E-2</v>
      </c>
      <c r="KK14" s="30">
        <f t="shared" ca="1" si="54"/>
        <v>-1.9469754797799565E-2</v>
      </c>
      <c r="KL14" s="30">
        <f t="shared" ca="1" si="54"/>
        <v>1.3137196274987965E-2</v>
      </c>
      <c r="KM14" s="30">
        <f t="shared" ca="1" si="54"/>
        <v>5.0480664985417076E-2</v>
      </c>
      <c r="KN14" s="30">
        <f t="shared" ca="1" si="54"/>
        <v>0.13484408237318643</v>
      </c>
      <c r="KO14" s="30">
        <f t="shared" ca="1" si="54"/>
        <v>2.8270319036947777E-2</v>
      </c>
      <c r="KP14" s="30">
        <f t="shared" ca="1" si="54"/>
        <v>-2.7046464386084042E-2</v>
      </c>
      <c r="KQ14" s="30">
        <f t="shared" ca="1" si="54"/>
        <v>-2.0747525026877722E-2</v>
      </c>
      <c r="KR14" s="30">
        <f t="shared" ca="1" si="54"/>
        <v>4.8752168770626124E-2</v>
      </c>
      <c r="KS14" s="30">
        <f t="shared" ca="1" si="54"/>
        <v>-2.1587962589128967E-2</v>
      </c>
      <c r="KT14" s="30">
        <f t="shared" ca="1" si="54"/>
        <v>6.7928396260267934E-2</v>
      </c>
      <c r="KU14" s="30">
        <f t="shared" ca="1" si="54"/>
        <v>3.5348160395345392E-2</v>
      </c>
      <c r="KV14" s="30">
        <f t="shared" ca="1" si="54"/>
        <v>-1.8922687341469829E-2</v>
      </c>
      <c r="KW14" s="30">
        <f t="shared" ca="1" si="54"/>
        <v>1.3398905768861484E-2</v>
      </c>
      <c r="KX14" s="30">
        <f t="shared" ca="1" si="54"/>
        <v>-5.084567030583996E-2</v>
      </c>
      <c r="KY14" s="30">
        <f t="shared" ca="1" si="54"/>
        <v>3.2924201761336952E-2</v>
      </c>
      <c r="KZ14" s="30">
        <f t="shared" ca="1" si="54"/>
        <v>-1.0019460954480872E-2</v>
      </c>
      <c r="LA14" s="30">
        <f t="shared" ca="1" si="54"/>
        <v>7.2829402995882864E-3</v>
      </c>
      <c r="LB14" s="30">
        <f t="shared" ca="1" si="54"/>
        <v>3.4825214413118567E-2</v>
      </c>
      <c r="LC14" s="30">
        <f t="shared" ca="1" si="54"/>
        <v>-3.2369287192635952E-2</v>
      </c>
      <c r="LD14" s="30">
        <f t="shared" ca="1" si="54"/>
        <v>5.4572439536481228E-2</v>
      </c>
      <c r="LE14" s="30">
        <f t="shared" ca="1" si="54"/>
        <v>-2.6261508361788075E-2</v>
      </c>
      <c r="LF14" s="30">
        <f t="shared" ca="1" si="54"/>
        <v>9.1381332642910915E-2</v>
      </c>
      <c r="LG14" s="30">
        <f t="shared" ca="1" si="54"/>
        <v>3.0205549932319428E-3</v>
      </c>
      <c r="LH14" s="30">
        <f t="shared" ca="1" si="54"/>
        <v>2.3399655469275481E-2</v>
      </c>
      <c r="LI14" s="30">
        <f t="shared" ca="1" si="54"/>
        <v>6.1406475913166947E-2</v>
      </c>
      <c r="LJ14" s="30">
        <f t="shared" ca="1" si="54"/>
        <v>-2.1568330339066577E-2</v>
      </c>
      <c r="LK14" s="30">
        <f t="shared" ca="1" si="54"/>
        <v>5.7814824002777765E-2</v>
      </c>
      <c r="LL14" s="30">
        <f t="shared" ca="1" si="54"/>
        <v>-2.9643941061992113E-2</v>
      </c>
      <c r="LM14" s="30">
        <f t="shared" ca="1" si="54"/>
        <v>-2.8813443587458295E-2</v>
      </c>
      <c r="LN14" s="30">
        <f t="shared" ca="1" si="54"/>
        <v>3.5215337746467602E-3</v>
      </c>
      <c r="LO14" s="30">
        <f t="shared" ca="1" si="54"/>
        <v>5.7287417665396771E-3</v>
      </c>
      <c r="LP14" s="30">
        <f t="shared" ca="1" si="54"/>
        <v>-6.9706022880702584E-4</v>
      </c>
      <c r="LQ14" s="30">
        <f t="shared" ca="1" si="54"/>
        <v>-3.0970417857610545E-2</v>
      </c>
      <c r="LR14" s="30">
        <f t="shared" ca="1" si="70"/>
        <v>-7.2223662506545657E-3</v>
      </c>
      <c r="LS14" s="30">
        <f t="shared" ca="1" si="70"/>
        <v>-8.1072221904364028E-2</v>
      </c>
      <c r="LT14" s="30">
        <f t="shared" ca="1" si="70"/>
        <v>1.352097669210511E-2</v>
      </c>
      <c r="LU14" s="30">
        <f t="shared" ca="1" si="70"/>
        <v>7.1728736820040995E-2</v>
      </c>
      <c r="LV14" s="30">
        <f t="shared" ca="1" si="70"/>
        <v>1.7936660464078226E-3</v>
      </c>
      <c r="LW14" s="30">
        <f t="shared" ca="1" si="70"/>
        <v>1.9091079828258907E-3</v>
      </c>
      <c r="LX14" s="30">
        <f t="shared" ca="1" si="70"/>
        <v>2.6113935816617889E-2</v>
      </c>
      <c r="LY14" s="30">
        <f t="shared" ca="1" si="70"/>
        <v>5.0619913972231159E-2</v>
      </c>
      <c r="LZ14" s="30">
        <f t="shared" ca="1" si="70"/>
        <v>3.0894164042915697E-2</v>
      </c>
      <c r="MA14" s="30">
        <f t="shared" ca="1" si="70"/>
        <v>-1.3963797807477666E-2</v>
      </c>
      <c r="MB14" s="30">
        <f t="shared" ca="1" si="70"/>
        <v>-1.1524332341899639E-2</v>
      </c>
      <c r="MC14" s="30">
        <f t="shared" ca="1" si="70"/>
        <v>-4.4162666679046281E-2</v>
      </c>
      <c r="MD14" s="30">
        <f t="shared" ca="1" si="70"/>
        <v>3.9952615754089961E-2</v>
      </c>
      <c r="ME14" s="30">
        <f t="shared" ca="1" si="70"/>
        <v>-1.4820001875332153E-2</v>
      </c>
      <c r="MF14" s="30">
        <f t="shared" ca="1" si="70"/>
        <v>3.3988070375154847E-2</v>
      </c>
      <c r="MG14" s="30">
        <f t="shared" ca="1" si="70"/>
        <v>8.8494452393213816E-4</v>
      </c>
      <c r="MH14" s="30">
        <f t="shared" ca="1" si="70"/>
        <v>3.5232185846930567E-2</v>
      </c>
      <c r="MI14" s="30">
        <f t="shared" ca="1" si="70"/>
        <v>1.3773977794955619E-3</v>
      </c>
      <c r="MJ14" s="30">
        <f t="shared" ca="1" si="70"/>
        <v>-2.4701413293783496E-2</v>
      </c>
      <c r="MK14" s="30">
        <f t="shared" ca="1" si="70"/>
        <v>0.1111688710418602</v>
      </c>
      <c r="ML14" s="30">
        <f t="shared" ca="1" si="70"/>
        <v>-1.0756060990295364E-2</v>
      </c>
      <c r="MM14" s="30">
        <f t="shared" ca="1" si="70"/>
        <v>-7.4910660502283302E-2</v>
      </c>
      <c r="MN14" s="30">
        <f t="shared" ca="1" si="70"/>
        <v>3.245039785500365E-2</v>
      </c>
      <c r="MO14" s="30">
        <f t="shared" ca="1" si="70"/>
        <v>1.7077819775392376E-2</v>
      </c>
      <c r="MP14" s="30">
        <f t="shared" ca="1" si="70"/>
        <v>-6.5772405131887493E-2</v>
      </c>
      <c r="MQ14" s="30">
        <f t="shared" ca="1" si="70"/>
        <v>5.3937681765171754E-2</v>
      </c>
      <c r="MR14" s="30">
        <f t="shared" ca="1" si="70"/>
        <v>-3.7092236611494758E-2</v>
      </c>
      <c r="MS14" s="30">
        <f t="shared" ca="1" si="70"/>
        <v>6.231864066535071E-3</v>
      </c>
      <c r="MT14" s="30">
        <f t="shared" ca="1" si="70"/>
        <v>2.0109582303284589E-2</v>
      </c>
      <c r="MU14" s="30">
        <f t="shared" ca="1" si="70"/>
        <v>1.3633930396828479E-2</v>
      </c>
      <c r="MV14" s="30">
        <f t="shared" ca="1" si="70"/>
        <v>-3.2301110463474419E-2</v>
      </c>
      <c r="MW14" s="30">
        <f t="shared" ca="1" si="70"/>
        <v>7.7204636066149843E-2</v>
      </c>
      <c r="MX14" s="30">
        <f t="shared" ca="1" si="70"/>
        <v>0.10003048245942486</v>
      </c>
      <c r="MY14" s="30">
        <f t="shared" ca="1" si="70"/>
        <v>-7.0359292479005756E-2</v>
      </c>
      <c r="MZ14" s="30">
        <f t="shared" ca="1" si="70"/>
        <v>7.2523750742711467E-3</v>
      </c>
      <c r="NA14" s="30">
        <f t="shared" ca="1" si="70"/>
        <v>6.9557841014725817E-3</v>
      </c>
      <c r="NB14" s="30">
        <f t="shared" ca="1" si="70"/>
        <v>-6.6388201089881034E-3</v>
      </c>
      <c r="NC14" s="30">
        <f t="shared" ca="1" si="70"/>
        <v>9.3764121283548232E-2</v>
      </c>
      <c r="ND14" s="30">
        <f t="shared" ca="1" si="70"/>
        <v>2.8269970998501391E-2</v>
      </c>
      <c r="NE14" s="30">
        <f t="shared" ca="1" si="70"/>
        <v>1.7721611076856058E-2</v>
      </c>
      <c r="NF14" s="30">
        <f t="shared" ca="1" si="70"/>
        <v>3.2843410316990784E-2</v>
      </c>
      <c r="NG14" s="30">
        <f t="shared" ca="1" si="70"/>
        <v>-3.0719722941380596E-2</v>
      </c>
      <c r="NH14" s="30">
        <f t="shared" ca="1" si="70"/>
        <v>-3.8172681622702299E-2</v>
      </c>
      <c r="NI14" s="30">
        <f t="shared" ca="1" si="70"/>
        <v>-4.5226270748047635E-3</v>
      </c>
      <c r="NJ14" s="30">
        <f t="shared" ca="1" si="70"/>
        <v>2.5143638507926475E-2</v>
      </c>
      <c r="NK14" s="30">
        <f t="shared" ca="1" si="70"/>
        <v>3.5437517028449626E-2</v>
      </c>
      <c r="NL14" s="30">
        <f t="shared" ca="1" si="70"/>
        <v>-1.7580978272948751E-2</v>
      </c>
      <c r="NM14" s="30">
        <f t="shared" ca="1" si="70"/>
        <v>-5.3690083391620638E-2</v>
      </c>
      <c r="NN14" s="30">
        <f t="shared" ca="1" si="70"/>
        <v>6.4004993006050743E-3</v>
      </c>
      <c r="NO14" s="30">
        <f t="shared" ca="1" si="70"/>
        <v>-4.1326163870773598E-2</v>
      </c>
      <c r="NP14" s="30">
        <f t="shared" ca="1" si="70"/>
        <v>-2.4448280950121328E-2</v>
      </c>
      <c r="NQ14" s="30">
        <f t="shared" ca="1" si="70"/>
        <v>2.5719815657286867E-2</v>
      </c>
      <c r="NR14" s="30">
        <f t="shared" ca="1" si="70"/>
        <v>1.3334980139364747E-2</v>
      </c>
      <c r="NS14" s="30">
        <f t="shared" ca="1" si="70"/>
        <v>2.1978947325756747E-2</v>
      </c>
      <c r="NT14" s="30">
        <f t="shared" ca="1" si="70"/>
        <v>8.6756048367359673E-2</v>
      </c>
      <c r="NU14" s="30">
        <f t="shared" ca="1" si="70"/>
        <v>-4.233290457114533E-2</v>
      </c>
      <c r="NV14" s="30">
        <f t="shared" ca="1" si="70"/>
        <v>-4.1376927867242022E-2</v>
      </c>
      <c r="NW14" s="30">
        <f t="shared" ca="1" si="70"/>
        <v>4.4619345624670556E-2</v>
      </c>
      <c r="NX14" s="30">
        <f t="shared" ca="1" si="70"/>
        <v>-4.2933911116236588E-3</v>
      </c>
      <c r="NY14" s="30">
        <f t="shared" ca="1" si="70"/>
        <v>-5.0514974366004564E-2</v>
      </c>
      <c r="NZ14" s="30">
        <f t="shared" ca="1" si="70"/>
        <v>1.6094208175132324E-2</v>
      </c>
      <c r="OA14" s="30">
        <f t="shared" ca="1" si="70"/>
        <v>-0.10306193946059956</v>
      </c>
      <c r="OB14" s="30">
        <f t="shared" ca="1" si="70"/>
        <v>4.7102650575799661E-2</v>
      </c>
      <c r="OC14" s="30">
        <f t="shared" ca="1" si="70"/>
        <v>-1.9542113619456857E-2</v>
      </c>
      <c r="OD14" s="30">
        <f t="shared" ca="1" si="63"/>
        <v>-2.6754391943473534E-2</v>
      </c>
      <c r="OE14" s="30">
        <f t="shared" ca="1" si="55"/>
        <v>2.464185380052851E-2</v>
      </c>
      <c r="OF14" s="30">
        <f t="shared" ca="1" si="55"/>
        <v>5.0656964281481252E-3</v>
      </c>
      <c r="OG14" s="30">
        <f t="shared" ca="1" si="55"/>
        <v>-2.5144736122581089E-2</v>
      </c>
      <c r="OH14" s="30">
        <f t="shared" ca="1" si="55"/>
        <v>4.5652921025643771E-2</v>
      </c>
      <c r="OI14" s="30">
        <f t="shared" ca="1" si="55"/>
        <v>-2.1186977952846391E-2</v>
      </c>
      <c r="OJ14" s="30">
        <f t="shared" ca="1" si="55"/>
        <v>-1.8643357196908277E-2</v>
      </c>
      <c r="OK14" s="30">
        <f t="shared" ca="1" si="55"/>
        <v>-4.2636949636954913E-2</v>
      </c>
      <c r="OL14" s="30">
        <f t="shared" ca="1" si="55"/>
        <v>-7.3993762645398406E-3</v>
      </c>
      <c r="OM14" s="30">
        <f t="shared" ca="1" si="55"/>
        <v>-2.4809831513924196E-2</v>
      </c>
      <c r="ON14" s="30">
        <f t="shared" ca="1" si="55"/>
        <v>6.4571628716227417E-2</v>
      </c>
      <c r="OO14" s="30">
        <f t="shared" ca="1" si="55"/>
        <v>-3.716864901555047E-5</v>
      </c>
      <c r="OP14" s="30">
        <f t="shared" ca="1" si="55"/>
        <v>-3.025697136815024E-2</v>
      </c>
      <c r="OQ14" s="30">
        <f t="shared" ca="1" si="55"/>
        <v>-1.5321220322283099E-2</v>
      </c>
      <c r="OR14" s="30">
        <f t="shared" ca="1" si="55"/>
        <v>-3.1635206901508325E-2</v>
      </c>
      <c r="OS14" s="30">
        <f t="shared" ca="1" si="55"/>
        <v>4.607567115497091E-2</v>
      </c>
      <c r="OT14" s="30">
        <f t="shared" ca="1" si="55"/>
        <v>7.8268072177592116E-3</v>
      </c>
      <c r="OU14" s="30">
        <f t="shared" ca="1" si="55"/>
        <v>-3.6408023538717735E-2</v>
      </c>
      <c r="OV14" s="30">
        <f t="shared" ca="1" si="55"/>
        <v>-3.323895746916844E-2</v>
      </c>
      <c r="OW14" s="30">
        <f t="shared" ca="1" si="55"/>
        <v>4.0762783460560843E-2</v>
      </c>
      <c r="OX14" s="30">
        <f t="shared" ca="1" si="55"/>
        <v>7.2948146182661442E-3</v>
      </c>
      <c r="OY14" s="30">
        <f t="shared" ca="1" si="55"/>
        <v>-6.7485360601022046E-2</v>
      </c>
      <c r="OZ14" s="30">
        <f t="shared" ca="1" si="55"/>
        <v>8.7577391938148688E-2</v>
      </c>
      <c r="PA14" s="30">
        <f t="shared" ca="1" si="55"/>
        <v>3.6356357770571349E-2</v>
      </c>
      <c r="PB14" s="30">
        <f t="shared" ca="1" si="55"/>
        <v>-5.3319166305928603E-2</v>
      </c>
      <c r="PC14" s="30">
        <f t="shared" ca="1" si="55"/>
        <v>-6.2638801155347423E-2</v>
      </c>
      <c r="PD14" s="30">
        <f t="shared" ca="1" si="55"/>
        <v>8.576045741182434E-3</v>
      </c>
      <c r="PE14" s="30">
        <f t="shared" ca="1" si="55"/>
        <v>4.3823816875450713E-2</v>
      </c>
      <c r="PF14" s="30">
        <f t="shared" ca="1" si="55"/>
        <v>-6.1750027616378888E-3</v>
      </c>
      <c r="PG14" s="30">
        <f t="shared" ca="1" si="55"/>
        <v>-1.2962469205147684E-2</v>
      </c>
      <c r="PH14" s="30">
        <f t="shared" ca="1" si="55"/>
        <v>3.9680698809179803E-3</v>
      </c>
      <c r="PI14" s="30">
        <f t="shared" ca="1" si="55"/>
        <v>-4.9174624769688868E-2</v>
      </c>
      <c r="PJ14" s="30">
        <f t="shared" ca="1" si="55"/>
        <v>6.3691184947236759E-2</v>
      </c>
      <c r="PK14" s="30">
        <f t="shared" ca="1" si="55"/>
        <v>1.6640402480002116E-2</v>
      </c>
      <c r="PL14" s="30">
        <f t="shared" ca="1" si="55"/>
        <v>9.5804418293583202E-3</v>
      </c>
      <c r="PM14" s="30">
        <f t="shared" ca="1" si="55"/>
        <v>5.6112864321767875E-2</v>
      </c>
      <c r="PN14" s="30">
        <f t="shared" ca="1" si="55"/>
        <v>3.0884198027190134E-2</v>
      </c>
      <c r="PO14" s="30">
        <f t="shared" ca="1" si="55"/>
        <v>-1.0954809831179748E-2</v>
      </c>
      <c r="PP14" s="30">
        <f t="shared" ca="1" si="55"/>
        <v>-4.6130560929661613E-2</v>
      </c>
      <c r="PQ14" s="30">
        <f t="shared" ca="1" si="55"/>
        <v>3.6175371327220304E-2</v>
      </c>
      <c r="PR14" s="30">
        <f t="shared" ca="1" si="55"/>
        <v>-1.9628063280843513E-2</v>
      </c>
      <c r="PS14" s="30">
        <f t="shared" ca="1" si="55"/>
        <v>2.5377186818856888E-2</v>
      </c>
      <c r="PT14" s="30">
        <f t="shared" ca="1" si="55"/>
        <v>-2.7391280624662714E-2</v>
      </c>
      <c r="PU14" s="30">
        <f t="shared" ca="1" si="55"/>
        <v>-8.6781565658274329E-3</v>
      </c>
      <c r="PV14" s="30">
        <f t="shared" ca="1" si="55"/>
        <v>4.0861112134832976E-2</v>
      </c>
      <c r="PW14" s="30">
        <f t="shared" ca="1" si="55"/>
        <v>-6.9218693164054518E-2</v>
      </c>
      <c r="PX14" s="30">
        <f t="shared" ca="1" si="55"/>
        <v>-4.4650639781443326E-2</v>
      </c>
      <c r="PY14" s="30">
        <f t="shared" ca="1" si="55"/>
        <v>1.6002864383715292E-3</v>
      </c>
      <c r="PZ14" s="30">
        <f t="shared" ca="1" si="55"/>
        <v>3.4006126141543365E-2</v>
      </c>
      <c r="QA14" s="30">
        <f t="shared" ca="1" si="55"/>
        <v>8.6386976503543308E-2</v>
      </c>
      <c r="QB14" s="30">
        <f t="shared" ca="1" si="55"/>
        <v>3.7884399765341026E-2</v>
      </c>
      <c r="QC14" s="30">
        <f t="shared" ca="1" si="55"/>
        <v>6.1779826328387265E-2</v>
      </c>
      <c r="QD14" s="30">
        <f t="shared" ca="1" si="55"/>
        <v>-8.7095507687171871E-3</v>
      </c>
      <c r="QE14" s="30">
        <f t="shared" ca="1" si="55"/>
        <v>3.4093948256689412E-2</v>
      </c>
      <c r="QF14" s="30">
        <f t="shared" ca="1" si="55"/>
        <v>7.8071472946894468E-3</v>
      </c>
      <c r="QG14" s="30">
        <f t="shared" ca="1" si="55"/>
        <v>-1.5231786957439524E-2</v>
      </c>
      <c r="QH14" s="30">
        <f t="shared" ca="1" si="55"/>
        <v>-3.3656172792544604E-2</v>
      </c>
      <c r="QI14" s="30">
        <f t="shared" ca="1" si="55"/>
        <v>-3.9839953784823051E-2</v>
      </c>
      <c r="QJ14" s="30">
        <f t="shared" ca="1" si="55"/>
        <v>-5.4496577114313579E-4</v>
      </c>
      <c r="QK14" s="30">
        <f t="shared" ca="1" si="55"/>
        <v>-2.4993471500108669E-2</v>
      </c>
      <c r="QL14" s="30">
        <f t="shared" ca="1" si="55"/>
        <v>3.9837858115415389E-2</v>
      </c>
      <c r="QM14" s="30">
        <f t="shared" ca="1" si="55"/>
        <v>-2.9528803234497893E-2</v>
      </c>
      <c r="QN14" s="30">
        <f t="shared" ca="1" si="55"/>
        <v>-1.3505782268065673E-5</v>
      </c>
      <c r="QO14" s="30">
        <f t="shared" ca="1" si="55"/>
        <v>3.059119199173644E-2</v>
      </c>
      <c r="QP14" s="30">
        <f t="shared" ca="1" si="71"/>
        <v>6.1424395654300967E-2</v>
      </c>
      <c r="QQ14" s="30">
        <f t="shared" ca="1" si="71"/>
        <v>1.6592246122400418E-2</v>
      </c>
      <c r="QR14" s="30">
        <f t="shared" ca="1" si="71"/>
        <v>4.4508118354299811E-2</v>
      </c>
      <c r="QS14" s="30">
        <f t="shared" ca="1" si="71"/>
        <v>7.8241502562673329E-2</v>
      </c>
      <c r="QT14" s="30">
        <f t="shared" ca="1" si="71"/>
        <v>-2.9150962287773072E-2</v>
      </c>
      <c r="QU14" s="30">
        <f t="shared" ca="1" si="71"/>
        <v>-8.0466628915908889E-2</v>
      </c>
      <c r="QV14" s="30">
        <f t="shared" ca="1" si="71"/>
        <v>6.1548327319181424E-2</v>
      </c>
      <c r="QW14" s="30">
        <f t="shared" ca="1" si="71"/>
        <v>2.8184755023961013E-2</v>
      </c>
      <c r="QX14" s="30">
        <f t="shared" ca="1" si="71"/>
        <v>2.5274383119690394E-2</v>
      </c>
      <c r="QY14" s="30">
        <f t="shared" ca="1" si="71"/>
        <v>-4.2780807481669738E-3</v>
      </c>
      <c r="QZ14" s="30">
        <f t="shared" ca="1" si="71"/>
        <v>-1.7038204120653499E-2</v>
      </c>
      <c r="RA14" s="30">
        <f t="shared" ca="1" si="71"/>
        <v>6.375203395277651E-2</v>
      </c>
      <c r="RB14" s="30">
        <f t="shared" ca="1" si="71"/>
        <v>-7.7759022447955409E-3</v>
      </c>
      <c r="RC14" s="30">
        <f t="shared" ca="1" si="71"/>
        <v>8.7515475099034044E-3</v>
      </c>
      <c r="RD14" s="30">
        <f t="shared" ca="1" si="71"/>
        <v>2.5885601493961085E-2</v>
      </c>
      <c r="RE14" s="30">
        <f t="shared" ca="1" si="71"/>
        <v>-8.5347503638020211E-2</v>
      </c>
      <c r="RF14" s="30">
        <f t="shared" ca="1" si="71"/>
        <v>3.802735286102971E-3</v>
      </c>
      <c r="RG14" s="30">
        <f t="shared" ca="1" si="71"/>
        <v>-2.3379311348921891E-3</v>
      </c>
      <c r="RH14" s="30">
        <f t="shared" ca="1" si="71"/>
        <v>1.3027802234933961E-2</v>
      </c>
      <c r="RI14" s="30">
        <f t="shared" ca="1" si="71"/>
        <v>2.0677028333019463E-2</v>
      </c>
      <c r="RJ14" s="30">
        <f t="shared" ca="1" si="71"/>
        <v>8.8714844314266815E-3</v>
      </c>
      <c r="RK14" s="30">
        <f t="shared" ca="1" si="71"/>
        <v>1.6289948611949896E-2</v>
      </c>
      <c r="RL14" s="30">
        <f t="shared" ca="1" si="71"/>
        <v>-9.7148148555025837E-4</v>
      </c>
      <c r="RM14" s="30">
        <f t="shared" ca="1" si="71"/>
        <v>-6.355606245672514E-2</v>
      </c>
      <c r="RN14" s="30">
        <f t="shared" ca="1" si="71"/>
        <v>-5.4273888999151511E-2</v>
      </c>
      <c r="RO14" s="30">
        <f t="shared" ca="1" si="71"/>
        <v>2.9584973658814986E-2</v>
      </c>
      <c r="RP14" s="30">
        <f t="shared" ca="1" si="71"/>
        <v>-1.823691272146704E-2</v>
      </c>
      <c r="RQ14" s="30">
        <f t="shared" ca="1" si="71"/>
        <v>5.2526831812641228E-2</v>
      </c>
      <c r="RR14" s="30">
        <f t="shared" ca="1" si="71"/>
        <v>3.8078911326097739E-2</v>
      </c>
      <c r="RS14" s="30">
        <f t="shared" ca="1" si="71"/>
        <v>-1.053329756574288E-2</v>
      </c>
      <c r="RT14" s="30">
        <f t="shared" ca="1" si="71"/>
        <v>8.4859659722084993E-3</v>
      </c>
      <c r="RU14" s="30">
        <f t="shared" ca="1" si="71"/>
        <v>-6.8799356745614715E-2</v>
      </c>
      <c r="RV14" s="30">
        <f t="shared" ca="1" si="71"/>
        <v>-8.0544135713895612E-2</v>
      </c>
      <c r="RW14" s="30">
        <f t="shared" ca="1" si="71"/>
        <v>7.2974947917924943E-3</v>
      </c>
      <c r="RX14" s="30">
        <f t="shared" ca="1" si="71"/>
        <v>-4.523116688690676E-2</v>
      </c>
      <c r="RY14" s="30">
        <f t="shared" ca="1" si="71"/>
        <v>-3.656053243511443E-2</v>
      </c>
      <c r="RZ14" s="30">
        <f t="shared" ca="1" si="71"/>
        <v>-7.8778469503179044E-2</v>
      </c>
      <c r="SA14" s="30">
        <f t="shared" ca="1" si="71"/>
        <v>2.0077181589870693E-2</v>
      </c>
      <c r="SB14" s="30">
        <f t="shared" ca="1" si="71"/>
        <v>-2.4266507705639824E-2</v>
      </c>
      <c r="SC14" s="30">
        <f t="shared" ca="1" si="71"/>
        <v>-1.7523737918270742E-2</v>
      </c>
      <c r="SD14" s="30">
        <f t="shared" ca="1" si="71"/>
        <v>3.4817907292582044E-2</v>
      </c>
      <c r="SE14" s="30">
        <f t="shared" ca="1" si="71"/>
        <v>1.9974323247551211E-2</v>
      </c>
      <c r="SF14" s="30">
        <f t="shared" ca="1" si="71"/>
        <v>6.7986595753797086E-3</v>
      </c>
      <c r="SG14" s="30">
        <f t="shared" ca="1" si="71"/>
        <v>-6.5858341897976638E-2</v>
      </c>
      <c r="SH14" s="30">
        <f t="shared" ca="1" si="71"/>
        <v>-3.5002482719105166E-2</v>
      </c>
      <c r="SI14" s="30">
        <f t="shared" ca="1" si="71"/>
        <v>4.3452829802171404E-2</v>
      </c>
      <c r="SJ14" s="30">
        <f t="shared" ca="1" si="71"/>
        <v>-6.3963948667000128E-2</v>
      </c>
      <c r="SK14" s="30">
        <f t="shared" ca="1" si="71"/>
        <v>-2.3944735916806639E-2</v>
      </c>
      <c r="SL14" s="30">
        <f t="shared" ca="1" si="71"/>
        <v>9.4219385397042374E-3</v>
      </c>
      <c r="SM14" s="30">
        <f t="shared" ca="1" si="71"/>
        <v>-1.9502674226467648E-2</v>
      </c>
      <c r="SN14" s="30">
        <f t="shared" ca="1" si="71"/>
        <v>-2.03309242829652E-2</v>
      </c>
      <c r="SO14" s="30">
        <f t="shared" ca="1" si="71"/>
        <v>1.6417493911560818E-3</v>
      </c>
      <c r="SP14" s="30">
        <f t="shared" ca="1" si="71"/>
        <v>-5.6231636339780275E-2</v>
      </c>
      <c r="SQ14" s="30">
        <f t="shared" ca="1" si="71"/>
        <v>8.1170543385430213E-2</v>
      </c>
      <c r="SR14" s="30">
        <f t="shared" ca="1" si="71"/>
        <v>3.3214418122089813E-2</v>
      </c>
      <c r="SS14" s="30">
        <f t="shared" ca="1" si="71"/>
        <v>5.1602108804298524E-2</v>
      </c>
      <c r="ST14" s="30">
        <f t="shared" ca="1" si="71"/>
        <v>-7.0929795289920959E-3</v>
      </c>
      <c r="SU14" s="30">
        <f t="shared" ca="1" si="71"/>
        <v>-9.0284481088079224E-3</v>
      </c>
      <c r="SV14" s="30">
        <f t="shared" ca="1" si="71"/>
        <v>2.3543123197951106E-2</v>
      </c>
      <c r="SW14" s="30">
        <f t="shared" ca="1" si="71"/>
        <v>2.8606117959998406E-3</v>
      </c>
      <c r="SX14" s="30">
        <f t="shared" ca="1" si="71"/>
        <v>-5.8755173488925443E-2</v>
      </c>
      <c r="SY14" s="30">
        <f t="shared" ca="1" si="71"/>
        <v>-5.9483219644372823E-2</v>
      </c>
      <c r="SZ14" s="30">
        <f t="shared" ca="1" si="71"/>
        <v>2.2335207282554861E-2</v>
      </c>
      <c r="TA14" s="30">
        <f t="shared" ca="1" si="71"/>
        <v>-2.9075869227507108E-2</v>
      </c>
      <c r="TB14" s="30">
        <f t="shared" ca="1" si="64"/>
        <v>-4.1342044470695789E-2</v>
      </c>
      <c r="TC14" s="30">
        <f t="shared" ca="1" si="56"/>
        <v>-7.0170651195482717E-3</v>
      </c>
      <c r="TD14" s="30">
        <f t="shared" ca="1" si="56"/>
        <v>8.3754172538775123E-2</v>
      </c>
      <c r="TE14" s="30">
        <f t="shared" ca="1" si="56"/>
        <v>-5.3067638318007225E-2</v>
      </c>
      <c r="TF14" s="30">
        <f t="shared" ca="1" si="56"/>
        <v>1.6153113921606028E-2</v>
      </c>
      <c r="TG14" s="30">
        <f t="shared" ca="1" si="56"/>
        <v>8.1992725380749698E-2</v>
      </c>
      <c r="TH14" s="30">
        <f t="shared" ca="1" si="56"/>
        <v>0.10014113079384833</v>
      </c>
      <c r="TI14" s="30">
        <f t="shared" ca="1" si="56"/>
        <v>1.0871928522385346E-2</v>
      </c>
      <c r="TJ14" s="30">
        <f t="shared" ca="1" si="56"/>
        <v>1.0221941453887664E-2</v>
      </c>
      <c r="TK14" s="30">
        <f t="shared" ca="1" si="56"/>
        <v>6.497018542873044E-2</v>
      </c>
      <c r="TL14" s="30">
        <f t="shared" ca="1" si="56"/>
        <v>1.0552644690018428E-5</v>
      </c>
      <c r="TM14" s="30">
        <f t="shared" ca="1" si="56"/>
        <v>-9.1172887558816432E-3</v>
      </c>
      <c r="TN14" s="30">
        <f t="shared" ca="1" si="56"/>
        <v>-3.3634644299020008E-2</v>
      </c>
      <c r="TO14" s="30">
        <f t="shared" ca="1" si="56"/>
        <v>3.3674839915240437E-2</v>
      </c>
      <c r="TP14" s="30">
        <f t="shared" ca="1" si="56"/>
        <v>4.6399826070438709E-2</v>
      </c>
      <c r="TQ14" s="30">
        <f t="shared" ca="1" si="56"/>
        <v>6.4544598953154522E-2</v>
      </c>
      <c r="TR14" s="30">
        <f t="shared" ca="1" si="56"/>
        <v>-2.7991235184650246E-2</v>
      </c>
      <c r="TS14" s="30">
        <f t="shared" ca="1" si="56"/>
        <v>-1.3878291201957894E-2</v>
      </c>
      <c r="TT14" s="30">
        <f t="shared" ca="1" si="56"/>
        <v>-6.3993765161572715E-3</v>
      </c>
      <c r="TU14" s="30">
        <f t="shared" ca="1" si="56"/>
        <v>2.7456168951132853E-2</v>
      </c>
      <c r="TV14" s="30">
        <f t="shared" ca="1" si="56"/>
        <v>-1.4741907581246994E-2</v>
      </c>
      <c r="TW14" s="30">
        <f t="shared" ca="1" si="56"/>
        <v>1.5011101248595705E-2</v>
      </c>
      <c r="TX14" s="30">
        <f t="shared" ca="1" si="56"/>
        <v>4.2132394654692644E-2</v>
      </c>
      <c r="TY14" s="30">
        <f t="shared" ca="1" si="56"/>
        <v>5.5559462077738511E-3</v>
      </c>
      <c r="TZ14" s="30">
        <f t="shared" ca="1" si="56"/>
        <v>3.9697519765181842E-2</v>
      </c>
      <c r="UA14" s="30">
        <f t="shared" ca="1" si="56"/>
        <v>4.563942016820398E-3</v>
      </c>
      <c r="UB14" s="30">
        <f t="shared" ca="1" si="56"/>
        <v>-1.267159060510098E-2</v>
      </c>
      <c r="UC14" s="30">
        <f t="shared" ca="1" si="56"/>
        <v>7.0155236434267756E-2</v>
      </c>
      <c r="UD14" s="30">
        <f t="shared" ca="1" si="56"/>
        <v>-1.2952788478539682E-2</v>
      </c>
      <c r="UE14" s="30">
        <f t="shared" ca="1" si="56"/>
        <v>-4.7890567213913819E-2</v>
      </c>
      <c r="UF14" s="30">
        <f t="shared" ca="1" si="56"/>
        <v>4.1616500856471478E-2</v>
      </c>
      <c r="UG14" s="30">
        <f t="shared" ca="1" si="56"/>
        <v>-1.1105844170041215E-3</v>
      </c>
      <c r="UH14" s="30">
        <f t="shared" ca="1" si="56"/>
        <v>-5.8271629110884821E-2</v>
      </c>
      <c r="UI14" s="30">
        <f t="shared" ca="1" si="56"/>
        <v>-9.5241124824428799E-2</v>
      </c>
      <c r="UJ14" s="30">
        <f t="shared" ca="1" si="56"/>
        <v>3.4050050488103077E-2</v>
      </c>
      <c r="UK14" s="30">
        <f t="shared" ca="1" si="56"/>
        <v>6.191529841779489E-2</v>
      </c>
      <c r="UL14" s="30">
        <f t="shared" ca="1" si="56"/>
        <v>-3.5761843388771454E-2</v>
      </c>
      <c r="UM14" s="30">
        <f t="shared" ca="1" si="56"/>
        <v>-1.5380041551973162E-2</v>
      </c>
      <c r="UN14" s="30">
        <f t="shared" ca="1" si="56"/>
        <v>2.9603514783875205E-3</v>
      </c>
      <c r="UO14" s="30">
        <f t="shared" ca="1" si="56"/>
        <v>-4.5754839944993752E-3</v>
      </c>
      <c r="UP14" s="30">
        <f t="shared" ca="1" si="56"/>
        <v>-1.8420675327081588E-2</v>
      </c>
      <c r="UQ14" s="30">
        <f t="shared" ca="1" si="56"/>
        <v>1.7027083959823199E-2</v>
      </c>
      <c r="UR14" s="30">
        <f t="shared" ca="1" si="56"/>
        <v>1.183049977480042E-2</v>
      </c>
      <c r="US14" s="30">
        <f t="shared" ca="1" si="56"/>
        <v>4.2901617982795563E-2</v>
      </c>
      <c r="UT14" s="30">
        <f t="shared" ca="1" si="56"/>
        <v>3.8312624895459647E-3</v>
      </c>
      <c r="UU14" s="30">
        <f t="shared" ca="1" si="56"/>
        <v>-7.5107554112791824E-2</v>
      </c>
      <c r="UV14" s="30">
        <f t="shared" ca="1" si="56"/>
        <v>-2.5242738270380618E-3</v>
      </c>
      <c r="UW14" s="30">
        <f t="shared" ca="1" si="56"/>
        <v>7.3708467032434194E-2</v>
      </c>
      <c r="UX14" s="30">
        <f t="shared" ca="1" si="56"/>
        <v>-4.1655761948224061E-2</v>
      </c>
      <c r="UY14" s="30">
        <f t="shared" ca="1" si="56"/>
        <v>-1.7528855323585224E-2</v>
      </c>
      <c r="UZ14" s="30">
        <f t="shared" ca="1" si="56"/>
        <v>3.6144972016250609E-2</v>
      </c>
      <c r="VA14" s="30">
        <f t="shared" ca="1" si="56"/>
        <v>-8.8310905770292748E-3</v>
      </c>
      <c r="VB14" s="30">
        <f t="shared" ca="1" si="56"/>
        <v>1.4761528088648045E-2</v>
      </c>
      <c r="VC14" s="30">
        <f t="shared" ca="1" si="56"/>
        <v>-1.1327285342739085E-2</v>
      </c>
      <c r="VD14" s="30">
        <f t="shared" ca="1" si="56"/>
        <v>4.5120734529900661E-2</v>
      </c>
      <c r="VE14" s="30">
        <f t="shared" ca="1" si="56"/>
        <v>1.9231293380317649E-3</v>
      </c>
      <c r="VF14" s="30">
        <f t="shared" ca="1" si="56"/>
        <v>-5.7766960969883561E-2</v>
      </c>
      <c r="VG14" s="30">
        <f t="shared" ca="1" si="56"/>
        <v>-2.3132183922395491E-4</v>
      </c>
      <c r="VH14" s="30">
        <f t="shared" ca="1" si="56"/>
        <v>3.0521180474104709E-2</v>
      </c>
      <c r="VI14" s="30">
        <f t="shared" ca="1" si="56"/>
        <v>2.1574033203011878E-2</v>
      </c>
      <c r="VJ14" s="30">
        <f t="shared" ca="1" si="56"/>
        <v>1.0458556138048905E-2</v>
      </c>
      <c r="VK14" s="30">
        <f t="shared" ca="1" si="56"/>
        <v>-7.8120242263334731E-4</v>
      </c>
      <c r="VL14" s="30">
        <f t="shared" ca="1" si="56"/>
        <v>-3.4032922171529617E-2</v>
      </c>
      <c r="VM14" s="30">
        <f t="shared" ca="1" si="56"/>
        <v>-3.042880767003537E-2</v>
      </c>
      <c r="VN14" s="30">
        <f t="shared" ca="1" si="72"/>
        <v>-7.0099227563675967E-2</v>
      </c>
      <c r="VO14" s="30">
        <f t="shared" ca="1" si="72"/>
        <v>-4.9568813024875279E-2</v>
      </c>
      <c r="VP14" s="30">
        <f t="shared" ca="1" si="72"/>
        <v>3.6508702993529853E-2</v>
      </c>
      <c r="VQ14" s="30">
        <f t="shared" ca="1" si="72"/>
        <v>4.4931938605179592E-2</v>
      </c>
      <c r="VR14" s="30">
        <f t="shared" ca="1" si="72"/>
        <v>3.5295951301238797E-2</v>
      </c>
      <c r="VS14" s="30">
        <f t="shared" ca="1" si="72"/>
        <v>-3.795055916690486E-2</v>
      </c>
      <c r="VT14" s="30">
        <f t="shared" ca="1" si="72"/>
        <v>-3.1552178010702307E-2</v>
      </c>
      <c r="VU14" s="30">
        <f t="shared" ca="1" si="72"/>
        <v>1.0658035091322886E-2</v>
      </c>
      <c r="VV14" s="30">
        <f t="shared" ca="1" si="72"/>
        <v>-7.5296355450451213E-2</v>
      </c>
      <c r="VW14" s="30">
        <f t="shared" ca="1" si="72"/>
        <v>2.5479610774594433E-2</v>
      </c>
      <c r="VX14" s="30">
        <f t="shared" ca="1" si="72"/>
        <v>-5.1347485732052701E-2</v>
      </c>
      <c r="VY14" s="30">
        <f t="shared" ca="1" si="72"/>
        <v>-2.7762275022427837E-2</v>
      </c>
      <c r="VZ14" s="30">
        <f t="shared" ca="1" si="72"/>
        <v>3.4546447290244699E-3</v>
      </c>
      <c r="WA14" s="30">
        <f t="shared" ca="1" si="72"/>
        <v>1.3410188016112648E-2</v>
      </c>
      <c r="WB14" s="30">
        <f t="shared" ca="1" si="72"/>
        <v>3.584230828011363E-2</v>
      </c>
      <c r="WC14" s="30">
        <f t="shared" ca="1" si="72"/>
        <v>-8.9104405866571152E-4</v>
      </c>
      <c r="WD14" s="30">
        <f t="shared" ca="1" si="72"/>
        <v>-3.0075087046522522E-2</v>
      </c>
      <c r="WE14" s="30">
        <f t="shared" ca="1" si="72"/>
        <v>-7.3917941659681116E-2</v>
      </c>
      <c r="WF14" s="30">
        <f t="shared" ca="1" si="72"/>
        <v>7.5506941735157859E-2</v>
      </c>
      <c r="WG14" s="30">
        <f t="shared" ca="1" si="72"/>
        <v>1.8923314427090127E-2</v>
      </c>
      <c r="WH14" s="30">
        <f t="shared" ca="1" si="72"/>
        <v>-2.9949261281715496E-2</v>
      </c>
      <c r="WI14" s="30">
        <f t="shared" ca="1" si="72"/>
        <v>-6.3032235499822981E-2</v>
      </c>
      <c r="WJ14" s="30">
        <f t="shared" ca="1" si="72"/>
        <v>4.3486902822175579E-2</v>
      </c>
      <c r="WK14" s="30">
        <f t="shared" ca="1" si="72"/>
        <v>-3.7579027797269383E-2</v>
      </c>
      <c r="WL14" s="30">
        <f t="shared" ca="1" si="72"/>
        <v>-1.3398332913817874E-2</v>
      </c>
      <c r="WM14" s="30">
        <f t="shared" ca="1" si="72"/>
        <v>2.867720558230729E-2</v>
      </c>
      <c r="WN14" s="30">
        <f t="shared" ca="1" si="72"/>
        <v>4.2434425863757515E-2</v>
      </c>
      <c r="WO14" s="30">
        <f t="shared" ca="1" si="72"/>
        <v>3.4607748377567506E-2</v>
      </c>
      <c r="WP14" s="30">
        <f t="shared" ca="1" si="72"/>
        <v>-9.0072687414214189E-2</v>
      </c>
      <c r="WQ14" s="30">
        <f t="shared" ca="1" si="72"/>
        <v>2.5585231282023481E-2</v>
      </c>
      <c r="WR14" s="30">
        <f t="shared" ca="1" si="72"/>
        <v>-2.3212315697059439E-2</v>
      </c>
      <c r="WS14" s="30">
        <f t="shared" ca="1" si="72"/>
        <v>6.7924522219639974E-2</v>
      </c>
      <c r="WT14" s="30">
        <f t="shared" ca="1" si="72"/>
        <v>3.2753621350039709E-2</v>
      </c>
      <c r="WU14" s="30">
        <f t="shared" ca="1" si="72"/>
        <v>4.2361793845031677E-3</v>
      </c>
      <c r="WV14" s="30">
        <f t="shared" ca="1" si="72"/>
        <v>-1.6499950371806571E-2</v>
      </c>
      <c r="WW14" s="30">
        <f t="shared" ca="1" si="72"/>
        <v>-0.10256092146184778</v>
      </c>
      <c r="WX14" s="30">
        <f t="shared" ca="1" si="72"/>
        <v>-2.449597699963578E-2</v>
      </c>
      <c r="WY14" s="30">
        <f t="shared" ca="1" si="72"/>
        <v>6.5088824187054875E-2</v>
      </c>
      <c r="WZ14" s="30">
        <f t="shared" ca="1" si="72"/>
        <v>4.7731450920402999E-2</v>
      </c>
      <c r="XA14" s="30">
        <f t="shared" ca="1" si="72"/>
        <v>-1.7214354542292407E-2</v>
      </c>
      <c r="XB14" s="30">
        <f t="shared" ca="1" si="72"/>
        <v>4.6165346261121752E-2</v>
      </c>
      <c r="XC14" s="30">
        <f t="shared" ca="1" si="72"/>
        <v>4.5092988690763787E-2</v>
      </c>
      <c r="XD14" s="30">
        <f t="shared" ca="1" si="72"/>
        <v>3.0105728127568813E-3</v>
      </c>
      <c r="XE14" s="30">
        <f t="shared" ca="1" si="72"/>
        <v>-2.4781173739791114E-2</v>
      </c>
      <c r="XF14" s="30">
        <f t="shared" ca="1" si="72"/>
        <v>4.2075432847517517E-2</v>
      </c>
      <c r="XG14" s="30">
        <f t="shared" ca="1" si="72"/>
        <v>-1.8044665704500126E-2</v>
      </c>
      <c r="XH14" s="30">
        <f t="shared" ca="1" si="72"/>
        <v>2.6041003282144468E-2</v>
      </c>
      <c r="XI14" s="30">
        <f t="shared" ca="1" si="72"/>
        <v>-2.4133008352206418E-2</v>
      </c>
      <c r="XJ14" s="30">
        <f t="shared" ca="1" si="72"/>
        <v>6.3970985621830637E-2</v>
      </c>
      <c r="XK14" s="30">
        <f t="shared" ca="1" si="72"/>
        <v>-1.4960721143779564E-2</v>
      </c>
      <c r="XL14" s="30">
        <f t="shared" ca="1" si="72"/>
        <v>6.4850171154599498E-2</v>
      </c>
      <c r="XM14" s="30">
        <f t="shared" ca="1" si="72"/>
        <v>4.0161380146427145E-2</v>
      </c>
      <c r="XN14" s="30">
        <f t="shared" ca="1" si="72"/>
        <v>-5.9984130446069138E-3</v>
      </c>
      <c r="XO14" s="30">
        <f t="shared" ca="1" si="72"/>
        <v>2.9005851243493856E-2</v>
      </c>
      <c r="XP14" s="30">
        <f t="shared" ca="1" si="72"/>
        <v>-2.7632944650963259E-2</v>
      </c>
      <c r="XQ14" s="30">
        <f t="shared" ca="1" si="72"/>
        <v>0.10157932569706099</v>
      </c>
      <c r="XR14" s="30">
        <f t="shared" ca="1" si="72"/>
        <v>3.1547119652993293E-3</v>
      </c>
      <c r="XS14" s="30">
        <f t="shared" ca="1" si="72"/>
        <v>1.9812430180525781E-2</v>
      </c>
      <c r="XT14" s="30">
        <f t="shared" ca="1" si="72"/>
        <v>2.5678341502554082E-2</v>
      </c>
      <c r="XU14" s="30">
        <f t="shared" ca="1" si="72"/>
        <v>1.5304246077523301E-3</v>
      </c>
      <c r="XV14" s="30">
        <f t="shared" ca="1" si="72"/>
        <v>7.2748142815538652E-2</v>
      </c>
      <c r="XW14" s="30">
        <f t="shared" ca="1" si="72"/>
        <v>-1.4375006475847364E-2</v>
      </c>
      <c r="XX14" s="30">
        <f t="shared" ca="1" si="72"/>
        <v>4.1305223747590582E-2</v>
      </c>
      <c r="XY14" s="30">
        <f t="shared" ca="1" si="72"/>
        <v>2.3409874616892517E-2</v>
      </c>
      <c r="XZ14" s="30">
        <f t="shared" ca="1" si="65"/>
        <v>9.3058298938497874E-2</v>
      </c>
      <c r="YA14" s="30">
        <f t="shared" ca="1" si="57"/>
        <v>-2.9505474358824252E-2</v>
      </c>
      <c r="YB14" s="30">
        <f t="shared" ca="1" si="57"/>
        <v>5.481370690027202E-2</v>
      </c>
      <c r="YC14" s="30">
        <f t="shared" ca="1" si="57"/>
        <v>4.8350681694451211E-2</v>
      </c>
      <c r="YD14" s="30">
        <f t="shared" ca="1" si="57"/>
        <v>4.7325649656961413E-2</v>
      </c>
      <c r="YE14" s="30">
        <f t="shared" ca="1" si="57"/>
        <v>3.3541684599729733E-2</v>
      </c>
      <c r="YF14" s="30">
        <f t="shared" ca="1" si="57"/>
        <v>-2.229777457356235E-2</v>
      </c>
      <c r="YG14" s="30">
        <f t="shared" ca="1" si="57"/>
        <v>-1.1571222537629088E-2</v>
      </c>
      <c r="YH14" s="30">
        <f t="shared" ca="1" si="57"/>
        <v>-4.7252581554417361E-2</v>
      </c>
      <c r="YI14" s="30">
        <f t="shared" ca="1" si="57"/>
        <v>4.1359827851143475E-3</v>
      </c>
      <c r="YJ14" s="30">
        <f t="shared" ca="1" si="57"/>
        <v>-1.3151568149393503E-2</v>
      </c>
      <c r="YK14" s="30">
        <f t="shared" ca="1" si="57"/>
        <v>-9.9601746973289988E-3</v>
      </c>
      <c r="YL14" s="30">
        <f t="shared" ca="1" si="57"/>
        <v>-3.3398803875959601E-2</v>
      </c>
      <c r="YM14" s="30">
        <f t="shared" ca="1" si="57"/>
        <v>2.014967107311692E-2</v>
      </c>
      <c r="YN14" s="30">
        <f t="shared" ca="1" si="57"/>
        <v>-1.2519020181901087E-2</v>
      </c>
      <c r="YO14" s="30">
        <f t="shared" ca="1" si="57"/>
        <v>-3.9416523281553921E-2</v>
      </c>
      <c r="YP14" s="30">
        <f t="shared" ca="1" si="57"/>
        <v>-1.3472854348926677E-2</v>
      </c>
      <c r="YQ14" s="30">
        <f t="shared" ca="1" si="57"/>
        <v>2.6421736821217529E-2</v>
      </c>
      <c r="YR14" s="30">
        <f t="shared" ca="1" si="57"/>
        <v>2.1389563990725793E-2</v>
      </c>
      <c r="YS14" s="30">
        <f t="shared" ca="1" si="57"/>
        <v>5.3467126610704789E-2</v>
      </c>
      <c r="YT14" s="30">
        <f t="shared" ca="1" si="57"/>
        <v>-8.0685411669580265E-2</v>
      </c>
      <c r="YU14" s="30">
        <f t="shared" ca="1" si="57"/>
        <v>-3.3419262735284415E-2</v>
      </c>
      <c r="YV14" s="30">
        <f t="shared" ca="1" si="57"/>
        <v>-3.1760164814344849E-2</v>
      </c>
      <c r="YW14" s="30">
        <f t="shared" ca="1" si="57"/>
        <v>8.1202086242127269E-3</v>
      </c>
      <c r="YX14" s="30">
        <f t="shared" ca="1" si="57"/>
        <v>-5.5526903494567195E-2</v>
      </c>
      <c r="YY14" s="30">
        <f t="shared" ca="1" si="57"/>
        <v>-7.6047840518510837E-2</v>
      </c>
      <c r="YZ14" s="30">
        <f t="shared" ca="1" si="57"/>
        <v>-6.6856869483489081E-2</v>
      </c>
      <c r="ZA14" s="30">
        <f t="shared" ca="1" si="57"/>
        <v>4.9383282464470421E-2</v>
      </c>
      <c r="ZB14" s="30">
        <f t="shared" ca="1" si="57"/>
        <v>1.3210396510280442E-2</v>
      </c>
      <c r="ZC14" s="30">
        <f t="shared" ca="1" si="57"/>
        <v>-6.6531210846483748E-3</v>
      </c>
      <c r="ZD14" s="30">
        <f t="shared" ca="1" si="57"/>
        <v>-2.2259741176725727E-2</v>
      </c>
      <c r="ZE14" s="30">
        <f t="shared" ca="1" si="57"/>
        <v>-1.9161752182540938E-2</v>
      </c>
      <c r="ZF14" s="30">
        <f t="shared" ca="1" si="57"/>
        <v>-2.9476452896503278E-2</v>
      </c>
      <c r="ZG14" s="30">
        <f t="shared" ca="1" si="57"/>
        <v>4.3528583234011424E-2</v>
      </c>
      <c r="ZH14" s="30">
        <f t="shared" ca="1" si="57"/>
        <v>1.7675849648309521E-2</v>
      </c>
      <c r="ZI14" s="30">
        <f t="shared" ca="1" si="57"/>
        <v>2.5985284384548137E-2</v>
      </c>
      <c r="ZJ14" s="30">
        <f t="shared" ca="1" si="57"/>
        <v>-3.2451028029112525E-2</v>
      </c>
      <c r="ZK14" s="30">
        <f t="shared" ca="1" si="57"/>
        <v>-4.7182694120826825E-2</v>
      </c>
      <c r="ZL14" s="30">
        <f t="shared" ca="1" si="57"/>
        <v>9.1068897201729473E-3</v>
      </c>
      <c r="ZM14" s="30">
        <f t="shared" ca="1" si="57"/>
        <v>6.7670643944375261E-2</v>
      </c>
      <c r="ZN14" s="30">
        <f t="shared" ca="1" si="57"/>
        <v>5.1215865951954986E-2</v>
      </c>
      <c r="ZO14" s="30">
        <f t="shared" ca="1" si="57"/>
        <v>3.8683986815564224E-2</v>
      </c>
      <c r="ZP14" s="30">
        <f t="shared" ca="1" si="57"/>
        <v>1.7521227002685092E-2</v>
      </c>
      <c r="ZQ14" s="30">
        <f t="shared" ca="1" si="57"/>
        <v>2.4110512579689283E-2</v>
      </c>
      <c r="ZR14" s="30">
        <f t="shared" ca="1" si="57"/>
        <v>-2.0396031005016343E-2</v>
      </c>
      <c r="ZS14" s="30">
        <f t="shared" ca="1" si="57"/>
        <v>-3.8057444056138125E-2</v>
      </c>
      <c r="ZT14" s="30">
        <f t="shared" ca="1" si="57"/>
        <v>-2.3701267116489209E-2</v>
      </c>
      <c r="ZU14" s="30">
        <f t="shared" ca="1" si="57"/>
        <v>-6.9023924919478334E-3</v>
      </c>
      <c r="ZV14" s="30">
        <f t="shared" ca="1" si="57"/>
        <v>2.914270874447002E-2</v>
      </c>
      <c r="ZW14" s="30">
        <f t="shared" ca="1" si="57"/>
        <v>0.12636580705290368</v>
      </c>
      <c r="ZX14" s="30">
        <f t="shared" ca="1" si="57"/>
        <v>-6.434822179969367E-2</v>
      </c>
      <c r="ZY14" s="30">
        <f t="shared" ca="1" si="57"/>
        <v>4.4085687285559325E-2</v>
      </c>
      <c r="ZZ14" s="30">
        <f t="shared" ca="1" si="57"/>
        <v>2.5355105296974451E-3</v>
      </c>
      <c r="AAA14" s="30">
        <f t="shared" ca="1" si="57"/>
        <v>-7.3548925018361452E-2</v>
      </c>
      <c r="AAB14" s="30">
        <f t="shared" ca="1" si="57"/>
        <v>-7.7173468852158242E-3</v>
      </c>
      <c r="AAC14" s="30">
        <f t="shared" ca="1" si="57"/>
        <v>1.514543490893281E-2</v>
      </c>
      <c r="AAD14" s="30">
        <f t="shared" ca="1" si="57"/>
        <v>3.0803309897052197E-3</v>
      </c>
      <c r="AAE14" s="30">
        <f t="shared" ca="1" si="57"/>
        <v>-4.2497809238600727E-2</v>
      </c>
      <c r="AAF14" s="30">
        <f t="shared" ca="1" si="57"/>
        <v>1.9783007225080664E-2</v>
      </c>
      <c r="AAG14" s="30">
        <f t="shared" ca="1" si="57"/>
        <v>4.2382277176340778E-2</v>
      </c>
      <c r="AAH14" s="30">
        <f t="shared" ca="1" si="57"/>
        <v>-1.5381403161324914E-2</v>
      </c>
      <c r="AAI14" s="30">
        <f t="shared" ca="1" si="57"/>
        <v>2.8554657789599161E-2</v>
      </c>
      <c r="AAJ14" s="30">
        <f t="shared" ca="1" si="57"/>
        <v>-2.1750099475329861E-2</v>
      </c>
      <c r="AAK14" s="30">
        <f t="shared" ca="1" si="57"/>
        <v>-1.3473304326768536E-2</v>
      </c>
      <c r="AAL14" s="30">
        <f t="shared" ca="1" si="73"/>
        <v>-4.6368122246692192E-2</v>
      </c>
      <c r="AAM14" s="30">
        <f t="shared" ca="1" si="73"/>
        <v>-2.6291748592238613E-2</v>
      </c>
      <c r="AAN14" s="30">
        <f t="shared" ca="1" si="73"/>
        <v>3.5606903622118768E-2</v>
      </c>
      <c r="AAO14" s="30">
        <f t="shared" ca="1" si="73"/>
        <v>3.7474980098954537E-2</v>
      </c>
      <c r="AAP14" s="30">
        <f t="shared" ca="1" si="73"/>
        <v>-5.9894758458037739E-2</v>
      </c>
      <c r="AAQ14" s="30">
        <f t="shared" ca="1" si="73"/>
        <v>-8.3442792030244822E-2</v>
      </c>
      <c r="AAR14" s="30">
        <f t="shared" ca="1" si="73"/>
        <v>2.4231363265432397E-2</v>
      </c>
      <c r="AAS14" s="30">
        <f t="shared" ca="1" si="73"/>
        <v>-8.2037622216481226E-2</v>
      </c>
      <c r="AAT14" s="30">
        <f t="shared" ca="1" si="73"/>
        <v>-2.8870980001692418E-2</v>
      </c>
      <c r="AAU14" s="30">
        <f t="shared" ca="1" si="73"/>
        <v>-2.7412504086581135E-2</v>
      </c>
      <c r="AAV14" s="30">
        <f t="shared" ca="1" si="73"/>
        <v>3.3445597803278028E-2</v>
      </c>
      <c r="AAW14" s="30">
        <f t="shared" ca="1" si="73"/>
        <v>9.6862528181547544E-2</v>
      </c>
      <c r="AAX14" s="30">
        <f t="shared" ca="1" si="73"/>
        <v>-1.7245552984972622E-2</v>
      </c>
      <c r="AAY14" s="30">
        <f t="shared" ca="1" si="73"/>
        <v>-7.7900090381433654E-2</v>
      </c>
      <c r="AAZ14" s="30">
        <f t="shared" ca="1" si="73"/>
        <v>3.4077048597562125E-3</v>
      </c>
      <c r="ABA14" s="30">
        <f t="shared" ca="1" si="73"/>
        <v>-3.2558564794701178E-2</v>
      </c>
      <c r="ABB14" s="30">
        <f t="shared" ca="1" si="73"/>
        <v>3.4767759674396791E-2</v>
      </c>
      <c r="ABC14" s="30">
        <f t="shared" ca="1" si="73"/>
        <v>-7.8479033887554617E-2</v>
      </c>
      <c r="ABD14" s="30">
        <f t="shared" ca="1" si="73"/>
        <v>-1.4779099130671769E-2</v>
      </c>
      <c r="ABE14" s="30">
        <f t="shared" ca="1" si="73"/>
        <v>-5.5781784523896996E-2</v>
      </c>
      <c r="ABF14" s="30">
        <f t="shared" ca="1" si="73"/>
        <v>-6.0026486606940196E-2</v>
      </c>
      <c r="ABG14" s="30">
        <f t="shared" ca="1" si="73"/>
        <v>-3.0870793140402005E-3</v>
      </c>
      <c r="ABH14" s="30">
        <f t="shared" ca="1" si="73"/>
        <v>6.6859314087686625E-2</v>
      </c>
      <c r="ABI14" s="30">
        <f t="shared" ca="1" si="73"/>
        <v>-3.8504942103126001E-2</v>
      </c>
      <c r="ABJ14" s="30">
        <f t="shared" ca="1" si="73"/>
        <v>-1.1852329818053491E-2</v>
      </c>
      <c r="ABK14" s="30">
        <f t="shared" ca="1" si="73"/>
        <v>5.6121037240793183E-2</v>
      </c>
      <c r="ABL14" s="30">
        <f t="shared" ca="1" si="73"/>
        <v>3.0452975680252681E-2</v>
      </c>
      <c r="ABM14" s="30">
        <f t="shared" ca="1" si="73"/>
        <v>-9.0055965108250424E-2</v>
      </c>
      <c r="ABN14" s="30">
        <f t="shared" ca="1" si="73"/>
        <v>1.3668102440701968E-2</v>
      </c>
      <c r="ABO14" s="30">
        <f t="shared" ca="1" si="73"/>
        <v>3.4189472665585377E-2</v>
      </c>
      <c r="ABP14" s="30">
        <f t="shared" ca="1" si="73"/>
        <v>2.9085445186624363E-2</v>
      </c>
      <c r="ABQ14" s="30">
        <f t="shared" ca="1" si="73"/>
        <v>8.5527839304959677E-2</v>
      </c>
      <c r="ABR14" s="30">
        <f t="shared" ca="1" si="73"/>
        <v>5.1357503325547969E-2</v>
      </c>
      <c r="ABS14" s="30">
        <f t="shared" ca="1" si="73"/>
        <v>5.3189794037827545E-2</v>
      </c>
      <c r="ABT14" s="30">
        <f t="shared" ca="1" si="73"/>
        <v>-4.9199433444481015E-2</v>
      </c>
      <c r="ABU14" s="30">
        <f t="shared" ca="1" si="73"/>
        <v>-2.5306039634352E-2</v>
      </c>
      <c r="ABV14" s="30">
        <f t="shared" ca="1" si="73"/>
        <v>3.230852315530966E-2</v>
      </c>
      <c r="ABW14" s="30">
        <f t="shared" ca="1" si="73"/>
        <v>-3.8704991515931007E-2</v>
      </c>
      <c r="ABX14" s="30">
        <f t="shared" ca="1" si="73"/>
        <v>-3.8260274436521195E-3</v>
      </c>
      <c r="ABY14" s="30">
        <f t="shared" ca="1" si="73"/>
        <v>-5.010881198564808E-2</v>
      </c>
      <c r="ABZ14" s="30">
        <f t="shared" ca="1" si="73"/>
        <v>-9.4391671524006848E-2</v>
      </c>
      <c r="ACA14" s="30">
        <f t="shared" ca="1" si="73"/>
        <v>-2.7610020486693206E-2</v>
      </c>
      <c r="ACB14" s="30">
        <f t="shared" ca="1" si="73"/>
        <v>-6.2875553232698139E-2</v>
      </c>
      <c r="ACC14" s="30">
        <f t="shared" ca="1" si="73"/>
        <v>-6.2875397727775624E-3</v>
      </c>
      <c r="ACD14" s="30">
        <f t="shared" ca="1" si="73"/>
        <v>3.1759063943067548E-4</v>
      </c>
      <c r="ACE14" s="30">
        <f t="shared" ca="1" si="73"/>
        <v>-1.2189464797522705E-2</v>
      </c>
      <c r="ACF14" s="30">
        <f t="shared" ca="1" si="73"/>
        <v>1.2297260259070728E-2</v>
      </c>
      <c r="ACG14" s="30">
        <f t="shared" ca="1" si="73"/>
        <v>2.1831387469413283E-2</v>
      </c>
      <c r="ACH14" s="30">
        <f t="shared" ca="1" si="73"/>
        <v>-9.4025729457388324E-2</v>
      </c>
      <c r="ACI14" s="30">
        <f t="shared" ca="1" si="73"/>
        <v>-5.3611760002762318E-3</v>
      </c>
      <c r="ACJ14" s="30">
        <f t="shared" ca="1" si="73"/>
        <v>1.6517982929791081E-2</v>
      </c>
      <c r="ACK14" s="30">
        <f t="shared" ca="1" si="73"/>
        <v>-2.7325513085684251E-2</v>
      </c>
      <c r="ACL14" s="30">
        <f t="shared" ca="1" si="73"/>
        <v>-5.0067769864962502E-2</v>
      </c>
      <c r="ACM14" s="30">
        <f t="shared" ca="1" si="73"/>
        <v>6.8935804852799454E-3</v>
      </c>
      <c r="ACN14" s="30">
        <f t="shared" ca="1" si="73"/>
        <v>1.6556260703820481E-2</v>
      </c>
      <c r="ACO14" s="30">
        <f t="shared" ca="1" si="73"/>
        <v>-7.4575796371050745E-2</v>
      </c>
      <c r="ACP14" s="30">
        <f t="shared" ca="1" si="73"/>
        <v>7.6154637032451067E-2</v>
      </c>
      <c r="ACQ14" s="30">
        <f t="shared" ca="1" si="73"/>
        <v>9.514891569907527E-2</v>
      </c>
      <c r="ACR14" s="30">
        <f t="shared" ca="1" si="73"/>
        <v>3.2142990302986077E-2</v>
      </c>
      <c r="ACS14" s="30">
        <f t="shared" ca="1" si="73"/>
        <v>-5.0859668201330581E-2</v>
      </c>
      <c r="ACT14" s="30">
        <f t="shared" ca="1" si="73"/>
        <v>2.8714639020898471E-2</v>
      </c>
      <c r="ACU14" s="30">
        <f t="shared" ca="1" si="73"/>
        <v>3.5131742159415447E-2</v>
      </c>
      <c r="ACV14" s="30">
        <f t="shared" ca="1" si="73"/>
        <v>-2.497335369859029E-2</v>
      </c>
      <c r="ACW14" s="30">
        <f t="shared" ca="1" si="73"/>
        <v>-1.4255728623626212E-2</v>
      </c>
      <c r="ACX14" s="30">
        <f t="shared" ca="1" si="66"/>
        <v>-9.01912956449742E-3</v>
      </c>
      <c r="ACY14" s="30">
        <f t="shared" ca="1" si="58"/>
        <v>-2.9889289004135393E-2</v>
      </c>
      <c r="ACZ14" s="30">
        <f t="shared" ca="1" si="58"/>
        <v>-1.8674321661120589E-2</v>
      </c>
      <c r="ADA14" s="30">
        <f t="shared" ca="1" si="58"/>
        <v>-1.324434804208363E-2</v>
      </c>
      <c r="ADB14" s="30">
        <f t="shared" ca="1" si="58"/>
        <v>3.9636053222938276E-2</v>
      </c>
      <c r="ADC14" s="30">
        <f t="shared" ca="1" si="58"/>
        <v>5.4040404576725293E-2</v>
      </c>
      <c r="ADD14" s="30">
        <f t="shared" ca="1" si="58"/>
        <v>2.0611947179525383E-2</v>
      </c>
      <c r="ADE14" s="30">
        <f t="shared" ca="1" si="58"/>
        <v>-2.7903274693449037E-2</v>
      </c>
      <c r="ADF14" s="30">
        <f t="shared" ca="1" si="58"/>
        <v>-6.854845146370292E-2</v>
      </c>
      <c r="ADG14" s="30">
        <f t="shared" ca="1" si="58"/>
        <v>8.1266435816121335E-2</v>
      </c>
      <c r="ADH14" s="30">
        <f t="shared" ca="1" si="58"/>
        <v>-5.3672156938604644E-2</v>
      </c>
      <c r="ADI14" s="30">
        <f t="shared" ca="1" si="58"/>
        <v>3.0698526123830013E-2</v>
      </c>
      <c r="ADJ14" s="30">
        <f t="shared" ca="1" si="58"/>
        <v>-1.3193992910254826E-2</v>
      </c>
      <c r="ADK14" s="30">
        <f t="shared" ca="1" si="58"/>
        <v>-5.3883799782102539E-2</v>
      </c>
      <c r="ADL14" s="30">
        <f t="shared" ca="1" si="58"/>
        <v>-8.9058801253296144E-3</v>
      </c>
      <c r="ADM14" s="30">
        <f t="shared" ca="1" si="58"/>
        <v>-3.5797076985664936E-2</v>
      </c>
      <c r="ADN14" s="30">
        <f t="shared" ca="1" si="58"/>
        <v>-0.1425705580654785</v>
      </c>
      <c r="ADO14" s="30">
        <f t="shared" ca="1" si="58"/>
        <v>-3.7685659267124173E-2</v>
      </c>
      <c r="ADP14" s="30">
        <f t="shared" ca="1" si="58"/>
        <v>5.7056506273918124E-2</v>
      </c>
      <c r="ADQ14" s="30">
        <f t="shared" ca="1" si="58"/>
        <v>-7.8034125125351878E-2</v>
      </c>
      <c r="ADR14" s="30">
        <f t="shared" ca="1" si="58"/>
        <v>-5.4461069305914642E-2</v>
      </c>
      <c r="ADS14" s="30">
        <f t="shared" ca="1" si="58"/>
        <v>-5.1050772339817453E-2</v>
      </c>
      <c r="ADT14" s="30">
        <f t="shared" ca="1" si="58"/>
        <v>8.7379656707845671E-3</v>
      </c>
      <c r="ADU14" s="30">
        <f t="shared" ca="1" si="58"/>
        <v>3.916925288790693E-2</v>
      </c>
      <c r="ADV14" s="30">
        <f t="shared" ca="1" si="58"/>
        <v>2.6627718180711232E-2</v>
      </c>
      <c r="ADW14" s="30">
        <f t="shared" ca="1" si="58"/>
        <v>-4.2783411014052312E-3</v>
      </c>
      <c r="ADX14" s="30">
        <f t="shared" ca="1" si="58"/>
        <v>-0.11544004562965521</v>
      </c>
      <c r="ADY14" s="30">
        <f t="shared" ca="1" si="58"/>
        <v>-1.4434803614782048E-2</v>
      </c>
      <c r="ADZ14" s="30">
        <f t="shared" ca="1" si="58"/>
        <v>1.3480943443536179E-3</v>
      </c>
      <c r="AEA14" s="30">
        <f t="shared" ca="1" si="58"/>
        <v>-3.5276233288007816E-2</v>
      </c>
      <c r="AEB14" s="30">
        <f t="shared" ca="1" si="58"/>
        <v>4.538683388057959E-3</v>
      </c>
      <c r="AEC14" s="30">
        <f t="shared" ca="1" si="58"/>
        <v>-4.1687775961038329E-2</v>
      </c>
      <c r="AED14" s="30">
        <f t="shared" ca="1" si="58"/>
        <v>6.9424864418335688E-2</v>
      </c>
      <c r="AEE14" s="30">
        <f t="shared" ca="1" si="58"/>
        <v>4.707236097010651E-2</v>
      </c>
      <c r="AEF14" s="30">
        <f t="shared" ca="1" si="58"/>
        <v>5.2642616805299233E-2</v>
      </c>
      <c r="AEG14" s="30">
        <f t="shared" ca="1" si="58"/>
        <v>2.2312174879338797E-2</v>
      </c>
      <c r="AEH14" s="30">
        <f t="shared" ca="1" si="58"/>
        <v>-1.2309018347695206E-3</v>
      </c>
      <c r="AEI14" s="30">
        <f t="shared" ca="1" si="58"/>
        <v>5.2413204996449095E-2</v>
      </c>
      <c r="AEJ14" s="30">
        <f t="shared" ca="1" si="58"/>
        <v>5.0797997789958742E-2</v>
      </c>
      <c r="AEK14" s="30">
        <f t="shared" ca="1" si="58"/>
        <v>1.4237229303243571E-2</v>
      </c>
      <c r="AEL14" s="30">
        <f t="shared" ca="1" si="58"/>
        <v>1.8142973028409778E-2</v>
      </c>
      <c r="AEM14" s="30">
        <f t="shared" ca="1" si="58"/>
        <v>1.3391977463180989E-2</v>
      </c>
      <c r="AEN14" s="30">
        <f t="shared" ca="1" si="58"/>
        <v>-3.2568191321931256E-2</v>
      </c>
      <c r="AEO14" s="30">
        <f t="shared" ca="1" si="58"/>
        <v>-2.6493598030014269E-2</v>
      </c>
      <c r="AEP14" s="30">
        <f t="shared" ca="1" si="58"/>
        <v>4.9989364360199087E-2</v>
      </c>
      <c r="AEQ14" s="30">
        <f t="shared" ca="1" si="58"/>
        <v>8.463048666431848E-2</v>
      </c>
      <c r="AER14" s="30">
        <f t="shared" ca="1" si="58"/>
        <v>1.3768196107383739E-2</v>
      </c>
      <c r="AES14" s="30">
        <f t="shared" ca="1" si="58"/>
        <v>4.4830582676825728E-2</v>
      </c>
      <c r="AET14" s="30">
        <f t="shared" ca="1" si="58"/>
        <v>-1.2231774627318255E-2</v>
      </c>
      <c r="AEU14" s="30">
        <f t="shared" ca="1" si="58"/>
        <v>5.4815041446583161E-2</v>
      </c>
      <c r="AEV14" s="30">
        <f t="shared" ca="1" si="58"/>
        <v>-3.0585404657069049E-2</v>
      </c>
      <c r="AEW14" s="30">
        <f t="shared" ca="1" si="58"/>
        <v>4.068414011790529E-2</v>
      </c>
      <c r="AEX14" s="30">
        <f t="shared" ca="1" si="58"/>
        <v>2.847362641478831E-2</v>
      </c>
      <c r="AEY14" s="30">
        <f t="shared" ca="1" si="58"/>
        <v>1.3179833245679343E-2</v>
      </c>
      <c r="AEZ14" s="30">
        <f t="shared" ca="1" si="58"/>
        <v>-4.9685894901447675E-2</v>
      </c>
      <c r="AFA14" s="30">
        <f t="shared" ca="1" si="58"/>
        <v>-4.70303084649039E-2</v>
      </c>
      <c r="AFB14" s="30">
        <f t="shared" ca="1" si="58"/>
        <v>-2.1105283901133039E-2</v>
      </c>
      <c r="AFC14" s="30">
        <f t="shared" ca="1" si="58"/>
        <v>-2.9089174357435597E-2</v>
      </c>
      <c r="AFD14" s="30">
        <f t="shared" ca="1" si="58"/>
        <v>9.1365438398700288E-2</v>
      </c>
      <c r="AFE14" s="30">
        <f t="shared" ca="1" si="58"/>
        <v>2.1246147453893794E-2</v>
      </c>
      <c r="AFF14" s="30">
        <f t="shared" ca="1" si="58"/>
        <v>-4.4775032752743934E-3</v>
      </c>
      <c r="AFG14" s="30">
        <f t="shared" ca="1" si="58"/>
        <v>-1.0240686389503187E-2</v>
      </c>
      <c r="AFH14" s="30">
        <f t="shared" ca="1" si="58"/>
        <v>-1.1777391115959311E-2</v>
      </c>
      <c r="AFI14" s="30">
        <f t="shared" ca="1" si="58"/>
        <v>-1.5521198815323715E-2</v>
      </c>
      <c r="AFJ14" s="30">
        <f t="shared" ca="1" si="74"/>
        <v>1.6963851402986917E-2</v>
      </c>
      <c r="AFK14" s="30">
        <f t="shared" ca="1" si="74"/>
        <v>3.7187558232404681E-2</v>
      </c>
      <c r="AFL14" s="30">
        <f t="shared" ca="1" si="74"/>
        <v>1.6735035551446346E-2</v>
      </c>
      <c r="AFM14" s="30">
        <f t="shared" ca="1" si="74"/>
        <v>2.3488026006036212E-2</v>
      </c>
      <c r="AFN14" s="30">
        <f t="shared" ca="1" si="74"/>
        <v>9.2284890984681931E-3</v>
      </c>
      <c r="AFO14" s="30">
        <f t="shared" ca="1" si="74"/>
        <v>-8.6893375463865316E-3</v>
      </c>
      <c r="AFP14" s="30">
        <f t="shared" ca="1" si="74"/>
        <v>2.4193635746571321E-3</v>
      </c>
      <c r="AFQ14" s="30">
        <f t="shared" ca="1" si="74"/>
        <v>4.6588387115328027E-2</v>
      </c>
      <c r="AFR14" s="30">
        <f t="shared" ca="1" si="74"/>
        <v>-1.2567706889220233E-3</v>
      </c>
      <c r="AFS14" s="30">
        <f t="shared" ca="1" si="74"/>
        <v>-5.0140933487469161E-2</v>
      </c>
      <c r="AFT14" s="30">
        <f t="shared" ca="1" si="74"/>
        <v>-3.7758858801755939E-2</v>
      </c>
      <c r="AFU14" s="30">
        <f t="shared" ca="1" si="74"/>
        <v>2.4885685439370076E-2</v>
      </c>
      <c r="AFV14" s="30">
        <f t="shared" ca="1" si="74"/>
        <v>3.517508285973641E-2</v>
      </c>
      <c r="AFW14" s="30">
        <f t="shared" ca="1" si="74"/>
        <v>-3.6645471715464263E-2</v>
      </c>
      <c r="AFX14" s="30">
        <f t="shared" ca="1" si="74"/>
        <v>3.8692300907581301E-2</v>
      </c>
      <c r="AFY14" s="30">
        <f t="shared" ca="1" si="74"/>
        <v>-4.0499625654024984E-2</v>
      </c>
      <c r="AFZ14" s="30">
        <f t="shared" ca="1" si="74"/>
        <v>-2.6006404504516564E-2</v>
      </c>
      <c r="AGA14" s="30">
        <f t="shared" ca="1" si="74"/>
        <v>-5.3400297091231189E-2</v>
      </c>
      <c r="AGB14" s="30">
        <f t="shared" ca="1" si="74"/>
        <v>-2.9167220965633813E-2</v>
      </c>
      <c r="AGC14" s="30">
        <f t="shared" ca="1" si="74"/>
        <v>-2.4281478489752073E-3</v>
      </c>
      <c r="AGD14" s="30">
        <f t="shared" ca="1" si="74"/>
        <v>4.6244192782200384E-2</v>
      </c>
      <c r="AGE14" s="30">
        <f t="shared" ca="1" si="74"/>
        <v>-6.6416336746943951E-3</v>
      </c>
      <c r="AGF14" s="30">
        <f t="shared" ca="1" si="74"/>
        <v>-1.8702267056427913E-2</v>
      </c>
      <c r="AGG14" s="30">
        <f t="shared" ca="1" si="74"/>
        <v>1.6066307318694243E-2</v>
      </c>
      <c r="AGH14" s="30">
        <f t="shared" ca="1" si="74"/>
        <v>2.7183978407233307E-2</v>
      </c>
      <c r="AGI14" s="30">
        <f t="shared" ca="1" si="74"/>
        <v>1.5966957385592506E-2</v>
      </c>
      <c r="AGJ14" s="30">
        <f t="shared" ca="1" si="74"/>
        <v>-4.0467283407839831E-2</v>
      </c>
      <c r="AGK14" s="30">
        <f t="shared" ca="1" si="74"/>
        <v>3.257249595185507E-3</v>
      </c>
      <c r="AGL14" s="30">
        <f t="shared" ca="1" si="74"/>
        <v>-3.6703122759662532E-2</v>
      </c>
      <c r="AGM14" s="30">
        <f t="shared" ca="1" si="74"/>
        <v>-3.5439199101352384E-3</v>
      </c>
      <c r="AGN14" s="30">
        <f t="shared" ca="1" si="74"/>
        <v>8.1123085500223013E-2</v>
      </c>
      <c r="AGO14" s="30">
        <f t="shared" ca="1" si="74"/>
        <v>-3.4237384586956819E-2</v>
      </c>
      <c r="AGP14" s="30">
        <f t="shared" ca="1" si="74"/>
        <v>-1.8580763146567564E-2</v>
      </c>
      <c r="AGQ14" s="30">
        <f t="shared" ca="1" si="74"/>
        <v>5.953675924339024E-3</v>
      </c>
      <c r="AGR14" s="30">
        <f t="shared" ca="1" si="74"/>
        <v>2.6925671407007492E-2</v>
      </c>
      <c r="AGS14" s="30">
        <f t="shared" ca="1" si="74"/>
        <v>-1.6317178805684684E-2</v>
      </c>
      <c r="AGT14" s="30">
        <f t="shared" ca="1" si="74"/>
        <v>-1.8893787179680911E-2</v>
      </c>
      <c r="AGU14" s="30">
        <f t="shared" ca="1" si="74"/>
        <v>3.3868500577699849E-2</v>
      </c>
      <c r="AGV14" s="30">
        <f t="shared" ca="1" si="74"/>
        <v>-2.2476393445826508E-2</v>
      </c>
      <c r="AGW14" s="30">
        <f t="shared" ca="1" si="74"/>
        <v>-1.6927261490609233E-2</v>
      </c>
      <c r="AGX14" s="30">
        <f t="shared" ca="1" si="74"/>
        <v>-2.5712870297264238E-3</v>
      </c>
      <c r="AGY14" s="30">
        <f t="shared" ca="1" si="74"/>
        <v>-1.1888956241982905E-2</v>
      </c>
      <c r="AGZ14" s="30">
        <f t="shared" ca="1" si="74"/>
        <v>-8.0942004144657534E-2</v>
      </c>
      <c r="AHA14" s="30">
        <f t="shared" ca="1" si="74"/>
        <v>-5.9301754027912601E-2</v>
      </c>
      <c r="AHB14" s="30">
        <f t="shared" ca="1" si="74"/>
        <v>-8.1494547705607462E-2</v>
      </c>
      <c r="AHC14" s="30">
        <f t="shared" ca="1" si="74"/>
        <v>-4.301644320097122E-2</v>
      </c>
      <c r="AHD14" s="30">
        <f t="shared" ca="1" si="74"/>
        <v>-9.809803828833917E-3</v>
      </c>
      <c r="AHE14" s="30">
        <f t="shared" ca="1" si="74"/>
        <v>-3.350030642470616E-2</v>
      </c>
      <c r="AHF14" s="30">
        <f t="shared" ca="1" si="74"/>
        <v>-8.3806400416004401E-2</v>
      </c>
      <c r="AHG14" s="30">
        <f t="shared" ca="1" si="74"/>
        <v>7.6230121527025058E-4</v>
      </c>
      <c r="AHH14" s="30">
        <f t="shared" ca="1" si="74"/>
        <v>-1.735420736123341E-3</v>
      </c>
      <c r="AHI14" s="30">
        <f t="shared" ca="1" si="74"/>
        <v>-3.6725630191379918E-3</v>
      </c>
      <c r="AHJ14" s="30">
        <f t="shared" ca="1" si="74"/>
        <v>5.8445798872137156E-3</v>
      </c>
      <c r="AHK14" s="30">
        <f t="shared" ca="1" si="74"/>
        <v>-3.5146234086815699E-2</v>
      </c>
      <c r="AHL14" s="30">
        <f t="shared" ca="1" si="74"/>
        <v>3.0810942455761037E-2</v>
      </c>
      <c r="AHM14" s="30">
        <f t="shared" ca="1" si="74"/>
        <v>-1.476416439177618E-3</v>
      </c>
      <c r="AHN14" s="30">
        <f t="shared" ca="1" si="74"/>
        <v>4.0656163742234033E-2</v>
      </c>
      <c r="AHO14" s="30">
        <f t="shared" ca="1" si="74"/>
        <v>-6.0880578484873341E-2</v>
      </c>
      <c r="AHP14" s="30">
        <f t="shared" ca="1" si="74"/>
        <v>-2.5616407044554892E-2</v>
      </c>
      <c r="AHQ14" s="30">
        <f t="shared" ca="1" si="74"/>
        <v>2.666111054110774E-2</v>
      </c>
      <c r="AHR14" s="30">
        <f t="shared" ca="1" si="74"/>
        <v>-6.0998870293305671E-4</v>
      </c>
      <c r="AHS14" s="30">
        <f t="shared" ca="1" si="74"/>
        <v>3.0814311330645959E-2</v>
      </c>
      <c r="AHT14" s="30">
        <f t="shared" ca="1" si="74"/>
        <v>-5.063406140231911E-2</v>
      </c>
      <c r="AHU14" s="30">
        <f t="shared" ca="1" si="74"/>
        <v>-3.2233224605896123E-2</v>
      </c>
      <c r="AHV14" s="30">
        <f t="shared" ca="1" si="67"/>
        <v>1.4400564819723842E-2</v>
      </c>
      <c r="AHW14" s="30">
        <f t="shared" ca="1" si="59"/>
        <v>4.5247665332355365E-2</v>
      </c>
      <c r="AHX14" s="30">
        <f t="shared" ca="1" si="59"/>
        <v>-1.2415787342843638E-2</v>
      </c>
      <c r="AHY14" s="30">
        <f t="shared" ca="1" si="59"/>
        <v>7.4776919408964179E-2</v>
      </c>
      <c r="AHZ14" s="30">
        <f t="shared" ca="1" si="59"/>
        <v>-1.3489557537924893E-2</v>
      </c>
      <c r="AIA14" s="30">
        <f t="shared" ca="1" si="59"/>
        <v>-1.1440987356053022E-2</v>
      </c>
      <c r="AIB14" s="30">
        <f t="shared" ca="1" si="59"/>
        <v>1.4004854127317234E-2</v>
      </c>
      <c r="AIC14" s="30">
        <f t="shared" ca="1" si="59"/>
        <v>-2.2211458924409653E-2</v>
      </c>
      <c r="AID14" s="30">
        <f t="shared" ca="1" si="59"/>
        <v>2.5626319569893332E-2</v>
      </c>
      <c r="AIE14" s="30">
        <f t="shared" ca="1" si="59"/>
        <v>3.1200908700926133E-3</v>
      </c>
      <c r="AIF14" s="30">
        <f t="shared" ca="1" si="59"/>
        <v>2.6251830792670605E-3</v>
      </c>
      <c r="AIG14" s="30">
        <f t="shared" ca="1" si="59"/>
        <v>2.0896284443564128E-3</v>
      </c>
      <c r="AIH14" s="30">
        <f t="shared" ca="1" si="59"/>
        <v>6.6792963769511451E-3</v>
      </c>
      <c r="AII14" s="30">
        <f t="shared" ca="1" si="59"/>
        <v>-3.6916033077187507E-2</v>
      </c>
      <c r="AIJ14" s="30">
        <f t="shared" ca="1" si="59"/>
        <v>-2.7389211595274941E-2</v>
      </c>
      <c r="AIK14" s="30">
        <f t="shared" ca="1" si="59"/>
        <v>3.0607677076967866E-2</v>
      </c>
      <c r="AIL14" s="30">
        <f t="shared" ca="1" si="59"/>
        <v>6.6053291261968183E-2</v>
      </c>
      <c r="AIM14" s="30">
        <f t="shared" ca="1" si="59"/>
        <v>-5.7854424605699756E-2</v>
      </c>
      <c r="AIN14" s="30">
        <f t="shared" ca="1" si="59"/>
        <v>-8.1332931897705241E-2</v>
      </c>
      <c r="AIO14" s="30">
        <f t="shared" ca="1" si="59"/>
        <v>3.1281339304764372E-2</v>
      </c>
      <c r="AIP14" s="30">
        <f t="shared" ca="1" si="59"/>
        <v>1.8280687853480554E-2</v>
      </c>
      <c r="AIQ14" s="30">
        <f t="shared" ca="1" si="59"/>
        <v>5.6400404333369868E-2</v>
      </c>
      <c r="AIR14" s="30">
        <f t="shared" ca="1" si="59"/>
        <v>-2.4632360410140452E-2</v>
      </c>
      <c r="AIS14" s="30">
        <f t="shared" ca="1" si="59"/>
        <v>6.7886128329011294E-2</v>
      </c>
      <c r="AIT14" s="30">
        <f t="shared" ca="1" si="59"/>
        <v>-5.7115434639927347E-2</v>
      </c>
      <c r="AIU14" s="30">
        <f t="shared" ca="1" si="59"/>
        <v>2.6220400482745369E-2</v>
      </c>
      <c r="AIV14" s="30">
        <f t="shared" ca="1" si="59"/>
        <v>-4.7313676438056493E-2</v>
      </c>
      <c r="AIW14" s="30">
        <f t="shared" ca="1" si="59"/>
        <v>-4.2066028250680502E-2</v>
      </c>
      <c r="AIX14" s="30">
        <f t="shared" ca="1" si="59"/>
        <v>-4.4851974292486073E-2</v>
      </c>
      <c r="AIY14" s="30">
        <f t="shared" ca="1" si="59"/>
        <v>7.7080628707616075E-2</v>
      </c>
      <c r="AIZ14" s="30">
        <f t="shared" ca="1" si="59"/>
        <v>5.358505020850389E-2</v>
      </c>
      <c r="AJA14" s="30">
        <f t="shared" ca="1" si="59"/>
        <v>-2.6898652288060952E-2</v>
      </c>
      <c r="AJB14" s="30">
        <f t="shared" ca="1" si="59"/>
        <v>7.4847304450384816E-2</v>
      </c>
      <c r="AJC14" s="30">
        <f t="shared" ca="1" si="59"/>
        <v>1.9367848785661458E-3</v>
      </c>
      <c r="AJD14" s="30">
        <f t="shared" ca="1" si="59"/>
        <v>-1.3753722954907184E-2</v>
      </c>
      <c r="AJE14" s="30">
        <f t="shared" ca="1" si="59"/>
        <v>-2.9745195193174589E-2</v>
      </c>
      <c r="AJF14" s="30">
        <f t="shared" ca="1" si="59"/>
        <v>2.9107074402858969E-2</v>
      </c>
      <c r="AJG14" s="30">
        <f t="shared" ca="1" si="59"/>
        <v>4.0546372825464106E-4</v>
      </c>
      <c r="AJH14" s="30">
        <f t="shared" ca="1" si="59"/>
        <v>1.5320046069313641E-3</v>
      </c>
      <c r="AJI14" s="30">
        <f t="shared" ca="1" si="59"/>
        <v>-4.7569959330599716E-2</v>
      </c>
      <c r="AJJ14" s="30">
        <f t="shared" ca="1" si="59"/>
        <v>8.7231705632556562E-3</v>
      </c>
      <c r="AJK14" s="30">
        <f t="shared" ca="1" si="59"/>
        <v>-6.8104501226196879E-2</v>
      </c>
      <c r="AJL14" s="30">
        <f t="shared" ca="1" si="59"/>
        <v>-7.4439997894631627E-2</v>
      </c>
      <c r="AJM14" s="30">
        <f t="shared" ca="1" si="59"/>
        <v>-1.8380112485505595E-2</v>
      </c>
      <c r="AJN14" s="30">
        <f t="shared" ca="1" si="59"/>
        <v>2.8566112616697319E-2</v>
      </c>
      <c r="AJO14" s="30">
        <f t="shared" ca="1" si="59"/>
        <v>4.7196237003111367E-2</v>
      </c>
      <c r="AJP14" s="30">
        <f t="shared" ca="1" si="59"/>
        <v>6.0092253138820474E-2</v>
      </c>
      <c r="AJQ14" s="30">
        <f t="shared" ca="1" si="59"/>
        <v>3.6645961529784582E-2</v>
      </c>
      <c r="AJR14" s="30">
        <f t="shared" ca="1" si="59"/>
        <v>-3.0794123690620406E-3</v>
      </c>
      <c r="AJS14" s="30">
        <f t="shared" ca="1" si="59"/>
        <v>-3.4142438917928723E-2</v>
      </c>
      <c r="AJT14" s="30">
        <f t="shared" ca="1" si="59"/>
        <v>-4.0043677622696817E-2</v>
      </c>
      <c r="AJU14" s="30">
        <f t="shared" ca="1" si="59"/>
        <v>-3.6554936906450897E-2</v>
      </c>
      <c r="AJV14" s="30">
        <f t="shared" ca="1" si="59"/>
        <v>7.7989258048261303E-2</v>
      </c>
      <c r="AJW14" s="30">
        <f t="shared" ca="1" si="59"/>
        <v>7.0596493146180177E-3</v>
      </c>
      <c r="AJX14" s="30">
        <f t="shared" ca="1" si="59"/>
        <v>8.9092891193249778E-3</v>
      </c>
      <c r="AJY14" s="30">
        <f t="shared" ca="1" si="59"/>
        <v>2.7864296301656787E-2</v>
      </c>
      <c r="AJZ14" s="30">
        <f t="shared" ca="1" si="59"/>
        <v>2.521068917535078E-2</v>
      </c>
      <c r="AKA14" s="30">
        <f t="shared" ca="1" si="59"/>
        <v>-7.8894524611881397E-3</v>
      </c>
      <c r="AKB14" s="30">
        <f t="shared" ca="1" si="59"/>
        <v>1.0563652824395206E-2</v>
      </c>
      <c r="AKC14" s="30">
        <f t="shared" ca="1" si="59"/>
        <v>2.5452639697885318E-2</v>
      </c>
      <c r="AKD14" s="30">
        <f t="shared" ca="1" si="59"/>
        <v>-7.4892670675719697E-2</v>
      </c>
      <c r="AKE14" s="30">
        <f t="shared" ca="1" si="59"/>
        <v>-3.0264794428451168E-3</v>
      </c>
      <c r="AKF14" s="30">
        <f t="shared" ca="1" si="59"/>
        <v>-3.0107357339155448E-2</v>
      </c>
      <c r="AKG14" s="30">
        <f t="shared" ca="1" si="59"/>
        <v>-2.1880882356860833E-2</v>
      </c>
      <c r="AKH14" s="30">
        <f t="shared" ca="1" si="60"/>
        <v>-0.11769849038852334</v>
      </c>
      <c r="AKI14" s="30">
        <f t="shared" ca="1" si="60"/>
        <v>-6.7507404576364095E-3</v>
      </c>
      <c r="AKJ14" s="30">
        <f t="shared" ca="1" si="60"/>
        <v>-5.4843350993801308E-3</v>
      </c>
      <c r="AKK14" s="30">
        <f t="shared" ca="1" si="60"/>
        <v>-4.4741182018948895E-2</v>
      </c>
      <c r="AKL14" s="30">
        <f t="shared" ca="1" si="60"/>
        <v>-1.7631552090021929E-2</v>
      </c>
      <c r="AKM14" s="30">
        <f t="shared" ca="1" si="60"/>
        <v>2.8128570978149456E-3</v>
      </c>
      <c r="AKN14" s="30">
        <f t="shared" ca="1" si="60"/>
        <v>-1.1551475657948249E-3</v>
      </c>
      <c r="AKO14" s="30">
        <f t="shared" ca="1" si="60"/>
        <v>2.9903159155814995E-2</v>
      </c>
      <c r="AKP14" s="30">
        <f t="shared" ca="1" si="60"/>
        <v>-1.5201974062720777E-2</v>
      </c>
      <c r="AKQ14" s="30">
        <f t="shared" ca="1" si="60"/>
        <v>-6.5993920603062917E-2</v>
      </c>
      <c r="AKR14" s="30">
        <f t="shared" ca="1" si="60"/>
        <v>9.729405522477215E-2</v>
      </c>
      <c r="AKS14" s="30">
        <f t="shared" ca="1" si="60"/>
        <v>2.4770928518102836E-2</v>
      </c>
      <c r="AKT14" s="30">
        <f t="shared" ca="1" si="60"/>
        <v>5.3428842435799789E-2</v>
      </c>
      <c r="AKU14" s="30">
        <f t="shared" ca="1" si="60"/>
        <v>-1.3559622706306411E-2</v>
      </c>
      <c r="AKV14" s="30">
        <f t="shared" ca="1" si="60"/>
        <v>-1.2278438318188241E-2</v>
      </c>
      <c r="AKW14" s="30">
        <f t="shared" ca="1" si="60"/>
        <v>-1.1397658094033888E-2</v>
      </c>
      <c r="AKX14" s="30">
        <f t="shared" ca="1" si="60"/>
        <v>1.0078984082321623E-2</v>
      </c>
      <c r="AKY14" s="30">
        <f t="shared" ca="1" si="60"/>
        <v>-3.3273486471857044E-2</v>
      </c>
      <c r="AKZ14" s="30">
        <f t="shared" ca="1" si="60"/>
        <v>9.0180060122110224E-3</v>
      </c>
      <c r="ALA14" s="30">
        <f t="shared" ca="1" si="60"/>
        <v>8.71333881820382E-3</v>
      </c>
      <c r="ALB14" s="30">
        <f t="shared" ca="1" si="60"/>
        <v>5.5915644218938132E-2</v>
      </c>
      <c r="ALC14" s="30">
        <f t="shared" ca="1" si="60"/>
        <v>2.0677616311668333E-2</v>
      </c>
      <c r="ALD14" s="30">
        <f t="shared" ca="1" si="60"/>
        <v>4.98879668387412E-2</v>
      </c>
      <c r="ALE14" s="30">
        <f t="shared" ca="1" si="60"/>
        <v>-3.8875750999192799E-2</v>
      </c>
      <c r="ALF14" s="30">
        <f t="shared" ca="1" si="60"/>
        <v>4.8434755228505709E-3</v>
      </c>
      <c r="ALG14" s="30">
        <f t="shared" ca="1" si="60"/>
        <v>-1.3745248262977761E-2</v>
      </c>
      <c r="ALH14" s="30">
        <f t="shared" ca="1" si="60"/>
        <v>1.524736100702874E-2</v>
      </c>
      <c r="ALI14" s="30">
        <f t="shared" ca="1" si="60"/>
        <v>-3.9911521029356259E-2</v>
      </c>
      <c r="ALJ14" s="30">
        <f t="shared" ca="1" si="60"/>
        <v>-1.7368847917613624E-2</v>
      </c>
      <c r="ALK14" s="30">
        <f t="shared" ca="1" si="60"/>
        <v>2.5541662603792818E-2</v>
      </c>
      <c r="ALL14" s="30">
        <f t="shared" ca="1" si="60"/>
        <v>4.6870802172774215E-2</v>
      </c>
      <c r="ALM14" s="30">
        <f t="shared" ca="1" si="60"/>
        <v>-3.0989322945329634E-2</v>
      </c>
      <c r="ALN14" s="30">
        <f t="shared" ca="1" si="60"/>
        <v>5.1602010466693216E-2</v>
      </c>
      <c r="ALO14" s="30">
        <f t="shared" ca="1" si="60"/>
        <v>3.1848702543855634E-2</v>
      </c>
      <c r="ALP14" s="30">
        <f t="shared" ca="1" si="60"/>
        <v>5.0212252366917995E-2</v>
      </c>
      <c r="ALQ14" s="30">
        <f t="shared" ca="1" si="60"/>
        <v>5.6160209850079967E-2</v>
      </c>
      <c r="ALR14" s="30">
        <f t="shared" ca="1" si="60"/>
        <v>-5.7666606785660948E-2</v>
      </c>
    </row>
    <row r="15" spans="2:1006" s="29" customFormat="1" x14ac:dyDescent="0.2">
      <c r="B15" s="60" t="s">
        <v>1559</v>
      </c>
      <c r="C15" s="60"/>
      <c r="D15" s="34">
        <f ca="1">AVERAGE(G31:ALR31)</f>
        <v>59618.990490562181</v>
      </c>
      <c r="F15" s="33">
        <f t="shared" si="35"/>
        <v>12</v>
      </c>
      <c r="G15" s="31">
        <f t="shared" ca="1" si="33"/>
        <v>9.44567871087309E-2</v>
      </c>
      <c r="H15" s="31">
        <f t="shared" ca="1" si="75"/>
        <v>3.5413577225458556E-2</v>
      </c>
      <c r="I15" s="31">
        <f t="shared" ca="1" si="75"/>
        <v>-3.9960932221248149E-2</v>
      </c>
      <c r="J15" s="31">
        <f t="shared" ca="1" si="75"/>
        <v>-7.3203159143802654E-2</v>
      </c>
      <c r="K15" s="31">
        <f t="shared" ca="1" si="75"/>
        <v>-2.4286858543402547E-3</v>
      </c>
      <c r="L15" s="31">
        <f t="shared" ca="1" si="75"/>
        <v>-7.6978495374197039E-3</v>
      </c>
      <c r="M15" s="31">
        <f t="shared" ca="1" si="75"/>
        <v>1.928781985562468E-2</v>
      </c>
      <c r="N15" s="31">
        <f t="shared" ca="1" si="75"/>
        <v>5.4653619200298632E-2</v>
      </c>
      <c r="O15" s="31">
        <f t="shared" ca="1" si="75"/>
        <v>-1.2211996133253833E-2</v>
      </c>
      <c r="P15" s="31">
        <f t="shared" ca="1" si="75"/>
        <v>-2.4225234191770941E-2</v>
      </c>
      <c r="Q15" s="31">
        <f t="shared" ca="1" si="75"/>
        <v>-4.8890247940499044E-2</v>
      </c>
      <c r="R15" s="31">
        <f t="shared" ca="1" si="75"/>
        <v>4.1719508955310345E-3</v>
      </c>
      <c r="S15" s="31">
        <f t="shared" ca="1" si="75"/>
        <v>-7.0498192915443833E-2</v>
      </c>
      <c r="T15" s="31">
        <f t="shared" ca="1" si="75"/>
        <v>-6.9894975483104513E-2</v>
      </c>
      <c r="U15" s="31">
        <f t="shared" ca="1" si="75"/>
        <v>-1.8261685680248402E-2</v>
      </c>
      <c r="V15" s="31">
        <f t="shared" ca="1" si="75"/>
        <v>2.3838214393228987E-2</v>
      </c>
      <c r="W15" s="31">
        <f t="shared" ca="1" si="75"/>
        <v>3.3580673877321755E-2</v>
      </c>
      <c r="X15" s="31">
        <f t="shared" ca="1" si="75"/>
        <v>4.5857712631736762E-2</v>
      </c>
      <c r="Y15" s="31">
        <f t="shared" ca="1" si="75"/>
        <v>2.6075781257393831E-2</v>
      </c>
      <c r="Z15" s="31">
        <f t="shared" ca="1" si="75"/>
        <v>-6.8967738070371182E-2</v>
      </c>
      <c r="AA15" s="31">
        <f t="shared" ca="1" si="75"/>
        <v>-3.0143204268190539E-2</v>
      </c>
      <c r="AB15" s="31">
        <f t="shared" ca="1" si="75"/>
        <v>6.0436817386909491E-3</v>
      </c>
      <c r="AC15" s="31">
        <f t="shared" ca="1" si="75"/>
        <v>5.6182414496166741E-3</v>
      </c>
      <c r="AD15" s="31">
        <f t="shared" ca="1" si="75"/>
        <v>5.520682452477968E-2</v>
      </c>
      <c r="AE15" s="31">
        <f t="shared" ca="1" si="75"/>
        <v>-3.4068393753921629E-2</v>
      </c>
      <c r="AF15" s="31">
        <f t="shared" ca="1" si="75"/>
        <v>-5.5611989468201943E-2</v>
      </c>
      <c r="AG15" s="31">
        <f t="shared" ca="1" si="75"/>
        <v>-1.6800969008723382E-2</v>
      </c>
      <c r="AH15" s="31">
        <f t="shared" ca="1" si="75"/>
        <v>-3.8938295803390546E-2</v>
      </c>
      <c r="AI15" s="31">
        <f t="shared" ca="1" si="75"/>
        <v>-2.4871387347853834E-3</v>
      </c>
      <c r="AJ15" s="31">
        <f t="shared" ca="1" si="75"/>
        <v>3.9727356501147941E-2</v>
      </c>
      <c r="AK15" s="31">
        <f t="shared" ca="1" si="75"/>
        <v>2.6581763341209968E-2</v>
      </c>
      <c r="AL15" s="31">
        <f t="shared" ca="1" si="75"/>
        <v>1.4599336991425437E-2</v>
      </c>
      <c r="AM15" s="31">
        <f t="shared" ca="1" si="75"/>
        <v>2.6053329770130609E-3</v>
      </c>
      <c r="AN15" s="31">
        <f t="shared" ca="1" si="75"/>
        <v>7.2121286728575014E-3</v>
      </c>
      <c r="AO15" s="31">
        <f t="shared" ca="1" si="75"/>
        <v>-2.138445305581933E-2</v>
      </c>
      <c r="AP15" s="31">
        <f t="shared" ca="1" si="75"/>
        <v>-6.4476477631607021E-2</v>
      </c>
      <c r="AQ15" s="31">
        <f t="shared" ca="1" si="75"/>
        <v>-1.7672202483645764E-2</v>
      </c>
      <c r="AR15" s="31">
        <f t="shared" ca="1" si="75"/>
        <v>-4.3655485649768386E-2</v>
      </c>
      <c r="AS15" s="31">
        <f t="shared" ca="1" si="75"/>
        <v>-4.8696815973854682E-2</v>
      </c>
      <c r="AT15" s="31">
        <f t="shared" ca="1" si="75"/>
        <v>-7.8922458286205337E-4</v>
      </c>
      <c r="AU15" s="31">
        <f t="shared" ca="1" si="75"/>
        <v>-2.9152131169630752E-2</v>
      </c>
      <c r="AV15" s="31">
        <f t="shared" ca="1" si="75"/>
        <v>7.3040594326385213E-3</v>
      </c>
      <c r="AW15" s="31">
        <f t="shared" ca="1" si="75"/>
        <v>-2.0015603037648426E-2</v>
      </c>
      <c r="AX15" s="31">
        <f t="shared" ca="1" si="75"/>
        <v>4.2402749647259153E-2</v>
      </c>
      <c r="AY15" s="31">
        <f t="shared" ca="1" si="75"/>
        <v>3.5869493136367545E-3</v>
      </c>
      <c r="AZ15" s="31">
        <f t="shared" ca="1" si="75"/>
        <v>1.7521693630099103E-2</v>
      </c>
      <c r="BA15" s="31">
        <f t="shared" ca="1" si="75"/>
        <v>-2.0513676518059708E-2</v>
      </c>
      <c r="BB15" s="31">
        <f t="shared" ca="1" si="75"/>
        <v>-2.584379750555111E-2</v>
      </c>
      <c r="BC15" s="31">
        <f t="shared" ca="1" si="75"/>
        <v>2.608103724550042E-3</v>
      </c>
      <c r="BD15" s="31">
        <f t="shared" ca="1" si="75"/>
        <v>-4.9655173399930558E-2</v>
      </c>
      <c r="BE15" s="31">
        <f t="shared" ca="1" si="75"/>
        <v>-1.5988177004071822E-2</v>
      </c>
      <c r="BF15" s="31">
        <f t="shared" ca="1" si="75"/>
        <v>-8.0807561177133613E-2</v>
      </c>
      <c r="BG15" s="31">
        <f t="shared" ca="1" si="75"/>
        <v>3.755441363303258E-2</v>
      </c>
      <c r="BH15" s="31">
        <f t="shared" ca="1" si="75"/>
        <v>9.8131432986414691E-4</v>
      </c>
      <c r="BI15" s="31">
        <f t="shared" ca="1" si="75"/>
        <v>-9.2526140561195198E-3</v>
      </c>
      <c r="BJ15" s="31">
        <f t="shared" ca="1" si="75"/>
        <v>-4.4184560826609045E-3</v>
      </c>
      <c r="BK15" s="31">
        <f t="shared" ca="1" si="75"/>
        <v>-4.9729899202877383E-2</v>
      </c>
      <c r="BL15" s="31">
        <f t="shared" ca="1" si="75"/>
        <v>-9.9746510800576255E-2</v>
      </c>
      <c r="BM15" s="31">
        <f t="shared" ca="1" si="75"/>
        <v>7.1349271014529867E-3</v>
      </c>
      <c r="BN15" s="31">
        <f t="shared" ca="1" si="75"/>
        <v>6.4547687493438866E-2</v>
      </c>
      <c r="BO15" s="31">
        <f t="shared" ca="1" si="75"/>
        <v>-9.8520624181919082E-3</v>
      </c>
      <c r="BP15" s="31">
        <f t="shared" ca="1" si="75"/>
        <v>-3.1761311487147441E-3</v>
      </c>
      <c r="BQ15" s="31">
        <f t="shared" ca="1" si="75"/>
        <v>-1.5030559059404501E-2</v>
      </c>
      <c r="BR15" s="31">
        <f t="shared" ca="1" si="75"/>
        <v>-2.5914898634842302E-2</v>
      </c>
      <c r="BS15" s="31">
        <f t="shared" ca="1" si="75"/>
        <v>2.3785975905364284E-2</v>
      </c>
      <c r="BT15" s="31">
        <f t="shared" ca="1" si="68"/>
        <v>2.472670230746344E-2</v>
      </c>
      <c r="BU15" s="31">
        <f t="shared" ca="1" si="68"/>
        <v>-1.4599684843837002E-2</v>
      </c>
      <c r="BV15" s="31">
        <f t="shared" ca="1" si="68"/>
        <v>-4.8495173522155308E-2</v>
      </c>
      <c r="BW15" s="31">
        <f t="shared" ca="1" si="68"/>
        <v>-2.8993773515216668E-2</v>
      </c>
      <c r="BX15" s="31">
        <f t="shared" ca="1" si="68"/>
        <v>-1.7596609486882749E-2</v>
      </c>
      <c r="BY15" s="31">
        <f t="shared" ca="1" si="68"/>
        <v>3.1985248434889924E-2</v>
      </c>
      <c r="BZ15" s="31">
        <f t="shared" ca="1" si="68"/>
        <v>-3.426078774172339E-3</v>
      </c>
      <c r="CA15" s="31">
        <f t="shared" ca="1" si="68"/>
        <v>6.8817078449266017E-2</v>
      </c>
      <c r="CB15" s="31">
        <f t="shared" ca="1" si="68"/>
        <v>2.7145049020216725E-2</v>
      </c>
      <c r="CC15" s="31">
        <f t="shared" ca="1" si="68"/>
        <v>-5.4803609341074574E-2</v>
      </c>
      <c r="CD15" s="31">
        <f t="shared" ca="1" si="68"/>
        <v>-1.4526633895908969E-2</v>
      </c>
      <c r="CE15" s="31">
        <f t="shared" ca="1" si="68"/>
        <v>4.712654416007344E-2</v>
      </c>
      <c r="CF15" s="31">
        <f t="shared" ca="1" si="68"/>
        <v>2.978624309358429E-2</v>
      </c>
      <c r="CG15" s="31">
        <f t="shared" ca="1" si="68"/>
        <v>2.541498249004092E-2</v>
      </c>
      <c r="CH15" s="31">
        <f t="shared" ca="1" si="68"/>
        <v>4.3412140790142884E-2</v>
      </c>
      <c r="CI15" s="31">
        <f t="shared" ca="1" si="68"/>
        <v>7.7694497130349108E-2</v>
      </c>
      <c r="CJ15" s="31">
        <f t="shared" ca="1" si="68"/>
        <v>-4.2842123316562952E-3</v>
      </c>
      <c r="CK15" s="31">
        <f t="shared" ca="1" si="68"/>
        <v>2.204833852462193E-2</v>
      </c>
      <c r="CL15" s="31">
        <f t="shared" ca="1" si="68"/>
        <v>5.2833947095994968E-2</v>
      </c>
      <c r="CM15" s="31">
        <f t="shared" ca="1" si="68"/>
        <v>-1.8330333025309391E-2</v>
      </c>
      <c r="CN15" s="31">
        <f t="shared" ca="1" si="68"/>
        <v>-1.9265144247607637E-2</v>
      </c>
      <c r="CO15" s="31">
        <f t="shared" ca="1" si="68"/>
        <v>2.0310946596835997E-2</v>
      </c>
      <c r="CP15" s="31">
        <f t="shared" ca="1" si="68"/>
        <v>0.11854126467951701</v>
      </c>
      <c r="CQ15" s="31">
        <f t="shared" ca="1" si="68"/>
        <v>3.6114790875233657E-2</v>
      </c>
      <c r="CR15" s="31">
        <f t="shared" ca="1" si="68"/>
        <v>3.5674682586772331E-2</v>
      </c>
      <c r="CS15" s="31">
        <f t="shared" ca="1" si="68"/>
        <v>3.4717575912687811E-3</v>
      </c>
      <c r="CT15" s="31">
        <f t="shared" ca="1" si="68"/>
        <v>2.108940611821386E-2</v>
      </c>
      <c r="CU15" s="31">
        <f t="shared" ca="1" si="68"/>
        <v>-1.2465251012436424E-2</v>
      </c>
      <c r="CV15" s="31">
        <f t="shared" ca="1" si="68"/>
        <v>-0.12312732147908421</v>
      </c>
      <c r="CW15" s="31">
        <f t="shared" ca="1" si="68"/>
        <v>4.4053195900093427E-2</v>
      </c>
      <c r="CX15" s="31">
        <f t="shared" ca="1" si="68"/>
        <v>-5.3647550850964155E-2</v>
      </c>
      <c r="CY15" s="31">
        <f t="shared" ca="1" si="68"/>
        <v>3.4196394880181107E-2</v>
      </c>
      <c r="CZ15" s="31">
        <f t="shared" ca="1" si="68"/>
        <v>6.1293769450428061E-2</v>
      </c>
      <c r="DA15" s="31">
        <f t="shared" ca="1" si="68"/>
        <v>7.2513020200887873E-2</v>
      </c>
      <c r="DB15" s="31">
        <f t="shared" ca="1" si="68"/>
        <v>9.3415650205156287E-3</v>
      </c>
      <c r="DC15" s="31">
        <f t="shared" ca="1" si="68"/>
        <v>-3.3347940307086696E-2</v>
      </c>
      <c r="DD15" s="31">
        <f t="shared" ca="1" si="68"/>
        <v>-1.5149680271529391E-2</v>
      </c>
      <c r="DE15" s="31">
        <f t="shared" ca="1" si="68"/>
        <v>2.6054080080137113E-3</v>
      </c>
      <c r="DF15" s="31">
        <f t="shared" ca="1" si="68"/>
        <v>4.5275518409094622E-3</v>
      </c>
      <c r="DG15" s="31">
        <f t="shared" ca="1" si="68"/>
        <v>9.7254826941024601E-3</v>
      </c>
      <c r="DH15" s="31">
        <f t="shared" ca="1" si="68"/>
        <v>-2.3596324992686962E-2</v>
      </c>
      <c r="DI15" s="31">
        <f t="shared" ca="1" si="68"/>
        <v>1.4543482060852231E-2</v>
      </c>
      <c r="DJ15" s="31">
        <f t="shared" ca="1" si="68"/>
        <v>-6.1679002911097972E-2</v>
      </c>
      <c r="DK15" s="31">
        <f t="shared" ca="1" si="68"/>
        <v>3.3772371559873601E-2</v>
      </c>
      <c r="DL15" s="31">
        <f t="shared" ca="1" si="68"/>
        <v>-5.1199579858355646E-2</v>
      </c>
      <c r="DM15" s="31">
        <f t="shared" ca="1" si="68"/>
        <v>9.1246253902978774E-2</v>
      </c>
      <c r="DN15" s="31">
        <f t="shared" ca="1" si="68"/>
        <v>5.2570550523585037E-2</v>
      </c>
      <c r="DO15" s="31">
        <f t="shared" ca="1" si="68"/>
        <v>-8.7874079587127465E-2</v>
      </c>
      <c r="DP15" s="31">
        <f t="shared" ca="1" si="68"/>
        <v>-9.8733814303907201E-3</v>
      </c>
      <c r="DQ15" s="31">
        <f t="shared" ca="1" si="68"/>
        <v>5.6534678589626172E-2</v>
      </c>
      <c r="DR15" s="31">
        <f t="shared" ca="1" si="68"/>
        <v>-3.0157500865080733E-2</v>
      </c>
      <c r="DS15" s="31">
        <f t="shared" ca="1" si="68"/>
        <v>-1.5291702427395516E-2</v>
      </c>
      <c r="DT15" s="31">
        <f t="shared" ca="1" si="68"/>
        <v>-0.12296053232903914</v>
      </c>
      <c r="DU15" s="31">
        <f t="shared" ca="1" si="68"/>
        <v>-2.9299771729305799E-3</v>
      </c>
      <c r="DV15" s="31">
        <f t="shared" ca="1" si="68"/>
        <v>-1.0633927902940387E-2</v>
      </c>
      <c r="DW15" s="31">
        <f t="shared" ca="1" si="68"/>
        <v>-8.7092772596085236E-3</v>
      </c>
      <c r="DX15" s="31">
        <f t="shared" ca="1" si="68"/>
        <v>-1.4265955009311902E-2</v>
      </c>
      <c r="DY15" s="31">
        <f t="shared" ca="1" si="68"/>
        <v>-8.5233966077565282E-3</v>
      </c>
      <c r="DZ15" s="31">
        <f t="shared" ca="1" si="68"/>
        <v>-6.6369945588710164E-2</v>
      </c>
      <c r="EA15" s="31">
        <f t="shared" ca="1" si="68"/>
        <v>9.1868152012532692E-2</v>
      </c>
      <c r="EB15" s="31">
        <f t="shared" ca="1" si="68"/>
        <v>2.8053820565288455E-2</v>
      </c>
      <c r="EC15" s="31">
        <f t="shared" ca="1" si="68"/>
        <v>5.9180056330929723E-2</v>
      </c>
      <c r="ED15" s="31">
        <f t="shared" ca="1" si="68"/>
        <v>-5.1173192104409924E-2</v>
      </c>
      <c r="EE15" s="31">
        <f t="shared" ca="1" si="43"/>
        <v>-1.2530376379395055E-2</v>
      </c>
      <c r="EF15" s="31">
        <f t="shared" ca="1" si="61"/>
        <v>3.829754890854218E-2</v>
      </c>
      <c r="EG15" s="31">
        <f t="shared" ca="1" si="61"/>
        <v>-7.5808634640516445E-3</v>
      </c>
      <c r="EH15" s="31">
        <f t="shared" ca="1" si="61"/>
        <v>1.7862264059696736E-2</v>
      </c>
      <c r="EI15" s="31">
        <f t="shared" ca="1" si="61"/>
        <v>-1.6405029791016927E-2</v>
      </c>
      <c r="EJ15" s="31">
        <f t="shared" ca="1" si="61"/>
        <v>3.1800478317244349E-2</v>
      </c>
      <c r="EK15" s="31">
        <f t="shared" ca="1" si="61"/>
        <v>4.4538603574594939E-3</v>
      </c>
      <c r="EL15" s="31">
        <f t="shared" ca="1" si="61"/>
        <v>7.3784427772377856E-2</v>
      </c>
      <c r="EM15" s="31">
        <f t="shared" ca="1" si="61"/>
        <v>2.0955336792400556E-2</v>
      </c>
      <c r="EN15" s="31">
        <f t="shared" ca="1" si="61"/>
        <v>3.4510505209557958E-2</v>
      </c>
      <c r="EO15" s="31">
        <f t="shared" ca="1" si="61"/>
        <v>-2.228265754150071E-2</v>
      </c>
      <c r="EP15" s="31">
        <f t="shared" ca="1" si="61"/>
        <v>1.5838923161914212E-2</v>
      </c>
      <c r="EQ15" s="31">
        <f t="shared" ca="1" si="61"/>
        <v>4.2525292103411182E-2</v>
      </c>
      <c r="ER15" s="31">
        <f t="shared" ca="1" si="61"/>
        <v>-2.4428211877560946E-2</v>
      </c>
      <c r="ES15" s="31">
        <f t="shared" ca="1" si="61"/>
        <v>-4.9855311687893263E-4</v>
      </c>
      <c r="ET15" s="31">
        <f t="shared" ca="1" si="61"/>
        <v>-4.9525923208177253E-2</v>
      </c>
      <c r="EU15" s="31">
        <f t="shared" ca="1" si="61"/>
        <v>2.1790608716189343E-2</v>
      </c>
      <c r="EV15" s="31">
        <f t="shared" ca="1" si="61"/>
        <v>-3.2160680797877254E-2</v>
      </c>
      <c r="EW15" s="31">
        <f t="shared" ca="1" si="61"/>
        <v>7.0391124160466972E-2</v>
      </c>
      <c r="EX15" s="31">
        <f t="shared" ca="1" si="61"/>
        <v>-3.1788891944161859E-2</v>
      </c>
      <c r="EY15" s="31">
        <f t="shared" ca="1" si="61"/>
        <v>2.637276800538102E-2</v>
      </c>
      <c r="EZ15" s="31">
        <f t="shared" ca="1" si="61"/>
        <v>7.1272675870203217E-3</v>
      </c>
      <c r="FA15" s="31">
        <f t="shared" ca="1" si="61"/>
        <v>4.1423541477844536E-2</v>
      </c>
      <c r="FB15" s="31">
        <f t="shared" ca="1" si="61"/>
        <v>-2.4382723017126212E-2</v>
      </c>
      <c r="FC15" s="31">
        <f t="shared" ca="1" si="61"/>
        <v>2.3094947210327774E-3</v>
      </c>
      <c r="FD15" s="31">
        <f t="shared" ca="1" si="61"/>
        <v>-4.6510924625952299E-2</v>
      </c>
      <c r="FE15" s="31">
        <f t="shared" ca="1" si="61"/>
        <v>6.0476674632470466E-2</v>
      </c>
      <c r="FF15" s="31">
        <f t="shared" ca="1" si="61"/>
        <v>-1.1688943167301624E-2</v>
      </c>
      <c r="FG15" s="31">
        <f t="shared" ca="1" si="61"/>
        <v>3.7249449616702721E-2</v>
      </c>
      <c r="FH15" s="31">
        <f t="shared" ca="1" si="61"/>
        <v>-6.3833620493807305E-3</v>
      </c>
      <c r="FI15" s="31">
        <f t="shared" ca="1" si="61"/>
        <v>2.2241217606903407E-2</v>
      </c>
      <c r="FJ15" s="31">
        <f t="shared" ca="1" si="61"/>
        <v>-1.4808750163220735E-2</v>
      </c>
      <c r="FK15" s="31">
        <f t="shared" ca="1" si="61"/>
        <v>2.75604684670059E-2</v>
      </c>
      <c r="FL15" s="31">
        <f t="shared" ca="1" si="61"/>
        <v>-3.7697747622711456E-2</v>
      </c>
      <c r="FM15" s="31">
        <f t="shared" ca="1" si="61"/>
        <v>4.8115144348751866E-2</v>
      </c>
      <c r="FN15" s="31">
        <f t="shared" ca="1" si="61"/>
        <v>1.2503612171451699E-2</v>
      </c>
      <c r="FO15" s="31">
        <f t="shared" ca="1" si="61"/>
        <v>2.4393010221113707E-2</v>
      </c>
      <c r="FP15" s="31">
        <f t="shared" ca="1" si="61"/>
        <v>-4.7215137562434506E-2</v>
      </c>
      <c r="FQ15" s="31">
        <f t="shared" ca="1" si="61"/>
        <v>-3.8856942470398932E-3</v>
      </c>
      <c r="FR15" s="31">
        <f t="shared" ca="1" si="61"/>
        <v>3.7764039395677657E-2</v>
      </c>
      <c r="FS15" s="31">
        <f t="shared" ca="1" si="61"/>
        <v>4.4257714181686246E-2</v>
      </c>
      <c r="FT15" s="31">
        <f t="shared" ca="1" si="61"/>
        <v>-6.984582933289743E-2</v>
      </c>
      <c r="FU15" s="31">
        <f t="shared" ca="1" si="61"/>
        <v>3.0986443662283585E-2</v>
      </c>
      <c r="FV15" s="31">
        <f t="shared" ca="1" si="61"/>
        <v>-2.4273764151005215E-2</v>
      </c>
      <c r="FW15" s="31">
        <f t="shared" ca="1" si="61"/>
        <v>4.4454747859837919E-2</v>
      </c>
      <c r="FX15" s="31">
        <f t="shared" ca="1" si="61"/>
        <v>-6.7334686279966069E-2</v>
      </c>
      <c r="FY15" s="31">
        <f t="shared" ca="1" si="61"/>
        <v>3.7128809854177484E-2</v>
      </c>
      <c r="FZ15" s="31">
        <f t="shared" ca="1" si="61"/>
        <v>-6.5211529158282072E-2</v>
      </c>
      <c r="GA15" s="31">
        <f t="shared" ca="1" si="61"/>
        <v>-5.899382199706575E-3</v>
      </c>
      <c r="GB15" s="31">
        <f t="shared" ca="1" si="61"/>
        <v>-3.7091051160393143E-3</v>
      </c>
      <c r="GC15" s="31">
        <f t="shared" ca="1" si="61"/>
        <v>-4.6663778110495359E-2</v>
      </c>
      <c r="GD15" s="31">
        <f t="shared" ca="1" si="61"/>
        <v>6.8393078359230176E-3</v>
      </c>
      <c r="GE15" s="31">
        <f t="shared" ca="1" si="61"/>
        <v>6.3381119470211827E-2</v>
      </c>
      <c r="GF15" s="31">
        <f t="shared" ca="1" si="61"/>
        <v>2.5856831158062338E-2</v>
      </c>
      <c r="GG15" s="31">
        <f t="shared" ca="1" si="61"/>
        <v>-2.00268975285888E-2</v>
      </c>
      <c r="GH15" s="31">
        <f t="shared" ca="1" si="61"/>
        <v>4.4494626169643996E-2</v>
      </c>
      <c r="GI15" s="31">
        <f t="shared" ca="1" si="61"/>
        <v>3.518523365507302E-2</v>
      </c>
      <c r="GJ15" s="31">
        <f t="shared" ca="1" si="61"/>
        <v>-4.8110642509144562E-2</v>
      </c>
      <c r="GK15" s="31">
        <f t="shared" ca="1" si="61"/>
        <v>7.8654914946455871E-3</v>
      </c>
      <c r="GL15" s="31">
        <f t="shared" ca="1" si="61"/>
        <v>-6.8079032442852853E-3</v>
      </c>
      <c r="GM15" s="31">
        <f t="shared" ca="1" si="61"/>
        <v>-5.6383024336344054E-2</v>
      </c>
      <c r="GN15" s="31">
        <f t="shared" ca="1" si="61"/>
        <v>1.8943888313394743E-2</v>
      </c>
      <c r="GO15" s="31">
        <f t="shared" ca="1" si="61"/>
        <v>9.3613335525274781E-3</v>
      </c>
      <c r="GP15" s="31">
        <f t="shared" ca="1" si="61"/>
        <v>-2.4111351327599825E-2</v>
      </c>
      <c r="GQ15" s="31">
        <f t="shared" ref="GQ15:JB15" ca="1" si="76">_xlfn.NORM.INV(RAND(),$C$8,$C$9)</f>
        <v>-3.7219105360209455E-2</v>
      </c>
      <c r="GR15" s="31">
        <f t="shared" ca="1" si="76"/>
        <v>4.9855237645194402E-2</v>
      </c>
      <c r="GS15" s="31">
        <f t="shared" ca="1" si="76"/>
        <v>-2.7091226943019818E-3</v>
      </c>
      <c r="GT15" s="31">
        <f t="shared" ca="1" si="76"/>
        <v>-0.1033901571807664</v>
      </c>
      <c r="GU15" s="31">
        <f t="shared" ca="1" si="76"/>
        <v>-6.6490619130233103E-2</v>
      </c>
      <c r="GV15" s="31">
        <f t="shared" ca="1" si="76"/>
        <v>-3.1021523913204133E-2</v>
      </c>
      <c r="GW15" s="31">
        <f t="shared" ca="1" si="76"/>
        <v>-4.3877962201526469E-2</v>
      </c>
      <c r="GX15" s="31">
        <f t="shared" ca="1" si="76"/>
        <v>1.9271682283856263E-2</v>
      </c>
      <c r="GY15" s="31">
        <f t="shared" ca="1" si="76"/>
        <v>5.4216670362163388E-3</v>
      </c>
      <c r="GZ15" s="31">
        <f t="shared" ca="1" si="76"/>
        <v>5.5341449004411101E-3</v>
      </c>
      <c r="HA15" s="31">
        <f t="shared" ca="1" si="76"/>
        <v>6.8713591239350398E-3</v>
      </c>
      <c r="HB15" s="31">
        <f t="shared" ca="1" si="76"/>
        <v>-1.4178561289333671E-2</v>
      </c>
      <c r="HC15" s="31">
        <f t="shared" ca="1" si="76"/>
        <v>-2.2741332355017366E-2</v>
      </c>
      <c r="HD15" s="31">
        <f t="shared" ca="1" si="76"/>
        <v>2.7088497678278991E-3</v>
      </c>
      <c r="HE15" s="31">
        <f t="shared" ca="1" si="76"/>
        <v>5.4204414597687012E-4</v>
      </c>
      <c r="HF15" s="31">
        <f t="shared" ca="1" si="76"/>
        <v>3.0076958612025688E-2</v>
      </c>
      <c r="HG15" s="31">
        <f t="shared" ca="1" si="76"/>
        <v>2.004889948817608E-3</v>
      </c>
      <c r="HH15" s="31">
        <f t="shared" ca="1" si="76"/>
        <v>-2.9456900149942957E-3</v>
      </c>
      <c r="HI15" s="31">
        <f t="shared" ca="1" si="76"/>
        <v>4.002042815101913E-3</v>
      </c>
      <c r="HJ15" s="31">
        <f t="shared" ca="1" si="76"/>
        <v>-4.022961817348529E-2</v>
      </c>
      <c r="HK15" s="31">
        <f t="shared" ca="1" si="76"/>
        <v>-1.1359877947571205E-2</v>
      </c>
      <c r="HL15" s="31">
        <f t="shared" ca="1" si="76"/>
        <v>4.030166122360699E-2</v>
      </c>
      <c r="HM15" s="31">
        <f t="shared" ca="1" si="76"/>
        <v>5.008001050674097E-2</v>
      </c>
      <c r="HN15" s="31">
        <f t="shared" ca="1" si="76"/>
        <v>0.12131670425062312</v>
      </c>
      <c r="HO15" s="31">
        <f t="shared" ca="1" si="76"/>
        <v>3.8624333030340005E-2</v>
      </c>
      <c r="HP15" s="31">
        <f t="shared" ca="1" si="76"/>
        <v>1.317073537140744E-3</v>
      </c>
      <c r="HQ15" s="31">
        <f t="shared" ca="1" si="76"/>
        <v>-1.7058655074832865E-2</v>
      </c>
      <c r="HR15" s="31">
        <f t="shared" ca="1" si="76"/>
        <v>1.4750828363842334E-2</v>
      </c>
      <c r="HS15" s="31">
        <f t="shared" ca="1" si="76"/>
        <v>5.6972460562772574E-2</v>
      </c>
      <c r="HT15" s="31">
        <f t="shared" ca="1" si="76"/>
        <v>6.2361861090779742E-2</v>
      </c>
      <c r="HU15" s="31">
        <f t="shared" ca="1" si="76"/>
        <v>-1.8675928367555612E-2</v>
      </c>
      <c r="HV15" s="31">
        <f t="shared" ca="1" si="76"/>
        <v>-1.1053443309971147E-2</v>
      </c>
      <c r="HW15" s="31">
        <f t="shared" ca="1" si="76"/>
        <v>3.7738180635152104E-3</v>
      </c>
      <c r="HX15" s="31">
        <f t="shared" ca="1" si="76"/>
        <v>-3.67372635916816E-3</v>
      </c>
      <c r="HY15" s="31">
        <f t="shared" ca="1" si="76"/>
        <v>5.2455185995455698E-2</v>
      </c>
      <c r="HZ15" s="31">
        <f t="shared" ca="1" si="76"/>
        <v>-3.417094827069922E-2</v>
      </c>
      <c r="IA15" s="31">
        <f t="shared" ca="1" si="76"/>
        <v>-1.1673289284384165E-2</v>
      </c>
      <c r="IB15" s="31">
        <f t="shared" ca="1" si="76"/>
        <v>-1.9251861563112649E-2</v>
      </c>
      <c r="IC15" s="31">
        <f t="shared" ca="1" si="76"/>
        <v>-2.3317736709162578E-2</v>
      </c>
      <c r="ID15" s="31">
        <f t="shared" ca="1" si="76"/>
        <v>-8.0891780364984761E-2</v>
      </c>
      <c r="IE15" s="31">
        <f t="shared" ca="1" si="76"/>
        <v>7.8287478168567841E-3</v>
      </c>
      <c r="IF15" s="31">
        <f t="shared" ca="1" si="76"/>
        <v>3.5052180397119243E-3</v>
      </c>
      <c r="IG15" s="31">
        <f t="shared" ca="1" si="76"/>
        <v>-1.8791542651867599E-2</v>
      </c>
      <c r="IH15" s="31">
        <f t="shared" ca="1" si="76"/>
        <v>-9.1617668893278867E-2</v>
      </c>
      <c r="II15" s="31">
        <f t="shared" ca="1" si="76"/>
        <v>1.4515726399324444E-3</v>
      </c>
      <c r="IJ15" s="31">
        <f t="shared" ca="1" si="76"/>
        <v>-3.8383335070317999E-2</v>
      </c>
      <c r="IK15" s="31">
        <f t="shared" ca="1" si="76"/>
        <v>2.1919080719821706E-2</v>
      </c>
      <c r="IL15" s="31">
        <f t="shared" ca="1" si="76"/>
        <v>4.8240811436470896E-2</v>
      </c>
      <c r="IM15" s="31">
        <f t="shared" ca="1" si="76"/>
        <v>3.3219800234053961E-3</v>
      </c>
      <c r="IN15" s="31">
        <f t="shared" ca="1" si="76"/>
        <v>4.0374255189519474E-2</v>
      </c>
      <c r="IO15" s="31">
        <f t="shared" ca="1" si="76"/>
        <v>-1.2119121068916132E-2</v>
      </c>
      <c r="IP15" s="31">
        <f t="shared" ca="1" si="76"/>
        <v>-1.0123764042858594E-2</v>
      </c>
      <c r="IQ15" s="31">
        <f t="shared" ca="1" si="76"/>
        <v>-2.0281189282314118E-2</v>
      </c>
      <c r="IR15" s="31">
        <f t="shared" ca="1" si="76"/>
        <v>3.3392928846123993E-2</v>
      </c>
      <c r="IS15" s="31">
        <f t="shared" ca="1" si="76"/>
        <v>-3.39242270860734E-2</v>
      </c>
      <c r="IT15" s="31">
        <f t="shared" ca="1" si="76"/>
        <v>-1.4888138125981897E-2</v>
      </c>
      <c r="IU15" s="31">
        <f t="shared" ca="1" si="76"/>
        <v>-5.7133834764570707E-2</v>
      </c>
      <c r="IV15" s="31">
        <f t="shared" ca="1" si="76"/>
        <v>-2.4793884665885592E-2</v>
      </c>
      <c r="IW15" s="31">
        <f t="shared" ca="1" si="76"/>
        <v>-3.0380478721978417E-2</v>
      </c>
      <c r="IX15" s="31">
        <f t="shared" ca="1" si="76"/>
        <v>4.420001998012716E-2</v>
      </c>
      <c r="IY15" s="31">
        <f t="shared" ca="1" si="76"/>
        <v>-2.5543223289224461E-2</v>
      </c>
      <c r="IZ15" s="31">
        <f t="shared" ca="1" si="76"/>
        <v>-2.5105635925423447E-2</v>
      </c>
      <c r="JA15" s="31">
        <f t="shared" ca="1" si="76"/>
        <v>-8.0733023927320527E-2</v>
      </c>
      <c r="JB15" s="31">
        <f t="shared" ca="1" si="76"/>
        <v>-2.0743160715767848E-2</v>
      </c>
      <c r="JC15" s="31">
        <f t="shared" ca="1" si="69"/>
        <v>-2.898776843017568E-2</v>
      </c>
      <c r="JD15" s="31">
        <f t="shared" ca="1" si="69"/>
        <v>3.5220109482867377E-2</v>
      </c>
      <c r="JE15" s="31">
        <f t="shared" ca="1" si="69"/>
        <v>2.0821877191038774E-2</v>
      </c>
      <c r="JF15" s="31">
        <f t="shared" ca="1" si="62"/>
        <v>-5.7140623713901627E-2</v>
      </c>
      <c r="JG15" s="31">
        <f t="shared" ca="1" si="54"/>
        <v>-1.5696388806552702E-2</v>
      </c>
      <c r="JH15" s="31">
        <f t="shared" ca="1" si="54"/>
        <v>-1.5272444437224874E-2</v>
      </c>
      <c r="JI15" s="31">
        <f t="shared" ref="JI15:LT15" ca="1" si="77">_xlfn.NORM.INV(RAND(),$C$8,$C$9)</f>
        <v>-6.5907856145459257E-2</v>
      </c>
      <c r="JJ15" s="31">
        <f t="shared" ca="1" si="77"/>
        <v>1.0749604755403137E-2</v>
      </c>
      <c r="JK15" s="31">
        <f t="shared" ca="1" si="77"/>
        <v>1.6664664975213597E-2</v>
      </c>
      <c r="JL15" s="31">
        <f t="shared" ca="1" si="77"/>
        <v>-1.3924841784840618E-2</v>
      </c>
      <c r="JM15" s="31">
        <f t="shared" ca="1" si="77"/>
        <v>2.1040352805073017E-2</v>
      </c>
      <c r="JN15" s="31">
        <f t="shared" ca="1" si="77"/>
        <v>-4.1587554084832487E-2</v>
      </c>
      <c r="JO15" s="31">
        <f t="shared" ca="1" si="77"/>
        <v>-1.4647714055087677E-2</v>
      </c>
      <c r="JP15" s="31">
        <f t="shared" ca="1" si="77"/>
        <v>-4.3939977086122899E-2</v>
      </c>
      <c r="JQ15" s="31">
        <f t="shared" ca="1" si="77"/>
        <v>3.174765070568674E-2</v>
      </c>
      <c r="JR15" s="31">
        <f t="shared" ca="1" si="77"/>
        <v>2.8170284862804856E-3</v>
      </c>
      <c r="JS15" s="31">
        <f t="shared" ca="1" si="77"/>
        <v>-1.4594494507431797E-2</v>
      </c>
      <c r="JT15" s="31">
        <f t="shared" ca="1" si="77"/>
        <v>-2.9230384102935967E-2</v>
      </c>
      <c r="JU15" s="31">
        <f t="shared" ca="1" si="77"/>
        <v>3.3888540543717718E-2</v>
      </c>
      <c r="JV15" s="31">
        <f t="shared" ca="1" si="77"/>
        <v>-4.35416933714994E-2</v>
      </c>
      <c r="JW15" s="31">
        <f t="shared" ca="1" si="77"/>
        <v>-1.8745676872517755E-2</v>
      </c>
      <c r="JX15" s="31">
        <f t="shared" ca="1" si="77"/>
        <v>4.8206540257762151E-2</v>
      </c>
      <c r="JY15" s="31">
        <f t="shared" ca="1" si="77"/>
        <v>3.3760207927851366E-2</v>
      </c>
      <c r="JZ15" s="31">
        <f t="shared" ca="1" si="77"/>
        <v>2.5625544947585618E-2</v>
      </c>
      <c r="KA15" s="31">
        <f t="shared" ca="1" si="77"/>
        <v>-2.1510358858752226E-2</v>
      </c>
      <c r="KB15" s="31">
        <f t="shared" ca="1" si="77"/>
        <v>3.0884280983577866E-4</v>
      </c>
      <c r="KC15" s="31">
        <f t="shared" ca="1" si="77"/>
        <v>1.681874843834924E-2</v>
      </c>
      <c r="KD15" s="31">
        <f t="shared" ca="1" si="77"/>
        <v>5.4463008653089853E-3</v>
      </c>
      <c r="KE15" s="31">
        <f t="shared" ca="1" si="77"/>
        <v>7.8304032247256319E-3</v>
      </c>
      <c r="KF15" s="31">
        <f t="shared" ca="1" si="77"/>
        <v>2.0176094201382676E-2</v>
      </c>
      <c r="KG15" s="31">
        <f t="shared" ca="1" si="77"/>
        <v>-1.4258463299209878E-2</v>
      </c>
      <c r="KH15" s="31">
        <f t="shared" ca="1" si="77"/>
        <v>2.0617395410324614E-3</v>
      </c>
      <c r="KI15" s="31">
        <f t="shared" ca="1" si="77"/>
        <v>-2.7004532457366327E-3</v>
      </c>
      <c r="KJ15" s="31">
        <f t="shared" ca="1" si="77"/>
        <v>8.5016414718632905E-3</v>
      </c>
      <c r="KK15" s="31">
        <f t="shared" ca="1" si="77"/>
        <v>-9.7845771662835959E-4</v>
      </c>
      <c r="KL15" s="31">
        <f t="shared" ca="1" si="77"/>
        <v>4.0440551788419349E-2</v>
      </c>
      <c r="KM15" s="31">
        <f t="shared" ca="1" si="77"/>
        <v>3.4748466823694611E-2</v>
      </c>
      <c r="KN15" s="31">
        <f t="shared" ca="1" si="77"/>
        <v>-5.2502548671505195E-2</v>
      </c>
      <c r="KO15" s="31">
        <f t="shared" ca="1" si="77"/>
        <v>3.4427753037342745E-2</v>
      </c>
      <c r="KP15" s="31">
        <f t="shared" ca="1" si="77"/>
        <v>-4.8169452611484063E-3</v>
      </c>
      <c r="KQ15" s="31">
        <f t="shared" ca="1" si="77"/>
        <v>4.4447664120913687E-2</v>
      </c>
      <c r="KR15" s="31">
        <f t="shared" ca="1" si="77"/>
        <v>-1.2819225396100408E-2</v>
      </c>
      <c r="KS15" s="31">
        <f t="shared" ca="1" si="77"/>
        <v>-7.5437562295701446E-3</v>
      </c>
      <c r="KT15" s="31">
        <f t="shared" ca="1" si="77"/>
        <v>-6.8889262821926391E-3</v>
      </c>
      <c r="KU15" s="31">
        <f t="shared" ca="1" si="77"/>
        <v>-2.3996640690651969E-2</v>
      </c>
      <c r="KV15" s="31">
        <f t="shared" ca="1" si="77"/>
        <v>-2.1537402959209258E-2</v>
      </c>
      <c r="KW15" s="31">
        <f t="shared" ca="1" si="77"/>
        <v>3.5694276136434911E-3</v>
      </c>
      <c r="KX15" s="31">
        <f t="shared" ca="1" si="77"/>
        <v>-3.7518399493732445E-2</v>
      </c>
      <c r="KY15" s="31">
        <f t="shared" ca="1" si="77"/>
        <v>-1.4946662150763977E-2</v>
      </c>
      <c r="KZ15" s="31">
        <f t="shared" ca="1" si="77"/>
        <v>5.3190949253041915E-2</v>
      </c>
      <c r="LA15" s="31">
        <f t="shared" ca="1" si="77"/>
        <v>-9.9324669758208382E-3</v>
      </c>
      <c r="LB15" s="31">
        <f t="shared" ca="1" si="77"/>
        <v>2.749458248798187E-2</v>
      </c>
      <c r="LC15" s="31">
        <f t="shared" ca="1" si="77"/>
        <v>-3.618309948994481E-2</v>
      </c>
      <c r="LD15" s="31">
        <f t="shared" ca="1" si="77"/>
        <v>2.5271153350254576E-2</v>
      </c>
      <c r="LE15" s="31">
        <f t="shared" ca="1" si="77"/>
        <v>2.4832728336697241E-2</v>
      </c>
      <c r="LF15" s="31">
        <f t="shared" ca="1" si="77"/>
        <v>-2.1435148161135713E-4</v>
      </c>
      <c r="LG15" s="31">
        <f t="shared" ca="1" si="77"/>
        <v>-0.10171911185194955</v>
      </c>
      <c r="LH15" s="31">
        <f t="shared" ca="1" si="77"/>
        <v>-2.4911671031171784E-2</v>
      </c>
      <c r="LI15" s="31">
        <f t="shared" ca="1" si="77"/>
        <v>-4.4452641244089271E-2</v>
      </c>
      <c r="LJ15" s="31">
        <f t="shared" ca="1" si="77"/>
        <v>-2.3853030837831794E-2</v>
      </c>
      <c r="LK15" s="31">
        <f t="shared" ca="1" si="77"/>
        <v>-1.06495235189254E-2</v>
      </c>
      <c r="LL15" s="31">
        <f t="shared" ca="1" si="77"/>
        <v>-2.5595072099900723E-2</v>
      </c>
      <c r="LM15" s="31">
        <f t="shared" ca="1" si="77"/>
        <v>2.2181456776085009E-3</v>
      </c>
      <c r="LN15" s="31">
        <f t="shared" ca="1" si="77"/>
        <v>6.8614137870928677E-3</v>
      </c>
      <c r="LO15" s="31">
        <f t="shared" ca="1" si="77"/>
        <v>4.2984552454641563E-2</v>
      </c>
      <c r="LP15" s="31">
        <f t="shared" ca="1" si="77"/>
        <v>4.442303620617423E-2</v>
      </c>
      <c r="LQ15" s="31">
        <f t="shared" ca="1" si="77"/>
        <v>3.9445210211173802E-2</v>
      </c>
      <c r="LR15" s="31">
        <f t="shared" ca="1" si="77"/>
        <v>2.2612374144696544E-2</v>
      </c>
      <c r="LS15" s="31">
        <f t="shared" ca="1" si="77"/>
        <v>-1.0804778198776703E-2</v>
      </c>
      <c r="LT15" s="31">
        <f t="shared" ca="1" si="77"/>
        <v>-1.4202768976801096E-2</v>
      </c>
      <c r="LU15" s="31">
        <f t="shared" ca="1" si="70"/>
        <v>2.3644987812514059E-2</v>
      </c>
      <c r="LV15" s="31">
        <f t="shared" ca="1" si="70"/>
        <v>6.782744956987356E-3</v>
      </c>
      <c r="LW15" s="31">
        <f t="shared" ca="1" si="70"/>
        <v>5.4508246099785267E-2</v>
      </c>
      <c r="LX15" s="31">
        <f t="shared" ca="1" si="70"/>
        <v>5.4015116144311058E-2</v>
      </c>
      <c r="LY15" s="31">
        <f t="shared" ca="1" si="70"/>
        <v>-7.2400545210486542E-2</v>
      </c>
      <c r="LZ15" s="31">
        <f t="shared" ca="1" si="70"/>
        <v>-2.7494027192999874E-2</v>
      </c>
      <c r="MA15" s="31">
        <f t="shared" ca="1" si="70"/>
        <v>6.7667779027092659E-2</v>
      </c>
      <c r="MB15" s="31">
        <f t="shared" ca="1" si="70"/>
        <v>-8.687878841156621E-2</v>
      </c>
      <c r="MC15" s="31">
        <f t="shared" ca="1" si="70"/>
        <v>-8.1183472018540627E-3</v>
      </c>
      <c r="MD15" s="31">
        <f t="shared" ca="1" si="70"/>
        <v>9.0985648532858742E-3</v>
      </c>
      <c r="ME15" s="31">
        <f t="shared" ca="1" si="70"/>
        <v>-3.6557071578158608E-2</v>
      </c>
      <c r="MF15" s="31">
        <f t="shared" ca="1" si="70"/>
        <v>3.3667828058632637E-2</v>
      </c>
      <c r="MG15" s="31">
        <f t="shared" ca="1" si="70"/>
        <v>-2.5777844908051899E-2</v>
      </c>
      <c r="MH15" s="31">
        <f t="shared" ca="1" si="70"/>
        <v>-3.4469659027832077E-2</v>
      </c>
      <c r="MI15" s="31">
        <f t="shared" ca="1" si="70"/>
        <v>3.158030309640892E-2</v>
      </c>
      <c r="MJ15" s="31">
        <f t="shared" ca="1" si="70"/>
        <v>-2.6299758822470775E-2</v>
      </c>
      <c r="MK15" s="31">
        <f t="shared" ca="1" si="70"/>
        <v>-3.9453989948768635E-2</v>
      </c>
      <c r="ML15" s="31">
        <f t="shared" ca="1" si="70"/>
        <v>1.5753747858638929E-2</v>
      </c>
      <c r="MM15" s="31">
        <f t="shared" ca="1" si="70"/>
        <v>-2.4638852943446136E-2</v>
      </c>
      <c r="MN15" s="31">
        <f t="shared" ca="1" si="70"/>
        <v>1.8066228577117184E-2</v>
      </c>
      <c r="MO15" s="31">
        <f t="shared" ca="1" si="70"/>
        <v>2.2451912911616335E-3</v>
      </c>
      <c r="MP15" s="31">
        <f t="shared" ca="1" si="70"/>
        <v>-3.2223485678137036E-2</v>
      </c>
      <c r="MQ15" s="31">
        <f t="shared" ca="1" si="70"/>
        <v>-4.4878991769394909E-2</v>
      </c>
      <c r="MR15" s="31">
        <f t="shared" ca="1" si="70"/>
        <v>-1.7831132911876022E-2</v>
      </c>
      <c r="MS15" s="31">
        <f t="shared" ca="1" si="70"/>
        <v>-1.1861860166921571E-3</v>
      </c>
      <c r="MT15" s="31">
        <f t="shared" ca="1" si="70"/>
        <v>-4.8269386728970042E-2</v>
      </c>
      <c r="MU15" s="31">
        <f t="shared" ca="1" si="70"/>
        <v>5.2245555513368715E-2</v>
      </c>
      <c r="MV15" s="31">
        <f t="shared" ca="1" si="70"/>
        <v>7.1443865447580371E-2</v>
      </c>
      <c r="MW15" s="31">
        <f t="shared" ca="1" si="70"/>
        <v>2.156533587120368E-2</v>
      </c>
      <c r="MX15" s="31">
        <f t="shared" ca="1" si="70"/>
        <v>2.362777749882965E-2</v>
      </c>
      <c r="MY15" s="31">
        <f t="shared" ca="1" si="70"/>
        <v>1.9464930206816184E-2</v>
      </c>
      <c r="MZ15" s="31">
        <f t="shared" ca="1" si="70"/>
        <v>2.2378162017611565E-2</v>
      </c>
      <c r="NA15" s="31">
        <f t="shared" ca="1" si="70"/>
        <v>-3.6357606265409917E-2</v>
      </c>
      <c r="NB15" s="31">
        <f t="shared" ca="1" si="70"/>
        <v>1.4914928012141273E-2</v>
      </c>
      <c r="NC15" s="31">
        <f t="shared" ca="1" si="70"/>
        <v>6.3099039791554359E-2</v>
      </c>
      <c r="ND15" s="31">
        <f t="shared" ca="1" si="70"/>
        <v>-1.8099357762106326E-2</v>
      </c>
      <c r="NE15" s="31">
        <f t="shared" ca="1" si="70"/>
        <v>3.045492686538041E-2</v>
      </c>
      <c r="NF15" s="31">
        <f t="shared" ca="1" si="70"/>
        <v>-1.5775786802716012E-2</v>
      </c>
      <c r="NG15" s="31">
        <f t="shared" ca="1" si="70"/>
        <v>3.7540982661752036E-2</v>
      </c>
      <c r="NH15" s="31">
        <f t="shared" ca="1" si="70"/>
        <v>1.086561466153301E-2</v>
      </c>
      <c r="NI15" s="31">
        <f t="shared" ca="1" si="70"/>
        <v>4.7300198773265946E-2</v>
      </c>
      <c r="NJ15" s="31">
        <f t="shared" ca="1" si="70"/>
        <v>4.7942761665113541E-2</v>
      </c>
      <c r="NK15" s="31">
        <f t="shared" ca="1" si="70"/>
        <v>-9.1806970304172564E-2</v>
      </c>
      <c r="NL15" s="31">
        <f t="shared" ca="1" si="70"/>
        <v>-1.2831988243986629E-2</v>
      </c>
      <c r="NM15" s="31">
        <f t="shared" ca="1" si="70"/>
        <v>-4.0459270232380003E-2</v>
      </c>
      <c r="NN15" s="31">
        <f t="shared" ca="1" si="70"/>
        <v>1.7885783605859707E-3</v>
      </c>
      <c r="NO15" s="31">
        <f t="shared" ca="1" si="70"/>
        <v>-6.6385457378586553E-3</v>
      </c>
      <c r="NP15" s="31">
        <f t="shared" ca="1" si="70"/>
        <v>3.4089578535176192E-3</v>
      </c>
      <c r="NQ15" s="31">
        <f t="shared" ca="1" si="70"/>
        <v>-2.4607920624107268E-2</v>
      </c>
      <c r="NR15" s="31">
        <f t="shared" ca="1" si="70"/>
        <v>-7.2356285776346198E-3</v>
      </c>
      <c r="NS15" s="31">
        <f t="shared" ca="1" si="70"/>
        <v>-2.7809171809074582E-2</v>
      </c>
      <c r="NT15" s="31">
        <f t="shared" ca="1" si="70"/>
        <v>-2.8994752756889858E-2</v>
      </c>
      <c r="NU15" s="31">
        <f t="shared" ca="1" si="70"/>
        <v>7.8415543612074715E-2</v>
      </c>
      <c r="NV15" s="31">
        <f t="shared" ca="1" si="70"/>
        <v>7.5564634912839062E-3</v>
      </c>
      <c r="NW15" s="31">
        <f t="shared" ca="1" si="70"/>
        <v>2.3248003580179599E-2</v>
      </c>
      <c r="NX15" s="31">
        <f t="shared" ca="1" si="70"/>
        <v>7.4684773535660292E-3</v>
      </c>
      <c r="NY15" s="31">
        <f t="shared" ca="1" si="70"/>
        <v>-7.7996057327973257E-3</v>
      </c>
      <c r="NZ15" s="31">
        <f t="shared" ca="1" si="70"/>
        <v>-1.7094090978855205E-2</v>
      </c>
      <c r="OA15" s="31">
        <f t="shared" ca="1" si="70"/>
        <v>5.426011177628786E-2</v>
      </c>
      <c r="OB15" s="31">
        <f t="shared" ca="1" si="70"/>
        <v>4.0813742366800292E-2</v>
      </c>
      <c r="OC15" s="31">
        <f t="shared" ca="1" si="70"/>
        <v>-3.6486072323965195E-3</v>
      </c>
      <c r="OD15" s="31">
        <f t="shared" ca="1" si="63"/>
        <v>-5.4138049744886285E-2</v>
      </c>
      <c r="OE15" s="31">
        <f t="shared" ca="1" si="55"/>
        <v>-2.5603751944424605E-2</v>
      </c>
      <c r="OF15" s="31">
        <f t="shared" ca="1" si="55"/>
        <v>8.0809752468159274E-2</v>
      </c>
      <c r="OG15" s="31">
        <f t="shared" ref="OG15:QR15" ca="1" si="78">_xlfn.NORM.INV(RAND(),$C$8,$C$9)</f>
        <v>-6.1450360990939701E-2</v>
      </c>
      <c r="OH15" s="31">
        <f t="shared" ca="1" si="78"/>
        <v>4.4791865705664E-2</v>
      </c>
      <c r="OI15" s="31">
        <f t="shared" ca="1" si="78"/>
        <v>-2.2983833193097353E-2</v>
      </c>
      <c r="OJ15" s="31">
        <f t="shared" ca="1" si="78"/>
        <v>4.4457636575886736E-2</v>
      </c>
      <c r="OK15" s="31">
        <f t="shared" ca="1" si="78"/>
        <v>8.9611738786696885E-2</v>
      </c>
      <c r="OL15" s="31">
        <f t="shared" ca="1" si="78"/>
        <v>1.1383384384033423E-2</v>
      </c>
      <c r="OM15" s="31">
        <f t="shared" ca="1" si="78"/>
        <v>-1.8605505020832785E-2</v>
      </c>
      <c r="ON15" s="31">
        <f t="shared" ca="1" si="78"/>
        <v>2.8654664116284111E-2</v>
      </c>
      <c r="OO15" s="31">
        <f t="shared" ca="1" si="78"/>
        <v>4.3959663062810281E-2</v>
      </c>
      <c r="OP15" s="31">
        <f t="shared" ca="1" si="78"/>
        <v>5.2381864425530153E-2</v>
      </c>
      <c r="OQ15" s="31">
        <f t="shared" ca="1" si="78"/>
        <v>-2.0005953595915914E-2</v>
      </c>
      <c r="OR15" s="31">
        <f t="shared" ca="1" si="78"/>
        <v>3.632312494310462E-2</v>
      </c>
      <c r="OS15" s="31">
        <f t="shared" ca="1" si="78"/>
        <v>3.6129657958172967E-2</v>
      </c>
      <c r="OT15" s="31">
        <f t="shared" ca="1" si="78"/>
        <v>5.3326769177156133E-2</v>
      </c>
      <c r="OU15" s="31">
        <f t="shared" ca="1" si="78"/>
        <v>-2.3013746337538513E-2</v>
      </c>
      <c r="OV15" s="31">
        <f t="shared" ca="1" si="78"/>
        <v>9.4677293909020445E-3</v>
      </c>
      <c r="OW15" s="31">
        <f t="shared" ca="1" si="78"/>
        <v>-5.3630648305253679E-2</v>
      </c>
      <c r="OX15" s="31">
        <f t="shared" ca="1" si="78"/>
        <v>-1.7219978119521258E-2</v>
      </c>
      <c r="OY15" s="31">
        <f t="shared" ca="1" si="78"/>
        <v>-2.239346680369032E-2</v>
      </c>
      <c r="OZ15" s="31">
        <f t="shared" ca="1" si="78"/>
        <v>-1.7061584417302749E-2</v>
      </c>
      <c r="PA15" s="31">
        <f t="shared" ca="1" si="78"/>
        <v>1.6276318746450226E-2</v>
      </c>
      <c r="PB15" s="31">
        <f t="shared" ca="1" si="78"/>
        <v>4.2296031411136088E-2</v>
      </c>
      <c r="PC15" s="31">
        <f t="shared" ca="1" si="78"/>
        <v>-2.5290153107208131E-2</v>
      </c>
      <c r="PD15" s="31">
        <f t="shared" ca="1" si="78"/>
        <v>-1.166788303831817E-2</v>
      </c>
      <c r="PE15" s="31">
        <f t="shared" ca="1" si="78"/>
        <v>-6.4049159998150113E-2</v>
      </c>
      <c r="PF15" s="31">
        <f t="shared" ca="1" si="78"/>
        <v>-2.9134891066761159E-3</v>
      </c>
      <c r="PG15" s="31">
        <f t="shared" ca="1" si="78"/>
        <v>-1.1055331916746307E-2</v>
      </c>
      <c r="PH15" s="31">
        <f t="shared" ca="1" si="78"/>
        <v>6.1426553376584279E-2</v>
      </c>
      <c r="PI15" s="31">
        <f t="shared" ca="1" si="78"/>
        <v>6.740781999032E-2</v>
      </c>
      <c r="PJ15" s="31">
        <f t="shared" ca="1" si="78"/>
        <v>1.8452154434508272E-2</v>
      </c>
      <c r="PK15" s="31">
        <f t="shared" ca="1" si="78"/>
        <v>1.3448215025410781E-2</v>
      </c>
      <c r="PL15" s="31">
        <f t="shared" ca="1" si="78"/>
        <v>-1.7413011622132064E-2</v>
      </c>
      <c r="PM15" s="31">
        <f t="shared" ca="1" si="78"/>
        <v>-9.3126087202611198E-3</v>
      </c>
      <c r="PN15" s="31">
        <f t="shared" ca="1" si="78"/>
        <v>2.7136279495605532E-2</v>
      </c>
      <c r="PO15" s="31">
        <f t="shared" ca="1" si="78"/>
        <v>2.521943640762418E-3</v>
      </c>
      <c r="PP15" s="31">
        <f t="shared" ca="1" si="78"/>
        <v>-4.4713353234644017E-2</v>
      </c>
      <c r="PQ15" s="31">
        <f t="shared" ca="1" si="78"/>
        <v>-2.7539002856869867E-2</v>
      </c>
      <c r="PR15" s="31">
        <f t="shared" ca="1" si="78"/>
        <v>4.5730120590392175E-3</v>
      </c>
      <c r="PS15" s="31">
        <f t="shared" ca="1" si="78"/>
        <v>-3.2431178879865135E-3</v>
      </c>
      <c r="PT15" s="31">
        <f t="shared" ca="1" si="78"/>
        <v>-1.4825604355187278E-2</v>
      </c>
      <c r="PU15" s="31">
        <f t="shared" ca="1" si="78"/>
        <v>3.8756011699408899E-2</v>
      </c>
      <c r="PV15" s="31">
        <f t="shared" ca="1" si="78"/>
        <v>8.0235131083319887E-3</v>
      </c>
      <c r="PW15" s="31">
        <f t="shared" ca="1" si="78"/>
        <v>1.8385532277381289E-3</v>
      </c>
      <c r="PX15" s="31">
        <f t="shared" ca="1" si="78"/>
        <v>-5.9618022860640857E-2</v>
      </c>
      <c r="PY15" s="31">
        <f t="shared" ca="1" si="78"/>
        <v>-3.6560263519765171E-2</v>
      </c>
      <c r="PZ15" s="31">
        <f t="shared" ca="1" si="78"/>
        <v>-9.3233381483215604E-3</v>
      </c>
      <c r="QA15" s="31">
        <f t="shared" ca="1" si="78"/>
        <v>2.4151428647176745E-2</v>
      </c>
      <c r="QB15" s="31">
        <f t="shared" ca="1" si="78"/>
        <v>9.5462697734602468E-3</v>
      </c>
      <c r="QC15" s="31">
        <f t="shared" ca="1" si="78"/>
        <v>7.1818121979998248E-2</v>
      </c>
      <c r="QD15" s="31">
        <f t="shared" ca="1" si="78"/>
        <v>-8.2822545070186885E-3</v>
      </c>
      <c r="QE15" s="31">
        <f t="shared" ca="1" si="78"/>
        <v>1.0621919427188823E-2</v>
      </c>
      <c r="QF15" s="31">
        <f t="shared" ca="1" si="78"/>
        <v>3.286524303865445E-2</v>
      </c>
      <c r="QG15" s="31">
        <f t="shared" ca="1" si="78"/>
        <v>-2.5383232516149261E-2</v>
      </c>
      <c r="QH15" s="31">
        <f t="shared" ca="1" si="78"/>
        <v>2.4876590770488909E-2</v>
      </c>
      <c r="QI15" s="31">
        <f t="shared" ca="1" si="78"/>
        <v>-2.9867495544934231E-2</v>
      </c>
      <c r="QJ15" s="31">
        <f t="shared" ca="1" si="78"/>
        <v>1.4658972918406787E-4</v>
      </c>
      <c r="QK15" s="31">
        <f t="shared" ca="1" si="78"/>
        <v>-4.6093891114116471E-2</v>
      </c>
      <c r="QL15" s="31">
        <f t="shared" ca="1" si="78"/>
        <v>2.3283698275475027E-2</v>
      </c>
      <c r="QM15" s="31">
        <f t="shared" ca="1" si="78"/>
        <v>-1.5844207533973354E-2</v>
      </c>
      <c r="QN15" s="31">
        <f t="shared" ca="1" si="78"/>
        <v>2.7679745396668076E-2</v>
      </c>
      <c r="QO15" s="31">
        <f t="shared" ca="1" si="78"/>
        <v>7.9717127216488382E-2</v>
      </c>
      <c r="QP15" s="31">
        <f t="shared" ca="1" si="78"/>
        <v>8.8948496301246877E-2</v>
      </c>
      <c r="QQ15" s="31">
        <f t="shared" ca="1" si="78"/>
        <v>1.0604638003269273E-2</v>
      </c>
      <c r="QR15" s="31">
        <f t="shared" ca="1" si="78"/>
        <v>-1.8174246353013672E-2</v>
      </c>
      <c r="QS15" s="31">
        <f t="shared" ca="1" si="71"/>
        <v>6.8029411891995392E-2</v>
      </c>
      <c r="QT15" s="31">
        <f t="shared" ca="1" si="71"/>
        <v>-1.9538865632797255E-2</v>
      </c>
      <c r="QU15" s="31">
        <f t="shared" ca="1" si="71"/>
        <v>-5.4534031306628018E-2</v>
      </c>
      <c r="QV15" s="31">
        <f t="shared" ca="1" si="71"/>
        <v>4.641551932886729E-2</v>
      </c>
      <c r="QW15" s="31">
        <f t="shared" ca="1" si="71"/>
        <v>-3.786327538718718E-3</v>
      </c>
      <c r="QX15" s="31">
        <f t="shared" ca="1" si="71"/>
        <v>1.5220161980012603E-2</v>
      </c>
      <c r="QY15" s="31">
        <f t="shared" ca="1" si="71"/>
        <v>-8.3690028387318691E-2</v>
      </c>
      <c r="QZ15" s="31">
        <f t="shared" ca="1" si="71"/>
        <v>-5.9838187749033232E-2</v>
      </c>
      <c r="RA15" s="31">
        <f t="shared" ca="1" si="71"/>
        <v>5.22814524417246E-2</v>
      </c>
      <c r="RB15" s="31">
        <f t="shared" ca="1" si="71"/>
        <v>8.5219956247742451E-2</v>
      </c>
      <c r="RC15" s="31">
        <f t="shared" ca="1" si="71"/>
        <v>-1.8689849723261273E-5</v>
      </c>
      <c r="RD15" s="31">
        <f t="shared" ca="1" si="71"/>
        <v>-1.8299808609706023E-2</v>
      </c>
      <c r="RE15" s="31">
        <f t="shared" ca="1" si="71"/>
        <v>-1.3961003326804033E-2</v>
      </c>
      <c r="RF15" s="31">
        <f t="shared" ca="1" si="71"/>
        <v>1.9402037493457029E-2</v>
      </c>
      <c r="RG15" s="31">
        <f t="shared" ca="1" si="71"/>
        <v>9.6125257047396527E-4</v>
      </c>
      <c r="RH15" s="31">
        <f t="shared" ca="1" si="71"/>
        <v>4.6993781416068324E-2</v>
      </c>
      <c r="RI15" s="31">
        <f t="shared" ca="1" si="71"/>
        <v>-9.7158253089154309E-2</v>
      </c>
      <c r="RJ15" s="31">
        <f t="shared" ca="1" si="71"/>
        <v>4.7888588377574606E-2</v>
      </c>
      <c r="RK15" s="31">
        <f t="shared" ca="1" si="71"/>
        <v>5.1303751099341148E-2</v>
      </c>
      <c r="RL15" s="31">
        <f t="shared" ca="1" si="71"/>
        <v>1.4801904603573912E-2</v>
      </c>
      <c r="RM15" s="31">
        <f t="shared" ca="1" si="71"/>
        <v>4.5454349716421975E-2</v>
      </c>
      <c r="RN15" s="31">
        <f t="shared" ca="1" si="71"/>
        <v>5.2982528076261505E-2</v>
      </c>
      <c r="RO15" s="31">
        <f t="shared" ca="1" si="71"/>
        <v>-4.7070550078773974E-3</v>
      </c>
      <c r="RP15" s="31">
        <f t="shared" ca="1" si="71"/>
        <v>1.0107009733563722E-2</v>
      </c>
      <c r="RQ15" s="31">
        <f t="shared" ca="1" si="71"/>
        <v>-4.9619903416737512E-2</v>
      </c>
      <c r="RR15" s="31">
        <f t="shared" ca="1" si="71"/>
        <v>-0.11032954885272517</v>
      </c>
      <c r="RS15" s="31">
        <f t="shared" ca="1" si="71"/>
        <v>-4.1890701730076052E-3</v>
      </c>
      <c r="RT15" s="31">
        <f t="shared" ca="1" si="71"/>
        <v>9.111930778998396E-3</v>
      </c>
      <c r="RU15" s="31">
        <f t="shared" ca="1" si="71"/>
        <v>-1.0709146480960871E-2</v>
      </c>
      <c r="RV15" s="31">
        <f t="shared" ca="1" si="71"/>
        <v>-1.9945835711347788E-2</v>
      </c>
      <c r="RW15" s="31">
        <f t="shared" ca="1" si="71"/>
        <v>-3.8129383782812394E-2</v>
      </c>
      <c r="RX15" s="31">
        <f t="shared" ca="1" si="71"/>
        <v>6.0385919287944496E-3</v>
      </c>
      <c r="RY15" s="31">
        <f t="shared" ca="1" si="71"/>
        <v>3.7078074654897084E-2</v>
      </c>
      <c r="RZ15" s="31">
        <f t="shared" ca="1" si="71"/>
        <v>-1.5873906398848703E-3</v>
      </c>
      <c r="SA15" s="31">
        <f t="shared" ca="1" si="71"/>
        <v>1.8738992737480805E-2</v>
      </c>
      <c r="SB15" s="31">
        <f t="shared" ca="1" si="71"/>
        <v>8.3865103939871916E-3</v>
      </c>
      <c r="SC15" s="31">
        <f t="shared" ca="1" si="71"/>
        <v>6.616274031660703E-2</v>
      </c>
      <c r="SD15" s="31">
        <f t="shared" ca="1" si="71"/>
        <v>5.0729300698802663E-3</v>
      </c>
      <c r="SE15" s="31">
        <f t="shared" ca="1" si="71"/>
        <v>4.0065846513938408E-2</v>
      </c>
      <c r="SF15" s="31">
        <f t="shared" ca="1" si="71"/>
        <v>5.4910991091980475E-3</v>
      </c>
      <c r="SG15" s="31">
        <f t="shared" ca="1" si="71"/>
        <v>9.846697828195505E-3</v>
      </c>
      <c r="SH15" s="31">
        <f t="shared" ca="1" si="71"/>
        <v>-3.3880850889216593E-2</v>
      </c>
      <c r="SI15" s="31">
        <f t="shared" ca="1" si="71"/>
        <v>1.2784333063866884E-3</v>
      </c>
      <c r="SJ15" s="31">
        <f t="shared" ca="1" si="71"/>
        <v>2.4313123085861681E-2</v>
      </c>
      <c r="SK15" s="31">
        <f t="shared" ca="1" si="71"/>
        <v>5.1520199283278272E-2</v>
      </c>
      <c r="SL15" s="31">
        <f t="shared" ca="1" si="71"/>
        <v>5.1472187681378408E-2</v>
      </c>
      <c r="SM15" s="31">
        <f t="shared" ca="1" si="71"/>
        <v>-5.8771869947824101E-2</v>
      </c>
      <c r="SN15" s="31">
        <f t="shared" ca="1" si="71"/>
        <v>-6.2297088096973444E-2</v>
      </c>
      <c r="SO15" s="31">
        <f t="shared" ca="1" si="71"/>
        <v>-5.7097628745027877E-2</v>
      </c>
      <c r="SP15" s="31">
        <f t="shared" ca="1" si="71"/>
        <v>7.9216046237063006E-3</v>
      </c>
      <c r="SQ15" s="31">
        <f t="shared" ca="1" si="71"/>
        <v>5.8854020841869144E-2</v>
      </c>
      <c r="SR15" s="31">
        <f t="shared" ca="1" si="71"/>
        <v>1.51399473766443E-2</v>
      </c>
      <c r="SS15" s="31">
        <f t="shared" ca="1" si="71"/>
        <v>-6.8470326098671527E-2</v>
      </c>
      <c r="ST15" s="31">
        <f t="shared" ca="1" si="71"/>
        <v>-3.4484626758307185E-2</v>
      </c>
      <c r="SU15" s="31">
        <f t="shared" ca="1" si="71"/>
        <v>9.0304593697993346E-3</v>
      </c>
      <c r="SV15" s="31">
        <f t="shared" ca="1" si="71"/>
        <v>6.6389136451544609E-2</v>
      </c>
      <c r="SW15" s="31">
        <f t="shared" ca="1" si="71"/>
        <v>-4.2926822378382266E-2</v>
      </c>
      <c r="SX15" s="31">
        <f t="shared" ca="1" si="71"/>
        <v>-2.6085381068255347E-2</v>
      </c>
      <c r="SY15" s="31">
        <f t="shared" ca="1" si="71"/>
        <v>-1.7804064323089144E-2</v>
      </c>
      <c r="SZ15" s="31">
        <f t="shared" ca="1" si="71"/>
        <v>-2.4648321000652972E-2</v>
      </c>
      <c r="TA15" s="31">
        <f t="shared" ca="1" si="71"/>
        <v>2.6569575390055417E-2</v>
      </c>
      <c r="TB15" s="31">
        <f t="shared" ca="1" si="64"/>
        <v>1.4351622878579565E-3</v>
      </c>
      <c r="TC15" s="31">
        <f t="shared" ca="1" si="56"/>
        <v>-2.2284743552431329E-2</v>
      </c>
      <c r="TD15" s="31">
        <f t="shared" ca="1" si="56"/>
        <v>-2.4398603606944656E-2</v>
      </c>
      <c r="TE15" s="31">
        <f t="shared" ref="TE15:VP15" ca="1" si="79">_xlfn.NORM.INV(RAND(),$C$8,$C$9)</f>
        <v>2.0449198307050134E-2</v>
      </c>
      <c r="TF15" s="31">
        <f t="shared" ca="1" si="79"/>
        <v>2.7201679482170612E-2</v>
      </c>
      <c r="TG15" s="31">
        <f t="shared" ca="1" si="79"/>
        <v>-7.8597558370770461E-3</v>
      </c>
      <c r="TH15" s="31">
        <f t="shared" ca="1" si="79"/>
        <v>9.5009432218336153E-3</v>
      </c>
      <c r="TI15" s="31">
        <f t="shared" ca="1" si="79"/>
        <v>5.7414142515967402E-2</v>
      </c>
      <c r="TJ15" s="31">
        <f t="shared" ca="1" si="79"/>
        <v>0.10776256367772914</v>
      </c>
      <c r="TK15" s="31">
        <f t="shared" ca="1" si="79"/>
        <v>-7.81296517568081E-3</v>
      </c>
      <c r="TL15" s="31">
        <f t="shared" ca="1" si="79"/>
        <v>3.7822573976807265E-2</v>
      </c>
      <c r="TM15" s="31">
        <f t="shared" ca="1" si="79"/>
        <v>8.6753115845426262E-2</v>
      </c>
      <c r="TN15" s="31">
        <f t="shared" ca="1" si="79"/>
        <v>-2.4470287520802159E-2</v>
      </c>
      <c r="TO15" s="31">
        <f t="shared" ca="1" si="79"/>
        <v>-1.3175659690972219E-4</v>
      </c>
      <c r="TP15" s="31">
        <f t="shared" ca="1" si="79"/>
        <v>1.6389686225576985E-2</v>
      </c>
      <c r="TQ15" s="31">
        <f t="shared" ca="1" si="79"/>
        <v>-1.9871466452162707E-2</v>
      </c>
      <c r="TR15" s="31">
        <f t="shared" ca="1" si="79"/>
        <v>7.9392997667894122E-2</v>
      </c>
      <c r="TS15" s="31">
        <f t="shared" ca="1" si="79"/>
        <v>-3.7732566903053225E-2</v>
      </c>
      <c r="TT15" s="31">
        <f t="shared" ca="1" si="79"/>
        <v>3.3435036862716393E-2</v>
      </c>
      <c r="TU15" s="31">
        <f t="shared" ca="1" si="79"/>
        <v>-4.4594975999914507E-2</v>
      </c>
      <c r="TV15" s="31">
        <f t="shared" ca="1" si="79"/>
        <v>-7.5878782882934231E-2</v>
      </c>
      <c r="TW15" s="31">
        <f t="shared" ca="1" si="79"/>
        <v>-1.9396496927567577E-2</v>
      </c>
      <c r="TX15" s="31">
        <f t="shared" ca="1" si="79"/>
        <v>-5.1891334674348194E-3</v>
      </c>
      <c r="TY15" s="31">
        <f t="shared" ca="1" si="79"/>
        <v>4.3976369164433288E-2</v>
      </c>
      <c r="TZ15" s="31">
        <f t="shared" ca="1" si="79"/>
        <v>2.6465906680189704E-2</v>
      </c>
      <c r="UA15" s="31">
        <f t="shared" ca="1" si="79"/>
        <v>2.8194640777655416E-2</v>
      </c>
      <c r="UB15" s="31">
        <f t="shared" ca="1" si="79"/>
        <v>1.2381755097714104E-3</v>
      </c>
      <c r="UC15" s="31">
        <f t="shared" ca="1" si="79"/>
        <v>2.9661923632313063E-2</v>
      </c>
      <c r="UD15" s="31">
        <f t="shared" ca="1" si="79"/>
        <v>-2.2715671329475832E-2</v>
      </c>
      <c r="UE15" s="31">
        <f t="shared" ca="1" si="79"/>
        <v>-3.3585515821123922E-2</v>
      </c>
      <c r="UF15" s="31">
        <f t="shared" ca="1" si="79"/>
        <v>-3.4636232835478738E-2</v>
      </c>
      <c r="UG15" s="31">
        <f t="shared" ca="1" si="79"/>
        <v>-5.3538460257015537E-2</v>
      </c>
      <c r="UH15" s="31">
        <f t="shared" ca="1" si="79"/>
        <v>2.3802629279579005E-2</v>
      </c>
      <c r="UI15" s="31">
        <f t="shared" ca="1" si="79"/>
        <v>7.4445311163531223E-3</v>
      </c>
      <c r="UJ15" s="31">
        <f t="shared" ca="1" si="79"/>
        <v>1.0182570750453198E-2</v>
      </c>
      <c r="UK15" s="31">
        <f t="shared" ca="1" si="79"/>
        <v>-1.2951866176462776E-2</v>
      </c>
      <c r="UL15" s="31">
        <f t="shared" ca="1" si="79"/>
        <v>-3.9370887777421208E-3</v>
      </c>
      <c r="UM15" s="31">
        <f t="shared" ca="1" si="79"/>
        <v>3.0129601020767647E-2</v>
      </c>
      <c r="UN15" s="31">
        <f t="shared" ca="1" si="79"/>
        <v>3.28967097511218E-2</v>
      </c>
      <c r="UO15" s="31">
        <f t="shared" ca="1" si="79"/>
        <v>1.2909334388617861E-3</v>
      </c>
      <c r="UP15" s="31">
        <f t="shared" ca="1" si="79"/>
        <v>-6.2980229775490022E-3</v>
      </c>
      <c r="UQ15" s="31">
        <f t="shared" ca="1" si="79"/>
        <v>4.37286994968915E-3</v>
      </c>
      <c r="UR15" s="31">
        <f t="shared" ca="1" si="79"/>
        <v>-7.1551199419386102E-3</v>
      </c>
      <c r="US15" s="31">
        <f t="shared" ca="1" si="79"/>
        <v>-4.2450069753735928E-2</v>
      </c>
      <c r="UT15" s="31">
        <f t="shared" ca="1" si="79"/>
        <v>-1.7630235444535586E-2</v>
      </c>
      <c r="UU15" s="31">
        <f t="shared" ca="1" si="79"/>
        <v>3.1700902406926849E-2</v>
      </c>
      <c r="UV15" s="31">
        <f t="shared" ca="1" si="79"/>
        <v>5.2604130874521281E-2</v>
      </c>
      <c r="UW15" s="31">
        <f t="shared" ca="1" si="79"/>
        <v>5.2021223245743632E-2</v>
      </c>
      <c r="UX15" s="31">
        <f t="shared" ca="1" si="79"/>
        <v>4.4607963444950931E-2</v>
      </c>
      <c r="UY15" s="31">
        <f t="shared" ca="1" si="79"/>
        <v>2.2992435899579739E-2</v>
      </c>
      <c r="UZ15" s="31">
        <f t="shared" ca="1" si="79"/>
        <v>3.6190746044677292E-2</v>
      </c>
      <c r="VA15" s="31">
        <f t="shared" ca="1" si="79"/>
        <v>8.9093411264664791E-3</v>
      </c>
      <c r="VB15" s="31">
        <f t="shared" ca="1" si="79"/>
        <v>7.2932607760308136E-3</v>
      </c>
      <c r="VC15" s="31">
        <f t="shared" ca="1" si="79"/>
        <v>-3.171842319631564E-2</v>
      </c>
      <c r="VD15" s="31">
        <f t="shared" ca="1" si="79"/>
        <v>-8.4110885412139527E-3</v>
      </c>
      <c r="VE15" s="31">
        <f t="shared" ca="1" si="79"/>
        <v>-4.9770190823965488E-3</v>
      </c>
      <c r="VF15" s="31">
        <f t="shared" ca="1" si="79"/>
        <v>-3.2894193403433032E-2</v>
      </c>
      <c r="VG15" s="31">
        <f t="shared" ca="1" si="79"/>
        <v>8.2750728113214864E-2</v>
      </c>
      <c r="VH15" s="31">
        <f t="shared" ca="1" si="79"/>
        <v>4.9000459610399867E-3</v>
      </c>
      <c r="VI15" s="31">
        <f t="shared" ca="1" si="79"/>
        <v>1.6844568932863829E-2</v>
      </c>
      <c r="VJ15" s="31">
        <f t="shared" ca="1" si="79"/>
        <v>-3.2732230807522592E-2</v>
      </c>
      <c r="VK15" s="31">
        <f t="shared" ca="1" si="79"/>
        <v>-5.2243630850014905E-2</v>
      </c>
      <c r="VL15" s="31">
        <f t="shared" ca="1" si="79"/>
        <v>-1.0513600074019505E-2</v>
      </c>
      <c r="VM15" s="31">
        <f t="shared" ca="1" si="79"/>
        <v>1.5498188429360229E-2</v>
      </c>
      <c r="VN15" s="31">
        <f t="shared" ca="1" si="79"/>
        <v>7.104945511497672E-2</v>
      </c>
      <c r="VO15" s="31">
        <f t="shared" ca="1" si="79"/>
        <v>3.78923237061604E-2</v>
      </c>
      <c r="VP15" s="31">
        <f t="shared" ca="1" si="79"/>
        <v>2.1397261824984002E-2</v>
      </c>
      <c r="VQ15" s="31">
        <f t="shared" ca="1" si="72"/>
        <v>-2.273355755728361E-2</v>
      </c>
      <c r="VR15" s="31">
        <f t="shared" ca="1" si="72"/>
        <v>3.8753970774117368E-3</v>
      </c>
      <c r="VS15" s="31">
        <f t="shared" ca="1" si="72"/>
        <v>-5.0390026874931403E-2</v>
      </c>
      <c r="VT15" s="31">
        <f t="shared" ca="1" si="72"/>
        <v>1.6859547998796371E-2</v>
      </c>
      <c r="VU15" s="31">
        <f t="shared" ca="1" si="72"/>
        <v>-5.7381592209636888E-3</v>
      </c>
      <c r="VV15" s="31">
        <f t="shared" ca="1" si="72"/>
        <v>6.403597569625466E-2</v>
      </c>
      <c r="VW15" s="31">
        <f t="shared" ca="1" si="72"/>
        <v>-5.3269233091331504E-2</v>
      </c>
      <c r="VX15" s="31">
        <f t="shared" ca="1" si="72"/>
        <v>-7.4088359737104439E-2</v>
      </c>
      <c r="VY15" s="31">
        <f t="shared" ca="1" si="72"/>
        <v>6.9478135138203974E-3</v>
      </c>
      <c r="VZ15" s="31">
        <f t="shared" ca="1" si="72"/>
        <v>6.9274454305043665E-3</v>
      </c>
      <c r="WA15" s="31">
        <f t="shared" ca="1" si="72"/>
        <v>-7.0883501612618569E-2</v>
      </c>
      <c r="WB15" s="31">
        <f t="shared" ca="1" si="72"/>
        <v>-1.3335714297624481E-2</v>
      </c>
      <c r="WC15" s="31">
        <f t="shared" ca="1" si="72"/>
        <v>1.9201097945941513E-2</v>
      </c>
      <c r="WD15" s="31">
        <f t="shared" ca="1" si="72"/>
        <v>1.3390302081726478E-2</v>
      </c>
      <c r="WE15" s="31">
        <f t="shared" ca="1" si="72"/>
        <v>9.6402147949574257E-3</v>
      </c>
      <c r="WF15" s="31">
        <f t="shared" ca="1" si="72"/>
        <v>-8.2133295925545774E-2</v>
      </c>
      <c r="WG15" s="31">
        <f t="shared" ca="1" si="72"/>
        <v>-2.0352855785894894E-2</v>
      </c>
      <c r="WH15" s="31">
        <f t="shared" ca="1" si="72"/>
        <v>-0.10004351552814089</v>
      </c>
      <c r="WI15" s="31">
        <f t="shared" ca="1" si="72"/>
        <v>-4.334603480211674E-2</v>
      </c>
      <c r="WJ15" s="31">
        <f t="shared" ca="1" si="72"/>
        <v>-2.9585256643747903E-2</v>
      </c>
      <c r="WK15" s="31">
        <f t="shared" ca="1" si="72"/>
        <v>-5.3142129396990624E-2</v>
      </c>
      <c r="WL15" s="31">
        <f t="shared" ca="1" si="72"/>
        <v>4.7405721968989366E-2</v>
      </c>
      <c r="WM15" s="31">
        <f t="shared" ca="1" si="72"/>
        <v>6.9345278964218771E-2</v>
      </c>
      <c r="WN15" s="31">
        <f t="shared" ca="1" si="72"/>
        <v>1.8445632665500259E-2</v>
      </c>
      <c r="WO15" s="31">
        <f t="shared" ca="1" si="72"/>
        <v>8.4697372672786972E-2</v>
      </c>
      <c r="WP15" s="31">
        <f t="shared" ca="1" si="72"/>
        <v>-5.0308915038393118E-2</v>
      </c>
      <c r="WQ15" s="31">
        <f t="shared" ca="1" si="72"/>
        <v>-0.11412597857790532</v>
      </c>
      <c r="WR15" s="31">
        <f t="shared" ca="1" si="72"/>
        <v>1.7803075917423156E-2</v>
      </c>
      <c r="WS15" s="31">
        <f t="shared" ca="1" si="72"/>
        <v>2.1077625212293735E-3</v>
      </c>
      <c r="WT15" s="31">
        <f t="shared" ca="1" si="72"/>
        <v>3.8478130214227052E-2</v>
      </c>
      <c r="WU15" s="31">
        <f t="shared" ca="1" si="72"/>
        <v>-1.4964139939955431E-2</v>
      </c>
      <c r="WV15" s="31">
        <f t="shared" ca="1" si="72"/>
        <v>-4.7928446681398763E-2</v>
      </c>
      <c r="WW15" s="31">
        <f t="shared" ca="1" si="72"/>
        <v>7.3629563752887511E-2</v>
      </c>
      <c r="WX15" s="31">
        <f t="shared" ca="1" si="72"/>
        <v>2.4340693193723702E-3</v>
      </c>
      <c r="WY15" s="31">
        <f t="shared" ca="1" si="72"/>
        <v>-2.7566355410133733E-2</v>
      </c>
      <c r="WZ15" s="31">
        <f t="shared" ca="1" si="72"/>
        <v>-9.5218234329198889E-2</v>
      </c>
      <c r="XA15" s="31">
        <f t="shared" ca="1" si="72"/>
        <v>2.7187449188198182E-2</v>
      </c>
      <c r="XB15" s="31">
        <f t="shared" ca="1" si="72"/>
        <v>2.0528096244818578E-2</v>
      </c>
      <c r="XC15" s="31">
        <f t="shared" ca="1" si="72"/>
        <v>2.3833166184338759E-2</v>
      </c>
      <c r="XD15" s="31">
        <f t="shared" ca="1" si="72"/>
        <v>-3.9944113284107095E-2</v>
      </c>
      <c r="XE15" s="31">
        <f t="shared" ca="1" si="72"/>
        <v>1.4590213661956722E-2</v>
      </c>
      <c r="XF15" s="31">
        <f t="shared" ca="1" si="72"/>
        <v>3.0552840264932862E-2</v>
      </c>
      <c r="XG15" s="31">
        <f t="shared" ca="1" si="72"/>
        <v>-1.9293621894035422E-2</v>
      </c>
      <c r="XH15" s="31">
        <f t="shared" ca="1" si="72"/>
        <v>3.6463627492816189E-2</v>
      </c>
      <c r="XI15" s="31">
        <f t="shared" ca="1" si="72"/>
        <v>8.6725514976718748E-3</v>
      </c>
      <c r="XJ15" s="31">
        <f t="shared" ca="1" si="72"/>
        <v>2.487630709312956E-2</v>
      </c>
      <c r="XK15" s="31">
        <f t="shared" ca="1" si="72"/>
        <v>2.2602378399012631E-2</v>
      </c>
      <c r="XL15" s="31">
        <f t="shared" ca="1" si="72"/>
        <v>-2.6603378024859046E-2</v>
      </c>
      <c r="XM15" s="31">
        <f t="shared" ca="1" si="72"/>
        <v>-3.21220583192698E-2</v>
      </c>
      <c r="XN15" s="31">
        <f t="shared" ca="1" si="72"/>
        <v>1.8706491843201233E-2</v>
      </c>
      <c r="XO15" s="31">
        <f t="shared" ca="1" si="72"/>
        <v>-1.2380353435836405E-2</v>
      </c>
      <c r="XP15" s="31">
        <f t="shared" ca="1" si="72"/>
        <v>-4.6842392024209638E-2</v>
      </c>
      <c r="XQ15" s="31">
        <f t="shared" ca="1" si="72"/>
        <v>-1.6593738741986396E-2</v>
      </c>
      <c r="XR15" s="31">
        <f t="shared" ca="1" si="72"/>
        <v>-2.2707172304221552E-2</v>
      </c>
      <c r="XS15" s="31">
        <f t="shared" ca="1" si="72"/>
        <v>3.2672500540890388E-2</v>
      </c>
      <c r="XT15" s="31">
        <f t="shared" ca="1" si="72"/>
        <v>2.7394087006251996E-2</v>
      </c>
      <c r="XU15" s="31">
        <f t="shared" ca="1" si="72"/>
        <v>-8.8128565952533849E-2</v>
      </c>
      <c r="XV15" s="31">
        <f t="shared" ca="1" si="72"/>
        <v>-2.7966071486965002E-2</v>
      </c>
      <c r="XW15" s="31">
        <f t="shared" ca="1" si="72"/>
        <v>-4.2654230384721282E-3</v>
      </c>
      <c r="XX15" s="31">
        <f t="shared" ca="1" si="72"/>
        <v>-2.303310534746264E-2</v>
      </c>
      <c r="XY15" s="31">
        <f t="shared" ca="1" si="72"/>
        <v>3.0375228851333466E-2</v>
      </c>
      <c r="XZ15" s="31">
        <f t="shared" ca="1" si="65"/>
        <v>8.770627625755879E-3</v>
      </c>
      <c r="YA15" s="31">
        <f t="shared" ca="1" si="57"/>
        <v>5.0565047331120605E-2</v>
      </c>
      <c r="YB15" s="31">
        <f t="shared" ca="1" si="57"/>
        <v>5.212180230349707E-2</v>
      </c>
      <c r="YC15" s="31">
        <f t="shared" ref="YC15:AAN15" ca="1" si="80">_xlfn.NORM.INV(RAND(),$C$8,$C$9)</f>
        <v>-2.3245992290527991E-2</v>
      </c>
      <c r="YD15" s="31">
        <f t="shared" ca="1" si="80"/>
        <v>3.6535427715768003E-2</v>
      </c>
      <c r="YE15" s="31">
        <f t="shared" ca="1" si="80"/>
        <v>-1.9780438898038422E-2</v>
      </c>
      <c r="YF15" s="31">
        <f t="shared" ca="1" si="80"/>
        <v>8.975354830483985E-2</v>
      </c>
      <c r="YG15" s="31">
        <f t="shared" ca="1" si="80"/>
        <v>3.1246943975201348E-3</v>
      </c>
      <c r="YH15" s="31">
        <f t="shared" ca="1" si="80"/>
        <v>-5.8653942141849262E-2</v>
      </c>
      <c r="YI15" s="31">
        <f t="shared" ca="1" si="80"/>
        <v>-9.0809059725537804E-4</v>
      </c>
      <c r="YJ15" s="31">
        <f t="shared" ca="1" si="80"/>
        <v>1.1846571581461978E-2</v>
      </c>
      <c r="YK15" s="31">
        <f t="shared" ca="1" si="80"/>
        <v>-1.6131812004450671E-2</v>
      </c>
      <c r="YL15" s="31">
        <f t="shared" ca="1" si="80"/>
        <v>-6.3885282191572121E-2</v>
      </c>
      <c r="YM15" s="31">
        <f t="shared" ca="1" si="80"/>
        <v>2.2778656807115237E-2</v>
      </c>
      <c r="YN15" s="31">
        <f t="shared" ca="1" si="80"/>
        <v>1.8552885855777815E-2</v>
      </c>
      <c r="YO15" s="31">
        <f t="shared" ca="1" si="80"/>
        <v>-7.3484725203637524E-2</v>
      </c>
      <c r="YP15" s="31">
        <f t="shared" ca="1" si="80"/>
        <v>4.2415673644327821E-2</v>
      </c>
      <c r="YQ15" s="31">
        <f t="shared" ca="1" si="80"/>
        <v>5.9743814892410312E-2</v>
      </c>
      <c r="YR15" s="31">
        <f t="shared" ca="1" si="80"/>
        <v>2.9096900005498409E-3</v>
      </c>
      <c r="YS15" s="31">
        <f t="shared" ca="1" si="80"/>
        <v>-1.4469704364180706E-2</v>
      </c>
      <c r="YT15" s="31">
        <f t="shared" ca="1" si="80"/>
        <v>-3.1372453524829307E-2</v>
      </c>
      <c r="YU15" s="31">
        <f t="shared" ca="1" si="80"/>
        <v>3.4498983853687333E-3</v>
      </c>
      <c r="YV15" s="31">
        <f t="shared" ca="1" si="80"/>
        <v>-5.006133968779429E-2</v>
      </c>
      <c r="YW15" s="31">
        <f t="shared" ca="1" si="80"/>
        <v>-8.3019936033812192E-2</v>
      </c>
      <c r="YX15" s="31">
        <f t="shared" ca="1" si="80"/>
        <v>-1.2006409952901734E-2</v>
      </c>
      <c r="YY15" s="31">
        <f t="shared" ca="1" si="80"/>
        <v>2.6822941945721854E-2</v>
      </c>
      <c r="YZ15" s="31">
        <f t="shared" ca="1" si="80"/>
        <v>8.1044309043568782E-2</v>
      </c>
      <c r="ZA15" s="31">
        <f t="shared" ca="1" si="80"/>
        <v>1.8549331726344521E-2</v>
      </c>
      <c r="ZB15" s="31">
        <f t="shared" ca="1" si="80"/>
        <v>1.4506706331934505E-2</v>
      </c>
      <c r="ZC15" s="31">
        <f t="shared" ca="1" si="80"/>
        <v>-3.1311656174539626E-2</v>
      </c>
      <c r="ZD15" s="31">
        <f t="shared" ca="1" si="80"/>
        <v>5.570187297045244E-2</v>
      </c>
      <c r="ZE15" s="31">
        <f t="shared" ca="1" si="80"/>
        <v>-2.9562872124235709E-2</v>
      </c>
      <c r="ZF15" s="31">
        <f t="shared" ca="1" si="80"/>
        <v>-4.1367721288156085E-2</v>
      </c>
      <c r="ZG15" s="31">
        <f t="shared" ca="1" si="80"/>
        <v>-3.0144705899119148E-2</v>
      </c>
      <c r="ZH15" s="31">
        <f t="shared" ca="1" si="80"/>
        <v>2.2535311981548425E-2</v>
      </c>
      <c r="ZI15" s="31">
        <f t="shared" ca="1" si="80"/>
        <v>4.8920841583532174E-2</v>
      </c>
      <c r="ZJ15" s="31">
        <f t="shared" ca="1" si="80"/>
        <v>4.0662292556587626E-2</v>
      </c>
      <c r="ZK15" s="31">
        <f t="shared" ca="1" si="80"/>
        <v>4.3198688079528286E-2</v>
      </c>
      <c r="ZL15" s="31">
        <f t="shared" ca="1" si="80"/>
        <v>-2.4428182610874587E-2</v>
      </c>
      <c r="ZM15" s="31">
        <f t="shared" ca="1" si="80"/>
        <v>-7.5506601532379258E-2</v>
      </c>
      <c r="ZN15" s="31">
        <f t="shared" ca="1" si="80"/>
        <v>8.6909665547125287E-2</v>
      </c>
      <c r="ZO15" s="31">
        <f t="shared" ca="1" si="80"/>
        <v>5.1401894905322196E-2</v>
      </c>
      <c r="ZP15" s="31">
        <f t="shared" ca="1" si="80"/>
        <v>9.0351492051552781E-2</v>
      </c>
      <c r="ZQ15" s="31">
        <f t="shared" ca="1" si="80"/>
        <v>4.189873362465911E-2</v>
      </c>
      <c r="ZR15" s="31">
        <f t="shared" ca="1" si="80"/>
        <v>-1.5917198551585767E-2</v>
      </c>
      <c r="ZS15" s="31">
        <f t="shared" ca="1" si="80"/>
        <v>-1.6331198263126446E-2</v>
      </c>
      <c r="ZT15" s="31">
        <f t="shared" ca="1" si="80"/>
        <v>2.5225192703025198E-2</v>
      </c>
      <c r="ZU15" s="31">
        <f t="shared" ca="1" si="80"/>
        <v>2.3323965867529297E-2</v>
      </c>
      <c r="ZV15" s="31">
        <f t="shared" ca="1" si="80"/>
        <v>8.4919641440608401E-2</v>
      </c>
      <c r="ZW15" s="31">
        <f t="shared" ca="1" si="80"/>
        <v>-2.2358962162805758E-2</v>
      </c>
      <c r="ZX15" s="31">
        <f t="shared" ca="1" si="80"/>
        <v>2.7050302922377693E-2</v>
      </c>
      <c r="ZY15" s="31">
        <f t="shared" ca="1" si="80"/>
        <v>-1.735477008832054E-2</v>
      </c>
      <c r="ZZ15" s="31">
        <f t="shared" ca="1" si="80"/>
        <v>-1.2168211985746016E-2</v>
      </c>
      <c r="AAA15" s="31">
        <f t="shared" ca="1" si="80"/>
        <v>8.4728531601385142E-3</v>
      </c>
      <c r="AAB15" s="31">
        <f t="shared" ca="1" si="80"/>
        <v>-3.6522704539902584E-2</v>
      </c>
      <c r="AAC15" s="31">
        <f t="shared" ca="1" si="80"/>
        <v>4.2609406869186683E-2</v>
      </c>
      <c r="AAD15" s="31">
        <f t="shared" ca="1" si="80"/>
        <v>3.6056122094850736E-3</v>
      </c>
      <c r="AAE15" s="31">
        <f t="shared" ca="1" si="80"/>
        <v>1.6709877716107605E-2</v>
      </c>
      <c r="AAF15" s="31">
        <f t="shared" ca="1" si="80"/>
        <v>5.0509513384650186E-2</v>
      </c>
      <c r="AAG15" s="31">
        <f t="shared" ca="1" si="80"/>
        <v>9.3088152559908877E-2</v>
      </c>
      <c r="AAH15" s="31">
        <f t="shared" ca="1" si="80"/>
        <v>1.7604102246112016E-2</v>
      </c>
      <c r="AAI15" s="31">
        <f t="shared" ca="1" si="80"/>
        <v>6.863115045468357E-2</v>
      </c>
      <c r="AAJ15" s="31">
        <f t="shared" ca="1" si="80"/>
        <v>1.8975066732502242E-2</v>
      </c>
      <c r="AAK15" s="31">
        <f t="shared" ca="1" si="80"/>
        <v>4.4048352795200134E-2</v>
      </c>
      <c r="AAL15" s="31">
        <f t="shared" ca="1" si="80"/>
        <v>-1.7454371850627443E-2</v>
      </c>
      <c r="AAM15" s="31">
        <f t="shared" ca="1" si="80"/>
        <v>-0.11001834740370074</v>
      </c>
      <c r="AAN15" s="31">
        <f t="shared" ca="1" si="80"/>
        <v>3.063260405320789E-3</v>
      </c>
      <c r="AAO15" s="31">
        <f t="shared" ca="1" si="73"/>
        <v>3.2818253764622225E-2</v>
      </c>
      <c r="AAP15" s="31">
        <f t="shared" ca="1" si="73"/>
        <v>-7.2894701917167432E-2</v>
      </c>
      <c r="AAQ15" s="31">
        <f t="shared" ca="1" si="73"/>
        <v>-1.9471693495176801E-2</v>
      </c>
      <c r="AAR15" s="31">
        <f t="shared" ca="1" si="73"/>
        <v>-1.0052214784843508E-2</v>
      </c>
      <c r="AAS15" s="31">
        <f t="shared" ca="1" si="73"/>
        <v>-5.7321316379315449E-3</v>
      </c>
      <c r="AAT15" s="31">
        <f t="shared" ca="1" si="73"/>
        <v>3.981172980414726E-2</v>
      </c>
      <c r="AAU15" s="31">
        <f t="shared" ca="1" si="73"/>
        <v>1.4960905204297813E-2</v>
      </c>
      <c r="AAV15" s="31">
        <f t="shared" ca="1" si="73"/>
        <v>7.4524115855339135E-2</v>
      </c>
      <c r="AAW15" s="31">
        <f t="shared" ca="1" si="73"/>
        <v>-1.2301283773745987E-2</v>
      </c>
      <c r="AAX15" s="31">
        <f t="shared" ca="1" si="73"/>
        <v>-7.2469862377370339E-2</v>
      </c>
      <c r="AAY15" s="31">
        <f t="shared" ca="1" si="73"/>
        <v>-5.2929110954905427E-2</v>
      </c>
      <c r="AAZ15" s="31">
        <f t="shared" ca="1" si="73"/>
        <v>-8.4830045154301453E-2</v>
      </c>
      <c r="ABA15" s="31">
        <f t="shared" ca="1" si="73"/>
        <v>-6.4477946242078518E-2</v>
      </c>
      <c r="ABB15" s="31">
        <f t="shared" ca="1" si="73"/>
        <v>-3.06112181049919E-2</v>
      </c>
      <c r="ABC15" s="31">
        <f t="shared" ca="1" si="73"/>
        <v>1.1984073945065818E-3</v>
      </c>
      <c r="ABD15" s="31">
        <f t="shared" ca="1" si="73"/>
        <v>7.5579954666690416E-2</v>
      </c>
      <c r="ABE15" s="31">
        <f t="shared" ca="1" si="73"/>
        <v>-9.1850539831354779E-3</v>
      </c>
      <c r="ABF15" s="31">
        <f t="shared" ca="1" si="73"/>
        <v>-1.5706228598706164E-2</v>
      </c>
      <c r="ABG15" s="31">
        <f t="shared" ca="1" si="73"/>
        <v>-2.2002694941398475E-3</v>
      </c>
      <c r="ABH15" s="31">
        <f t="shared" ca="1" si="73"/>
        <v>-2.0837637397885609E-2</v>
      </c>
      <c r="ABI15" s="31">
        <f t="shared" ca="1" si="73"/>
        <v>-2.8317733023635671E-2</v>
      </c>
      <c r="ABJ15" s="31">
        <f t="shared" ca="1" si="73"/>
        <v>4.6459235526461376E-2</v>
      </c>
      <c r="ABK15" s="31">
        <f t="shared" ca="1" si="73"/>
        <v>-1.4952088505313814E-2</v>
      </c>
      <c r="ABL15" s="31">
        <f t="shared" ca="1" si="73"/>
        <v>-2.362443274156812E-2</v>
      </c>
      <c r="ABM15" s="31">
        <f t="shared" ca="1" si="73"/>
        <v>-9.0525481657584093E-3</v>
      </c>
      <c r="ABN15" s="31">
        <f t="shared" ca="1" si="73"/>
        <v>2.2956644092249279E-2</v>
      </c>
      <c r="ABO15" s="31">
        <f t="shared" ca="1" si="73"/>
        <v>1.2485168002131628E-2</v>
      </c>
      <c r="ABP15" s="31">
        <f t="shared" ca="1" si="73"/>
        <v>-1.1711034901487144E-2</v>
      </c>
      <c r="ABQ15" s="31">
        <f t="shared" ca="1" si="73"/>
        <v>-2.7244799591297662E-3</v>
      </c>
      <c r="ABR15" s="31">
        <f t="shared" ca="1" si="73"/>
        <v>2.5366671219523677E-2</v>
      </c>
      <c r="ABS15" s="31">
        <f t="shared" ca="1" si="73"/>
        <v>6.1570058110292772E-2</v>
      </c>
      <c r="ABT15" s="31">
        <f t="shared" ca="1" si="73"/>
        <v>2.5440591662200043E-3</v>
      </c>
      <c r="ABU15" s="31">
        <f t="shared" ca="1" si="73"/>
        <v>4.467649232191663E-2</v>
      </c>
      <c r="ABV15" s="31">
        <f t="shared" ca="1" si="73"/>
        <v>1.4943980139094303E-2</v>
      </c>
      <c r="ABW15" s="31">
        <f t="shared" ca="1" si="73"/>
        <v>-1.029854128482301E-2</v>
      </c>
      <c r="ABX15" s="31">
        <f t="shared" ca="1" si="73"/>
        <v>-1.6557024013650043E-2</v>
      </c>
      <c r="ABY15" s="31">
        <f t="shared" ca="1" si="73"/>
        <v>-3.0989241984959302E-2</v>
      </c>
      <c r="ABZ15" s="31">
        <f t="shared" ca="1" si="73"/>
        <v>-1.3848891707874659E-2</v>
      </c>
      <c r="ACA15" s="31">
        <f t="shared" ca="1" si="73"/>
        <v>1.8569818640708575E-2</v>
      </c>
      <c r="ACB15" s="31">
        <f t="shared" ca="1" si="73"/>
        <v>-7.4183518182718358E-2</v>
      </c>
      <c r="ACC15" s="31">
        <f t="shared" ca="1" si="73"/>
        <v>1.5771125804308589E-2</v>
      </c>
      <c r="ACD15" s="31">
        <f t="shared" ca="1" si="73"/>
        <v>1.7433082538084042E-2</v>
      </c>
      <c r="ACE15" s="31">
        <f t="shared" ca="1" si="73"/>
        <v>-2.4457649245828047E-2</v>
      </c>
      <c r="ACF15" s="31">
        <f t="shared" ca="1" si="73"/>
        <v>-6.4019650135391612E-2</v>
      </c>
      <c r="ACG15" s="31">
        <f t="shared" ca="1" si="73"/>
        <v>3.1785402998625286E-3</v>
      </c>
      <c r="ACH15" s="31">
        <f t="shared" ca="1" si="73"/>
        <v>6.8008660601632104E-2</v>
      </c>
      <c r="ACI15" s="31">
        <f t="shared" ca="1" si="73"/>
        <v>-2.5790913353078222E-2</v>
      </c>
      <c r="ACJ15" s="31">
        <f t="shared" ca="1" si="73"/>
        <v>3.0014876314647585E-2</v>
      </c>
      <c r="ACK15" s="31">
        <f t="shared" ca="1" si="73"/>
        <v>2.3412015533903978E-2</v>
      </c>
      <c r="ACL15" s="31">
        <f t="shared" ca="1" si="73"/>
        <v>1.7460454867302688E-2</v>
      </c>
      <c r="ACM15" s="31">
        <f t="shared" ca="1" si="73"/>
        <v>5.1714308343652406E-2</v>
      </c>
      <c r="ACN15" s="31">
        <f t="shared" ca="1" si="73"/>
        <v>-2.3076763637605822E-2</v>
      </c>
      <c r="ACO15" s="31">
        <f t="shared" ca="1" si="73"/>
        <v>-6.0461415136586684E-2</v>
      </c>
      <c r="ACP15" s="31">
        <f t="shared" ca="1" si="73"/>
        <v>3.3200462747263546E-3</v>
      </c>
      <c r="ACQ15" s="31">
        <f t="shared" ca="1" si="73"/>
        <v>-5.3005628945378941E-2</v>
      </c>
      <c r="ACR15" s="31">
        <f t="shared" ca="1" si="73"/>
        <v>3.7242771568383522E-2</v>
      </c>
      <c r="ACS15" s="31">
        <f t="shared" ca="1" si="73"/>
        <v>3.2709648352820166E-3</v>
      </c>
      <c r="ACT15" s="31">
        <f t="shared" ca="1" si="73"/>
        <v>8.8295585116402009E-2</v>
      </c>
      <c r="ACU15" s="31">
        <f t="shared" ca="1" si="73"/>
        <v>-7.5167569532984032E-3</v>
      </c>
      <c r="ACV15" s="31">
        <f t="shared" ca="1" si="73"/>
        <v>9.7457774654130178E-3</v>
      </c>
      <c r="ACW15" s="31">
        <f t="shared" ca="1" si="73"/>
        <v>-1.6758444725303863E-2</v>
      </c>
      <c r="ACX15" s="31">
        <f t="shared" ca="1" si="66"/>
        <v>-3.0439392329323176E-2</v>
      </c>
      <c r="ACY15" s="31">
        <f t="shared" ca="1" si="58"/>
        <v>1.4800425405650183E-2</v>
      </c>
      <c r="ACZ15" s="31">
        <f t="shared" ca="1" si="58"/>
        <v>2.4451133004859498E-2</v>
      </c>
      <c r="ADA15" s="31">
        <f t="shared" ref="ADA15:AFL15" ca="1" si="81">_xlfn.NORM.INV(RAND(),$C$8,$C$9)</f>
        <v>3.9268879384875839E-2</v>
      </c>
      <c r="ADB15" s="31">
        <f t="shared" ca="1" si="81"/>
        <v>-2.750671874092623E-2</v>
      </c>
      <c r="ADC15" s="31">
        <f t="shared" ca="1" si="81"/>
        <v>7.6562408800824044E-3</v>
      </c>
      <c r="ADD15" s="31">
        <f t="shared" ca="1" si="81"/>
        <v>-3.1643084879212871E-2</v>
      </c>
      <c r="ADE15" s="31">
        <f t="shared" ca="1" si="81"/>
        <v>6.7533514216561123E-3</v>
      </c>
      <c r="ADF15" s="31">
        <f t="shared" ca="1" si="81"/>
        <v>5.4383463213943641E-2</v>
      </c>
      <c r="ADG15" s="31">
        <f t="shared" ca="1" si="81"/>
        <v>-2.4578683996624873E-2</v>
      </c>
      <c r="ADH15" s="31">
        <f t="shared" ca="1" si="81"/>
        <v>1.3834737746146398E-2</v>
      </c>
      <c r="ADI15" s="31">
        <f t="shared" ca="1" si="81"/>
        <v>-6.956076196315289E-2</v>
      </c>
      <c r="ADJ15" s="31">
        <f t="shared" ca="1" si="81"/>
        <v>-5.0312610599483734E-2</v>
      </c>
      <c r="ADK15" s="31">
        <f t="shared" ca="1" si="81"/>
        <v>-2.5698458365410555E-3</v>
      </c>
      <c r="ADL15" s="31">
        <f t="shared" ca="1" si="81"/>
        <v>1.2385049668482853E-2</v>
      </c>
      <c r="ADM15" s="31">
        <f t="shared" ca="1" si="81"/>
        <v>-5.4133393157913406E-3</v>
      </c>
      <c r="ADN15" s="31">
        <f t="shared" ca="1" si="81"/>
        <v>3.482428508660191E-2</v>
      </c>
      <c r="ADO15" s="31">
        <f t="shared" ca="1" si="81"/>
        <v>-1.5707026998256473E-2</v>
      </c>
      <c r="ADP15" s="31">
        <f t="shared" ca="1" si="81"/>
        <v>2.9869219914133206E-2</v>
      </c>
      <c r="ADQ15" s="31">
        <f t="shared" ca="1" si="81"/>
        <v>3.5812255764637577E-2</v>
      </c>
      <c r="ADR15" s="31">
        <f t="shared" ca="1" si="81"/>
        <v>2.5354126127105733E-2</v>
      </c>
      <c r="ADS15" s="31">
        <f t="shared" ca="1" si="81"/>
        <v>1.7665841332849402E-3</v>
      </c>
      <c r="ADT15" s="31">
        <f t="shared" ca="1" si="81"/>
        <v>2.7377987756511089E-2</v>
      </c>
      <c r="ADU15" s="31">
        <f t="shared" ca="1" si="81"/>
        <v>7.6731718768992721E-2</v>
      </c>
      <c r="ADV15" s="31">
        <f t="shared" ca="1" si="81"/>
        <v>-3.697824800365946E-2</v>
      </c>
      <c r="ADW15" s="31">
        <f t="shared" ca="1" si="81"/>
        <v>-2.8279291180052579E-2</v>
      </c>
      <c r="ADX15" s="31">
        <f t="shared" ca="1" si="81"/>
        <v>-1.8469186923844225E-3</v>
      </c>
      <c r="ADY15" s="31">
        <f t="shared" ca="1" si="81"/>
        <v>-7.3479361872931831E-2</v>
      </c>
      <c r="ADZ15" s="31">
        <f t="shared" ca="1" si="81"/>
        <v>-3.5128462373807651E-2</v>
      </c>
      <c r="AEA15" s="31">
        <f t="shared" ca="1" si="81"/>
        <v>2.3774963324624879E-2</v>
      </c>
      <c r="AEB15" s="31">
        <f t="shared" ca="1" si="81"/>
        <v>-1.5991707698050202E-2</v>
      </c>
      <c r="AEC15" s="31">
        <f t="shared" ca="1" si="81"/>
        <v>-1.1861983783583777E-2</v>
      </c>
      <c r="AED15" s="31">
        <f t="shared" ca="1" si="81"/>
        <v>-1.4976935236169786E-3</v>
      </c>
      <c r="AEE15" s="31">
        <f t="shared" ca="1" si="81"/>
        <v>2.3161979640415126E-2</v>
      </c>
      <c r="AEF15" s="31">
        <f t="shared" ca="1" si="81"/>
        <v>4.5745037071539055E-2</v>
      </c>
      <c r="AEG15" s="31">
        <f t="shared" ca="1" si="81"/>
        <v>-3.1439617927959719E-2</v>
      </c>
      <c r="AEH15" s="31">
        <f t="shared" ca="1" si="81"/>
        <v>1.6452256765445199E-2</v>
      </c>
      <c r="AEI15" s="31">
        <f t="shared" ca="1" si="81"/>
        <v>1.3725981213665375E-2</v>
      </c>
      <c r="AEJ15" s="31">
        <f t="shared" ca="1" si="81"/>
        <v>-4.3618777082114896E-3</v>
      </c>
      <c r="AEK15" s="31">
        <f t="shared" ca="1" si="81"/>
        <v>-6.7751995540309681E-2</v>
      </c>
      <c r="AEL15" s="31">
        <f t="shared" ca="1" si="81"/>
        <v>5.4133840516068031E-2</v>
      </c>
      <c r="AEM15" s="31">
        <f t="shared" ca="1" si="81"/>
        <v>3.4011018064097807E-3</v>
      </c>
      <c r="AEN15" s="31">
        <f t="shared" ca="1" si="81"/>
        <v>6.568473494524435E-2</v>
      </c>
      <c r="AEO15" s="31">
        <f t="shared" ca="1" si="81"/>
        <v>3.3607955829802375E-2</v>
      </c>
      <c r="AEP15" s="31">
        <f t="shared" ca="1" si="81"/>
        <v>9.7756861167575426E-2</v>
      </c>
      <c r="AEQ15" s="31">
        <f t="shared" ca="1" si="81"/>
        <v>1.4197273965712945E-2</v>
      </c>
      <c r="AER15" s="31">
        <f t="shared" ca="1" si="81"/>
        <v>2.0581068690632136E-2</v>
      </c>
      <c r="AES15" s="31">
        <f t="shared" ca="1" si="81"/>
        <v>-8.1172443614630722E-3</v>
      </c>
      <c r="AET15" s="31">
        <f t="shared" ca="1" si="81"/>
        <v>4.3094816125865576E-2</v>
      </c>
      <c r="AEU15" s="31">
        <f t="shared" ca="1" si="81"/>
        <v>4.0675165567516214E-2</v>
      </c>
      <c r="AEV15" s="31">
        <f t="shared" ca="1" si="81"/>
        <v>-4.1750810434913422E-3</v>
      </c>
      <c r="AEW15" s="31">
        <f t="shared" ca="1" si="81"/>
        <v>2.6286683934884352E-2</v>
      </c>
      <c r="AEX15" s="31">
        <f t="shared" ca="1" si="81"/>
        <v>3.2268519606804595E-2</v>
      </c>
      <c r="AEY15" s="31">
        <f t="shared" ca="1" si="81"/>
        <v>-3.2048624346340544E-2</v>
      </c>
      <c r="AEZ15" s="31">
        <f t="shared" ca="1" si="81"/>
        <v>-1.5300935026146465E-2</v>
      </c>
      <c r="AFA15" s="31">
        <f t="shared" ca="1" si="81"/>
        <v>2.862548415202237E-2</v>
      </c>
      <c r="AFB15" s="31">
        <f t="shared" ca="1" si="81"/>
        <v>-6.9376030242316269E-2</v>
      </c>
      <c r="AFC15" s="31">
        <f t="shared" ca="1" si="81"/>
        <v>1.907407848687967E-2</v>
      </c>
      <c r="AFD15" s="31">
        <f t="shared" ca="1" si="81"/>
        <v>-7.0453752278236709E-3</v>
      </c>
      <c r="AFE15" s="31">
        <f t="shared" ca="1" si="81"/>
        <v>-3.9895221648321606E-2</v>
      </c>
      <c r="AFF15" s="31">
        <f t="shared" ca="1" si="81"/>
        <v>-2.798935847101916E-2</v>
      </c>
      <c r="AFG15" s="31">
        <f t="shared" ca="1" si="81"/>
        <v>2.447715492000184E-2</v>
      </c>
      <c r="AFH15" s="31">
        <f t="shared" ca="1" si="81"/>
        <v>-2.4277996745715475E-2</v>
      </c>
      <c r="AFI15" s="31">
        <f t="shared" ca="1" si="81"/>
        <v>-5.4795757118937957E-2</v>
      </c>
      <c r="AFJ15" s="31">
        <f t="shared" ca="1" si="81"/>
        <v>2.7537369858445532E-2</v>
      </c>
      <c r="AFK15" s="31">
        <f t="shared" ca="1" si="81"/>
        <v>-1.774850481387533E-2</v>
      </c>
      <c r="AFL15" s="31">
        <f t="shared" ca="1" si="81"/>
        <v>7.8485862244189297E-2</v>
      </c>
      <c r="AFM15" s="31">
        <f t="shared" ca="1" si="74"/>
        <v>7.8496853103479258E-2</v>
      </c>
      <c r="AFN15" s="31">
        <f t="shared" ca="1" si="74"/>
        <v>5.2249727275702831E-2</v>
      </c>
      <c r="AFO15" s="31">
        <f t="shared" ca="1" si="74"/>
        <v>-5.9263560395687379E-2</v>
      </c>
      <c r="AFP15" s="31">
        <f t="shared" ca="1" si="74"/>
        <v>-4.7297750064124185E-2</v>
      </c>
      <c r="AFQ15" s="31">
        <f t="shared" ca="1" si="74"/>
        <v>2.2159281900385613E-2</v>
      </c>
      <c r="AFR15" s="31">
        <f t="shared" ca="1" si="74"/>
        <v>1.8547779715521445E-2</v>
      </c>
      <c r="AFS15" s="31">
        <f t="shared" ca="1" si="74"/>
        <v>-5.1903311244160505E-2</v>
      </c>
      <c r="AFT15" s="31">
        <f t="shared" ca="1" si="74"/>
        <v>-1.4050748140229302E-2</v>
      </c>
      <c r="AFU15" s="31">
        <f t="shared" ca="1" si="74"/>
        <v>-1.4613929792852952E-3</v>
      </c>
      <c r="AFV15" s="31">
        <f t="shared" ca="1" si="74"/>
        <v>-8.5846231006397652E-3</v>
      </c>
      <c r="AFW15" s="31">
        <f t="shared" ca="1" si="74"/>
        <v>1.1636786657642286E-2</v>
      </c>
      <c r="AFX15" s="31">
        <f t="shared" ca="1" si="74"/>
        <v>5.4456814487191668E-2</v>
      </c>
      <c r="AFY15" s="31">
        <f t="shared" ca="1" si="74"/>
        <v>3.0653009721538779E-2</v>
      </c>
      <c r="AFZ15" s="31">
        <f t="shared" ca="1" si="74"/>
        <v>-3.5892707029366332E-2</v>
      </c>
      <c r="AGA15" s="31">
        <f t="shared" ca="1" si="74"/>
        <v>4.5360405695878028E-2</v>
      </c>
      <c r="AGB15" s="31">
        <f t="shared" ca="1" si="74"/>
        <v>-6.7367946097184016E-3</v>
      </c>
      <c r="AGC15" s="31">
        <f t="shared" ca="1" si="74"/>
        <v>1.6440494738195296E-2</v>
      </c>
      <c r="AGD15" s="31">
        <f t="shared" ca="1" si="74"/>
        <v>-1.5533909738506265E-2</v>
      </c>
      <c r="AGE15" s="31">
        <f t="shared" ca="1" si="74"/>
        <v>0.11725097505602609</v>
      </c>
      <c r="AGF15" s="31">
        <f t="shared" ca="1" si="74"/>
        <v>2.6419493135288904E-2</v>
      </c>
      <c r="AGG15" s="31">
        <f t="shared" ca="1" si="74"/>
        <v>-4.8244962757287374E-2</v>
      </c>
      <c r="AGH15" s="31">
        <f t="shared" ca="1" si="74"/>
        <v>1.1740220321548112E-2</v>
      </c>
      <c r="AGI15" s="31">
        <f t="shared" ca="1" si="74"/>
        <v>-4.5219210594079629E-2</v>
      </c>
      <c r="AGJ15" s="31">
        <f t="shared" ca="1" si="74"/>
        <v>-2.7362016880425354E-2</v>
      </c>
      <c r="AGK15" s="31">
        <f t="shared" ca="1" si="74"/>
        <v>7.1983650355929574E-2</v>
      </c>
      <c r="AGL15" s="31">
        <f t="shared" ca="1" si="74"/>
        <v>3.706172854194929E-3</v>
      </c>
      <c r="AGM15" s="31">
        <f t="shared" ca="1" si="74"/>
        <v>6.2842239716359855E-2</v>
      </c>
      <c r="AGN15" s="31">
        <f t="shared" ca="1" si="74"/>
        <v>2.5291916612208691E-2</v>
      </c>
      <c r="AGO15" s="31">
        <f t="shared" ca="1" si="74"/>
        <v>-4.7229467644875629E-2</v>
      </c>
      <c r="AGP15" s="31">
        <f t="shared" ca="1" si="74"/>
        <v>7.9691300718686808E-3</v>
      </c>
      <c r="AGQ15" s="31">
        <f t="shared" ca="1" si="74"/>
        <v>-7.2661965487619343E-2</v>
      </c>
      <c r="AGR15" s="31">
        <f t="shared" ca="1" si="74"/>
        <v>7.9360662746870481E-2</v>
      </c>
      <c r="AGS15" s="31">
        <f t="shared" ca="1" si="74"/>
        <v>-1.8931572359451955E-2</v>
      </c>
      <c r="AGT15" s="31">
        <f t="shared" ca="1" si="74"/>
        <v>2.725493051176554E-2</v>
      </c>
      <c r="AGU15" s="31">
        <f t="shared" ca="1" si="74"/>
        <v>5.0264103733945582E-2</v>
      </c>
      <c r="AGV15" s="31">
        <f t="shared" ca="1" si="74"/>
        <v>-2.3331336670585475E-3</v>
      </c>
      <c r="AGW15" s="31">
        <f t="shared" ca="1" si="74"/>
        <v>-7.6994507547632887E-2</v>
      </c>
      <c r="AGX15" s="31">
        <f t="shared" ca="1" si="74"/>
        <v>-6.8119517914009178E-2</v>
      </c>
      <c r="AGY15" s="31">
        <f t="shared" ca="1" si="74"/>
        <v>2.208648124968058E-2</v>
      </c>
      <c r="AGZ15" s="31">
        <f t="shared" ca="1" si="74"/>
        <v>-1.3992460945443628E-2</v>
      </c>
      <c r="AHA15" s="31">
        <f t="shared" ca="1" si="74"/>
        <v>-4.4529318569869934E-2</v>
      </c>
      <c r="AHB15" s="31">
        <f t="shared" ca="1" si="74"/>
        <v>3.9855308370875227E-3</v>
      </c>
      <c r="AHC15" s="31">
        <f t="shared" ca="1" si="74"/>
        <v>-4.5245425982072665E-2</v>
      </c>
      <c r="AHD15" s="31">
        <f t="shared" ca="1" si="74"/>
        <v>6.6019733006601161E-2</v>
      </c>
      <c r="AHE15" s="31">
        <f t="shared" ca="1" si="74"/>
        <v>7.85032285651866E-2</v>
      </c>
      <c r="AHF15" s="31">
        <f t="shared" ca="1" si="74"/>
        <v>2.3117093558941535E-3</v>
      </c>
      <c r="AHG15" s="31">
        <f t="shared" ca="1" si="74"/>
        <v>-3.7683590100391871E-2</v>
      </c>
      <c r="AHH15" s="31">
        <f t="shared" ca="1" si="74"/>
        <v>1.7051446770421665E-2</v>
      </c>
      <c r="AHI15" s="31">
        <f t="shared" ca="1" si="74"/>
        <v>-8.7906774971977485E-3</v>
      </c>
      <c r="AHJ15" s="31">
        <f t="shared" ca="1" si="74"/>
        <v>-5.5930084589575289E-2</v>
      </c>
      <c r="AHK15" s="31">
        <f t="shared" ca="1" si="74"/>
        <v>8.1498756658449252E-3</v>
      </c>
      <c r="AHL15" s="31">
        <f t="shared" ca="1" si="74"/>
        <v>-1.862411846711335E-2</v>
      </c>
      <c r="AHM15" s="31">
        <f t="shared" ca="1" si="74"/>
        <v>1.8022406372132153E-2</v>
      </c>
      <c r="AHN15" s="31">
        <f t="shared" ca="1" si="74"/>
        <v>6.1813122538412471E-3</v>
      </c>
      <c r="AHO15" s="31">
        <f t="shared" ca="1" si="74"/>
        <v>4.8322158608548578E-3</v>
      </c>
      <c r="AHP15" s="31">
        <f t="shared" ca="1" si="74"/>
        <v>5.3645134507038866E-2</v>
      </c>
      <c r="AHQ15" s="31">
        <f t="shared" ca="1" si="74"/>
        <v>-9.6586426310919463E-3</v>
      </c>
      <c r="AHR15" s="31">
        <f t="shared" ca="1" si="74"/>
        <v>-2.0988036116980698E-2</v>
      </c>
      <c r="AHS15" s="31">
        <f t="shared" ca="1" si="74"/>
        <v>9.8827777850960544E-2</v>
      </c>
      <c r="AHT15" s="31">
        <f t="shared" ca="1" si="74"/>
        <v>6.4662844966735758E-2</v>
      </c>
      <c r="AHU15" s="31">
        <f t="shared" ca="1" si="74"/>
        <v>1.8796586086800255E-2</v>
      </c>
      <c r="AHV15" s="31">
        <f t="shared" ca="1" si="67"/>
        <v>1.5261069226913473E-2</v>
      </c>
      <c r="AHW15" s="31">
        <f t="shared" ca="1" si="59"/>
        <v>-2.396560456300819E-2</v>
      </c>
      <c r="AHX15" s="31">
        <f t="shared" ca="1" si="59"/>
        <v>-2.2727159696243723E-2</v>
      </c>
      <c r="AHY15" s="31">
        <f t="shared" ref="AHY15:AKJ15" ca="1" si="82">_xlfn.NORM.INV(RAND(),$C$8,$C$9)</f>
        <v>-6.5125723738651456E-2</v>
      </c>
      <c r="AHZ15" s="31">
        <f t="shared" ca="1" si="82"/>
        <v>-2.2698308029625296E-2</v>
      </c>
      <c r="AIA15" s="31">
        <f t="shared" ca="1" si="82"/>
        <v>-1.3458150323327926E-2</v>
      </c>
      <c r="AIB15" s="31">
        <f t="shared" ca="1" si="82"/>
        <v>3.4835562665260403E-2</v>
      </c>
      <c r="AIC15" s="31">
        <f t="shared" ca="1" si="82"/>
        <v>2.857587748292097E-2</v>
      </c>
      <c r="AID15" s="31">
        <f t="shared" ca="1" si="82"/>
        <v>8.3075276368632711E-2</v>
      </c>
      <c r="AIE15" s="31">
        <f t="shared" ca="1" si="82"/>
        <v>-4.5381442793198633E-3</v>
      </c>
      <c r="AIF15" s="31">
        <f t="shared" ca="1" si="82"/>
        <v>1.5065173772483771E-2</v>
      </c>
      <c r="AIG15" s="31">
        <f t="shared" ca="1" si="82"/>
        <v>6.1027790448267239E-3</v>
      </c>
      <c r="AIH15" s="31">
        <f t="shared" ca="1" si="82"/>
        <v>5.263749086484173E-3</v>
      </c>
      <c r="AII15" s="31">
        <f t="shared" ca="1" si="82"/>
        <v>-4.873308235575232E-2</v>
      </c>
      <c r="AIJ15" s="31">
        <f t="shared" ca="1" si="82"/>
        <v>-5.3827570314813729E-2</v>
      </c>
      <c r="AIK15" s="31">
        <f t="shared" ca="1" si="82"/>
        <v>1.6130665366571654E-2</v>
      </c>
      <c r="AIL15" s="31">
        <f t="shared" ca="1" si="82"/>
        <v>5.9461990268764649E-2</v>
      </c>
      <c r="AIM15" s="31">
        <f t="shared" ca="1" si="82"/>
        <v>1.9524257090928646E-2</v>
      </c>
      <c r="AIN15" s="31">
        <f t="shared" ca="1" si="82"/>
        <v>2.5243809874418606E-2</v>
      </c>
      <c r="AIO15" s="31">
        <f t="shared" ca="1" si="82"/>
        <v>-8.1662425775951342E-2</v>
      </c>
      <c r="AIP15" s="31">
        <f t="shared" ca="1" si="82"/>
        <v>6.0635758987355827E-2</v>
      </c>
      <c r="AIQ15" s="31">
        <f t="shared" ca="1" si="82"/>
        <v>4.9146840323969765E-2</v>
      </c>
      <c r="AIR15" s="31">
        <f t="shared" ca="1" si="82"/>
        <v>4.7423413525715136E-2</v>
      </c>
      <c r="AIS15" s="31">
        <f t="shared" ca="1" si="82"/>
        <v>-1.6602853215066076E-3</v>
      </c>
      <c r="AIT15" s="31">
        <f t="shared" ca="1" si="82"/>
        <v>1.4733456416697242E-2</v>
      </c>
      <c r="AIU15" s="31">
        <f t="shared" ca="1" si="82"/>
        <v>1.631179362936867E-2</v>
      </c>
      <c r="AIV15" s="31">
        <f t="shared" ca="1" si="82"/>
        <v>6.45788976003462E-2</v>
      </c>
      <c r="AIW15" s="31">
        <f t="shared" ca="1" si="82"/>
        <v>4.6426066825559921E-2</v>
      </c>
      <c r="AIX15" s="31">
        <f t="shared" ca="1" si="82"/>
        <v>-5.5255918359193489E-2</v>
      </c>
      <c r="AIY15" s="31">
        <f t="shared" ca="1" si="82"/>
        <v>-2.92168849254427E-2</v>
      </c>
      <c r="AIZ15" s="31">
        <f t="shared" ca="1" si="82"/>
        <v>5.9775600018351548E-2</v>
      </c>
      <c r="AJA15" s="31">
        <f t="shared" ca="1" si="82"/>
        <v>4.9493781357023793E-2</v>
      </c>
      <c r="AJB15" s="31">
        <f t="shared" ca="1" si="82"/>
        <v>2.6776632589711309E-2</v>
      </c>
      <c r="AJC15" s="31">
        <f t="shared" ca="1" si="82"/>
        <v>6.7395459772751215E-2</v>
      </c>
      <c r="AJD15" s="31">
        <f t="shared" ca="1" si="82"/>
        <v>6.1646689732100406E-2</v>
      </c>
      <c r="AJE15" s="31">
        <f t="shared" ca="1" si="82"/>
        <v>1.5846372436841305E-3</v>
      </c>
      <c r="AJF15" s="31">
        <f t="shared" ca="1" si="82"/>
        <v>1.3096493568888944E-2</v>
      </c>
      <c r="AJG15" s="31">
        <f t="shared" ca="1" si="82"/>
        <v>-1.5833312486749504E-2</v>
      </c>
      <c r="AJH15" s="31">
        <f t="shared" ca="1" si="82"/>
        <v>6.0986670356285976E-3</v>
      </c>
      <c r="AJI15" s="31">
        <f t="shared" ca="1" si="82"/>
        <v>-5.1114060344768335E-2</v>
      </c>
      <c r="AJJ15" s="31">
        <f t="shared" ca="1" si="82"/>
        <v>-3.8161441078252298E-2</v>
      </c>
      <c r="AJK15" s="31">
        <f t="shared" ca="1" si="82"/>
        <v>-9.3024609234212366E-2</v>
      </c>
      <c r="AJL15" s="31">
        <f t="shared" ca="1" si="82"/>
        <v>5.0802090062351521E-2</v>
      </c>
      <c r="AJM15" s="31">
        <f t="shared" ca="1" si="82"/>
        <v>-3.9252113618770908E-2</v>
      </c>
      <c r="AJN15" s="31">
        <f t="shared" ca="1" si="82"/>
        <v>6.4273058620895288E-2</v>
      </c>
      <c r="AJO15" s="31">
        <f t="shared" ca="1" si="82"/>
        <v>8.7525458355220562E-2</v>
      </c>
      <c r="AJP15" s="31">
        <f t="shared" ca="1" si="82"/>
        <v>5.2965802752846833E-2</v>
      </c>
      <c r="AJQ15" s="31">
        <f t="shared" ca="1" si="82"/>
        <v>2.2122639349566351E-2</v>
      </c>
      <c r="AJR15" s="31">
        <f t="shared" ca="1" si="82"/>
        <v>3.0890258713447822E-2</v>
      </c>
      <c r="AJS15" s="31">
        <f t="shared" ca="1" si="82"/>
        <v>-3.580052400607954E-2</v>
      </c>
      <c r="AJT15" s="31">
        <f t="shared" ca="1" si="82"/>
        <v>-2.2043679012417303E-2</v>
      </c>
      <c r="AJU15" s="31">
        <f t="shared" ca="1" si="82"/>
        <v>3.1100744872768357E-2</v>
      </c>
      <c r="AJV15" s="31">
        <f t="shared" ca="1" si="82"/>
        <v>2.2424681159653705E-2</v>
      </c>
      <c r="AJW15" s="31">
        <f t="shared" ca="1" si="82"/>
        <v>-4.6533128456627763E-2</v>
      </c>
      <c r="AJX15" s="31">
        <f t="shared" ca="1" si="82"/>
        <v>-3.2936813963622857E-2</v>
      </c>
      <c r="AJY15" s="31">
        <f t="shared" ca="1" si="82"/>
        <v>6.749133887864793E-2</v>
      </c>
      <c r="AJZ15" s="31">
        <f t="shared" ca="1" si="82"/>
        <v>5.8306109846729699E-3</v>
      </c>
      <c r="AKA15" s="31">
        <f t="shared" ca="1" si="82"/>
        <v>-1.9696301440946085E-2</v>
      </c>
      <c r="AKB15" s="31">
        <f t="shared" ca="1" si="82"/>
        <v>-9.534507286211949E-2</v>
      </c>
      <c r="AKC15" s="31">
        <f t="shared" ca="1" si="82"/>
        <v>-2.315369137504434E-2</v>
      </c>
      <c r="AKD15" s="31">
        <f t="shared" ca="1" si="82"/>
        <v>1.5418921620419282E-2</v>
      </c>
      <c r="AKE15" s="31">
        <f t="shared" ca="1" si="82"/>
        <v>-1.2005334310751653E-2</v>
      </c>
      <c r="AKF15" s="31">
        <f t="shared" ca="1" si="82"/>
        <v>2.3885899705596375E-2</v>
      </c>
      <c r="AKG15" s="31">
        <f t="shared" ca="1" si="82"/>
        <v>4.6140382612151906E-2</v>
      </c>
      <c r="AKH15" s="31">
        <f t="shared" ca="1" si="82"/>
        <v>-2.8446165131093888E-2</v>
      </c>
      <c r="AKI15" s="31">
        <f t="shared" ca="1" si="82"/>
        <v>3.1345896262950698E-3</v>
      </c>
      <c r="AKJ15" s="31">
        <f t="shared" ca="1" si="82"/>
        <v>7.3880256347769332E-2</v>
      </c>
      <c r="AKK15" s="31">
        <f t="shared" ca="1" si="60"/>
        <v>8.8249097753643185E-3</v>
      </c>
      <c r="AKL15" s="31">
        <f t="shared" ca="1" si="60"/>
        <v>9.9750416918481119E-2</v>
      </c>
      <c r="AKM15" s="31">
        <f t="shared" ca="1" si="60"/>
        <v>1.4191647692020708E-2</v>
      </c>
      <c r="AKN15" s="31">
        <f t="shared" ca="1" si="60"/>
        <v>1.6526966378325708E-2</v>
      </c>
      <c r="AKO15" s="31">
        <f t="shared" ca="1" si="60"/>
        <v>3.9373394078431817E-3</v>
      </c>
      <c r="AKP15" s="31">
        <f t="shared" ca="1" si="60"/>
        <v>1.4552094926609657E-2</v>
      </c>
      <c r="AKQ15" s="31">
        <f t="shared" ca="1" si="60"/>
        <v>1.7335085609713818E-2</v>
      </c>
      <c r="AKR15" s="31">
        <f t="shared" ca="1" si="60"/>
        <v>9.9502405722748811E-3</v>
      </c>
      <c r="AKS15" s="31">
        <f t="shared" ca="1" si="60"/>
        <v>5.8651936333079724E-3</v>
      </c>
      <c r="AKT15" s="31">
        <f t="shared" ca="1" si="60"/>
        <v>-1.8571256571903311E-2</v>
      </c>
      <c r="AKU15" s="31">
        <f t="shared" ca="1" si="60"/>
        <v>-5.7746072645715779E-4</v>
      </c>
      <c r="AKV15" s="31">
        <f t="shared" ca="1" si="60"/>
        <v>2.251403297692104E-2</v>
      </c>
      <c r="AKW15" s="31">
        <f t="shared" ca="1" si="60"/>
        <v>9.7659741322497929E-3</v>
      </c>
      <c r="AKX15" s="31">
        <f t="shared" ca="1" si="60"/>
        <v>1.6717515809356719E-2</v>
      </c>
      <c r="AKY15" s="31">
        <f t="shared" ca="1" si="60"/>
        <v>-2.0466451256224885E-2</v>
      </c>
      <c r="AKZ15" s="31">
        <f t="shared" ca="1" si="60"/>
        <v>1.3695418550674266E-2</v>
      </c>
      <c r="ALA15" s="31">
        <f t="shared" ca="1" si="60"/>
        <v>-4.4735309776137967E-2</v>
      </c>
      <c r="ALB15" s="31">
        <f t="shared" ca="1" si="60"/>
        <v>-1.812120912463215E-3</v>
      </c>
      <c r="ALC15" s="31">
        <f t="shared" ca="1" si="60"/>
        <v>2.6529804885170545E-2</v>
      </c>
      <c r="ALD15" s="31">
        <f t="shared" ca="1" si="60"/>
        <v>4.3174185978197603E-2</v>
      </c>
      <c r="ALE15" s="31">
        <f t="shared" ca="1" si="60"/>
        <v>8.8464152792211925E-2</v>
      </c>
      <c r="ALF15" s="31">
        <f t="shared" ca="1" si="60"/>
        <v>-1.5496910878751647E-2</v>
      </c>
      <c r="ALG15" s="31">
        <f t="shared" ca="1" si="60"/>
        <v>-4.6515897509189524E-2</v>
      </c>
      <c r="ALH15" s="31">
        <f t="shared" ca="1" si="60"/>
        <v>5.8170178117726193E-2</v>
      </c>
      <c r="ALI15" s="31">
        <f t="shared" ca="1" si="60"/>
        <v>8.4204122648582458E-2</v>
      </c>
      <c r="ALJ15" s="31">
        <f t="shared" ca="1" si="60"/>
        <v>-5.1853971284466288E-3</v>
      </c>
      <c r="ALK15" s="31">
        <f t="shared" ca="1" si="60"/>
        <v>4.8686709107945397E-2</v>
      </c>
      <c r="ALL15" s="31">
        <f t="shared" ca="1" si="60"/>
        <v>6.3359313538989021E-2</v>
      </c>
      <c r="ALM15" s="31">
        <f t="shared" ca="1" si="60"/>
        <v>3.5469932545290402E-3</v>
      </c>
      <c r="ALN15" s="31">
        <f t="shared" ca="1" si="60"/>
        <v>-9.2108298252400841E-2</v>
      </c>
      <c r="ALO15" s="31">
        <f t="shared" ca="1" si="60"/>
        <v>2.2781582516974888E-2</v>
      </c>
      <c r="ALP15" s="31">
        <f t="shared" ca="1" si="60"/>
        <v>1.2812859146901368E-3</v>
      </c>
      <c r="ALQ15" s="31">
        <f t="shared" ca="1" si="60"/>
        <v>-5.4409612748551703E-2</v>
      </c>
      <c r="ALR15" s="31">
        <f t="shared" ca="1" si="60"/>
        <v>8.0750528720228809E-2</v>
      </c>
    </row>
    <row r="16" spans="2:1006" x14ac:dyDescent="0.2">
      <c r="B16" s="60" t="s">
        <v>1561</v>
      </c>
      <c r="C16" s="60"/>
      <c r="D16" s="34">
        <f>D11*(1+D12/100)^(12/52)</f>
        <v>58223.94470118852</v>
      </c>
      <c r="F16" s="2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</row>
    <row r="17" spans="1:1006" x14ac:dyDescent="0.2">
      <c r="B17" s="61" t="s">
        <v>1553</v>
      </c>
      <c r="C17" s="61"/>
      <c r="D17" s="61"/>
      <c r="F17" s="21" t="s">
        <v>1560</v>
      </c>
      <c r="H17" s="24"/>
      <c r="I17" s="24"/>
      <c r="J17" s="24"/>
      <c r="K17" s="24"/>
      <c r="L17" s="24"/>
      <c r="M17" s="1"/>
      <c r="N17" s="68"/>
      <c r="O17" s="68"/>
      <c r="P17" s="68"/>
      <c r="Q17" s="68"/>
      <c r="R17" s="68"/>
      <c r="S17" s="68"/>
      <c r="T17" s="68"/>
      <c r="U17" s="6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</row>
    <row r="18" spans="1:1006" ht="17" customHeight="1" x14ac:dyDescent="0.2">
      <c r="B18" s="61"/>
      <c r="C18" s="61"/>
      <c r="D18" s="61"/>
      <c r="F18" s="10" t="s">
        <v>1536</v>
      </c>
      <c r="G18" s="10">
        <v>1</v>
      </c>
      <c r="H18" s="18">
        <f>G18+1</f>
        <v>2</v>
      </c>
      <c r="I18" s="18">
        <f>H18+1</f>
        <v>3</v>
      </c>
      <c r="J18" s="18">
        <f t="shared" ref="J18:BU18" si="83">I18+1</f>
        <v>4</v>
      </c>
      <c r="K18" s="18">
        <f t="shared" si="83"/>
        <v>5</v>
      </c>
      <c r="L18" s="18">
        <f t="shared" si="83"/>
        <v>6</v>
      </c>
      <c r="M18" s="18">
        <f t="shared" si="83"/>
        <v>7</v>
      </c>
      <c r="N18" s="18">
        <f t="shared" si="83"/>
        <v>8</v>
      </c>
      <c r="O18" s="18">
        <f t="shared" si="83"/>
        <v>9</v>
      </c>
      <c r="P18" s="18">
        <f t="shared" si="83"/>
        <v>10</v>
      </c>
      <c r="Q18" s="18">
        <f t="shared" si="83"/>
        <v>11</v>
      </c>
      <c r="R18" s="18">
        <f t="shared" si="83"/>
        <v>12</v>
      </c>
      <c r="S18" s="18">
        <f t="shared" si="83"/>
        <v>13</v>
      </c>
      <c r="T18" s="18">
        <f t="shared" si="83"/>
        <v>14</v>
      </c>
      <c r="U18" s="18">
        <f t="shared" si="83"/>
        <v>15</v>
      </c>
      <c r="V18" s="18">
        <f t="shared" si="83"/>
        <v>16</v>
      </c>
      <c r="W18" s="18">
        <f t="shared" si="83"/>
        <v>17</v>
      </c>
      <c r="X18" s="18">
        <f t="shared" si="83"/>
        <v>18</v>
      </c>
      <c r="Y18" s="18">
        <f t="shared" si="83"/>
        <v>19</v>
      </c>
      <c r="Z18" s="18">
        <f t="shared" si="83"/>
        <v>20</v>
      </c>
      <c r="AA18" s="18">
        <f t="shared" si="83"/>
        <v>21</v>
      </c>
      <c r="AB18" s="18">
        <f t="shared" si="83"/>
        <v>22</v>
      </c>
      <c r="AC18" s="18">
        <f t="shared" si="83"/>
        <v>23</v>
      </c>
      <c r="AD18" s="18">
        <f t="shared" si="83"/>
        <v>24</v>
      </c>
      <c r="AE18" s="18">
        <f t="shared" si="83"/>
        <v>25</v>
      </c>
      <c r="AF18" s="18">
        <f t="shared" si="83"/>
        <v>26</v>
      </c>
      <c r="AG18" s="18">
        <f t="shared" si="83"/>
        <v>27</v>
      </c>
      <c r="AH18" s="18">
        <f t="shared" si="83"/>
        <v>28</v>
      </c>
      <c r="AI18" s="18">
        <f t="shared" si="83"/>
        <v>29</v>
      </c>
      <c r="AJ18" s="18">
        <f t="shared" si="83"/>
        <v>30</v>
      </c>
      <c r="AK18" s="18">
        <f t="shared" si="83"/>
        <v>31</v>
      </c>
      <c r="AL18" s="18">
        <f t="shared" si="83"/>
        <v>32</v>
      </c>
      <c r="AM18" s="18">
        <f t="shared" si="83"/>
        <v>33</v>
      </c>
      <c r="AN18" s="18">
        <f t="shared" si="83"/>
        <v>34</v>
      </c>
      <c r="AO18" s="18">
        <f t="shared" si="83"/>
        <v>35</v>
      </c>
      <c r="AP18" s="18">
        <f t="shared" si="83"/>
        <v>36</v>
      </c>
      <c r="AQ18" s="18">
        <f t="shared" si="83"/>
        <v>37</v>
      </c>
      <c r="AR18" s="18">
        <f t="shared" si="83"/>
        <v>38</v>
      </c>
      <c r="AS18" s="18">
        <f t="shared" si="83"/>
        <v>39</v>
      </c>
      <c r="AT18" s="18">
        <f t="shared" si="83"/>
        <v>40</v>
      </c>
      <c r="AU18" s="18">
        <f t="shared" si="83"/>
        <v>41</v>
      </c>
      <c r="AV18" s="18">
        <f t="shared" si="83"/>
        <v>42</v>
      </c>
      <c r="AW18" s="18">
        <f t="shared" si="83"/>
        <v>43</v>
      </c>
      <c r="AX18" s="18">
        <f t="shared" si="83"/>
        <v>44</v>
      </c>
      <c r="AY18" s="18">
        <f t="shared" si="83"/>
        <v>45</v>
      </c>
      <c r="AZ18" s="18">
        <f t="shared" si="83"/>
        <v>46</v>
      </c>
      <c r="BA18" s="18">
        <f t="shared" si="83"/>
        <v>47</v>
      </c>
      <c r="BB18" s="18">
        <f t="shared" si="83"/>
        <v>48</v>
      </c>
      <c r="BC18" s="18">
        <f t="shared" si="83"/>
        <v>49</v>
      </c>
      <c r="BD18" s="18">
        <f t="shared" si="83"/>
        <v>50</v>
      </c>
      <c r="BE18" s="18">
        <f t="shared" si="83"/>
        <v>51</v>
      </c>
      <c r="BF18" s="18">
        <f t="shared" si="83"/>
        <v>52</v>
      </c>
      <c r="BG18" s="18">
        <f t="shared" si="83"/>
        <v>53</v>
      </c>
      <c r="BH18" s="18">
        <f t="shared" si="83"/>
        <v>54</v>
      </c>
      <c r="BI18" s="18">
        <f t="shared" si="83"/>
        <v>55</v>
      </c>
      <c r="BJ18" s="18">
        <f t="shared" si="83"/>
        <v>56</v>
      </c>
      <c r="BK18" s="18">
        <f t="shared" si="83"/>
        <v>57</v>
      </c>
      <c r="BL18" s="18">
        <f t="shared" si="83"/>
        <v>58</v>
      </c>
      <c r="BM18" s="18">
        <f t="shared" si="83"/>
        <v>59</v>
      </c>
      <c r="BN18" s="18">
        <f t="shared" si="83"/>
        <v>60</v>
      </c>
      <c r="BO18" s="18">
        <f t="shared" si="83"/>
        <v>61</v>
      </c>
      <c r="BP18" s="18">
        <f t="shared" si="83"/>
        <v>62</v>
      </c>
      <c r="BQ18" s="18">
        <f t="shared" si="83"/>
        <v>63</v>
      </c>
      <c r="BR18" s="18">
        <f t="shared" si="83"/>
        <v>64</v>
      </c>
      <c r="BS18" s="18">
        <f t="shared" si="83"/>
        <v>65</v>
      </c>
      <c r="BT18" s="18">
        <f t="shared" si="83"/>
        <v>66</v>
      </c>
      <c r="BU18" s="18">
        <f t="shared" si="83"/>
        <v>67</v>
      </c>
      <c r="BV18" s="18">
        <f t="shared" ref="BV18:EG18" si="84">BU18+1</f>
        <v>68</v>
      </c>
      <c r="BW18" s="18">
        <f t="shared" si="84"/>
        <v>69</v>
      </c>
      <c r="BX18" s="18">
        <f t="shared" si="84"/>
        <v>70</v>
      </c>
      <c r="BY18" s="18">
        <f t="shared" si="84"/>
        <v>71</v>
      </c>
      <c r="BZ18" s="18">
        <f t="shared" si="84"/>
        <v>72</v>
      </c>
      <c r="CA18" s="18">
        <f t="shared" si="84"/>
        <v>73</v>
      </c>
      <c r="CB18" s="18">
        <f t="shared" si="84"/>
        <v>74</v>
      </c>
      <c r="CC18" s="18">
        <f t="shared" si="84"/>
        <v>75</v>
      </c>
      <c r="CD18" s="18">
        <f t="shared" si="84"/>
        <v>76</v>
      </c>
      <c r="CE18" s="18">
        <f t="shared" si="84"/>
        <v>77</v>
      </c>
      <c r="CF18" s="18">
        <f t="shared" si="84"/>
        <v>78</v>
      </c>
      <c r="CG18" s="18">
        <f t="shared" si="84"/>
        <v>79</v>
      </c>
      <c r="CH18" s="18">
        <f t="shared" si="84"/>
        <v>80</v>
      </c>
      <c r="CI18" s="18">
        <f t="shared" si="84"/>
        <v>81</v>
      </c>
      <c r="CJ18" s="18">
        <f t="shared" si="84"/>
        <v>82</v>
      </c>
      <c r="CK18" s="18">
        <f t="shared" si="84"/>
        <v>83</v>
      </c>
      <c r="CL18" s="18">
        <f t="shared" si="84"/>
        <v>84</v>
      </c>
      <c r="CM18" s="18">
        <f t="shared" si="84"/>
        <v>85</v>
      </c>
      <c r="CN18" s="18">
        <f t="shared" si="84"/>
        <v>86</v>
      </c>
      <c r="CO18" s="18">
        <f t="shared" si="84"/>
        <v>87</v>
      </c>
      <c r="CP18" s="18">
        <f t="shared" si="84"/>
        <v>88</v>
      </c>
      <c r="CQ18" s="18">
        <f t="shared" si="84"/>
        <v>89</v>
      </c>
      <c r="CR18" s="18">
        <f t="shared" si="84"/>
        <v>90</v>
      </c>
      <c r="CS18" s="18">
        <f t="shared" si="84"/>
        <v>91</v>
      </c>
      <c r="CT18" s="18">
        <f t="shared" si="84"/>
        <v>92</v>
      </c>
      <c r="CU18" s="18">
        <f t="shared" si="84"/>
        <v>93</v>
      </c>
      <c r="CV18" s="18">
        <f t="shared" si="84"/>
        <v>94</v>
      </c>
      <c r="CW18" s="18">
        <f t="shared" si="84"/>
        <v>95</v>
      </c>
      <c r="CX18" s="18">
        <f t="shared" si="84"/>
        <v>96</v>
      </c>
      <c r="CY18" s="18">
        <f t="shared" si="84"/>
        <v>97</v>
      </c>
      <c r="CZ18" s="18">
        <f t="shared" si="84"/>
        <v>98</v>
      </c>
      <c r="DA18" s="18">
        <f t="shared" si="84"/>
        <v>99</v>
      </c>
      <c r="DB18" s="18">
        <f t="shared" si="84"/>
        <v>100</v>
      </c>
      <c r="DC18" s="18">
        <f t="shared" si="84"/>
        <v>101</v>
      </c>
      <c r="DD18" s="18">
        <f t="shared" si="84"/>
        <v>102</v>
      </c>
      <c r="DE18" s="18">
        <f t="shared" si="84"/>
        <v>103</v>
      </c>
      <c r="DF18" s="18">
        <f t="shared" si="84"/>
        <v>104</v>
      </c>
      <c r="DG18" s="18">
        <f t="shared" si="84"/>
        <v>105</v>
      </c>
      <c r="DH18" s="18">
        <f t="shared" si="84"/>
        <v>106</v>
      </c>
      <c r="DI18" s="18">
        <f t="shared" si="84"/>
        <v>107</v>
      </c>
      <c r="DJ18" s="18">
        <f t="shared" si="84"/>
        <v>108</v>
      </c>
      <c r="DK18" s="18">
        <f t="shared" si="84"/>
        <v>109</v>
      </c>
      <c r="DL18" s="18">
        <f t="shared" si="84"/>
        <v>110</v>
      </c>
      <c r="DM18" s="18">
        <f t="shared" si="84"/>
        <v>111</v>
      </c>
      <c r="DN18" s="18">
        <f t="shared" si="84"/>
        <v>112</v>
      </c>
      <c r="DO18" s="18">
        <f t="shared" si="84"/>
        <v>113</v>
      </c>
      <c r="DP18" s="18">
        <f t="shared" si="84"/>
        <v>114</v>
      </c>
      <c r="DQ18" s="18">
        <f t="shared" si="84"/>
        <v>115</v>
      </c>
      <c r="DR18" s="18">
        <f t="shared" si="84"/>
        <v>116</v>
      </c>
      <c r="DS18" s="18">
        <f t="shared" si="84"/>
        <v>117</v>
      </c>
      <c r="DT18" s="18">
        <f t="shared" si="84"/>
        <v>118</v>
      </c>
      <c r="DU18" s="18">
        <f t="shared" si="84"/>
        <v>119</v>
      </c>
      <c r="DV18" s="18">
        <f t="shared" si="84"/>
        <v>120</v>
      </c>
      <c r="DW18" s="18">
        <f t="shared" si="84"/>
        <v>121</v>
      </c>
      <c r="DX18" s="18">
        <f t="shared" si="84"/>
        <v>122</v>
      </c>
      <c r="DY18" s="18">
        <f t="shared" si="84"/>
        <v>123</v>
      </c>
      <c r="DZ18" s="18">
        <f t="shared" si="84"/>
        <v>124</v>
      </c>
      <c r="EA18" s="18">
        <f t="shared" si="84"/>
        <v>125</v>
      </c>
      <c r="EB18" s="18">
        <f t="shared" si="84"/>
        <v>126</v>
      </c>
      <c r="EC18" s="18">
        <f t="shared" si="84"/>
        <v>127</v>
      </c>
      <c r="ED18" s="18">
        <f t="shared" si="84"/>
        <v>128</v>
      </c>
      <c r="EE18" s="18">
        <f t="shared" si="84"/>
        <v>129</v>
      </c>
      <c r="EF18" s="18">
        <f t="shared" si="84"/>
        <v>130</v>
      </c>
      <c r="EG18" s="18">
        <f t="shared" si="84"/>
        <v>131</v>
      </c>
      <c r="EH18" s="18">
        <f t="shared" ref="EH18:GS18" si="85">EG18+1</f>
        <v>132</v>
      </c>
      <c r="EI18" s="18">
        <f t="shared" si="85"/>
        <v>133</v>
      </c>
      <c r="EJ18" s="18">
        <f t="shared" si="85"/>
        <v>134</v>
      </c>
      <c r="EK18" s="18">
        <f t="shared" si="85"/>
        <v>135</v>
      </c>
      <c r="EL18" s="18">
        <f t="shared" si="85"/>
        <v>136</v>
      </c>
      <c r="EM18" s="18">
        <f t="shared" si="85"/>
        <v>137</v>
      </c>
      <c r="EN18" s="18">
        <f t="shared" si="85"/>
        <v>138</v>
      </c>
      <c r="EO18" s="18">
        <f t="shared" si="85"/>
        <v>139</v>
      </c>
      <c r="EP18" s="18">
        <f t="shared" si="85"/>
        <v>140</v>
      </c>
      <c r="EQ18" s="18">
        <f t="shared" si="85"/>
        <v>141</v>
      </c>
      <c r="ER18" s="18">
        <f t="shared" si="85"/>
        <v>142</v>
      </c>
      <c r="ES18" s="18">
        <f t="shared" si="85"/>
        <v>143</v>
      </c>
      <c r="ET18" s="18">
        <f t="shared" si="85"/>
        <v>144</v>
      </c>
      <c r="EU18" s="18">
        <f t="shared" si="85"/>
        <v>145</v>
      </c>
      <c r="EV18" s="18">
        <f t="shared" si="85"/>
        <v>146</v>
      </c>
      <c r="EW18" s="18">
        <f t="shared" si="85"/>
        <v>147</v>
      </c>
      <c r="EX18" s="18">
        <f t="shared" si="85"/>
        <v>148</v>
      </c>
      <c r="EY18" s="18">
        <f t="shared" si="85"/>
        <v>149</v>
      </c>
      <c r="EZ18" s="18">
        <f t="shared" si="85"/>
        <v>150</v>
      </c>
      <c r="FA18" s="18">
        <f t="shared" si="85"/>
        <v>151</v>
      </c>
      <c r="FB18" s="18">
        <f t="shared" si="85"/>
        <v>152</v>
      </c>
      <c r="FC18" s="18">
        <f t="shared" si="85"/>
        <v>153</v>
      </c>
      <c r="FD18" s="18">
        <f t="shared" si="85"/>
        <v>154</v>
      </c>
      <c r="FE18" s="18">
        <f t="shared" si="85"/>
        <v>155</v>
      </c>
      <c r="FF18" s="18">
        <f t="shared" si="85"/>
        <v>156</v>
      </c>
      <c r="FG18" s="18">
        <f t="shared" si="85"/>
        <v>157</v>
      </c>
      <c r="FH18" s="18">
        <f t="shared" si="85"/>
        <v>158</v>
      </c>
      <c r="FI18" s="18">
        <f t="shared" si="85"/>
        <v>159</v>
      </c>
      <c r="FJ18" s="18">
        <f t="shared" si="85"/>
        <v>160</v>
      </c>
      <c r="FK18" s="18">
        <f t="shared" si="85"/>
        <v>161</v>
      </c>
      <c r="FL18" s="18">
        <f t="shared" si="85"/>
        <v>162</v>
      </c>
      <c r="FM18" s="18">
        <f t="shared" si="85"/>
        <v>163</v>
      </c>
      <c r="FN18" s="18">
        <f t="shared" si="85"/>
        <v>164</v>
      </c>
      <c r="FO18" s="18">
        <f t="shared" si="85"/>
        <v>165</v>
      </c>
      <c r="FP18" s="18">
        <f t="shared" si="85"/>
        <v>166</v>
      </c>
      <c r="FQ18" s="18">
        <f t="shared" si="85"/>
        <v>167</v>
      </c>
      <c r="FR18" s="18">
        <f t="shared" si="85"/>
        <v>168</v>
      </c>
      <c r="FS18" s="18">
        <f t="shared" si="85"/>
        <v>169</v>
      </c>
      <c r="FT18" s="18">
        <f t="shared" si="85"/>
        <v>170</v>
      </c>
      <c r="FU18" s="18">
        <f t="shared" si="85"/>
        <v>171</v>
      </c>
      <c r="FV18" s="18">
        <f t="shared" si="85"/>
        <v>172</v>
      </c>
      <c r="FW18" s="18">
        <f t="shared" si="85"/>
        <v>173</v>
      </c>
      <c r="FX18" s="18">
        <f t="shared" si="85"/>
        <v>174</v>
      </c>
      <c r="FY18" s="18">
        <f t="shared" si="85"/>
        <v>175</v>
      </c>
      <c r="FZ18" s="18">
        <f t="shared" si="85"/>
        <v>176</v>
      </c>
      <c r="GA18" s="18">
        <f t="shared" si="85"/>
        <v>177</v>
      </c>
      <c r="GB18" s="18">
        <f t="shared" si="85"/>
        <v>178</v>
      </c>
      <c r="GC18" s="18">
        <f t="shared" si="85"/>
        <v>179</v>
      </c>
      <c r="GD18" s="18">
        <f t="shared" si="85"/>
        <v>180</v>
      </c>
      <c r="GE18" s="18">
        <f t="shared" si="85"/>
        <v>181</v>
      </c>
      <c r="GF18" s="18">
        <f t="shared" si="85"/>
        <v>182</v>
      </c>
      <c r="GG18" s="18">
        <f t="shared" si="85"/>
        <v>183</v>
      </c>
      <c r="GH18" s="18">
        <f t="shared" si="85"/>
        <v>184</v>
      </c>
      <c r="GI18" s="18">
        <f t="shared" si="85"/>
        <v>185</v>
      </c>
      <c r="GJ18" s="18">
        <f t="shared" si="85"/>
        <v>186</v>
      </c>
      <c r="GK18" s="18">
        <f t="shared" si="85"/>
        <v>187</v>
      </c>
      <c r="GL18" s="18">
        <f t="shared" si="85"/>
        <v>188</v>
      </c>
      <c r="GM18" s="18">
        <f t="shared" si="85"/>
        <v>189</v>
      </c>
      <c r="GN18" s="18">
        <f t="shared" si="85"/>
        <v>190</v>
      </c>
      <c r="GO18" s="18">
        <f t="shared" si="85"/>
        <v>191</v>
      </c>
      <c r="GP18" s="18">
        <f t="shared" si="85"/>
        <v>192</v>
      </c>
      <c r="GQ18" s="18">
        <f t="shared" si="85"/>
        <v>193</v>
      </c>
      <c r="GR18" s="18">
        <f t="shared" si="85"/>
        <v>194</v>
      </c>
      <c r="GS18" s="18">
        <f t="shared" si="85"/>
        <v>195</v>
      </c>
      <c r="GT18" s="18">
        <f t="shared" ref="GT18:JE18" si="86">GS18+1</f>
        <v>196</v>
      </c>
      <c r="GU18" s="18">
        <f t="shared" si="86"/>
        <v>197</v>
      </c>
      <c r="GV18" s="18">
        <f t="shared" si="86"/>
        <v>198</v>
      </c>
      <c r="GW18" s="18">
        <f t="shared" si="86"/>
        <v>199</v>
      </c>
      <c r="GX18" s="18">
        <f t="shared" si="86"/>
        <v>200</v>
      </c>
      <c r="GY18" s="18">
        <f t="shared" si="86"/>
        <v>201</v>
      </c>
      <c r="GZ18" s="18">
        <f t="shared" si="86"/>
        <v>202</v>
      </c>
      <c r="HA18" s="18">
        <f t="shared" si="86"/>
        <v>203</v>
      </c>
      <c r="HB18" s="18">
        <f t="shared" si="86"/>
        <v>204</v>
      </c>
      <c r="HC18" s="18">
        <f t="shared" si="86"/>
        <v>205</v>
      </c>
      <c r="HD18" s="18">
        <f t="shared" si="86"/>
        <v>206</v>
      </c>
      <c r="HE18" s="18">
        <f t="shared" si="86"/>
        <v>207</v>
      </c>
      <c r="HF18" s="18">
        <f t="shared" si="86"/>
        <v>208</v>
      </c>
      <c r="HG18" s="18">
        <f t="shared" si="86"/>
        <v>209</v>
      </c>
      <c r="HH18" s="18">
        <f t="shared" si="86"/>
        <v>210</v>
      </c>
      <c r="HI18" s="18">
        <f t="shared" si="86"/>
        <v>211</v>
      </c>
      <c r="HJ18" s="18">
        <f t="shared" si="86"/>
        <v>212</v>
      </c>
      <c r="HK18" s="18">
        <f t="shared" si="86"/>
        <v>213</v>
      </c>
      <c r="HL18" s="18">
        <f t="shared" si="86"/>
        <v>214</v>
      </c>
      <c r="HM18" s="18">
        <f t="shared" si="86"/>
        <v>215</v>
      </c>
      <c r="HN18" s="18">
        <f t="shared" si="86"/>
        <v>216</v>
      </c>
      <c r="HO18" s="18">
        <f t="shared" si="86"/>
        <v>217</v>
      </c>
      <c r="HP18" s="18">
        <f t="shared" si="86"/>
        <v>218</v>
      </c>
      <c r="HQ18" s="18">
        <f t="shared" si="86"/>
        <v>219</v>
      </c>
      <c r="HR18" s="18">
        <f t="shared" si="86"/>
        <v>220</v>
      </c>
      <c r="HS18" s="18">
        <f t="shared" si="86"/>
        <v>221</v>
      </c>
      <c r="HT18" s="18">
        <f t="shared" si="86"/>
        <v>222</v>
      </c>
      <c r="HU18" s="18">
        <f t="shared" si="86"/>
        <v>223</v>
      </c>
      <c r="HV18" s="18">
        <f t="shared" si="86"/>
        <v>224</v>
      </c>
      <c r="HW18" s="18">
        <f t="shared" si="86"/>
        <v>225</v>
      </c>
      <c r="HX18" s="18">
        <f t="shared" si="86"/>
        <v>226</v>
      </c>
      <c r="HY18" s="18">
        <f t="shared" si="86"/>
        <v>227</v>
      </c>
      <c r="HZ18" s="18">
        <f t="shared" si="86"/>
        <v>228</v>
      </c>
      <c r="IA18" s="18">
        <f t="shared" si="86"/>
        <v>229</v>
      </c>
      <c r="IB18" s="18">
        <f t="shared" si="86"/>
        <v>230</v>
      </c>
      <c r="IC18" s="18">
        <f t="shared" si="86"/>
        <v>231</v>
      </c>
      <c r="ID18" s="18">
        <f t="shared" si="86"/>
        <v>232</v>
      </c>
      <c r="IE18" s="18">
        <f t="shared" si="86"/>
        <v>233</v>
      </c>
      <c r="IF18" s="18">
        <f t="shared" si="86"/>
        <v>234</v>
      </c>
      <c r="IG18" s="18">
        <f t="shared" si="86"/>
        <v>235</v>
      </c>
      <c r="IH18" s="18">
        <f t="shared" si="86"/>
        <v>236</v>
      </c>
      <c r="II18" s="18">
        <f t="shared" si="86"/>
        <v>237</v>
      </c>
      <c r="IJ18" s="18">
        <f t="shared" si="86"/>
        <v>238</v>
      </c>
      <c r="IK18" s="18">
        <f t="shared" si="86"/>
        <v>239</v>
      </c>
      <c r="IL18" s="18">
        <f t="shared" si="86"/>
        <v>240</v>
      </c>
      <c r="IM18" s="18">
        <f t="shared" si="86"/>
        <v>241</v>
      </c>
      <c r="IN18" s="18">
        <f t="shared" si="86"/>
        <v>242</v>
      </c>
      <c r="IO18" s="18">
        <f t="shared" si="86"/>
        <v>243</v>
      </c>
      <c r="IP18" s="18">
        <f t="shared" si="86"/>
        <v>244</v>
      </c>
      <c r="IQ18" s="18">
        <f t="shared" si="86"/>
        <v>245</v>
      </c>
      <c r="IR18" s="18">
        <f t="shared" si="86"/>
        <v>246</v>
      </c>
      <c r="IS18" s="18">
        <f t="shared" si="86"/>
        <v>247</v>
      </c>
      <c r="IT18" s="18">
        <f t="shared" si="86"/>
        <v>248</v>
      </c>
      <c r="IU18" s="18">
        <f t="shared" si="86"/>
        <v>249</v>
      </c>
      <c r="IV18" s="18">
        <f t="shared" si="86"/>
        <v>250</v>
      </c>
      <c r="IW18" s="18">
        <f t="shared" si="86"/>
        <v>251</v>
      </c>
      <c r="IX18" s="18">
        <f t="shared" si="86"/>
        <v>252</v>
      </c>
      <c r="IY18" s="18">
        <f t="shared" si="86"/>
        <v>253</v>
      </c>
      <c r="IZ18" s="18">
        <f t="shared" si="86"/>
        <v>254</v>
      </c>
      <c r="JA18" s="18">
        <f t="shared" si="86"/>
        <v>255</v>
      </c>
      <c r="JB18" s="18">
        <f t="shared" si="86"/>
        <v>256</v>
      </c>
      <c r="JC18" s="18">
        <f t="shared" si="86"/>
        <v>257</v>
      </c>
      <c r="JD18" s="18">
        <f t="shared" si="86"/>
        <v>258</v>
      </c>
      <c r="JE18" s="18">
        <f t="shared" si="86"/>
        <v>259</v>
      </c>
      <c r="JF18" s="18">
        <f t="shared" ref="JF18:LQ18" si="87">JE18+1</f>
        <v>260</v>
      </c>
      <c r="JG18" s="18">
        <f t="shared" si="87"/>
        <v>261</v>
      </c>
      <c r="JH18" s="18">
        <f t="shared" si="87"/>
        <v>262</v>
      </c>
      <c r="JI18" s="18">
        <f t="shared" si="87"/>
        <v>263</v>
      </c>
      <c r="JJ18" s="18">
        <f t="shared" si="87"/>
        <v>264</v>
      </c>
      <c r="JK18" s="18">
        <f t="shared" si="87"/>
        <v>265</v>
      </c>
      <c r="JL18" s="18">
        <f t="shared" si="87"/>
        <v>266</v>
      </c>
      <c r="JM18" s="18">
        <f t="shared" si="87"/>
        <v>267</v>
      </c>
      <c r="JN18" s="18">
        <f t="shared" si="87"/>
        <v>268</v>
      </c>
      <c r="JO18" s="18">
        <f t="shared" si="87"/>
        <v>269</v>
      </c>
      <c r="JP18" s="18">
        <f t="shared" si="87"/>
        <v>270</v>
      </c>
      <c r="JQ18" s="18">
        <f t="shared" si="87"/>
        <v>271</v>
      </c>
      <c r="JR18" s="18">
        <f t="shared" si="87"/>
        <v>272</v>
      </c>
      <c r="JS18" s="18">
        <f t="shared" si="87"/>
        <v>273</v>
      </c>
      <c r="JT18" s="18">
        <f t="shared" si="87"/>
        <v>274</v>
      </c>
      <c r="JU18" s="18">
        <f t="shared" si="87"/>
        <v>275</v>
      </c>
      <c r="JV18" s="18">
        <f t="shared" si="87"/>
        <v>276</v>
      </c>
      <c r="JW18" s="18">
        <f t="shared" si="87"/>
        <v>277</v>
      </c>
      <c r="JX18" s="18">
        <f t="shared" si="87"/>
        <v>278</v>
      </c>
      <c r="JY18" s="18">
        <f t="shared" si="87"/>
        <v>279</v>
      </c>
      <c r="JZ18" s="18">
        <f t="shared" si="87"/>
        <v>280</v>
      </c>
      <c r="KA18" s="18">
        <f t="shared" si="87"/>
        <v>281</v>
      </c>
      <c r="KB18" s="18">
        <f t="shared" si="87"/>
        <v>282</v>
      </c>
      <c r="KC18" s="18">
        <f t="shared" si="87"/>
        <v>283</v>
      </c>
      <c r="KD18" s="18">
        <f t="shared" si="87"/>
        <v>284</v>
      </c>
      <c r="KE18" s="18">
        <f t="shared" si="87"/>
        <v>285</v>
      </c>
      <c r="KF18" s="18">
        <f t="shared" si="87"/>
        <v>286</v>
      </c>
      <c r="KG18" s="18">
        <f t="shared" si="87"/>
        <v>287</v>
      </c>
      <c r="KH18" s="18">
        <f t="shared" si="87"/>
        <v>288</v>
      </c>
      <c r="KI18" s="18">
        <f t="shared" si="87"/>
        <v>289</v>
      </c>
      <c r="KJ18" s="18">
        <f t="shared" si="87"/>
        <v>290</v>
      </c>
      <c r="KK18" s="18">
        <f t="shared" si="87"/>
        <v>291</v>
      </c>
      <c r="KL18" s="18">
        <f t="shared" si="87"/>
        <v>292</v>
      </c>
      <c r="KM18" s="18">
        <f t="shared" si="87"/>
        <v>293</v>
      </c>
      <c r="KN18" s="18">
        <f t="shared" si="87"/>
        <v>294</v>
      </c>
      <c r="KO18" s="18">
        <f t="shared" si="87"/>
        <v>295</v>
      </c>
      <c r="KP18" s="18">
        <f t="shared" si="87"/>
        <v>296</v>
      </c>
      <c r="KQ18" s="18">
        <f t="shared" si="87"/>
        <v>297</v>
      </c>
      <c r="KR18" s="18">
        <f t="shared" si="87"/>
        <v>298</v>
      </c>
      <c r="KS18" s="18">
        <f t="shared" si="87"/>
        <v>299</v>
      </c>
      <c r="KT18" s="18">
        <f t="shared" si="87"/>
        <v>300</v>
      </c>
      <c r="KU18" s="18">
        <f t="shared" si="87"/>
        <v>301</v>
      </c>
      <c r="KV18" s="18">
        <f t="shared" si="87"/>
        <v>302</v>
      </c>
      <c r="KW18" s="18">
        <f t="shared" si="87"/>
        <v>303</v>
      </c>
      <c r="KX18" s="18">
        <f t="shared" si="87"/>
        <v>304</v>
      </c>
      <c r="KY18" s="18">
        <f t="shared" si="87"/>
        <v>305</v>
      </c>
      <c r="KZ18" s="18">
        <f t="shared" si="87"/>
        <v>306</v>
      </c>
      <c r="LA18" s="18">
        <f t="shared" si="87"/>
        <v>307</v>
      </c>
      <c r="LB18" s="18">
        <f t="shared" si="87"/>
        <v>308</v>
      </c>
      <c r="LC18" s="18">
        <f t="shared" si="87"/>
        <v>309</v>
      </c>
      <c r="LD18" s="18">
        <f t="shared" si="87"/>
        <v>310</v>
      </c>
      <c r="LE18" s="18">
        <f t="shared" si="87"/>
        <v>311</v>
      </c>
      <c r="LF18" s="18">
        <f t="shared" si="87"/>
        <v>312</v>
      </c>
      <c r="LG18" s="18">
        <f t="shared" si="87"/>
        <v>313</v>
      </c>
      <c r="LH18" s="18">
        <f t="shared" si="87"/>
        <v>314</v>
      </c>
      <c r="LI18" s="18">
        <f t="shared" si="87"/>
        <v>315</v>
      </c>
      <c r="LJ18" s="18">
        <f t="shared" si="87"/>
        <v>316</v>
      </c>
      <c r="LK18" s="18">
        <f t="shared" si="87"/>
        <v>317</v>
      </c>
      <c r="LL18" s="18">
        <f t="shared" si="87"/>
        <v>318</v>
      </c>
      <c r="LM18" s="18">
        <f t="shared" si="87"/>
        <v>319</v>
      </c>
      <c r="LN18" s="18">
        <f t="shared" si="87"/>
        <v>320</v>
      </c>
      <c r="LO18" s="18">
        <f t="shared" si="87"/>
        <v>321</v>
      </c>
      <c r="LP18" s="18">
        <f t="shared" si="87"/>
        <v>322</v>
      </c>
      <c r="LQ18" s="18">
        <f t="shared" si="87"/>
        <v>323</v>
      </c>
      <c r="LR18" s="18">
        <f t="shared" ref="LR18:NN18" si="88">LQ18+1</f>
        <v>324</v>
      </c>
      <c r="LS18" s="18">
        <f t="shared" si="88"/>
        <v>325</v>
      </c>
      <c r="LT18" s="18">
        <f t="shared" si="88"/>
        <v>326</v>
      </c>
      <c r="LU18" s="18">
        <f t="shared" si="88"/>
        <v>327</v>
      </c>
      <c r="LV18" s="18">
        <f t="shared" si="88"/>
        <v>328</v>
      </c>
      <c r="LW18" s="18">
        <f t="shared" si="88"/>
        <v>329</v>
      </c>
      <c r="LX18" s="18">
        <f t="shared" si="88"/>
        <v>330</v>
      </c>
      <c r="LY18" s="18">
        <f t="shared" si="88"/>
        <v>331</v>
      </c>
      <c r="LZ18" s="18">
        <f t="shared" si="88"/>
        <v>332</v>
      </c>
      <c r="MA18" s="18">
        <f t="shared" si="88"/>
        <v>333</v>
      </c>
      <c r="MB18" s="18">
        <f t="shared" si="88"/>
        <v>334</v>
      </c>
      <c r="MC18" s="18">
        <f t="shared" si="88"/>
        <v>335</v>
      </c>
      <c r="MD18" s="18">
        <f t="shared" si="88"/>
        <v>336</v>
      </c>
      <c r="ME18" s="18">
        <f t="shared" si="88"/>
        <v>337</v>
      </c>
      <c r="MF18" s="18">
        <f t="shared" si="88"/>
        <v>338</v>
      </c>
      <c r="MG18" s="18">
        <f t="shared" si="88"/>
        <v>339</v>
      </c>
      <c r="MH18" s="18">
        <f t="shared" si="88"/>
        <v>340</v>
      </c>
      <c r="MI18" s="18">
        <f t="shared" si="88"/>
        <v>341</v>
      </c>
      <c r="MJ18" s="18">
        <f t="shared" si="88"/>
        <v>342</v>
      </c>
      <c r="MK18" s="18">
        <f t="shared" si="88"/>
        <v>343</v>
      </c>
      <c r="ML18" s="18">
        <f t="shared" si="88"/>
        <v>344</v>
      </c>
      <c r="MM18" s="18">
        <f t="shared" si="88"/>
        <v>345</v>
      </c>
      <c r="MN18" s="18">
        <f t="shared" si="88"/>
        <v>346</v>
      </c>
      <c r="MO18" s="18">
        <f t="shared" si="88"/>
        <v>347</v>
      </c>
      <c r="MP18" s="18">
        <f t="shared" si="88"/>
        <v>348</v>
      </c>
      <c r="MQ18" s="18">
        <f t="shared" si="88"/>
        <v>349</v>
      </c>
      <c r="MR18" s="18">
        <f t="shared" si="88"/>
        <v>350</v>
      </c>
      <c r="MS18" s="18">
        <f t="shared" si="88"/>
        <v>351</v>
      </c>
      <c r="MT18" s="18">
        <f t="shared" si="88"/>
        <v>352</v>
      </c>
      <c r="MU18" s="18">
        <f t="shared" si="88"/>
        <v>353</v>
      </c>
      <c r="MV18" s="18">
        <f t="shared" si="88"/>
        <v>354</v>
      </c>
      <c r="MW18" s="18">
        <f t="shared" si="88"/>
        <v>355</v>
      </c>
      <c r="MX18" s="18">
        <f t="shared" si="88"/>
        <v>356</v>
      </c>
      <c r="MY18" s="18">
        <f t="shared" si="88"/>
        <v>357</v>
      </c>
      <c r="MZ18" s="18">
        <f t="shared" si="88"/>
        <v>358</v>
      </c>
      <c r="NA18" s="18">
        <f t="shared" si="88"/>
        <v>359</v>
      </c>
      <c r="NB18" s="18">
        <f t="shared" si="88"/>
        <v>360</v>
      </c>
      <c r="NC18" s="18">
        <f t="shared" si="88"/>
        <v>361</v>
      </c>
      <c r="ND18" s="18">
        <f t="shared" si="88"/>
        <v>362</v>
      </c>
      <c r="NE18" s="18">
        <f t="shared" si="88"/>
        <v>363</v>
      </c>
      <c r="NF18" s="18">
        <f t="shared" si="88"/>
        <v>364</v>
      </c>
      <c r="NG18" s="18">
        <f t="shared" si="88"/>
        <v>365</v>
      </c>
      <c r="NH18" s="18">
        <f t="shared" si="88"/>
        <v>366</v>
      </c>
      <c r="NI18" s="18">
        <f t="shared" si="88"/>
        <v>367</v>
      </c>
      <c r="NJ18" s="18">
        <f t="shared" si="88"/>
        <v>368</v>
      </c>
      <c r="NK18" s="18">
        <f t="shared" si="88"/>
        <v>369</v>
      </c>
      <c r="NL18" s="18">
        <f t="shared" si="88"/>
        <v>370</v>
      </c>
      <c r="NM18" s="18">
        <f t="shared" si="88"/>
        <v>371</v>
      </c>
      <c r="NN18" s="18">
        <f t="shared" si="88"/>
        <v>372</v>
      </c>
      <c r="NO18" s="18">
        <f>NN18+1</f>
        <v>373</v>
      </c>
      <c r="NP18" s="18">
        <f t="shared" ref="NP18:QA18" si="89">NO18+1</f>
        <v>374</v>
      </c>
      <c r="NQ18" s="18">
        <f t="shared" si="89"/>
        <v>375</v>
      </c>
      <c r="NR18" s="18">
        <f t="shared" si="89"/>
        <v>376</v>
      </c>
      <c r="NS18" s="18">
        <f t="shared" si="89"/>
        <v>377</v>
      </c>
      <c r="NT18" s="18">
        <f t="shared" si="89"/>
        <v>378</v>
      </c>
      <c r="NU18" s="18">
        <f t="shared" si="89"/>
        <v>379</v>
      </c>
      <c r="NV18" s="18">
        <f t="shared" si="89"/>
        <v>380</v>
      </c>
      <c r="NW18" s="18">
        <f t="shared" si="89"/>
        <v>381</v>
      </c>
      <c r="NX18" s="18">
        <f t="shared" si="89"/>
        <v>382</v>
      </c>
      <c r="NY18" s="18">
        <f t="shared" si="89"/>
        <v>383</v>
      </c>
      <c r="NZ18" s="18">
        <f t="shared" si="89"/>
        <v>384</v>
      </c>
      <c r="OA18" s="18">
        <f t="shared" si="89"/>
        <v>385</v>
      </c>
      <c r="OB18" s="18">
        <f t="shared" si="89"/>
        <v>386</v>
      </c>
      <c r="OC18" s="18">
        <f t="shared" si="89"/>
        <v>387</v>
      </c>
      <c r="OD18" s="18">
        <f t="shared" si="89"/>
        <v>388</v>
      </c>
      <c r="OE18" s="18">
        <f t="shared" si="89"/>
        <v>389</v>
      </c>
      <c r="OF18" s="18">
        <f t="shared" si="89"/>
        <v>390</v>
      </c>
      <c r="OG18" s="18">
        <f t="shared" si="89"/>
        <v>391</v>
      </c>
      <c r="OH18" s="18">
        <f t="shared" si="89"/>
        <v>392</v>
      </c>
      <c r="OI18" s="18">
        <f t="shared" si="89"/>
        <v>393</v>
      </c>
      <c r="OJ18" s="18">
        <f t="shared" si="89"/>
        <v>394</v>
      </c>
      <c r="OK18" s="18">
        <f t="shared" si="89"/>
        <v>395</v>
      </c>
      <c r="OL18" s="18">
        <f t="shared" si="89"/>
        <v>396</v>
      </c>
      <c r="OM18" s="18">
        <f t="shared" si="89"/>
        <v>397</v>
      </c>
      <c r="ON18" s="18">
        <f t="shared" si="89"/>
        <v>398</v>
      </c>
      <c r="OO18" s="18">
        <f t="shared" si="89"/>
        <v>399</v>
      </c>
      <c r="OP18" s="18">
        <f t="shared" si="89"/>
        <v>400</v>
      </c>
      <c r="OQ18" s="18">
        <f t="shared" si="89"/>
        <v>401</v>
      </c>
      <c r="OR18" s="18">
        <f t="shared" si="89"/>
        <v>402</v>
      </c>
      <c r="OS18" s="18">
        <f t="shared" si="89"/>
        <v>403</v>
      </c>
      <c r="OT18" s="18">
        <f t="shared" si="89"/>
        <v>404</v>
      </c>
      <c r="OU18" s="18">
        <f t="shared" si="89"/>
        <v>405</v>
      </c>
      <c r="OV18" s="18">
        <f t="shared" si="89"/>
        <v>406</v>
      </c>
      <c r="OW18" s="18">
        <f t="shared" si="89"/>
        <v>407</v>
      </c>
      <c r="OX18" s="18">
        <f t="shared" si="89"/>
        <v>408</v>
      </c>
      <c r="OY18" s="18">
        <f t="shared" si="89"/>
        <v>409</v>
      </c>
      <c r="OZ18" s="18">
        <f t="shared" si="89"/>
        <v>410</v>
      </c>
      <c r="PA18" s="18">
        <f t="shared" si="89"/>
        <v>411</v>
      </c>
      <c r="PB18" s="18">
        <f t="shared" si="89"/>
        <v>412</v>
      </c>
      <c r="PC18" s="18">
        <f t="shared" si="89"/>
        <v>413</v>
      </c>
      <c r="PD18" s="18">
        <f t="shared" si="89"/>
        <v>414</v>
      </c>
      <c r="PE18" s="18">
        <f t="shared" si="89"/>
        <v>415</v>
      </c>
      <c r="PF18" s="18">
        <f t="shared" si="89"/>
        <v>416</v>
      </c>
      <c r="PG18" s="18">
        <f t="shared" si="89"/>
        <v>417</v>
      </c>
      <c r="PH18" s="18">
        <f t="shared" si="89"/>
        <v>418</v>
      </c>
      <c r="PI18" s="18">
        <f t="shared" si="89"/>
        <v>419</v>
      </c>
      <c r="PJ18" s="18">
        <f t="shared" si="89"/>
        <v>420</v>
      </c>
      <c r="PK18" s="18">
        <f t="shared" si="89"/>
        <v>421</v>
      </c>
      <c r="PL18" s="18">
        <f t="shared" si="89"/>
        <v>422</v>
      </c>
      <c r="PM18" s="18">
        <f t="shared" si="89"/>
        <v>423</v>
      </c>
      <c r="PN18" s="18">
        <f t="shared" si="89"/>
        <v>424</v>
      </c>
      <c r="PO18" s="18">
        <f t="shared" si="89"/>
        <v>425</v>
      </c>
      <c r="PP18" s="18">
        <f t="shared" si="89"/>
        <v>426</v>
      </c>
      <c r="PQ18" s="18">
        <f t="shared" si="89"/>
        <v>427</v>
      </c>
      <c r="PR18" s="18">
        <f t="shared" si="89"/>
        <v>428</v>
      </c>
      <c r="PS18" s="18">
        <f t="shared" si="89"/>
        <v>429</v>
      </c>
      <c r="PT18" s="18">
        <f t="shared" si="89"/>
        <v>430</v>
      </c>
      <c r="PU18" s="18">
        <f t="shared" si="89"/>
        <v>431</v>
      </c>
      <c r="PV18" s="18">
        <f t="shared" si="89"/>
        <v>432</v>
      </c>
      <c r="PW18" s="18">
        <f t="shared" si="89"/>
        <v>433</v>
      </c>
      <c r="PX18" s="18">
        <f t="shared" si="89"/>
        <v>434</v>
      </c>
      <c r="PY18" s="18">
        <f t="shared" si="89"/>
        <v>435</v>
      </c>
      <c r="PZ18" s="18">
        <f t="shared" si="89"/>
        <v>436</v>
      </c>
      <c r="QA18" s="18">
        <f t="shared" si="89"/>
        <v>437</v>
      </c>
      <c r="QB18" s="18">
        <f t="shared" ref="QB18:SM18" si="90">QA18+1</f>
        <v>438</v>
      </c>
      <c r="QC18" s="18">
        <f t="shared" si="90"/>
        <v>439</v>
      </c>
      <c r="QD18" s="18">
        <f t="shared" si="90"/>
        <v>440</v>
      </c>
      <c r="QE18" s="18">
        <f t="shared" si="90"/>
        <v>441</v>
      </c>
      <c r="QF18" s="18">
        <f t="shared" si="90"/>
        <v>442</v>
      </c>
      <c r="QG18" s="18">
        <f t="shared" si="90"/>
        <v>443</v>
      </c>
      <c r="QH18" s="18">
        <f t="shared" si="90"/>
        <v>444</v>
      </c>
      <c r="QI18" s="18">
        <f t="shared" si="90"/>
        <v>445</v>
      </c>
      <c r="QJ18" s="18">
        <f t="shared" si="90"/>
        <v>446</v>
      </c>
      <c r="QK18" s="18">
        <f t="shared" si="90"/>
        <v>447</v>
      </c>
      <c r="QL18" s="18">
        <f t="shared" si="90"/>
        <v>448</v>
      </c>
      <c r="QM18" s="18">
        <f t="shared" si="90"/>
        <v>449</v>
      </c>
      <c r="QN18" s="18">
        <f t="shared" si="90"/>
        <v>450</v>
      </c>
      <c r="QO18" s="18">
        <f t="shared" si="90"/>
        <v>451</v>
      </c>
      <c r="QP18" s="18">
        <f t="shared" si="90"/>
        <v>452</v>
      </c>
      <c r="QQ18" s="18">
        <f t="shared" si="90"/>
        <v>453</v>
      </c>
      <c r="QR18" s="18">
        <f t="shared" si="90"/>
        <v>454</v>
      </c>
      <c r="QS18" s="18">
        <f t="shared" si="90"/>
        <v>455</v>
      </c>
      <c r="QT18" s="18">
        <f t="shared" si="90"/>
        <v>456</v>
      </c>
      <c r="QU18" s="18">
        <f t="shared" si="90"/>
        <v>457</v>
      </c>
      <c r="QV18" s="18">
        <f t="shared" si="90"/>
        <v>458</v>
      </c>
      <c r="QW18" s="18">
        <f t="shared" si="90"/>
        <v>459</v>
      </c>
      <c r="QX18" s="18">
        <f t="shared" si="90"/>
        <v>460</v>
      </c>
      <c r="QY18" s="18">
        <f t="shared" si="90"/>
        <v>461</v>
      </c>
      <c r="QZ18" s="18">
        <f t="shared" si="90"/>
        <v>462</v>
      </c>
      <c r="RA18" s="18">
        <f t="shared" si="90"/>
        <v>463</v>
      </c>
      <c r="RB18" s="18">
        <f t="shared" si="90"/>
        <v>464</v>
      </c>
      <c r="RC18" s="18">
        <f t="shared" si="90"/>
        <v>465</v>
      </c>
      <c r="RD18" s="18">
        <f t="shared" si="90"/>
        <v>466</v>
      </c>
      <c r="RE18" s="18">
        <f t="shared" si="90"/>
        <v>467</v>
      </c>
      <c r="RF18" s="18">
        <f t="shared" si="90"/>
        <v>468</v>
      </c>
      <c r="RG18" s="18">
        <f t="shared" si="90"/>
        <v>469</v>
      </c>
      <c r="RH18" s="18">
        <f t="shared" si="90"/>
        <v>470</v>
      </c>
      <c r="RI18" s="18">
        <f t="shared" si="90"/>
        <v>471</v>
      </c>
      <c r="RJ18" s="18">
        <f t="shared" si="90"/>
        <v>472</v>
      </c>
      <c r="RK18" s="18">
        <f t="shared" si="90"/>
        <v>473</v>
      </c>
      <c r="RL18" s="18">
        <f t="shared" si="90"/>
        <v>474</v>
      </c>
      <c r="RM18" s="18">
        <f t="shared" si="90"/>
        <v>475</v>
      </c>
      <c r="RN18" s="18">
        <f t="shared" si="90"/>
        <v>476</v>
      </c>
      <c r="RO18" s="18">
        <f t="shared" si="90"/>
        <v>477</v>
      </c>
      <c r="RP18" s="18">
        <f t="shared" si="90"/>
        <v>478</v>
      </c>
      <c r="RQ18" s="18">
        <f t="shared" si="90"/>
        <v>479</v>
      </c>
      <c r="RR18" s="18">
        <f t="shared" si="90"/>
        <v>480</v>
      </c>
      <c r="RS18" s="18">
        <f t="shared" si="90"/>
        <v>481</v>
      </c>
      <c r="RT18" s="18">
        <f t="shared" si="90"/>
        <v>482</v>
      </c>
      <c r="RU18" s="18">
        <f t="shared" si="90"/>
        <v>483</v>
      </c>
      <c r="RV18" s="18">
        <f t="shared" si="90"/>
        <v>484</v>
      </c>
      <c r="RW18" s="18">
        <f t="shared" si="90"/>
        <v>485</v>
      </c>
      <c r="RX18" s="18">
        <f t="shared" si="90"/>
        <v>486</v>
      </c>
      <c r="RY18" s="18">
        <f t="shared" si="90"/>
        <v>487</v>
      </c>
      <c r="RZ18" s="18">
        <f t="shared" si="90"/>
        <v>488</v>
      </c>
      <c r="SA18" s="18">
        <f t="shared" si="90"/>
        <v>489</v>
      </c>
      <c r="SB18" s="18">
        <f t="shared" si="90"/>
        <v>490</v>
      </c>
      <c r="SC18" s="18">
        <f t="shared" si="90"/>
        <v>491</v>
      </c>
      <c r="SD18" s="18">
        <f t="shared" si="90"/>
        <v>492</v>
      </c>
      <c r="SE18" s="18">
        <f t="shared" si="90"/>
        <v>493</v>
      </c>
      <c r="SF18" s="18">
        <f t="shared" si="90"/>
        <v>494</v>
      </c>
      <c r="SG18" s="18">
        <f t="shared" si="90"/>
        <v>495</v>
      </c>
      <c r="SH18" s="18">
        <f t="shared" si="90"/>
        <v>496</v>
      </c>
      <c r="SI18" s="18">
        <f t="shared" si="90"/>
        <v>497</v>
      </c>
      <c r="SJ18" s="18">
        <f t="shared" si="90"/>
        <v>498</v>
      </c>
      <c r="SK18" s="18">
        <f t="shared" si="90"/>
        <v>499</v>
      </c>
      <c r="SL18" s="18">
        <f t="shared" si="90"/>
        <v>500</v>
      </c>
      <c r="SM18" s="18">
        <f t="shared" si="90"/>
        <v>501</v>
      </c>
      <c r="SN18" s="18">
        <f t="shared" ref="SN18:UY18" si="91">SM18+1</f>
        <v>502</v>
      </c>
      <c r="SO18" s="18">
        <f t="shared" si="91"/>
        <v>503</v>
      </c>
      <c r="SP18" s="18">
        <f t="shared" si="91"/>
        <v>504</v>
      </c>
      <c r="SQ18" s="18">
        <f t="shared" si="91"/>
        <v>505</v>
      </c>
      <c r="SR18" s="18">
        <f t="shared" si="91"/>
        <v>506</v>
      </c>
      <c r="SS18" s="18">
        <f t="shared" si="91"/>
        <v>507</v>
      </c>
      <c r="ST18" s="18">
        <f t="shared" si="91"/>
        <v>508</v>
      </c>
      <c r="SU18" s="18">
        <f t="shared" si="91"/>
        <v>509</v>
      </c>
      <c r="SV18" s="18">
        <f t="shared" si="91"/>
        <v>510</v>
      </c>
      <c r="SW18" s="18">
        <f t="shared" si="91"/>
        <v>511</v>
      </c>
      <c r="SX18" s="18">
        <f t="shared" si="91"/>
        <v>512</v>
      </c>
      <c r="SY18" s="18">
        <f t="shared" si="91"/>
        <v>513</v>
      </c>
      <c r="SZ18" s="18">
        <f t="shared" si="91"/>
        <v>514</v>
      </c>
      <c r="TA18" s="18">
        <f t="shared" si="91"/>
        <v>515</v>
      </c>
      <c r="TB18" s="18">
        <f t="shared" si="91"/>
        <v>516</v>
      </c>
      <c r="TC18" s="18">
        <f t="shared" si="91"/>
        <v>517</v>
      </c>
      <c r="TD18" s="18">
        <f t="shared" si="91"/>
        <v>518</v>
      </c>
      <c r="TE18" s="18">
        <f t="shared" si="91"/>
        <v>519</v>
      </c>
      <c r="TF18" s="18">
        <f t="shared" si="91"/>
        <v>520</v>
      </c>
      <c r="TG18" s="18">
        <f t="shared" si="91"/>
        <v>521</v>
      </c>
      <c r="TH18" s="18">
        <f t="shared" si="91"/>
        <v>522</v>
      </c>
      <c r="TI18" s="18">
        <f t="shared" si="91"/>
        <v>523</v>
      </c>
      <c r="TJ18" s="18">
        <f t="shared" si="91"/>
        <v>524</v>
      </c>
      <c r="TK18" s="18">
        <f t="shared" si="91"/>
        <v>525</v>
      </c>
      <c r="TL18" s="18">
        <f t="shared" si="91"/>
        <v>526</v>
      </c>
      <c r="TM18" s="18">
        <f t="shared" si="91"/>
        <v>527</v>
      </c>
      <c r="TN18" s="18">
        <f t="shared" si="91"/>
        <v>528</v>
      </c>
      <c r="TO18" s="18">
        <f t="shared" si="91"/>
        <v>529</v>
      </c>
      <c r="TP18" s="18">
        <f t="shared" si="91"/>
        <v>530</v>
      </c>
      <c r="TQ18" s="18">
        <f t="shared" si="91"/>
        <v>531</v>
      </c>
      <c r="TR18" s="18">
        <f t="shared" si="91"/>
        <v>532</v>
      </c>
      <c r="TS18" s="18">
        <f t="shared" si="91"/>
        <v>533</v>
      </c>
      <c r="TT18" s="18">
        <f t="shared" si="91"/>
        <v>534</v>
      </c>
      <c r="TU18" s="18">
        <f t="shared" si="91"/>
        <v>535</v>
      </c>
      <c r="TV18" s="18">
        <f t="shared" si="91"/>
        <v>536</v>
      </c>
      <c r="TW18" s="18">
        <f t="shared" si="91"/>
        <v>537</v>
      </c>
      <c r="TX18" s="18">
        <f t="shared" si="91"/>
        <v>538</v>
      </c>
      <c r="TY18" s="18">
        <f t="shared" si="91"/>
        <v>539</v>
      </c>
      <c r="TZ18" s="18">
        <f t="shared" si="91"/>
        <v>540</v>
      </c>
      <c r="UA18" s="18">
        <f t="shared" si="91"/>
        <v>541</v>
      </c>
      <c r="UB18" s="18">
        <f t="shared" si="91"/>
        <v>542</v>
      </c>
      <c r="UC18" s="18">
        <f t="shared" si="91"/>
        <v>543</v>
      </c>
      <c r="UD18" s="18">
        <f t="shared" si="91"/>
        <v>544</v>
      </c>
      <c r="UE18" s="18">
        <f t="shared" si="91"/>
        <v>545</v>
      </c>
      <c r="UF18" s="18">
        <f t="shared" si="91"/>
        <v>546</v>
      </c>
      <c r="UG18" s="18">
        <f t="shared" si="91"/>
        <v>547</v>
      </c>
      <c r="UH18" s="18">
        <f t="shared" si="91"/>
        <v>548</v>
      </c>
      <c r="UI18" s="18">
        <f t="shared" si="91"/>
        <v>549</v>
      </c>
      <c r="UJ18" s="18">
        <f t="shared" si="91"/>
        <v>550</v>
      </c>
      <c r="UK18" s="18">
        <f t="shared" si="91"/>
        <v>551</v>
      </c>
      <c r="UL18" s="18">
        <f t="shared" si="91"/>
        <v>552</v>
      </c>
      <c r="UM18" s="18">
        <f t="shared" si="91"/>
        <v>553</v>
      </c>
      <c r="UN18" s="18">
        <f t="shared" si="91"/>
        <v>554</v>
      </c>
      <c r="UO18" s="18">
        <f t="shared" si="91"/>
        <v>555</v>
      </c>
      <c r="UP18" s="18">
        <f t="shared" si="91"/>
        <v>556</v>
      </c>
      <c r="UQ18" s="18">
        <f t="shared" si="91"/>
        <v>557</v>
      </c>
      <c r="UR18" s="18">
        <f t="shared" si="91"/>
        <v>558</v>
      </c>
      <c r="US18" s="18">
        <f t="shared" si="91"/>
        <v>559</v>
      </c>
      <c r="UT18" s="18">
        <f t="shared" si="91"/>
        <v>560</v>
      </c>
      <c r="UU18" s="18">
        <f t="shared" si="91"/>
        <v>561</v>
      </c>
      <c r="UV18" s="18">
        <f t="shared" si="91"/>
        <v>562</v>
      </c>
      <c r="UW18" s="18">
        <f t="shared" si="91"/>
        <v>563</v>
      </c>
      <c r="UX18" s="18">
        <f t="shared" si="91"/>
        <v>564</v>
      </c>
      <c r="UY18" s="18">
        <f t="shared" si="91"/>
        <v>565</v>
      </c>
      <c r="UZ18" s="18">
        <f t="shared" ref="UZ18:XK18" si="92">UY18+1</f>
        <v>566</v>
      </c>
      <c r="VA18" s="18">
        <f t="shared" si="92"/>
        <v>567</v>
      </c>
      <c r="VB18" s="18">
        <f t="shared" si="92"/>
        <v>568</v>
      </c>
      <c r="VC18" s="18">
        <f t="shared" si="92"/>
        <v>569</v>
      </c>
      <c r="VD18" s="18">
        <f t="shared" si="92"/>
        <v>570</v>
      </c>
      <c r="VE18" s="18">
        <f t="shared" si="92"/>
        <v>571</v>
      </c>
      <c r="VF18" s="18">
        <f t="shared" si="92"/>
        <v>572</v>
      </c>
      <c r="VG18" s="18">
        <f t="shared" si="92"/>
        <v>573</v>
      </c>
      <c r="VH18" s="18">
        <f t="shared" si="92"/>
        <v>574</v>
      </c>
      <c r="VI18" s="18">
        <f t="shared" si="92"/>
        <v>575</v>
      </c>
      <c r="VJ18" s="18">
        <f t="shared" si="92"/>
        <v>576</v>
      </c>
      <c r="VK18" s="18">
        <f t="shared" si="92"/>
        <v>577</v>
      </c>
      <c r="VL18" s="18">
        <f t="shared" si="92"/>
        <v>578</v>
      </c>
      <c r="VM18" s="18">
        <f t="shared" si="92"/>
        <v>579</v>
      </c>
      <c r="VN18" s="18">
        <f t="shared" si="92"/>
        <v>580</v>
      </c>
      <c r="VO18" s="18">
        <f t="shared" si="92"/>
        <v>581</v>
      </c>
      <c r="VP18" s="18">
        <f t="shared" si="92"/>
        <v>582</v>
      </c>
      <c r="VQ18" s="18">
        <f t="shared" si="92"/>
        <v>583</v>
      </c>
      <c r="VR18" s="18">
        <f t="shared" si="92"/>
        <v>584</v>
      </c>
      <c r="VS18" s="18">
        <f t="shared" si="92"/>
        <v>585</v>
      </c>
      <c r="VT18" s="18">
        <f t="shared" si="92"/>
        <v>586</v>
      </c>
      <c r="VU18" s="18">
        <f t="shared" si="92"/>
        <v>587</v>
      </c>
      <c r="VV18" s="18">
        <f t="shared" si="92"/>
        <v>588</v>
      </c>
      <c r="VW18" s="18">
        <f t="shared" si="92"/>
        <v>589</v>
      </c>
      <c r="VX18" s="18">
        <f t="shared" si="92"/>
        <v>590</v>
      </c>
      <c r="VY18" s="18">
        <f t="shared" si="92"/>
        <v>591</v>
      </c>
      <c r="VZ18" s="18">
        <f t="shared" si="92"/>
        <v>592</v>
      </c>
      <c r="WA18" s="18">
        <f t="shared" si="92"/>
        <v>593</v>
      </c>
      <c r="WB18" s="18">
        <f t="shared" si="92"/>
        <v>594</v>
      </c>
      <c r="WC18" s="18">
        <f t="shared" si="92"/>
        <v>595</v>
      </c>
      <c r="WD18" s="18">
        <f t="shared" si="92"/>
        <v>596</v>
      </c>
      <c r="WE18" s="18">
        <f t="shared" si="92"/>
        <v>597</v>
      </c>
      <c r="WF18" s="18">
        <f t="shared" si="92"/>
        <v>598</v>
      </c>
      <c r="WG18" s="18">
        <f t="shared" si="92"/>
        <v>599</v>
      </c>
      <c r="WH18" s="18">
        <f t="shared" si="92"/>
        <v>600</v>
      </c>
      <c r="WI18" s="18">
        <f t="shared" si="92"/>
        <v>601</v>
      </c>
      <c r="WJ18" s="18">
        <f t="shared" si="92"/>
        <v>602</v>
      </c>
      <c r="WK18" s="18">
        <f t="shared" si="92"/>
        <v>603</v>
      </c>
      <c r="WL18" s="18">
        <f t="shared" si="92"/>
        <v>604</v>
      </c>
      <c r="WM18" s="18">
        <f t="shared" si="92"/>
        <v>605</v>
      </c>
      <c r="WN18" s="18">
        <f t="shared" si="92"/>
        <v>606</v>
      </c>
      <c r="WO18" s="18">
        <f t="shared" si="92"/>
        <v>607</v>
      </c>
      <c r="WP18" s="18">
        <f t="shared" si="92"/>
        <v>608</v>
      </c>
      <c r="WQ18" s="18">
        <f t="shared" si="92"/>
        <v>609</v>
      </c>
      <c r="WR18" s="18">
        <f t="shared" si="92"/>
        <v>610</v>
      </c>
      <c r="WS18" s="18">
        <f t="shared" si="92"/>
        <v>611</v>
      </c>
      <c r="WT18" s="18">
        <f t="shared" si="92"/>
        <v>612</v>
      </c>
      <c r="WU18" s="18">
        <f t="shared" si="92"/>
        <v>613</v>
      </c>
      <c r="WV18" s="18">
        <f t="shared" si="92"/>
        <v>614</v>
      </c>
      <c r="WW18" s="18">
        <f t="shared" si="92"/>
        <v>615</v>
      </c>
      <c r="WX18" s="18">
        <f t="shared" si="92"/>
        <v>616</v>
      </c>
      <c r="WY18" s="18">
        <f t="shared" si="92"/>
        <v>617</v>
      </c>
      <c r="WZ18" s="18">
        <f t="shared" si="92"/>
        <v>618</v>
      </c>
      <c r="XA18" s="18">
        <f t="shared" si="92"/>
        <v>619</v>
      </c>
      <c r="XB18" s="18">
        <f t="shared" si="92"/>
        <v>620</v>
      </c>
      <c r="XC18" s="18">
        <f t="shared" si="92"/>
        <v>621</v>
      </c>
      <c r="XD18" s="18">
        <f t="shared" si="92"/>
        <v>622</v>
      </c>
      <c r="XE18" s="18">
        <f t="shared" si="92"/>
        <v>623</v>
      </c>
      <c r="XF18" s="18">
        <f t="shared" si="92"/>
        <v>624</v>
      </c>
      <c r="XG18" s="18">
        <f t="shared" si="92"/>
        <v>625</v>
      </c>
      <c r="XH18" s="18">
        <f t="shared" si="92"/>
        <v>626</v>
      </c>
      <c r="XI18" s="18">
        <f t="shared" si="92"/>
        <v>627</v>
      </c>
      <c r="XJ18" s="18">
        <f t="shared" si="92"/>
        <v>628</v>
      </c>
      <c r="XK18" s="18">
        <f t="shared" si="92"/>
        <v>629</v>
      </c>
      <c r="XL18" s="18">
        <f t="shared" ref="XL18:YT18" si="93">XK18+1</f>
        <v>630</v>
      </c>
      <c r="XM18" s="18">
        <f t="shared" si="93"/>
        <v>631</v>
      </c>
      <c r="XN18" s="18">
        <f t="shared" si="93"/>
        <v>632</v>
      </c>
      <c r="XO18" s="18">
        <f t="shared" si="93"/>
        <v>633</v>
      </c>
      <c r="XP18" s="18">
        <f t="shared" si="93"/>
        <v>634</v>
      </c>
      <c r="XQ18" s="18">
        <f t="shared" si="93"/>
        <v>635</v>
      </c>
      <c r="XR18" s="18">
        <f t="shared" si="93"/>
        <v>636</v>
      </c>
      <c r="XS18" s="18">
        <f t="shared" si="93"/>
        <v>637</v>
      </c>
      <c r="XT18" s="18">
        <f t="shared" si="93"/>
        <v>638</v>
      </c>
      <c r="XU18" s="18">
        <f t="shared" si="93"/>
        <v>639</v>
      </c>
      <c r="XV18" s="18">
        <f t="shared" si="93"/>
        <v>640</v>
      </c>
      <c r="XW18" s="18">
        <f t="shared" si="93"/>
        <v>641</v>
      </c>
      <c r="XX18" s="18">
        <f t="shared" si="93"/>
        <v>642</v>
      </c>
      <c r="XY18" s="18">
        <f t="shared" si="93"/>
        <v>643</v>
      </c>
      <c r="XZ18" s="18">
        <f t="shared" si="93"/>
        <v>644</v>
      </c>
      <c r="YA18" s="18">
        <f t="shared" si="93"/>
        <v>645</v>
      </c>
      <c r="YB18" s="18">
        <f t="shared" si="93"/>
        <v>646</v>
      </c>
      <c r="YC18" s="18">
        <f t="shared" si="93"/>
        <v>647</v>
      </c>
      <c r="YD18" s="18">
        <f t="shared" si="93"/>
        <v>648</v>
      </c>
      <c r="YE18" s="18">
        <f t="shared" si="93"/>
        <v>649</v>
      </c>
      <c r="YF18" s="18">
        <f t="shared" si="93"/>
        <v>650</v>
      </c>
      <c r="YG18" s="18">
        <f t="shared" si="93"/>
        <v>651</v>
      </c>
      <c r="YH18" s="18">
        <f t="shared" si="93"/>
        <v>652</v>
      </c>
      <c r="YI18" s="18">
        <f t="shared" si="93"/>
        <v>653</v>
      </c>
      <c r="YJ18" s="18">
        <f t="shared" si="93"/>
        <v>654</v>
      </c>
      <c r="YK18" s="18">
        <f t="shared" si="93"/>
        <v>655</v>
      </c>
      <c r="YL18" s="18">
        <f t="shared" si="93"/>
        <v>656</v>
      </c>
      <c r="YM18" s="18">
        <f t="shared" si="93"/>
        <v>657</v>
      </c>
      <c r="YN18" s="18">
        <f t="shared" si="93"/>
        <v>658</v>
      </c>
      <c r="YO18" s="18">
        <f t="shared" si="93"/>
        <v>659</v>
      </c>
      <c r="YP18" s="18">
        <f t="shared" si="93"/>
        <v>660</v>
      </c>
      <c r="YQ18" s="18">
        <f t="shared" si="93"/>
        <v>661</v>
      </c>
      <c r="YR18" s="18">
        <f t="shared" si="93"/>
        <v>662</v>
      </c>
      <c r="YS18" s="18">
        <f t="shared" si="93"/>
        <v>663</v>
      </c>
      <c r="YT18" s="18">
        <f t="shared" si="93"/>
        <v>664</v>
      </c>
      <c r="YU18" s="18">
        <f>YT18+1</f>
        <v>665</v>
      </c>
      <c r="YV18" s="18">
        <f t="shared" ref="YV18:ABG18" si="94">YU18+1</f>
        <v>666</v>
      </c>
      <c r="YW18" s="18">
        <f t="shared" si="94"/>
        <v>667</v>
      </c>
      <c r="YX18" s="18">
        <f t="shared" si="94"/>
        <v>668</v>
      </c>
      <c r="YY18" s="18">
        <f t="shared" si="94"/>
        <v>669</v>
      </c>
      <c r="YZ18" s="18">
        <f t="shared" si="94"/>
        <v>670</v>
      </c>
      <c r="ZA18" s="18">
        <f t="shared" si="94"/>
        <v>671</v>
      </c>
      <c r="ZB18" s="18">
        <f t="shared" si="94"/>
        <v>672</v>
      </c>
      <c r="ZC18" s="18">
        <f t="shared" si="94"/>
        <v>673</v>
      </c>
      <c r="ZD18" s="18">
        <f t="shared" si="94"/>
        <v>674</v>
      </c>
      <c r="ZE18" s="18">
        <f t="shared" si="94"/>
        <v>675</v>
      </c>
      <c r="ZF18" s="18">
        <f t="shared" si="94"/>
        <v>676</v>
      </c>
      <c r="ZG18" s="18">
        <f t="shared" si="94"/>
        <v>677</v>
      </c>
      <c r="ZH18" s="18">
        <f t="shared" si="94"/>
        <v>678</v>
      </c>
      <c r="ZI18" s="18">
        <f t="shared" si="94"/>
        <v>679</v>
      </c>
      <c r="ZJ18" s="18">
        <f t="shared" si="94"/>
        <v>680</v>
      </c>
      <c r="ZK18" s="18">
        <f t="shared" si="94"/>
        <v>681</v>
      </c>
      <c r="ZL18" s="18">
        <f t="shared" si="94"/>
        <v>682</v>
      </c>
      <c r="ZM18" s="18">
        <f t="shared" si="94"/>
        <v>683</v>
      </c>
      <c r="ZN18" s="18">
        <f t="shared" si="94"/>
        <v>684</v>
      </c>
      <c r="ZO18" s="18">
        <f t="shared" si="94"/>
        <v>685</v>
      </c>
      <c r="ZP18" s="18">
        <f t="shared" si="94"/>
        <v>686</v>
      </c>
      <c r="ZQ18" s="18">
        <f t="shared" si="94"/>
        <v>687</v>
      </c>
      <c r="ZR18" s="18">
        <f t="shared" si="94"/>
        <v>688</v>
      </c>
      <c r="ZS18" s="18">
        <f t="shared" si="94"/>
        <v>689</v>
      </c>
      <c r="ZT18" s="18">
        <f t="shared" si="94"/>
        <v>690</v>
      </c>
      <c r="ZU18" s="18">
        <f t="shared" si="94"/>
        <v>691</v>
      </c>
      <c r="ZV18" s="18">
        <f t="shared" si="94"/>
        <v>692</v>
      </c>
      <c r="ZW18" s="18">
        <f t="shared" si="94"/>
        <v>693</v>
      </c>
      <c r="ZX18" s="18">
        <f t="shared" si="94"/>
        <v>694</v>
      </c>
      <c r="ZY18" s="18">
        <f t="shared" si="94"/>
        <v>695</v>
      </c>
      <c r="ZZ18" s="18">
        <f t="shared" si="94"/>
        <v>696</v>
      </c>
      <c r="AAA18" s="18">
        <f t="shared" si="94"/>
        <v>697</v>
      </c>
      <c r="AAB18" s="18">
        <f t="shared" si="94"/>
        <v>698</v>
      </c>
      <c r="AAC18" s="18">
        <f t="shared" si="94"/>
        <v>699</v>
      </c>
      <c r="AAD18" s="18">
        <f t="shared" si="94"/>
        <v>700</v>
      </c>
      <c r="AAE18" s="18">
        <f t="shared" si="94"/>
        <v>701</v>
      </c>
      <c r="AAF18" s="18">
        <f t="shared" si="94"/>
        <v>702</v>
      </c>
      <c r="AAG18" s="18">
        <f t="shared" si="94"/>
        <v>703</v>
      </c>
      <c r="AAH18" s="18">
        <f t="shared" si="94"/>
        <v>704</v>
      </c>
      <c r="AAI18" s="18">
        <f t="shared" si="94"/>
        <v>705</v>
      </c>
      <c r="AAJ18" s="18">
        <f t="shared" si="94"/>
        <v>706</v>
      </c>
      <c r="AAK18" s="18">
        <f t="shared" si="94"/>
        <v>707</v>
      </c>
      <c r="AAL18" s="18">
        <f t="shared" si="94"/>
        <v>708</v>
      </c>
      <c r="AAM18" s="18">
        <f t="shared" si="94"/>
        <v>709</v>
      </c>
      <c r="AAN18" s="18">
        <f t="shared" si="94"/>
        <v>710</v>
      </c>
      <c r="AAO18" s="18">
        <f t="shared" si="94"/>
        <v>711</v>
      </c>
      <c r="AAP18" s="18">
        <f t="shared" si="94"/>
        <v>712</v>
      </c>
      <c r="AAQ18" s="18">
        <f t="shared" si="94"/>
        <v>713</v>
      </c>
      <c r="AAR18" s="18">
        <f t="shared" si="94"/>
        <v>714</v>
      </c>
      <c r="AAS18" s="18">
        <f t="shared" si="94"/>
        <v>715</v>
      </c>
      <c r="AAT18" s="18">
        <f t="shared" si="94"/>
        <v>716</v>
      </c>
      <c r="AAU18" s="18">
        <f t="shared" si="94"/>
        <v>717</v>
      </c>
      <c r="AAV18" s="18">
        <f t="shared" si="94"/>
        <v>718</v>
      </c>
      <c r="AAW18" s="18">
        <f t="shared" si="94"/>
        <v>719</v>
      </c>
      <c r="AAX18" s="18">
        <f t="shared" si="94"/>
        <v>720</v>
      </c>
      <c r="AAY18" s="18">
        <f t="shared" si="94"/>
        <v>721</v>
      </c>
      <c r="AAZ18" s="18">
        <f t="shared" si="94"/>
        <v>722</v>
      </c>
      <c r="ABA18" s="18">
        <f t="shared" si="94"/>
        <v>723</v>
      </c>
      <c r="ABB18" s="18">
        <f t="shared" si="94"/>
        <v>724</v>
      </c>
      <c r="ABC18" s="18">
        <f t="shared" si="94"/>
        <v>725</v>
      </c>
      <c r="ABD18" s="18">
        <f t="shared" si="94"/>
        <v>726</v>
      </c>
      <c r="ABE18" s="18">
        <f t="shared" si="94"/>
        <v>727</v>
      </c>
      <c r="ABF18" s="18">
        <f t="shared" si="94"/>
        <v>728</v>
      </c>
      <c r="ABG18" s="18">
        <f t="shared" si="94"/>
        <v>729</v>
      </c>
      <c r="ABH18" s="18">
        <f t="shared" ref="ABH18:ADS18" si="95">ABG18+1</f>
        <v>730</v>
      </c>
      <c r="ABI18" s="18">
        <f t="shared" si="95"/>
        <v>731</v>
      </c>
      <c r="ABJ18" s="18">
        <f t="shared" si="95"/>
        <v>732</v>
      </c>
      <c r="ABK18" s="18">
        <f t="shared" si="95"/>
        <v>733</v>
      </c>
      <c r="ABL18" s="18">
        <f t="shared" si="95"/>
        <v>734</v>
      </c>
      <c r="ABM18" s="18">
        <f t="shared" si="95"/>
        <v>735</v>
      </c>
      <c r="ABN18" s="18">
        <f t="shared" si="95"/>
        <v>736</v>
      </c>
      <c r="ABO18" s="18">
        <f t="shared" si="95"/>
        <v>737</v>
      </c>
      <c r="ABP18" s="18">
        <f t="shared" si="95"/>
        <v>738</v>
      </c>
      <c r="ABQ18" s="18">
        <f t="shared" si="95"/>
        <v>739</v>
      </c>
      <c r="ABR18" s="18">
        <f t="shared" si="95"/>
        <v>740</v>
      </c>
      <c r="ABS18" s="18">
        <f t="shared" si="95"/>
        <v>741</v>
      </c>
      <c r="ABT18" s="18">
        <f t="shared" si="95"/>
        <v>742</v>
      </c>
      <c r="ABU18" s="18">
        <f t="shared" si="95"/>
        <v>743</v>
      </c>
      <c r="ABV18" s="18">
        <f t="shared" si="95"/>
        <v>744</v>
      </c>
      <c r="ABW18" s="18">
        <f t="shared" si="95"/>
        <v>745</v>
      </c>
      <c r="ABX18" s="18">
        <f t="shared" si="95"/>
        <v>746</v>
      </c>
      <c r="ABY18" s="18">
        <f t="shared" si="95"/>
        <v>747</v>
      </c>
      <c r="ABZ18" s="18">
        <f t="shared" si="95"/>
        <v>748</v>
      </c>
      <c r="ACA18" s="18">
        <f t="shared" si="95"/>
        <v>749</v>
      </c>
      <c r="ACB18" s="18">
        <f t="shared" si="95"/>
        <v>750</v>
      </c>
      <c r="ACC18" s="18">
        <f t="shared" si="95"/>
        <v>751</v>
      </c>
      <c r="ACD18" s="18">
        <f t="shared" si="95"/>
        <v>752</v>
      </c>
      <c r="ACE18" s="18">
        <f t="shared" si="95"/>
        <v>753</v>
      </c>
      <c r="ACF18" s="18">
        <f t="shared" si="95"/>
        <v>754</v>
      </c>
      <c r="ACG18" s="18">
        <f t="shared" si="95"/>
        <v>755</v>
      </c>
      <c r="ACH18" s="18">
        <f t="shared" si="95"/>
        <v>756</v>
      </c>
      <c r="ACI18" s="18">
        <f t="shared" si="95"/>
        <v>757</v>
      </c>
      <c r="ACJ18" s="18">
        <f t="shared" si="95"/>
        <v>758</v>
      </c>
      <c r="ACK18" s="18">
        <f t="shared" si="95"/>
        <v>759</v>
      </c>
      <c r="ACL18" s="18">
        <f t="shared" si="95"/>
        <v>760</v>
      </c>
      <c r="ACM18" s="18">
        <f t="shared" si="95"/>
        <v>761</v>
      </c>
      <c r="ACN18" s="18">
        <f t="shared" si="95"/>
        <v>762</v>
      </c>
      <c r="ACO18" s="18">
        <f t="shared" si="95"/>
        <v>763</v>
      </c>
      <c r="ACP18" s="18">
        <f t="shared" si="95"/>
        <v>764</v>
      </c>
      <c r="ACQ18" s="18">
        <f t="shared" si="95"/>
        <v>765</v>
      </c>
      <c r="ACR18" s="18">
        <f t="shared" si="95"/>
        <v>766</v>
      </c>
      <c r="ACS18" s="18">
        <f t="shared" si="95"/>
        <v>767</v>
      </c>
      <c r="ACT18" s="18">
        <f t="shared" si="95"/>
        <v>768</v>
      </c>
      <c r="ACU18" s="18">
        <f t="shared" si="95"/>
        <v>769</v>
      </c>
      <c r="ACV18" s="18">
        <f t="shared" si="95"/>
        <v>770</v>
      </c>
      <c r="ACW18" s="18">
        <f t="shared" si="95"/>
        <v>771</v>
      </c>
      <c r="ACX18" s="18">
        <f t="shared" si="95"/>
        <v>772</v>
      </c>
      <c r="ACY18" s="18">
        <f t="shared" si="95"/>
        <v>773</v>
      </c>
      <c r="ACZ18" s="18">
        <f t="shared" si="95"/>
        <v>774</v>
      </c>
      <c r="ADA18" s="18">
        <f t="shared" si="95"/>
        <v>775</v>
      </c>
      <c r="ADB18" s="18">
        <f t="shared" si="95"/>
        <v>776</v>
      </c>
      <c r="ADC18" s="18">
        <f t="shared" si="95"/>
        <v>777</v>
      </c>
      <c r="ADD18" s="18">
        <f t="shared" si="95"/>
        <v>778</v>
      </c>
      <c r="ADE18" s="18">
        <f t="shared" si="95"/>
        <v>779</v>
      </c>
      <c r="ADF18" s="18">
        <f t="shared" si="95"/>
        <v>780</v>
      </c>
      <c r="ADG18" s="18">
        <f t="shared" si="95"/>
        <v>781</v>
      </c>
      <c r="ADH18" s="18">
        <f t="shared" si="95"/>
        <v>782</v>
      </c>
      <c r="ADI18" s="18">
        <f t="shared" si="95"/>
        <v>783</v>
      </c>
      <c r="ADJ18" s="18">
        <f t="shared" si="95"/>
        <v>784</v>
      </c>
      <c r="ADK18" s="18">
        <f t="shared" si="95"/>
        <v>785</v>
      </c>
      <c r="ADL18" s="18">
        <f t="shared" si="95"/>
        <v>786</v>
      </c>
      <c r="ADM18" s="18">
        <f t="shared" si="95"/>
        <v>787</v>
      </c>
      <c r="ADN18" s="18">
        <f t="shared" si="95"/>
        <v>788</v>
      </c>
      <c r="ADO18" s="18">
        <f t="shared" si="95"/>
        <v>789</v>
      </c>
      <c r="ADP18" s="18">
        <f t="shared" si="95"/>
        <v>790</v>
      </c>
      <c r="ADQ18" s="18">
        <f t="shared" si="95"/>
        <v>791</v>
      </c>
      <c r="ADR18" s="18">
        <f t="shared" si="95"/>
        <v>792</v>
      </c>
      <c r="ADS18" s="18">
        <f t="shared" si="95"/>
        <v>793</v>
      </c>
      <c r="ADT18" s="18">
        <f t="shared" ref="ADT18:AGE18" si="96">ADS18+1</f>
        <v>794</v>
      </c>
      <c r="ADU18" s="18">
        <f t="shared" si="96"/>
        <v>795</v>
      </c>
      <c r="ADV18" s="18">
        <f t="shared" si="96"/>
        <v>796</v>
      </c>
      <c r="ADW18" s="18">
        <f t="shared" si="96"/>
        <v>797</v>
      </c>
      <c r="ADX18" s="18">
        <f t="shared" si="96"/>
        <v>798</v>
      </c>
      <c r="ADY18" s="18">
        <f t="shared" si="96"/>
        <v>799</v>
      </c>
      <c r="ADZ18" s="18">
        <f t="shared" si="96"/>
        <v>800</v>
      </c>
      <c r="AEA18" s="18">
        <f t="shared" si="96"/>
        <v>801</v>
      </c>
      <c r="AEB18" s="18">
        <f t="shared" si="96"/>
        <v>802</v>
      </c>
      <c r="AEC18" s="18">
        <f t="shared" si="96"/>
        <v>803</v>
      </c>
      <c r="AED18" s="18">
        <f t="shared" si="96"/>
        <v>804</v>
      </c>
      <c r="AEE18" s="18">
        <f t="shared" si="96"/>
        <v>805</v>
      </c>
      <c r="AEF18" s="18">
        <f t="shared" si="96"/>
        <v>806</v>
      </c>
      <c r="AEG18" s="18">
        <f t="shared" si="96"/>
        <v>807</v>
      </c>
      <c r="AEH18" s="18">
        <f t="shared" si="96"/>
        <v>808</v>
      </c>
      <c r="AEI18" s="18">
        <f t="shared" si="96"/>
        <v>809</v>
      </c>
      <c r="AEJ18" s="18">
        <f t="shared" si="96"/>
        <v>810</v>
      </c>
      <c r="AEK18" s="18">
        <f t="shared" si="96"/>
        <v>811</v>
      </c>
      <c r="AEL18" s="18">
        <f t="shared" si="96"/>
        <v>812</v>
      </c>
      <c r="AEM18" s="18">
        <f t="shared" si="96"/>
        <v>813</v>
      </c>
      <c r="AEN18" s="18">
        <f t="shared" si="96"/>
        <v>814</v>
      </c>
      <c r="AEO18" s="18">
        <f t="shared" si="96"/>
        <v>815</v>
      </c>
      <c r="AEP18" s="18">
        <f t="shared" si="96"/>
        <v>816</v>
      </c>
      <c r="AEQ18" s="18">
        <f t="shared" si="96"/>
        <v>817</v>
      </c>
      <c r="AER18" s="18">
        <f t="shared" si="96"/>
        <v>818</v>
      </c>
      <c r="AES18" s="18">
        <f t="shared" si="96"/>
        <v>819</v>
      </c>
      <c r="AET18" s="18">
        <f t="shared" si="96"/>
        <v>820</v>
      </c>
      <c r="AEU18" s="18">
        <f t="shared" si="96"/>
        <v>821</v>
      </c>
      <c r="AEV18" s="18">
        <f t="shared" si="96"/>
        <v>822</v>
      </c>
      <c r="AEW18" s="18">
        <f t="shared" si="96"/>
        <v>823</v>
      </c>
      <c r="AEX18" s="18">
        <f t="shared" si="96"/>
        <v>824</v>
      </c>
      <c r="AEY18" s="18">
        <f t="shared" si="96"/>
        <v>825</v>
      </c>
      <c r="AEZ18" s="18">
        <f t="shared" si="96"/>
        <v>826</v>
      </c>
      <c r="AFA18" s="18">
        <f t="shared" si="96"/>
        <v>827</v>
      </c>
      <c r="AFB18" s="18">
        <f t="shared" si="96"/>
        <v>828</v>
      </c>
      <c r="AFC18" s="18">
        <f t="shared" si="96"/>
        <v>829</v>
      </c>
      <c r="AFD18" s="18">
        <f t="shared" si="96"/>
        <v>830</v>
      </c>
      <c r="AFE18" s="18">
        <f t="shared" si="96"/>
        <v>831</v>
      </c>
      <c r="AFF18" s="18">
        <f t="shared" si="96"/>
        <v>832</v>
      </c>
      <c r="AFG18" s="18">
        <f t="shared" si="96"/>
        <v>833</v>
      </c>
      <c r="AFH18" s="18">
        <f t="shared" si="96"/>
        <v>834</v>
      </c>
      <c r="AFI18" s="18">
        <f t="shared" si="96"/>
        <v>835</v>
      </c>
      <c r="AFJ18" s="18">
        <f t="shared" si="96"/>
        <v>836</v>
      </c>
      <c r="AFK18" s="18">
        <f t="shared" si="96"/>
        <v>837</v>
      </c>
      <c r="AFL18" s="18">
        <f t="shared" si="96"/>
        <v>838</v>
      </c>
      <c r="AFM18" s="18">
        <f t="shared" si="96"/>
        <v>839</v>
      </c>
      <c r="AFN18" s="18">
        <f t="shared" si="96"/>
        <v>840</v>
      </c>
      <c r="AFO18" s="18">
        <f t="shared" si="96"/>
        <v>841</v>
      </c>
      <c r="AFP18" s="18">
        <f t="shared" si="96"/>
        <v>842</v>
      </c>
      <c r="AFQ18" s="18">
        <f t="shared" si="96"/>
        <v>843</v>
      </c>
      <c r="AFR18" s="18">
        <f t="shared" si="96"/>
        <v>844</v>
      </c>
      <c r="AFS18" s="18">
        <f t="shared" si="96"/>
        <v>845</v>
      </c>
      <c r="AFT18" s="18">
        <f t="shared" si="96"/>
        <v>846</v>
      </c>
      <c r="AFU18" s="18">
        <f t="shared" si="96"/>
        <v>847</v>
      </c>
      <c r="AFV18" s="18">
        <f t="shared" si="96"/>
        <v>848</v>
      </c>
      <c r="AFW18" s="18">
        <f t="shared" si="96"/>
        <v>849</v>
      </c>
      <c r="AFX18" s="18">
        <f t="shared" si="96"/>
        <v>850</v>
      </c>
      <c r="AFY18" s="18">
        <f t="shared" si="96"/>
        <v>851</v>
      </c>
      <c r="AFZ18" s="18">
        <f t="shared" si="96"/>
        <v>852</v>
      </c>
      <c r="AGA18" s="18">
        <f t="shared" si="96"/>
        <v>853</v>
      </c>
      <c r="AGB18" s="18">
        <f t="shared" si="96"/>
        <v>854</v>
      </c>
      <c r="AGC18" s="18">
        <f t="shared" si="96"/>
        <v>855</v>
      </c>
      <c r="AGD18" s="18">
        <f t="shared" si="96"/>
        <v>856</v>
      </c>
      <c r="AGE18" s="18">
        <f t="shared" si="96"/>
        <v>857</v>
      </c>
      <c r="AGF18" s="18">
        <f t="shared" ref="AGF18:AHF18" si="97">AGE18+1</f>
        <v>858</v>
      </c>
      <c r="AGG18" s="18">
        <f t="shared" si="97"/>
        <v>859</v>
      </c>
      <c r="AGH18" s="18">
        <f t="shared" si="97"/>
        <v>860</v>
      </c>
      <c r="AGI18" s="18">
        <f t="shared" si="97"/>
        <v>861</v>
      </c>
      <c r="AGJ18" s="18">
        <f t="shared" si="97"/>
        <v>862</v>
      </c>
      <c r="AGK18" s="18">
        <f t="shared" si="97"/>
        <v>863</v>
      </c>
      <c r="AGL18" s="18">
        <f t="shared" si="97"/>
        <v>864</v>
      </c>
      <c r="AGM18" s="18">
        <f t="shared" si="97"/>
        <v>865</v>
      </c>
      <c r="AGN18" s="18">
        <f t="shared" si="97"/>
        <v>866</v>
      </c>
      <c r="AGO18" s="18">
        <f t="shared" si="97"/>
        <v>867</v>
      </c>
      <c r="AGP18" s="18">
        <f t="shared" si="97"/>
        <v>868</v>
      </c>
      <c r="AGQ18" s="18">
        <f t="shared" si="97"/>
        <v>869</v>
      </c>
      <c r="AGR18" s="18">
        <f t="shared" si="97"/>
        <v>870</v>
      </c>
      <c r="AGS18" s="18">
        <f t="shared" si="97"/>
        <v>871</v>
      </c>
      <c r="AGT18" s="18">
        <f t="shared" si="97"/>
        <v>872</v>
      </c>
      <c r="AGU18" s="18">
        <f t="shared" si="97"/>
        <v>873</v>
      </c>
      <c r="AGV18" s="18">
        <f t="shared" si="97"/>
        <v>874</v>
      </c>
      <c r="AGW18" s="18">
        <f t="shared" si="97"/>
        <v>875</v>
      </c>
      <c r="AGX18" s="18">
        <f t="shared" si="97"/>
        <v>876</v>
      </c>
      <c r="AGY18" s="18">
        <f t="shared" si="97"/>
        <v>877</v>
      </c>
      <c r="AGZ18" s="18">
        <f t="shared" si="97"/>
        <v>878</v>
      </c>
      <c r="AHA18" s="18">
        <f t="shared" si="97"/>
        <v>879</v>
      </c>
      <c r="AHB18" s="18">
        <f t="shared" si="97"/>
        <v>880</v>
      </c>
      <c r="AHC18" s="18">
        <f t="shared" si="97"/>
        <v>881</v>
      </c>
      <c r="AHD18" s="18">
        <f t="shared" si="97"/>
        <v>882</v>
      </c>
      <c r="AHE18" s="18">
        <f t="shared" si="97"/>
        <v>883</v>
      </c>
      <c r="AHF18" s="18">
        <f t="shared" si="97"/>
        <v>884</v>
      </c>
      <c r="AHG18" s="18">
        <f>AHF18+1</f>
        <v>885</v>
      </c>
      <c r="AHH18" s="18">
        <f t="shared" ref="AHH18:AJS18" si="98">AHG18+1</f>
        <v>886</v>
      </c>
      <c r="AHI18" s="18">
        <f t="shared" si="98"/>
        <v>887</v>
      </c>
      <c r="AHJ18" s="18">
        <f t="shared" si="98"/>
        <v>888</v>
      </c>
      <c r="AHK18" s="18">
        <f t="shared" si="98"/>
        <v>889</v>
      </c>
      <c r="AHL18" s="18">
        <f t="shared" si="98"/>
        <v>890</v>
      </c>
      <c r="AHM18" s="18">
        <f t="shared" si="98"/>
        <v>891</v>
      </c>
      <c r="AHN18" s="18">
        <f t="shared" si="98"/>
        <v>892</v>
      </c>
      <c r="AHO18" s="18">
        <f t="shared" si="98"/>
        <v>893</v>
      </c>
      <c r="AHP18" s="18">
        <f t="shared" si="98"/>
        <v>894</v>
      </c>
      <c r="AHQ18" s="18">
        <f t="shared" si="98"/>
        <v>895</v>
      </c>
      <c r="AHR18" s="18">
        <f t="shared" si="98"/>
        <v>896</v>
      </c>
      <c r="AHS18" s="18">
        <f t="shared" si="98"/>
        <v>897</v>
      </c>
      <c r="AHT18" s="18">
        <f t="shared" si="98"/>
        <v>898</v>
      </c>
      <c r="AHU18" s="18">
        <f t="shared" si="98"/>
        <v>899</v>
      </c>
      <c r="AHV18" s="18">
        <f t="shared" si="98"/>
        <v>900</v>
      </c>
      <c r="AHW18" s="18">
        <f t="shared" si="98"/>
        <v>901</v>
      </c>
      <c r="AHX18" s="18">
        <f t="shared" si="98"/>
        <v>902</v>
      </c>
      <c r="AHY18" s="18">
        <f t="shared" si="98"/>
        <v>903</v>
      </c>
      <c r="AHZ18" s="18">
        <f t="shared" si="98"/>
        <v>904</v>
      </c>
      <c r="AIA18" s="18">
        <f t="shared" si="98"/>
        <v>905</v>
      </c>
      <c r="AIB18" s="18">
        <f t="shared" si="98"/>
        <v>906</v>
      </c>
      <c r="AIC18" s="18">
        <f t="shared" si="98"/>
        <v>907</v>
      </c>
      <c r="AID18" s="18">
        <f t="shared" si="98"/>
        <v>908</v>
      </c>
      <c r="AIE18" s="18">
        <f t="shared" si="98"/>
        <v>909</v>
      </c>
      <c r="AIF18" s="18">
        <f t="shared" si="98"/>
        <v>910</v>
      </c>
      <c r="AIG18" s="18">
        <f t="shared" si="98"/>
        <v>911</v>
      </c>
      <c r="AIH18" s="18">
        <f t="shared" si="98"/>
        <v>912</v>
      </c>
      <c r="AII18" s="18">
        <f t="shared" si="98"/>
        <v>913</v>
      </c>
      <c r="AIJ18" s="18">
        <f t="shared" si="98"/>
        <v>914</v>
      </c>
      <c r="AIK18" s="18">
        <f t="shared" si="98"/>
        <v>915</v>
      </c>
      <c r="AIL18" s="18">
        <f t="shared" si="98"/>
        <v>916</v>
      </c>
      <c r="AIM18" s="18">
        <f t="shared" si="98"/>
        <v>917</v>
      </c>
      <c r="AIN18" s="18">
        <f t="shared" si="98"/>
        <v>918</v>
      </c>
      <c r="AIO18" s="18">
        <f t="shared" si="98"/>
        <v>919</v>
      </c>
      <c r="AIP18" s="18">
        <f t="shared" si="98"/>
        <v>920</v>
      </c>
      <c r="AIQ18" s="18">
        <f t="shared" si="98"/>
        <v>921</v>
      </c>
      <c r="AIR18" s="18">
        <f t="shared" si="98"/>
        <v>922</v>
      </c>
      <c r="AIS18" s="18">
        <f t="shared" si="98"/>
        <v>923</v>
      </c>
      <c r="AIT18" s="18">
        <f t="shared" si="98"/>
        <v>924</v>
      </c>
      <c r="AIU18" s="18">
        <f t="shared" si="98"/>
        <v>925</v>
      </c>
      <c r="AIV18" s="18">
        <f t="shared" si="98"/>
        <v>926</v>
      </c>
      <c r="AIW18" s="18">
        <f t="shared" si="98"/>
        <v>927</v>
      </c>
      <c r="AIX18" s="18">
        <f t="shared" si="98"/>
        <v>928</v>
      </c>
      <c r="AIY18" s="18">
        <f t="shared" si="98"/>
        <v>929</v>
      </c>
      <c r="AIZ18" s="18">
        <f t="shared" si="98"/>
        <v>930</v>
      </c>
      <c r="AJA18" s="18">
        <f t="shared" si="98"/>
        <v>931</v>
      </c>
      <c r="AJB18" s="18">
        <f t="shared" si="98"/>
        <v>932</v>
      </c>
      <c r="AJC18" s="18">
        <f t="shared" si="98"/>
        <v>933</v>
      </c>
      <c r="AJD18" s="18">
        <f t="shared" si="98"/>
        <v>934</v>
      </c>
      <c r="AJE18" s="18">
        <f t="shared" si="98"/>
        <v>935</v>
      </c>
      <c r="AJF18" s="18">
        <f t="shared" si="98"/>
        <v>936</v>
      </c>
      <c r="AJG18" s="18">
        <f t="shared" si="98"/>
        <v>937</v>
      </c>
      <c r="AJH18" s="18">
        <f t="shared" si="98"/>
        <v>938</v>
      </c>
      <c r="AJI18" s="18">
        <f t="shared" si="98"/>
        <v>939</v>
      </c>
      <c r="AJJ18" s="18">
        <f t="shared" si="98"/>
        <v>940</v>
      </c>
      <c r="AJK18" s="18">
        <f t="shared" si="98"/>
        <v>941</v>
      </c>
      <c r="AJL18" s="18">
        <f t="shared" si="98"/>
        <v>942</v>
      </c>
      <c r="AJM18" s="18">
        <f t="shared" si="98"/>
        <v>943</v>
      </c>
      <c r="AJN18" s="18">
        <f t="shared" si="98"/>
        <v>944</v>
      </c>
      <c r="AJO18" s="18">
        <f t="shared" si="98"/>
        <v>945</v>
      </c>
      <c r="AJP18" s="18">
        <f t="shared" si="98"/>
        <v>946</v>
      </c>
      <c r="AJQ18" s="18">
        <f t="shared" si="98"/>
        <v>947</v>
      </c>
      <c r="AJR18" s="18">
        <f t="shared" si="98"/>
        <v>948</v>
      </c>
      <c r="AJS18" s="18">
        <f t="shared" si="98"/>
        <v>949</v>
      </c>
      <c r="AJT18" s="18">
        <f t="shared" ref="AJT18:ALR18" si="99">AJS18+1</f>
        <v>950</v>
      </c>
      <c r="AJU18" s="18">
        <f t="shared" si="99"/>
        <v>951</v>
      </c>
      <c r="AJV18" s="18">
        <f t="shared" si="99"/>
        <v>952</v>
      </c>
      <c r="AJW18" s="18">
        <f t="shared" si="99"/>
        <v>953</v>
      </c>
      <c r="AJX18" s="18">
        <f t="shared" si="99"/>
        <v>954</v>
      </c>
      <c r="AJY18" s="18">
        <f t="shared" si="99"/>
        <v>955</v>
      </c>
      <c r="AJZ18" s="18">
        <f t="shared" si="99"/>
        <v>956</v>
      </c>
      <c r="AKA18" s="18">
        <f t="shared" si="99"/>
        <v>957</v>
      </c>
      <c r="AKB18" s="18">
        <f t="shared" si="99"/>
        <v>958</v>
      </c>
      <c r="AKC18" s="18">
        <f t="shared" si="99"/>
        <v>959</v>
      </c>
      <c r="AKD18" s="18">
        <f t="shared" si="99"/>
        <v>960</v>
      </c>
      <c r="AKE18" s="18">
        <f t="shared" si="99"/>
        <v>961</v>
      </c>
      <c r="AKF18" s="18">
        <f t="shared" si="99"/>
        <v>962</v>
      </c>
      <c r="AKG18" s="18">
        <f t="shared" si="99"/>
        <v>963</v>
      </c>
      <c r="AKH18" s="18">
        <f t="shared" si="99"/>
        <v>964</v>
      </c>
      <c r="AKI18" s="18">
        <f t="shared" si="99"/>
        <v>965</v>
      </c>
      <c r="AKJ18" s="18">
        <f t="shared" si="99"/>
        <v>966</v>
      </c>
      <c r="AKK18" s="18">
        <f t="shared" si="99"/>
        <v>967</v>
      </c>
      <c r="AKL18" s="18">
        <f t="shared" si="99"/>
        <v>968</v>
      </c>
      <c r="AKM18" s="18">
        <f t="shared" si="99"/>
        <v>969</v>
      </c>
      <c r="AKN18" s="18">
        <f t="shared" si="99"/>
        <v>970</v>
      </c>
      <c r="AKO18" s="18">
        <f t="shared" si="99"/>
        <v>971</v>
      </c>
      <c r="AKP18" s="18">
        <f t="shared" si="99"/>
        <v>972</v>
      </c>
      <c r="AKQ18" s="18">
        <f t="shared" si="99"/>
        <v>973</v>
      </c>
      <c r="AKR18" s="18">
        <f t="shared" si="99"/>
        <v>974</v>
      </c>
      <c r="AKS18" s="18">
        <f t="shared" si="99"/>
        <v>975</v>
      </c>
      <c r="AKT18" s="18">
        <f t="shared" si="99"/>
        <v>976</v>
      </c>
      <c r="AKU18" s="18">
        <f t="shared" si="99"/>
        <v>977</v>
      </c>
      <c r="AKV18" s="18">
        <f t="shared" si="99"/>
        <v>978</v>
      </c>
      <c r="AKW18" s="18">
        <f t="shared" si="99"/>
        <v>979</v>
      </c>
      <c r="AKX18" s="18">
        <f t="shared" si="99"/>
        <v>980</v>
      </c>
      <c r="AKY18" s="18">
        <f t="shared" si="99"/>
        <v>981</v>
      </c>
      <c r="AKZ18" s="18">
        <f t="shared" si="99"/>
        <v>982</v>
      </c>
      <c r="ALA18" s="18">
        <f t="shared" si="99"/>
        <v>983</v>
      </c>
      <c r="ALB18" s="18">
        <f t="shared" si="99"/>
        <v>984</v>
      </c>
      <c r="ALC18" s="18">
        <f t="shared" si="99"/>
        <v>985</v>
      </c>
      <c r="ALD18" s="18">
        <f t="shared" si="99"/>
        <v>986</v>
      </c>
      <c r="ALE18" s="18">
        <f t="shared" si="99"/>
        <v>987</v>
      </c>
      <c r="ALF18" s="18">
        <f t="shared" si="99"/>
        <v>988</v>
      </c>
      <c r="ALG18" s="18">
        <f t="shared" si="99"/>
        <v>989</v>
      </c>
      <c r="ALH18" s="18">
        <f t="shared" si="99"/>
        <v>990</v>
      </c>
      <c r="ALI18" s="18">
        <f t="shared" si="99"/>
        <v>991</v>
      </c>
      <c r="ALJ18" s="18">
        <f t="shared" si="99"/>
        <v>992</v>
      </c>
      <c r="ALK18" s="18">
        <f t="shared" si="99"/>
        <v>993</v>
      </c>
      <c r="ALL18" s="18">
        <f t="shared" si="99"/>
        <v>994</v>
      </c>
      <c r="ALM18" s="18">
        <f t="shared" si="99"/>
        <v>995</v>
      </c>
      <c r="ALN18" s="18">
        <f t="shared" si="99"/>
        <v>996</v>
      </c>
      <c r="ALO18" s="18">
        <f t="shared" si="99"/>
        <v>997</v>
      </c>
      <c r="ALP18" s="18">
        <f t="shared" si="99"/>
        <v>998</v>
      </c>
      <c r="ALQ18" s="18">
        <f t="shared" si="99"/>
        <v>999</v>
      </c>
      <c r="ALR18" s="19">
        <f t="shared" si="99"/>
        <v>1000</v>
      </c>
    </row>
    <row r="19" spans="1:1006" ht="15" customHeight="1" x14ac:dyDescent="0.2">
      <c r="F19" s="10">
        <v>0</v>
      </c>
      <c r="G19" s="45">
        <v>57661</v>
      </c>
      <c r="H19" s="47">
        <f>G19</f>
        <v>57661</v>
      </c>
      <c r="I19" s="47">
        <f t="shared" ref="I19:BT19" si="100">H19</f>
        <v>57661</v>
      </c>
      <c r="J19" s="47">
        <f t="shared" si="100"/>
        <v>57661</v>
      </c>
      <c r="K19" s="47">
        <f t="shared" si="100"/>
        <v>57661</v>
      </c>
      <c r="L19" s="47">
        <f t="shared" si="100"/>
        <v>57661</v>
      </c>
      <c r="M19" s="47">
        <f t="shared" si="100"/>
        <v>57661</v>
      </c>
      <c r="N19" s="47">
        <f t="shared" si="100"/>
        <v>57661</v>
      </c>
      <c r="O19" s="47">
        <f t="shared" si="100"/>
        <v>57661</v>
      </c>
      <c r="P19" s="47">
        <f t="shared" si="100"/>
        <v>57661</v>
      </c>
      <c r="Q19" s="47">
        <f t="shared" si="100"/>
        <v>57661</v>
      </c>
      <c r="R19" s="47">
        <f t="shared" si="100"/>
        <v>57661</v>
      </c>
      <c r="S19" s="47">
        <f t="shared" si="100"/>
        <v>57661</v>
      </c>
      <c r="T19" s="47">
        <f t="shared" si="100"/>
        <v>57661</v>
      </c>
      <c r="U19" s="47">
        <f t="shared" si="100"/>
        <v>57661</v>
      </c>
      <c r="V19" s="47">
        <f t="shared" si="100"/>
        <v>57661</v>
      </c>
      <c r="W19" s="47">
        <f t="shared" si="100"/>
        <v>57661</v>
      </c>
      <c r="X19" s="47">
        <f t="shared" si="100"/>
        <v>57661</v>
      </c>
      <c r="Y19" s="47">
        <f t="shared" si="100"/>
        <v>57661</v>
      </c>
      <c r="Z19" s="47">
        <f t="shared" si="100"/>
        <v>57661</v>
      </c>
      <c r="AA19" s="47">
        <f t="shared" si="100"/>
        <v>57661</v>
      </c>
      <c r="AB19" s="47">
        <f t="shared" si="100"/>
        <v>57661</v>
      </c>
      <c r="AC19" s="47">
        <f t="shared" si="100"/>
        <v>57661</v>
      </c>
      <c r="AD19" s="47">
        <f t="shared" si="100"/>
        <v>57661</v>
      </c>
      <c r="AE19" s="47">
        <f t="shared" si="100"/>
        <v>57661</v>
      </c>
      <c r="AF19" s="47">
        <f t="shared" si="100"/>
        <v>57661</v>
      </c>
      <c r="AG19" s="47">
        <f t="shared" si="100"/>
        <v>57661</v>
      </c>
      <c r="AH19" s="47">
        <f t="shared" si="100"/>
        <v>57661</v>
      </c>
      <c r="AI19" s="47">
        <f t="shared" si="100"/>
        <v>57661</v>
      </c>
      <c r="AJ19" s="47">
        <f t="shared" si="100"/>
        <v>57661</v>
      </c>
      <c r="AK19" s="47">
        <f t="shared" si="100"/>
        <v>57661</v>
      </c>
      <c r="AL19" s="47">
        <f t="shared" si="100"/>
        <v>57661</v>
      </c>
      <c r="AM19" s="47">
        <f t="shared" si="100"/>
        <v>57661</v>
      </c>
      <c r="AN19" s="47">
        <f t="shared" si="100"/>
        <v>57661</v>
      </c>
      <c r="AO19" s="47">
        <f t="shared" si="100"/>
        <v>57661</v>
      </c>
      <c r="AP19" s="47">
        <f t="shared" si="100"/>
        <v>57661</v>
      </c>
      <c r="AQ19" s="47">
        <f t="shared" si="100"/>
        <v>57661</v>
      </c>
      <c r="AR19" s="47">
        <f t="shared" si="100"/>
        <v>57661</v>
      </c>
      <c r="AS19" s="47">
        <f t="shared" si="100"/>
        <v>57661</v>
      </c>
      <c r="AT19" s="47">
        <f t="shared" si="100"/>
        <v>57661</v>
      </c>
      <c r="AU19" s="47">
        <f t="shared" si="100"/>
        <v>57661</v>
      </c>
      <c r="AV19" s="47">
        <f t="shared" si="100"/>
        <v>57661</v>
      </c>
      <c r="AW19" s="47">
        <f t="shared" si="100"/>
        <v>57661</v>
      </c>
      <c r="AX19" s="47">
        <f t="shared" si="100"/>
        <v>57661</v>
      </c>
      <c r="AY19" s="47">
        <f t="shared" si="100"/>
        <v>57661</v>
      </c>
      <c r="AZ19" s="47">
        <f t="shared" si="100"/>
        <v>57661</v>
      </c>
      <c r="BA19" s="47">
        <f t="shared" si="100"/>
        <v>57661</v>
      </c>
      <c r="BB19" s="47">
        <f t="shared" si="100"/>
        <v>57661</v>
      </c>
      <c r="BC19" s="47">
        <f t="shared" si="100"/>
        <v>57661</v>
      </c>
      <c r="BD19" s="47">
        <f t="shared" si="100"/>
        <v>57661</v>
      </c>
      <c r="BE19" s="47">
        <f t="shared" si="100"/>
        <v>57661</v>
      </c>
      <c r="BF19" s="47">
        <f t="shared" si="100"/>
        <v>57661</v>
      </c>
      <c r="BG19" s="47">
        <f t="shared" si="100"/>
        <v>57661</v>
      </c>
      <c r="BH19" s="47">
        <f t="shared" si="100"/>
        <v>57661</v>
      </c>
      <c r="BI19" s="47">
        <f t="shared" si="100"/>
        <v>57661</v>
      </c>
      <c r="BJ19" s="47">
        <f t="shared" si="100"/>
        <v>57661</v>
      </c>
      <c r="BK19" s="47">
        <f t="shared" si="100"/>
        <v>57661</v>
      </c>
      <c r="BL19" s="47">
        <f t="shared" si="100"/>
        <v>57661</v>
      </c>
      <c r="BM19" s="47">
        <f t="shared" si="100"/>
        <v>57661</v>
      </c>
      <c r="BN19" s="47">
        <f t="shared" si="100"/>
        <v>57661</v>
      </c>
      <c r="BO19" s="47">
        <f t="shared" si="100"/>
        <v>57661</v>
      </c>
      <c r="BP19" s="47">
        <f t="shared" si="100"/>
        <v>57661</v>
      </c>
      <c r="BQ19" s="47">
        <f t="shared" si="100"/>
        <v>57661</v>
      </c>
      <c r="BR19" s="47">
        <f t="shared" si="100"/>
        <v>57661</v>
      </c>
      <c r="BS19" s="47">
        <f t="shared" si="100"/>
        <v>57661</v>
      </c>
      <c r="BT19" s="47">
        <f t="shared" si="100"/>
        <v>57661</v>
      </c>
      <c r="BU19" s="47">
        <f t="shared" ref="BU19:CS19" si="101">BT19</f>
        <v>57661</v>
      </c>
      <c r="BV19" s="47">
        <f t="shared" si="101"/>
        <v>57661</v>
      </c>
      <c r="BW19" s="47">
        <f t="shared" si="101"/>
        <v>57661</v>
      </c>
      <c r="BX19" s="47">
        <f t="shared" si="101"/>
        <v>57661</v>
      </c>
      <c r="BY19" s="47">
        <f t="shared" si="101"/>
        <v>57661</v>
      </c>
      <c r="BZ19" s="47">
        <f t="shared" si="101"/>
        <v>57661</v>
      </c>
      <c r="CA19" s="47">
        <f t="shared" si="101"/>
        <v>57661</v>
      </c>
      <c r="CB19" s="47">
        <f t="shared" si="101"/>
        <v>57661</v>
      </c>
      <c r="CC19" s="47">
        <f t="shared" si="101"/>
        <v>57661</v>
      </c>
      <c r="CD19" s="47">
        <f t="shared" si="101"/>
        <v>57661</v>
      </c>
      <c r="CE19" s="47">
        <f t="shared" si="101"/>
        <v>57661</v>
      </c>
      <c r="CF19" s="47">
        <f t="shared" si="101"/>
        <v>57661</v>
      </c>
      <c r="CG19" s="47">
        <f t="shared" si="101"/>
        <v>57661</v>
      </c>
      <c r="CH19" s="47">
        <f t="shared" si="101"/>
        <v>57661</v>
      </c>
      <c r="CI19" s="47">
        <f t="shared" si="101"/>
        <v>57661</v>
      </c>
      <c r="CJ19" s="47">
        <f t="shared" si="101"/>
        <v>57661</v>
      </c>
      <c r="CK19" s="47">
        <f t="shared" si="101"/>
        <v>57661</v>
      </c>
      <c r="CL19" s="47">
        <f t="shared" si="101"/>
        <v>57661</v>
      </c>
      <c r="CM19" s="47">
        <f t="shared" si="101"/>
        <v>57661</v>
      </c>
      <c r="CN19" s="47">
        <f t="shared" si="101"/>
        <v>57661</v>
      </c>
      <c r="CO19" s="47">
        <f t="shared" si="101"/>
        <v>57661</v>
      </c>
      <c r="CP19" s="47">
        <f t="shared" si="101"/>
        <v>57661</v>
      </c>
      <c r="CQ19" s="47">
        <f t="shared" si="101"/>
        <v>57661</v>
      </c>
      <c r="CR19" s="47">
        <f t="shared" si="101"/>
        <v>57661</v>
      </c>
      <c r="CS19" s="47">
        <f t="shared" si="101"/>
        <v>57661</v>
      </c>
      <c r="CT19" s="47">
        <f>CS19</f>
        <v>57661</v>
      </c>
      <c r="CU19" s="47">
        <f t="shared" ref="CU19:FF19" si="102">CT19</f>
        <v>57661</v>
      </c>
      <c r="CV19" s="47">
        <f t="shared" si="102"/>
        <v>57661</v>
      </c>
      <c r="CW19" s="47">
        <f t="shared" si="102"/>
        <v>57661</v>
      </c>
      <c r="CX19" s="47">
        <f t="shared" si="102"/>
        <v>57661</v>
      </c>
      <c r="CY19" s="47">
        <f t="shared" si="102"/>
        <v>57661</v>
      </c>
      <c r="CZ19" s="47">
        <f t="shared" si="102"/>
        <v>57661</v>
      </c>
      <c r="DA19" s="47">
        <f t="shared" si="102"/>
        <v>57661</v>
      </c>
      <c r="DB19" s="47">
        <f t="shared" si="102"/>
        <v>57661</v>
      </c>
      <c r="DC19" s="47">
        <f t="shared" si="102"/>
        <v>57661</v>
      </c>
      <c r="DD19" s="47">
        <f t="shared" si="102"/>
        <v>57661</v>
      </c>
      <c r="DE19" s="47">
        <f t="shared" si="102"/>
        <v>57661</v>
      </c>
      <c r="DF19" s="47">
        <f t="shared" si="102"/>
        <v>57661</v>
      </c>
      <c r="DG19" s="47">
        <f t="shared" si="102"/>
        <v>57661</v>
      </c>
      <c r="DH19" s="47">
        <f t="shared" si="102"/>
        <v>57661</v>
      </c>
      <c r="DI19" s="47">
        <f t="shared" si="102"/>
        <v>57661</v>
      </c>
      <c r="DJ19" s="47">
        <f t="shared" si="102"/>
        <v>57661</v>
      </c>
      <c r="DK19" s="47">
        <f t="shared" si="102"/>
        <v>57661</v>
      </c>
      <c r="DL19" s="47">
        <f t="shared" si="102"/>
        <v>57661</v>
      </c>
      <c r="DM19" s="47">
        <f t="shared" si="102"/>
        <v>57661</v>
      </c>
      <c r="DN19" s="47">
        <f t="shared" si="102"/>
        <v>57661</v>
      </c>
      <c r="DO19" s="47">
        <f t="shared" si="102"/>
        <v>57661</v>
      </c>
      <c r="DP19" s="47">
        <f t="shared" si="102"/>
        <v>57661</v>
      </c>
      <c r="DQ19" s="47">
        <f t="shared" si="102"/>
        <v>57661</v>
      </c>
      <c r="DR19" s="47">
        <f t="shared" si="102"/>
        <v>57661</v>
      </c>
      <c r="DS19" s="47">
        <f t="shared" si="102"/>
        <v>57661</v>
      </c>
      <c r="DT19" s="47">
        <f t="shared" si="102"/>
        <v>57661</v>
      </c>
      <c r="DU19" s="47">
        <f t="shared" si="102"/>
        <v>57661</v>
      </c>
      <c r="DV19" s="47">
        <f t="shared" si="102"/>
        <v>57661</v>
      </c>
      <c r="DW19" s="47">
        <f t="shared" si="102"/>
        <v>57661</v>
      </c>
      <c r="DX19" s="47">
        <f t="shared" si="102"/>
        <v>57661</v>
      </c>
      <c r="DY19" s="47">
        <f t="shared" si="102"/>
        <v>57661</v>
      </c>
      <c r="DZ19" s="47">
        <f t="shared" si="102"/>
        <v>57661</v>
      </c>
      <c r="EA19" s="47">
        <f t="shared" si="102"/>
        <v>57661</v>
      </c>
      <c r="EB19" s="47">
        <f t="shared" si="102"/>
        <v>57661</v>
      </c>
      <c r="EC19" s="47">
        <f t="shared" si="102"/>
        <v>57661</v>
      </c>
      <c r="ED19" s="47">
        <f t="shared" si="102"/>
        <v>57661</v>
      </c>
      <c r="EE19" s="47">
        <f t="shared" si="102"/>
        <v>57661</v>
      </c>
      <c r="EF19" s="47">
        <f t="shared" si="102"/>
        <v>57661</v>
      </c>
      <c r="EG19" s="47">
        <f t="shared" si="102"/>
        <v>57661</v>
      </c>
      <c r="EH19" s="47">
        <f t="shared" si="102"/>
        <v>57661</v>
      </c>
      <c r="EI19" s="47">
        <f t="shared" si="102"/>
        <v>57661</v>
      </c>
      <c r="EJ19" s="47">
        <f t="shared" si="102"/>
        <v>57661</v>
      </c>
      <c r="EK19" s="47">
        <f t="shared" si="102"/>
        <v>57661</v>
      </c>
      <c r="EL19" s="47">
        <f t="shared" si="102"/>
        <v>57661</v>
      </c>
      <c r="EM19" s="47">
        <f t="shared" si="102"/>
        <v>57661</v>
      </c>
      <c r="EN19" s="47">
        <f t="shared" si="102"/>
        <v>57661</v>
      </c>
      <c r="EO19" s="47">
        <f t="shared" si="102"/>
        <v>57661</v>
      </c>
      <c r="EP19" s="47">
        <f t="shared" si="102"/>
        <v>57661</v>
      </c>
      <c r="EQ19" s="47">
        <f t="shared" si="102"/>
        <v>57661</v>
      </c>
      <c r="ER19" s="47">
        <f t="shared" si="102"/>
        <v>57661</v>
      </c>
      <c r="ES19" s="47">
        <f t="shared" si="102"/>
        <v>57661</v>
      </c>
      <c r="ET19" s="47">
        <f t="shared" si="102"/>
        <v>57661</v>
      </c>
      <c r="EU19" s="47">
        <f t="shared" si="102"/>
        <v>57661</v>
      </c>
      <c r="EV19" s="47">
        <f t="shared" si="102"/>
        <v>57661</v>
      </c>
      <c r="EW19" s="47">
        <f t="shared" si="102"/>
        <v>57661</v>
      </c>
      <c r="EX19" s="47">
        <f t="shared" si="102"/>
        <v>57661</v>
      </c>
      <c r="EY19" s="47">
        <f t="shared" si="102"/>
        <v>57661</v>
      </c>
      <c r="EZ19" s="47">
        <f t="shared" si="102"/>
        <v>57661</v>
      </c>
      <c r="FA19" s="47">
        <f t="shared" si="102"/>
        <v>57661</v>
      </c>
      <c r="FB19" s="47">
        <f t="shared" si="102"/>
        <v>57661</v>
      </c>
      <c r="FC19" s="47">
        <f t="shared" si="102"/>
        <v>57661</v>
      </c>
      <c r="FD19" s="47">
        <f t="shared" si="102"/>
        <v>57661</v>
      </c>
      <c r="FE19" s="47">
        <f t="shared" si="102"/>
        <v>57661</v>
      </c>
      <c r="FF19" s="47">
        <f t="shared" si="102"/>
        <v>57661</v>
      </c>
      <c r="FG19" s="47">
        <f t="shared" ref="FG19:HR19" si="103">FF19</f>
        <v>57661</v>
      </c>
      <c r="FH19" s="47">
        <f t="shared" si="103"/>
        <v>57661</v>
      </c>
      <c r="FI19" s="47">
        <f t="shared" si="103"/>
        <v>57661</v>
      </c>
      <c r="FJ19" s="47">
        <f t="shared" si="103"/>
        <v>57661</v>
      </c>
      <c r="FK19" s="47">
        <f t="shared" si="103"/>
        <v>57661</v>
      </c>
      <c r="FL19" s="47">
        <f t="shared" si="103"/>
        <v>57661</v>
      </c>
      <c r="FM19" s="47">
        <f t="shared" si="103"/>
        <v>57661</v>
      </c>
      <c r="FN19" s="47">
        <f t="shared" si="103"/>
        <v>57661</v>
      </c>
      <c r="FO19" s="47">
        <f t="shared" si="103"/>
        <v>57661</v>
      </c>
      <c r="FP19" s="47">
        <f t="shared" si="103"/>
        <v>57661</v>
      </c>
      <c r="FQ19" s="47">
        <f t="shared" si="103"/>
        <v>57661</v>
      </c>
      <c r="FR19" s="47">
        <f t="shared" si="103"/>
        <v>57661</v>
      </c>
      <c r="FS19" s="47">
        <f t="shared" si="103"/>
        <v>57661</v>
      </c>
      <c r="FT19" s="47">
        <f t="shared" si="103"/>
        <v>57661</v>
      </c>
      <c r="FU19" s="47">
        <f t="shared" si="103"/>
        <v>57661</v>
      </c>
      <c r="FV19" s="47">
        <f t="shared" si="103"/>
        <v>57661</v>
      </c>
      <c r="FW19" s="47">
        <f t="shared" si="103"/>
        <v>57661</v>
      </c>
      <c r="FX19" s="47">
        <f t="shared" si="103"/>
        <v>57661</v>
      </c>
      <c r="FY19" s="47">
        <f t="shared" si="103"/>
        <v>57661</v>
      </c>
      <c r="FZ19" s="47">
        <f t="shared" si="103"/>
        <v>57661</v>
      </c>
      <c r="GA19" s="47">
        <f t="shared" si="103"/>
        <v>57661</v>
      </c>
      <c r="GB19" s="47">
        <f t="shared" si="103"/>
        <v>57661</v>
      </c>
      <c r="GC19" s="47">
        <f t="shared" si="103"/>
        <v>57661</v>
      </c>
      <c r="GD19" s="47">
        <f t="shared" si="103"/>
        <v>57661</v>
      </c>
      <c r="GE19" s="47">
        <f t="shared" si="103"/>
        <v>57661</v>
      </c>
      <c r="GF19" s="47">
        <f t="shared" si="103"/>
        <v>57661</v>
      </c>
      <c r="GG19" s="47">
        <f t="shared" si="103"/>
        <v>57661</v>
      </c>
      <c r="GH19" s="47">
        <f t="shared" si="103"/>
        <v>57661</v>
      </c>
      <c r="GI19" s="47">
        <f t="shared" si="103"/>
        <v>57661</v>
      </c>
      <c r="GJ19" s="47">
        <f t="shared" si="103"/>
        <v>57661</v>
      </c>
      <c r="GK19" s="47">
        <f t="shared" si="103"/>
        <v>57661</v>
      </c>
      <c r="GL19" s="47">
        <f t="shared" si="103"/>
        <v>57661</v>
      </c>
      <c r="GM19" s="47">
        <f t="shared" si="103"/>
        <v>57661</v>
      </c>
      <c r="GN19" s="47">
        <f t="shared" si="103"/>
        <v>57661</v>
      </c>
      <c r="GO19" s="47">
        <f t="shared" si="103"/>
        <v>57661</v>
      </c>
      <c r="GP19" s="47">
        <f t="shared" si="103"/>
        <v>57661</v>
      </c>
      <c r="GQ19" s="47">
        <f t="shared" si="103"/>
        <v>57661</v>
      </c>
      <c r="GR19" s="47">
        <f t="shared" si="103"/>
        <v>57661</v>
      </c>
      <c r="GS19" s="47">
        <f t="shared" si="103"/>
        <v>57661</v>
      </c>
      <c r="GT19" s="47">
        <f t="shared" si="103"/>
        <v>57661</v>
      </c>
      <c r="GU19" s="47">
        <f t="shared" si="103"/>
        <v>57661</v>
      </c>
      <c r="GV19" s="47">
        <f t="shared" si="103"/>
        <v>57661</v>
      </c>
      <c r="GW19" s="47">
        <f t="shared" si="103"/>
        <v>57661</v>
      </c>
      <c r="GX19" s="47">
        <f t="shared" si="103"/>
        <v>57661</v>
      </c>
      <c r="GY19" s="47">
        <f t="shared" si="103"/>
        <v>57661</v>
      </c>
      <c r="GZ19" s="47">
        <f t="shared" si="103"/>
        <v>57661</v>
      </c>
      <c r="HA19" s="47">
        <f t="shared" si="103"/>
        <v>57661</v>
      </c>
      <c r="HB19" s="47">
        <f t="shared" si="103"/>
        <v>57661</v>
      </c>
      <c r="HC19" s="47">
        <f t="shared" si="103"/>
        <v>57661</v>
      </c>
      <c r="HD19" s="47">
        <f t="shared" si="103"/>
        <v>57661</v>
      </c>
      <c r="HE19" s="47">
        <f t="shared" si="103"/>
        <v>57661</v>
      </c>
      <c r="HF19" s="47">
        <f t="shared" si="103"/>
        <v>57661</v>
      </c>
      <c r="HG19" s="47">
        <f t="shared" si="103"/>
        <v>57661</v>
      </c>
      <c r="HH19" s="47">
        <f t="shared" si="103"/>
        <v>57661</v>
      </c>
      <c r="HI19" s="47">
        <f t="shared" si="103"/>
        <v>57661</v>
      </c>
      <c r="HJ19" s="47">
        <f t="shared" si="103"/>
        <v>57661</v>
      </c>
      <c r="HK19" s="47">
        <f t="shared" si="103"/>
        <v>57661</v>
      </c>
      <c r="HL19" s="47">
        <f t="shared" si="103"/>
        <v>57661</v>
      </c>
      <c r="HM19" s="47">
        <f t="shared" si="103"/>
        <v>57661</v>
      </c>
      <c r="HN19" s="47">
        <f t="shared" si="103"/>
        <v>57661</v>
      </c>
      <c r="HO19" s="47">
        <f t="shared" si="103"/>
        <v>57661</v>
      </c>
      <c r="HP19" s="47">
        <f t="shared" si="103"/>
        <v>57661</v>
      </c>
      <c r="HQ19" s="47">
        <f t="shared" si="103"/>
        <v>57661</v>
      </c>
      <c r="HR19" s="47">
        <f t="shared" si="103"/>
        <v>57661</v>
      </c>
      <c r="HS19" s="47">
        <f t="shared" ref="HS19:KD19" si="104">HR19</f>
        <v>57661</v>
      </c>
      <c r="HT19" s="47">
        <f t="shared" si="104"/>
        <v>57661</v>
      </c>
      <c r="HU19" s="47">
        <f t="shared" si="104"/>
        <v>57661</v>
      </c>
      <c r="HV19" s="47">
        <f t="shared" si="104"/>
        <v>57661</v>
      </c>
      <c r="HW19" s="47">
        <f t="shared" si="104"/>
        <v>57661</v>
      </c>
      <c r="HX19" s="47">
        <f t="shared" si="104"/>
        <v>57661</v>
      </c>
      <c r="HY19" s="47">
        <f t="shared" si="104"/>
        <v>57661</v>
      </c>
      <c r="HZ19" s="47">
        <f t="shared" si="104"/>
        <v>57661</v>
      </c>
      <c r="IA19" s="47">
        <f t="shared" si="104"/>
        <v>57661</v>
      </c>
      <c r="IB19" s="47">
        <f t="shared" si="104"/>
        <v>57661</v>
      </c>
      <c r="IC19" s="47">
        <f t="shared" si="104"/>
        <v>57661</v>
      </c>
      <c r="ID19" s="47">
        <f t="shared" si="104"/>
        <v>57661</v>
      </c>
      <c r="IE19" s="47">
        <f t="shared" si="104"/>
        <v>57661</v>
      </c>
      <c r="IF19" s="47">
        <f t="shared" si="104"/>
        <v>57661</v>
      </c>
      <c r="IG19" s="47">
        <f t="shared" si="104"/>
        <v>57661</v>
      </c>
      <c r="IH19" s="47">
        <f t="shared" si="104"/>
        <v>57661</v>
      </c>
      <c r="II19" s="47">
        <f t="shared" si="104"/>
        <v>57661</v>
      </c>
      <c r="IJ19" s="47">
        <f t="shared" si="104"/>
        <v>57661</v>
      </c>
      <c r="IK19" s="47">
        <f t="shared" si="104"/>
        <v>57661</v>
      </c>
      <c r="IL19" s="47">
        <f t="shared" si="104"/>
        <v>57661</v>
      </c>
      <c r="IM19" s="47">
        <f t="shared" si="104"/>
        <v>57661</v>
      </c>
      <c r="IN19" s="47">
        <f t="shared" si="104"/>
        <v>57661</v>
      </c>
      <c r="IO19" s="47">
        <f t="shared" si="104"/>
        <v>57661</v>
      </c>
      <c r="IP19" s="47">
        <f t="shared" si="104"/>
        <v>57661</v>
      </c>
      <c r="IQ19" s="47">
        <f t="shared" si="104"/>
        <v>57661</v>
      </c>
      <c r="IR19" s="47">
        <f t="shared" si="104"/>
        <v>57661</v>
      </c>
      <c r="IS19" s="47">
        <f t="shared" si="104"/>
        <v>57661</v>
      </c>
      <c r="IT19" s="47">
        <f t="shared" si="104"/>
        <v>57661</v>
      </c>
      <c r="IU19" s="47">
        <f t="shared" si="104"/>
        <v>57661</v>
      </c>
      <c r="IV19" s="47">
        <f t="shared" si="104"/>
        <v>57661</v>
      </c>
      <c r="IW19" s="47">
        <f t="shared" si="104"/>
        <v>57661</v>
      </c>
      <c r="IX19" s="47">
        <f t="shared" si="104"/>
        <v>57661</v>
      </c>
      <c r="IY19" s="47">
        <f t="shared" si="104"/>
        <v>57661</v>
      </c>
      <c r="IZ19" s="47">
        <f t="shared" si="104"/>
        <v>57661</v>
      </c>
      <c r="JA19" s="47">
        <f t="shared" si="104"/>
        <v>57661</v>
      </c>
      <c r="JB19" s="47">
        <f t="shared" si="104"/>
        <v>57661</v>
      </c>
      <c r="JC19" s="47">
        <f t="shared" si="104"/>
        <v>57661</v>
      </c>
      <c r="JD19" s="47">
        <f t="shared" si="104"/>
        <v>57661</v>
      </c>
      <c r="JE19" s="47">
        <f t="shared" si="104"/>
        <v>57661</v>
      </c>
      <c r="JF19" s="47">
        <f t="shared" si="104"/>
        <v>57661</v>
      </c>
      <c r="JG19" s="47">
        <f t="shared" si="104"/>
        <v>57661</v>
      </c>
      <c r="JH19" s="47">
        <f t="shared" si="104"/>
        <v>57661</v>
      </c>
      <c r="JI19" s="47">
        <f t="shared" si="104"/>
        <v>57661</v>
      </c>
      <c r="JJ19" s="47">
        <f t="shared" si="104"/>
        <v>57661</v>
      </c>
      <c r="JK19" s="47">
        <f t="shared" si="104"/>
        <v>57661</v>
      </c>
      <c r="JL19" s="47">
        <f t="shared" si="104"/>
        <v>57661</v>
      </c>
      <c r="JM19" s="47">
        <f t="shared" si="104"/>
        <v>57661</v>
      </c>
      <c r="JN19" s="47">
        <f t="shared" si="104"/>
        <v>57661</v>
      </c>
      <c r="JO19" s="47">
        <f t="shared" si="104"/>
        <v>57661</v>
      </c>
      <c r="JP19" s="47">
        <f t="shared" si="104"/>
        <v>57661</v>
      </c>
      <c r="JQ19" s="47">
        <f t="shared" si="104"/>
        <v>57661</v>
      </c>
      <c r="JR19" s="47">
        <f t="shared" si="104"/>
        <v>57661</v>
      </c>
      <c r="JS19" s="47">
        <f t="shared" si="104"/>
        <v>57661</v>
      </c>
      <c r="JT19" s="47">
        <f t="shared" si="104"/>
        <v>57661</v>
      </c>
      <c r="JU19" s="47">
        <f t="shared" si="104"/>
        <v>57661</v>
      </c>
      <c r="JV19" s="47">
        <f t="shared" si="104"/>
        <v>57661</v>
      </c>
      <c r="JW19" s="47">
        <f t="shared" si="104"/>
        <v>57661</v>
      </c>
      <c r="JX19" s="47">
        <f t="shared" si="104"/>
        <v>57661</v>
      </c>
      <c r="JY19" s="47">
        <f t="shared" si="104"/>
        <v>57661</v>
      </c>
      <c r="JZ19" s="47">
        <f t="shared" si="104"/>
        <v>57661</v>
      </c>
      <c r="KA19" s="47">
        <f t="shared" si="104"/>
        <v>57661</v>
      </c>
      <c r="KB19" s="47">
        <f t="shared" si="104"/>
        <v>57661</v>
      </c>
      <c r="KC19" s="47">
        <f t="shared" si="104"/>
        <v>57661</v>
      </c>
      <c r="KD19" s="47">
        <f t="shared" si="104"/>
        <v>57661</v>
      </c>
      <c r="KE19" s="47">
        <f t="shared" ref="KE19:MP19" si="105">KD19</f>
        <v>57661</v>
      </c>
      <c r="KF19" s="47">
        <f t="shared" si="105"/>
        <v>57661</v>
      </c>
      <c r="KG19" s="47">
        <f t="shared" si="105"/>
        <v>57661</v>
      </c>
      <c r="KH19" s="47">
        <f t="shared" si="105"/>
        <v>57661</v>
      </c>
      <c r="KI19" s="47">
        <f t="shared" si="105"/>
        <v>57661</v>
      </c>
      <c r="KJ19" s="47">
        <f t="shared" si="105"/>
        <v>57661</v>
      </c>
      <c r="KK19" s="47">
        <f t="shared" si="105"/>
        <v>57661</v>
      </c>
      <c r="KL19" s="47">
        <f t="shared" si="105"/>
        <v>57661</v>
      </c>
      <c r="KM19" s="47">
        <f t="shared" si="105"/>
        <v>57661</v>
      </c>
      <c r="KN19" s="47">
        <f t="shared" si="105"/>
        <v>57661</v>
      </c>
      <c r="KO19" s="47">
        <f t="shared" si="105"/>
        <v>57661</v>
      </c>
      <c r="KP19" s="47">
        <f t="shared" si="105"/>
        <v>57661</v>
      </c>
      <c r="KQ19" s="47">
        <f t="shared" si="105"/>
        <v>57661</v>
      </c>
      <c r="KR19" s="47">
        <f t="shared" si="105"/>
        <v>57661</v>
      </c>
      <c r="KS19" s="47">
        <f t="shared" si="105"/>
        <v>57661</v>
      </c>
      <c r="KT19" s="47">
        <f t="shared" si="105"/>
        <v>57661</v>
      </c>
      <c r="KU19" s="47">
        <f t="shared" si="105"/>
        <v>57661</v>
      </c>
      <c r="KV19" s="47">
        <f t="shared" si="105"/>
        <v>57661</v>
      </c>
      <c r="KW19" s="47">
        <f t="shared" si="105"/>
        <v>57661</v>
      </c>
      <c r="KX19" s="47">
        <f t="shared" si="105"/>
        <v>57661</v>
      </c>
      <c r="KY19" s="47">
        <f t="shared" si="105"/>
        <v>57661</v>
      </c>
      <c r="KZ19" s="47">
        <f t="shared" si="105"/>
        <v>57661</v>
      </c>
      <c r="LA19" s="47">
        <f t="shared" si="105"/>
        <v>57661</v>
      </c>
      <c r="LB19" s="47">
        <f t="shared" si="105"/>
        <v>57661</v>
      </c>
      <c r="LC19" s="47">
        <f t="shared" si="105"/>
        <v>57661</v>
      </c>
      <c r="LD19" s="47">
        <f t="shared" si="105"/>
        <v>57661</v>
      </c>
      <c r="LE19" s="47">
        <f t="shared" si="105"/>
        <v>57661</v>
      </c>
      <c r="LF19" s="47">
        <f t="shared" si="105"/>
        <v>57661</v>
      </c>
      <c r="LG19" s="47">
        <f t="shared" si="105"/>
        <v>57661</v>
      </c>
      <c r="LH19" s="47">
        <f t="shared" si="105"/>
        <v>57661</v>
      </c>
      <c r="LI19" s="47">
        <f t="shared" si="105"/>
        <v>57661</v>
      </c>
      <c r="LJ19" s="47">
        <f t="shared" si="105"/>
        <v>57661</v>
      </c>
      <c r="LK19" s="47">
        <f t="shared" si="105"/>
        <v>57661</v>
      </c>
      <c r="LL19" s="47">
        <f t="shared" si="105"/>
        <v>57661</v>
      </c>
      <c r="LM19" s="47">
        <f t="shared" si="105"/>
        <v>57661</v>
      </c>
      <c r="LN19" s="47">
        <f t="shared" si="105"/>
        <v>57661</v>
      </c>
      <c r="LO19" s="47">
        <f t="shared" si="105"/>
        <v>57661</v>
      </c>
      <c r="LP19" s="47">
        <f t="shared" si="105"/>
        <v>57661</v>
      </c>
      <c r="LQ19" s="47">
        <f t="shared" si="105"/>
        <v>57661</v>
      </c>
      <c r="LR19" s="47">
        <f t="shared" si="105"/>
        <v>57661</v>
      </c>
      <c r="LS19" s="47">
        <f t="shared" si="105"/>
        <v>57661</v>
      </c>
      <c r="LT19" s="47">
        <f t="shared" si="105"/>
        <v>57661</v>
      </c>
      <c r="LU19" s="47">
        <f t="shared" si="105"/>
        <v>57661</v>
      </c>
      <c r="LV19" s="47">
        <f t="shared" si="105"/>
        <v>57661</v>
      </c>
      <c r="LW19" s="47">
        <f t="shared" si="105"/>
        <v>57661</v>
      </c>
      <c r="LX19" s="47">
        <f t="shared" si="105"/>
        <v>57661</v>
      </c>
      <c r="LY19" s="47">
        <f t="shared" si="105"/>
        <v>57661</v>
      </c>
      <c r="LZ19" s="47">
        <f t="shared" si="105"/>
        <v>57661</v>
      </c>
      <c r="MA19" s="47">
        <f t="shared" si="105"/>
        <v>57661</v>
      </c>
      <c r="MB19" s="47">
        <f t="shared" si="105"/>
        <v>57661</v>
      </c>
      <c r="MC19" s="47">
        <f t="shared" si="105"/>
        <v>57661</v>
      </c>
      <c r="MD19" s="47">
        <f t="shared" si="105"/>
        <v>57661</v>
      </c>
      <c r="ME19" s="47">
        <f t="shared" si="105"/>
        <v>57661</v>
      </c>
      <c r="MF19" s="47">
        <f t="shared" si="105"/>
        <v>57661</v>
      </c>
      <c r="MG19" s="47">
        <f t="shared" si="105"/>
        <v>57661</v>
      </c>
      <c r="MH19" s="47">
        <f t="shared" si="105"/>
        <v>57661</v>
      </c>
      <c r="MI19" s="47">
        <f t="shared" si="105"/>
        <v>57661</v>
      </c>
      <c r="MJ19" s="47">
        <f t="shared" si="105"/>
        <v>57661</v>
      </c>
      <c r="MK19" s="47">
        <f t="shared" si="105"/>
        <v>57661</v>
      </c>
      <c r="ML19" s="47">
        <f t="shared" si="105"/>
        <v>57661</v>
      </c>
      <c r="MM19" s="47">
        <f t="shared" si="105"/>
        <v>57661</v>
      </c>
      <c r="MN19" s="47">
        <f t="shared" si="105"/>
        <v>57661</v>
      </c>
      <c r="MO19" s="47">
        <f t="shared" si="105"/>
        <v>57661</v>
      </c>
      <c r="MP19" s="47">
        <f t="shared" si="105"/>
        <v>57661</v>
      </c>
      <c r="MQ19" s="47">
        <f t="shared" ref="MQ19:PB19" si="106">MP19</f>
        <v>57661</v>
      </c>
      <c r="MR19" s="47">
        <f t="shared" si="106"/>
        <v>57661</v>
      </c>
      <c r="MS19" s="47">
        <f t="shared" si="106"/>
        <v>57661</v>
      </c>
      <c r="MT19" s="47">
        <f t="shared" si="106"/>
        <v>57661</v>
      </c>
      <c r="MU19" s="47">
        <f t="shared" si="106"/>
        <v>57661</v>
      </c>
      <c r="MV19" s="47">
        <f t="shared" si="106"/>
        <v>57661</v>
      </c>
      <c r="MW19" s="47">
        <f t="shared" si="106"/>
        <v>57661</v>
      </c>
      <c r="MX19" s="47">
        <f t="shared" si="106"/>
        <v>57661</v>
      </c>
      <c r="MY19" s="47">
        <f t="shared" si="106"/>
        <v>57661</v>
      </c>
      <c r="MZ19" s="47">
        <f t="shared" si="106"/>
        <v>57661</v>
      </c>
      <c r="NA19" s="47">
        <f t="shared" si="106"/>
        <v>57661</v>
      </c>
      <c r="NB19" s="47">
        <f t="shared" si="106"/>
        <v>57661</v>
      </c>
      <c r="NC19" s="47">
        <f t="shared" si="106"/>
        <v>57661</v>
      </c>
      <c r="ND19" s="47">
        <f t="shared" si="106"/>
        <v>57661</v>
      </c>
      <c r="NE19" s="47">
        <f t="shared" si="106"/>
        <v>57661</v>
      </c>
      <c r="NF19" s="47">
        <f t="shared" si="106"/>
        <v>57661</v>
      </c>
      <c r="NG19" s="47">
        <f t="shared" si="106"/>
        <v>57661</v>
      </c>
      <c r="NH19" s="47">
        <f t="shared" si="106"/>
        <v>57661</v>
      </c>
      <c r="NI19" s="47">
        <f t="shared" si="106"/>
        <v>57661</v>
      </c>
      <c r="NJ19" s="47">
        <f t="shared" si="106"/>
        <v>57661</v>
      </c>
      <c r="NK19" s="47">
        <f t="shared" si="106"/>
        <v>57661</v>
      </c>
      <c r="NL19" s="47">
        <f t="shared" si="106"/>
        <v>57661</v>
      </c>
      <c r="NM19" s="47">
        <f t="shared" si="106"/>
        <v>57661</v>
      </c>
      <c r="NN19" s="47">
        <f t="shared" si="106"/>
        <v>57661</v>
      </c>
      <c r="NO19" s="47">
        <f t="shared" si="106"/>
        <v>57661</v>
      </c>
      <c r="NP19" s="47">
        <f t="shared" si="106"/>
        <v>57661</v>
      </c>
      <c r="NQ19" s="47">
        <f t="shared" si="106"/>
        <v>57661</v>
      </c>
      <c r="NR19" s="47">
        <f t="shared" si="106"/>
        <v>57661</v>
      </c>
      <c r="NS19" s="47">
        <f t="shared" si="106"/>
        <v>57661</v>
      </c>
      <c r="NT19" s="47">
        <f t="shared" si="106"/>
        <v>57661</v>
      </c>
      <c r="NU19" s="47">
        <f t="shared" si="106"/>
        <v>57661</v>
      </c>
      <c r="NV19" s="47">
        <f t="shared" si="106"/>
        <v>57661</v>
      </c>
      <c r="NW19" s="47">
        <f t="shared" si="106"/>
        <v>57661</v>
      </c>
      <c r="NX19" s="47">
        <f t="shared" si="106"/>
        <v>57661</v>
      </c>
      <c r="NY19" s="47">
        <f t="shared" si="106"/>
        <v>57661</v>
      </c>
      <c r="NZ19" s="47">
        <f t="shared" si="106"/>
        <v>57661</v>
      </c>
      <c r="OA19" s="47">
        <f t="shared" si="106"/>
        <v>57661</v>
      </c>
      <c r="OB19" s="47">
        <f t="shared" si="106"/>
        <v>57661</v>
      </c>
      <c r="OC19" s="47">
        <f t="shared" si="106"/>
        <v>57661</v>
      </c>
      <c r="OD19" s="47">
        <f t="shared" si="106"/>
        <v>57661</v>
      </c>
      <c r="OE19" s="47">
        <f t="shared" si="106"/>
        <v>57661</v>
      </c>
      <c r="OF19" s="47">
        <f t="shared" si="106"/>
        <v>57661</v>
      </c>
      <c r="OG19" s="47">
        <f t="shared" si="106"/>
        <v>57661</v>
      </c>
      <c r="OH19" s="47">
        <f t="shared" si="106"/>
        <v>57661</v>
      </c>
      <c r="OI19" s="47">
        <f t="shared" si="106"/>
        <v>57661</v>
      </c>
      <c r="OJ19" s="47">
        <f t="shared" si="106"/>
        <v>57661</v>
      </c>
      <c r="OK19" s="47">
        <f t="shared" si="106"/>
        <v>57661</v>
      </c>
      <c r="OL19" s="47">
        <f t="shared" si="106"/>
        <v>57661</v>
      </c>
      <c r="OM19" s="47">
        <f t="shared" si="106"/>
        <v>57661</v>
      </c>
      <c r="ON19" s="47">
        <f t="shared" si="106"/>
        <v>57661</v>
      </c>
      <c r="OO19" s="47">
        <f t="shared" si="106"/>
        <v>57661</v>
      </c>
      <c r="OP19" s="47">
        <f t="shared" si="106"/>
        <v>57661</v>
      </c>
      <c r="OQ19" s="47">
        <f t="shared" si="106"/>
        <v>57661</v>
      </c>
      <c r="OR19" s="47">
        <f t="shared" si="106"/>
        <v>57661</v>
      </c>
      <c r="OS19" s="47">
        <f t="shared" si="106"/>
        <v>57661</v>
      </c>
      <c r="OT19" s="47">
        <f t="shared" si="106"/>
        <v>57661</v>
      </c>
      <c r="OU19" s="47">
        <f t="shared" si="106"/>
        <v>57661</v>
      </c>
      <c r="OV19" s="47">
        <f t="shared" si="106"/>
        <v>57661</v>
      </c>
      <c r="OW19" s="47">
        <f t="shared" si="106"/>
        <v>57661</v>
      </c>
      <c r="OX19" s="47">
        <f t="shared" si="106"/>
        <v>57661</v>
      </c>
      <c r="OY19" s="47">
        <f t="shared" si="106"/>
        <v>57661</v>
      </c>
      <c r="OZ19" s="47">
        <f t="shared" si="106"/>
        <v>57661</v>
      </c>
      <c r="PA19" s="47">
        <f t="shared" si="106"/>
        <v>57661</v>
      </c>
      <c r="PB19" s="47">
        <f t="shared" si="106"/>
        <v>57661</v>
      </c>
      <c r="PC19" s="47">
        <f t="shared" ref="PC19:RN19" si="107">PB19</f>
        <v>57661</v>
      </c>
      <c r="PD19" s="47">
        <f t="shared" si="107"/>
        <v>57661</v>
      </c>
      <c r="PE19" s="47">
        <f t="shared" si="107"/>
        <v>57661</v>
      </c>
      <c r="PF19" s="47">
        <f t="shared" si="107"/>
        <v>57661</v>
      </c>
      <c r="PG19" s="47">
        <f t="shared" si="107"/>
        <v>57661</v>
      </c>
      <c r="PH19" s="47">
        <f t="shared" si="107"/>
        <v>57661</v>
      </c>
      <c r="PI19" s="47">
        <f t="shared" si="107"/>
        <v>57661</v>
      </c>
      <c r="PJ19" s="47">
        <f t="shared" si="107"/>
        <v>57661</v>
      </c>
      <c r="PK19" s="47">
        <f t="shared" si="107"/>
        <v>57661</v>
      </c>
      <c r="PL19" s="47">
        <f t="shared" si="107"/>
        <v>57661</v>
      </c>
      <c r="PM19" s="47">
        <f t="shared" si="107"/>
        <v>57661</v>
      </c>
      <c r="PN19" s="47">
        <f t="shared" si="107"/>
        <v>57661</v>
      </c>
      <c r="PO19" s="47">
        <f t="shared" si="107"/>
        <v>57661</v>
      </c>
      <c r="PP19" s="47">
        <f t="shared" si="107"/>
        <v>57661</v>
      </c>
      <c r="PQ19" s="47">
        <f t="shared" si="107"/>
        <v>57661</v>
      </c>
      <c r="PR19" s="47">
        <f t="shared" si="107"/>
        <v>57661</v>
      </c>
      <c r="PS19" s="47">
        <f t="shared" si="107"/>
        <v>57661</v>
      </c>
      <c r="PT19" s="47">
        <f t="shared" si="107"/>
        <v>57661</v>
      </c>
      <c r="PU19" s="47">
        <f t="shared" si="107"/>
        <v>57661</v>
      </c>
      <c r="PV19" s="47">
        <f t="shared" si="107"/>
        <v>57661</v>
      </c>
      <c r="PW19" s="47">
        <f t="shared" si="107"/>
        <v>57661</v>
      </c>
      <c r="PX19" s="47">
        <f t="shared" si="107"/>
        <v>57661</v>
      </c>
      <c r="PY19" s="47">
        <f t="shared" si="107"/>
        <v>57661</v>
      </c>
      <c r="PZ19" s="47">
        <f t="shared" si="107"/>
        <v>57661</v>
      </c>
      <c r="QA19" s="47">
        <f t="shared" si="107"/>
        <v>57661</v>
      </c>
      <c r="QB19" s="47">
        <f t="shared" si="107"/>
        <v>57661</v>
      </c>
      <c r="QC19" s="47">
        <f t="shared" si="107"/>
        <v>57661</v>
      </c>
      <c r="QD19" s="47">
        <f t="shared" si="107"/>
        <v>57661</v>
      </c>
      <c r="QE19" s="47">
        <f t="shared" si="107"/>
        <v>57661</v>
      </c>
      <c r="QF19" s="47">
        <f t="shared" si="107"/>
        <v>57661</v>
      </c>
      <c r="QG19" s="47">
        <f t="shared" si="107"/>
        <v>57661</v>
      </c>
      <c r="QH19" s="47">
        <f t="shared" si="107"/>
        <v>57661</v>
      </c>
      <c r="QI19" s="47">
        <f t="shared" si="107"/>
        <v>57661</v>
      </c>
      <c r="QJ19" s="47">
        <f t="shared" si="107"/>
        <v>57661</v>
      </c>
      <c r="QK19" s="47">
        <f t="shared" si="107"/>
        <v>57661</v>
      </c>
      <c r="QL19" s="47">
        <f t="shared" si="107"/>
        <v>57661</v>
      </c>
      <c r="QM19" s="47">
        <f t="shared" si="107"/>
        <v>57661</v>
      </c>
      <c r="QN19" s="47">
        <f t="shared" si="107"/>
        <v>57661</v>
      </c>
      <c r="QO19" s="47">
        <f t="shared" si="107"/>
        <v>57661</v>
      </c>
      <c r="QP19" s="47">
        <f t="shared" si="107"/>
        <v>57661</v>
      </c>
      <c r="QQ19" s="47">
        <f t="shared" si="107"/>
        <v>57661</v>
      </c>
      <c r="QR19" s="47">
        <f t="shared" si="107"/>
        <v>57661</v>
      </c>
      <c r="QS19" s="47">
        <f t="shared" si="107"/>
        <v>57661</v>
      </c>
      <c r="QT19" s="47">
        <f t="shared" si="107"/>
        <v>57661</v>
      </c>
      <c r="QU19" s="47">
        <f t="shared" si="107"/>
        <v>57661</v>
      </c>
      <c r="QV19" s="47">
        <f t="shared" si="107"/>
        <v>57661</v>
      </c>
      <c r="QW19" s="47">
        <f t="shared" si="107"/>
        <v>57661</v>
      </c>
      <c r="QX19" s="47">
        <f t="shared" si="107"/>
        <v>57661</v>
      </c>
      <c r="QY19" s="47">
        <f t="shared" si="107"/>
        <v>57661</v>
      </c>
      <c r="QZ19" s="47">
        <f t="shared" si="107"/>
        <v>57661</v>
      </c>
      <c r="RA19" s="47">
        <f t="shared" si="107"/>
        <v>57661</v>
      </c>
      <c r="RB19" s="47">
        <f t="shared" si="107"/>
        <v>57661</v>
      </c>
      <c r="RC19" s="47">
        <f t="shared" si="107"/>
        <v>57661</v>
      </c>
      <c r="RD19" s="47">
        <f t="shared" si="107"/>
        <v>57661</v>
      </c>
      <c r="RE19" s="47">
        <f t="shared" si="107"/>
        <v>57661</v>
      </c>
      <c r="RF19" s="47">
        <f t="shared" si="107"/>
        <v>57661</v>
      </c>
      <c r="RG19" s="47">
        <f t="shared" si="107"/>
        <v>57661</v>
      </c>
      <c r="RH19" s="47">
        <f t="shared" si="107"/>
        <v>57661</v>
      </c>
      <c r="RI19" s="47">
        <f t="shared" si="107"/>
        <v>57661</v>
      </c>
      <c r="RJ19" s="47">
        <f t="shared" si="107"/>
        <v>57661</v>
      </c>
      <c r="RK19" s="47">
        <f t="shared" si="107"/>
        <v>57661</v>
      </c>
      <c r="RL19" s="47">
        <f t="shared" si="107"/>
        <v>57661</v>
      </c>
      <c r="RM19" s="47">
        <f t="shared" si="107"/>
        <v>57661</v>
      </c>
      <c r="RN19" s="47">
        <f t="shared" si="107"/>
        <v>57661</v>
      </c>
      <c r="RO19" s="47">
        <f t="shared" ref="RO19:TZ19" si="108">RN19</f>
        <v>57661</v>
      </c>
      <c r="RP19" s="47">
        <f t="shared" si="108"/>
        <v>57661</v>
      </c>
      <c r="RQ19" s="47">
        <f t="shared" si="108"/>
        <v>57661</v>
      </c>
      <c r="RR19" s="47">
        <f t="shared" si="108"/>
        <v>57661</v>
      </c>
      <c r="RS19" s="47">
        <f t="shared" si="108"/>
        <v>57661</v>
      </c>
      <c r="RT19" s="47">
        <f t="shared" si="108"/>
        <v>57661</v>
      </c>
      <c r="RU19" s="47">
        <f t="shared" si="108"/>
        <v>57661</v>
      </c>
      <c r="RV19" s="47">
        <f t="shared" si="108"/>
        <v>57661</v>
      </c>
      <c r="RW19" s="47">
        <f t="shared" si="108"/>
        <v>57661</v>
      </c>
      <c r="RX19" s="47">
        <f t="shared" si="108"/>
        <v>57661</v>
      </c>
      <c r="RY19" s="47">
        <f t="shared" si="108"/>
        <v>57661</v>
      </c>
      <c r="RZ19" s="47">
        <f t="shared" si="108"/>
        <v>57661</v>
      </c>
      <c r="SA19" s="47">
        <f t="shared" si="108"/>
        <v>57661</v>
      </c>
      <c r="SB19" s="47">
        <f t="shared" si="108"/>
        <v>57661</v>
      </c>
      <c r="SC19" s="47">
        <f t="shared" si="108"/>
        <v>57661</v>
      </c>
      <c r="SD19" s="47">
        <f t="shared" si="108"/>
        <v>57661</v>
      </c>
      <c r="SE19" s="47">
        <f t="shared" si="108"/>
        <v>57661</v>
      </c>
      <c r="SF19" s="47">
        <f t="shared" si="108"/>
        <v>57661</v>
      </c>
      <c r="SG19" s="47">
        <f t="shared" si="108"/>
        <v>57661</v>
      </c>
      <c r="SH19" s="47">
        <f t="shared" si="108"/>
        <v>57661</v>
      </c>
      <c r="SI19" s="47">
        <f t="shared" si="108"/>
        <v>57661</v>
      </c>
      <c r="SJ19" s="47">
        <f t="shared" si="108"/>
        <v>57661</v>
      </c>
      <c r="SK19" s="47">
        <f t="shared" si="108"/>
        <v>57661</v>
      </c>
      <c r="SL19" s="47">
        <f t="shared" si="108"/>
        <v>57661</v>
      </c>
      <c r="SM19" s="47">
        <f t="shared" si="108"/>
        <v>57661</v>
      </c>
      <c r="SN19" s="47">
        <f t="shared" si="108"/>
        <v>57661</v>
      </c>
      <c r="SO19" s="47">
        <f t="shared" si="108"/>
        <v>57661</v>
      </c>
      <c r="SP19" s="47">
        <f t="shared" si="108"/>
        <v>57661</v>
      </c>
      <c r="SQ19" s="47">
        <f t="shared" si="108"/>
        <v>57661</v>
      </c>
      <c r="SR19" s="47">
        <f t="shared" si="108"/>
        <v>57661</v>
      </c>
      <c r="SS19" s="47">
        <f t="shared" si="108"/>
        <v>57661</v>
      </c>
      <c r="ST19" s="47">
        <f t="shared" si="108"/>
        <v>57661</v>
      </c>
      <c r="SU19" s="47">
        <f t="shared" si="108"/>
        <v>57661</v>
      </c>
      <c r="SV19" s="47">
        <f t="shared" si="108"/>
        <v>57661</v>
      </c>
      <c r="SW19" s="47">
        <f t="shared" si="108"/>
        <v>57661</v>
      </c>
      <c r="SX19" s="47">
        <f t="shared" si="108"/>
        <v>57661</v>
      </c>
      <c r="SY19" s="47">
        <f t="shared" si="108"/>
        <v>57661</v>
      </c>
      <c r="SZ19" s="47">
        <f t="shared" si="108"/>
        <v>57661</v>
      </c>
      <c r="TA19" s="47">
        <f t="shared" si="108"/>
        <v>57661</v>
      </c>
      <c r="TB19" s="47">
        <f t="shared" si="108"/>
        <v>57661</v>
      </c>
      <c r="TC19" s="47">
        <f t="shared" si="108"/>
        <v>57661</v>
      </c>
      <c r="TD19" s="47">
        <f t="shared" si="108"/>
        <v>57661</v>
      </c>
      <c r="TE19" s="47">
        <f t="shared" si="108"/>
        <v>57661</v>
      </c>
      <c r="TF19" s="47">
        <f t="shared" si="108"/>
        <v>57661</v>
      </c>
      <c r="TG19" s="47">
        <f t="shared" si="108"/>
        <v>57661</v>
      </c>
      <c r="TH19" s="47">
        <f t="shared" si="108"/>
        <v>57661</v>
      </c>
      <c r="TI19" s="47">
        <f t="shared" si="108"/>
        <v>57661</v>
      </c>
      <c r="TJ19" s="47">
        <f t="shared" si="108"/>
        <v>57661</v>
      </c>
      <c r="TK19" s="47">
        <f t="shared" si="108"/>
        <v>57661</v>
      </c>
      <c r="TL19" s="47">
        <f t="shared" si="108"/>
        <v>57661</v>
      </c>
      <c r="TM19" s="47">
        <f t="shared" si="108"/>
        <v>57661</v>
      </c>
      <c r="TN19" s="47">
        <f t="shared" si="108"/>
        <v>57661</v>
      </c>
      <c r="TO19" s="47">
        <f t="shared" si="108"/>
        <v>57661</v>
      </c>
      <c r="TP19" s="47">
        <f t="shared" si="108"/>
        <v>57661</v>
      </c>
      <c r="TQ19" s="47">
        <f t="shared" si="108"/>
        <v>57661</v>
      </c>
      <c r="TR19" s="47">
        <f t="shared" si="108"/>
        <v>57661</v>
      </c>
      <c r="TS19" s="47">
        <f t="shared" si="108"/>
        <v>57661</v>
      </c>
      <c r="TT19" s="47">
        <f t="shared" si="108"/>
        <v>57661</v>
      </c>
      <c r="TU19" s="47">
        <f t="shared" si="108"/>
        <v>57661</v>
      </c>
      <c r="TV19" s="47">
        <f t="shared" si="108"/>
        <v>57661</v>
      </c>
      <c r="TW19" s="47">
        <f t="shared" si="108"/>
        <v>57661</v>
      </c>
      <c r="TX19" s="47">
        <f t="shared" si="108"/>
        <v>57661</v>
      </c>
      <c r="TY19" s="47">
        <f t="shared" si="108"/>
        <v>57661</v>
      </c>
      <c r="TZ19" s="47">
        <f t="shared" si="108"/>
        <v>57661</v>
      </c>
      <c r="UA19" s="47">
        <f t="shared" ref="UA19:WL19" si="109">TZ19</f>
        <v>57661</v>
      </c>
      <c r="UB19" s="47">
        <f t="shared" si="109"/>
        <v>57661</v>
      </c>
      <c r="UC19" s="47">
        <f t="shared" si="109"/>
        <v>57661</v>
      </c>
      <c r="UD19" s="47">
        <f t="shared" si="109"/>
        <v>57661</v>
      </c>
      <c r="UE19" s="47">
        <f t="shared" si="109"/>
        <v>57661</v>
      </c>
      <c r="UF19" s="47">
        <f t="shared" si="109"/>
        <v>57661</v>
      </c>
      <c r="UG19" s="47">
        <f t="shared" si="109"/>
        <v>57661</v>
      </c>
      <c r="UH19" s="47">
        <f t="shared" si="109"/>
        <v>57661</v>
      </c>
      <c r="UI19" s="47">
        <f t="shared" si="109"/>
        <v>57661</v>
      </c>
      <c r="UJ19" s="47">
        <f t="shared" si="109"/>
        <v>57661</v>
      </c>
      <c r="UK19" s="47">
        <f t="shared" si="109"/>
        <v>57661</v>
      </c>
      <c r="UL19" s="47">
        <f t="shared" si="109"/>
        <v>57661</v>
      </c>
      <c r="UM19" s="47">
        <f t="shared" si="109"/>
        <v>57661</v>
      </c>
      <c r="UN19" s="47">
        <f t="shared" si="109"/>
        <v>57661</v>
      </c>
      <c r="UO19" s="47">
        <f t="shared" si="109"/>
        <v>57661</v>
      </c>
      <c r="UP19" s="47">
        <f t="shared" si="109"/>
        <v>57661</v>
      </c>
      <c r="UQ19" s="47">
        <f t="shared" si="109"/>
        <v>57661</v>
      </c>
      <c r="UR19" s="47">
        <f t="shared" si="109"/>
        <v>57661</v>
      </c>
      <c r="US19" s="47">
        <f t="shared" si="109"/>
        <v>57661</v>
      </c>
      <c r="UT19" s="47">
        <f t="shared" si="109"/>
        <v>57661</v>
      </c>
      <c r="UU19" s="47">
        <f t="shared" si="109"/>
        <v>57661</v>
      </c>
      <c r="UV19" s="47">
        <f t="shared" si="109"/>
        <v>57661</v>
      </c>
      <c r="UW19" s="47">
        <f t="shared" si="109"/>
        <v>57661</v>
      </c>
      <c r="UX19" s="47">
        <f t="shared" si="109"/>
        <v>57661</v>
      </c>
      <c r="UY19" s="47">
        <f t="shared" si="109"/>
        <v>57661</v>
      </c>
      <c r="UZ19" s="47">
        <f t="shared" si="109"/>
        <v>57661</v>
      </c>
      <c r="VA19" s="47">
        <f t="shared" si="109"/>
        <v>57661</v>
      </c>
      <c r="VB19" s="47">
        <f t="shared" si="109"/>
        <v>57661</v>
      </c>
      <c r="VC19" s="47">
        <f t="shared" si="109"/>
        <v>57661</v>
      </c>
      <c r="VD19" s="47">
        <f t="shared" si="109"/>
        <v>57661</v>
      </c>
      <c r="VE19" s="47">
        <f t="shared" si="109"/>
        <v>57661</v>
      </c>
      <c r="VF19" s="47">
        <f t="shared" si="109"/>
        <v>57661</v>
      </c>
      <c r="VG19" s="47">
        <f t="shared" si="109"/>
        <v>57661</v>
      </c>
      <c r="VH19" s="47">
        <f t="shared" si="109"/>
        <v>57661</v>
      </c>
      <c r="VI19" s="47">
        <f t="shared" si="109"/>
        <v>57661</v>
      </c>
      <c r="VJ19" s="47">
        <f t="shared" si="109"/>
        <v>57661</v>
      </c>
      <c r="VK19" s="47">
        <f t="shared" si="109"/>
        <v>57661</v>
      </c>
      <c r="VL19" s="47">
        <f t="shared" si="109"/>
        <v>57661</v>
      </c>
      <c r="VM19" s="47">
        <f t="shared" si="109"/>
        <v>57661</v>
      </c>
      <c r="VN19" s="47">
        <f t="shared" si="109"/>
        <v>57661</v>
      </c>
      <c r="VO19" s="47">
        <f t="shared" si="109"/>
        <v>57661</v>
      </c>
      <c r="VP19" s="47">
        <f t="shared" si="109"/>
        <v>57661</v>
      </c>
      <c r="VQ19" s="47">
        <f t="shared" si="109"/>
        <v>57661</v>
      </c>
      <c r="VR19" s="47">
        <f t="shared" si="109"/>
        <v>57661</v>
      </c>
      <c r="VS19" s="47">
        <f t="shared" si="109"/>
        <v>57661</v>
      </c>
      <c r="VT19" s="47">
        <f t="shared" si="109"/>
        <v>57661</v>
      </c>
      <c r="VU19" s="47">
        <f t="shared" si="109"/>
        <v>57661</v>
      </c>
      <c r="VV19" s="47">
        <f t="shared" si="109"/>
        <v>57661</v>
      </c>
      <c r="VW19" s="47">
        <f t="shared" si="109"/>
        <v>57661</v>
      </c>
      <c r="VX19" s="47">
        <f t="shared" si="109"/>
        <v>57661</v>
      </c>
      <c r="VY19" s="47">
        <f t="shared" si="109"/>
        <v>57661</v>
      </c>
      <c r="VZ19" s="47">
        <f t="shared" si="109"/>
        <v>57661</v>
      </c>
      <c r="WA19" s="47">
        <f t="shared" si="109"/>
        <v>57661</v>
      </c>
      <c r="WB19" s="47">
        <f t="shared" si="109"/>
        <v>57661</v>
      </c>
      <c r="WC19" s="47">
        <f t="shared" si="109"/>
        <v>57661</v>
      </c>
      <c r="WD19" s="47">
        <f t="shared" si="109"/>
        <v>57661</v>
      </c>
      <c r="WE19" s="47">
        <f t="shared" si="109"/>
        <v>57661</v>
      </c>
      <c r="WF19" s="47">
        <f t="shared" si="109"/>
        <v>57661</v>
      </c>
      <c r="WG19" s="47">
        <f t="shared" si="109"/>
        <v>57661</v>
      </c>
      <c r="WH19" s="47">
        <f t="shared" si="109"/>
        <v>57661</v>
      </c>
      <c r="WI19" s="47">
        <f t="shared" si="109"/>
        <v>57661</v>
      </c>
      <c r="WJ19" s="47">
        <f t="shared" si="109"/>
        <v>57661</v>
      </c>
      <c r="WK19" s="47">
        <f t="shared" si="109"/>
        <v>57661</v>
      </c>
      <c r="WL19" s="47">
        <f t="shared" si="109"/>
        <v>57661</v>
      </c>
      <c r="WM19" s="47">
        <f t="shared" ref="WM19:YX19" si="110">WL19</f>
        <v>57661</v>
      </c>
      <c r="WN19" s="47">
        <f t="shared" si="110"/>
        <v>57661</v>
      </c>
      <c r="WO19" s="47">
        <f t="shared" si="110"/>
        <v>57661</v>
      </c>
      <c r="WP19" s="47">
        <f t="shared" si="110"/>
        <v>57661</v>
      </c>
      <c r="WQ19" s="47">
        <f t="shared" si="110"/>
        <v>57661</v>
      </c>
      <c r="WR19" s="47">
        <f t="shared" si="110"/>
        <v>57661</v>
      </c>
      <c r="WS19" s="47">
        <f t="shared" si="110"/>
        <v>57661</v>
      </c>
      <c r="WT19" s="47">
        <f t="shared" si="110"/>
        <v>57661</v>
      </c>
      <c r="WU19" s="47">
        <f t="shared" si="110"/>
        <v>57661</v>
      </c>
      <c r="WV19" s="47">
        <f t="shared" si="110"/>
        <v>57661</v>
      </c>
      <c r="WW19" s="47">
        <f t="shared" si="110"/>
        <v>57661</v>
      </c>
      <c r="WX19" s="47">
        <f t="shared" si="110"/>
        <v>57661</v>
      </c>
      <c r="WY19" s="47">
        <f t="shared" si="110"/>
        <v>57661</v>
      </c>
      <c r="WZ19" s="47">
        <f t="shared" si="110"/>
        <v>57661</v>
      </c>
      <c r="XA19" s="47">
        <f t="shared" si="110"/>
        <v>57661</v>
      </c>
      <c r="XB19" s="47">
        <f t="shared" si="110"/>
        <v>57661</v>
      </c>
      <c r="XC19" s="47">
        <f t="shared" si="110"/>
        <v>57661</v>
      </c>
      <c r="XD19" s="47">
        <f t="shared" si="110"/>
        <v>57661</v>
      </c>
      <c r="XE19" s="47">
        <f t="shared" si="110"/>
        <v>57661</v>
      </c>
      <c r="XF19" s="47">
        <f t="shared" si="110"/>
        <v>57661</v>
      </c>
      <c r="XG19" s="47">
        <f t="shared" si="110"/>
        <v>57661</v>
      </c>
      <c r="XH19" s="47">
        <f t="shared" si="110"/>
        <v>57661</v>
      </c>
      <c r="XI19" s="47">
        <f t="shared" si="110"/>
        <v>57661</v>
      </c>
      <c r="XJ19" s="47">
        <f t="shared" si="110"/>
        <v>57661</v>
      </c>
      <c r="XK19" s="47">
        <f t="shared" si="110"/>
        <v>57661</v>
      </c>
      <c r="XL19" s="47">
        <f t="shared" si="110"/>
        <v>57661</v>
      </c>
      <c r="XM19" s="47">
        <f t="shared" si="110"/>
        <v>57661</v>
      </c>
      <c r="XN19" s="47">
        <f t="shared" si="110"/>
        <v>57661</v>
      </c>
      <c r="XO19" s="47">
        <f t="shared" si="110"/>
        <v>57661</v>
      </c>
      <c r="XP19" s="47">
        <f t="shared" si="110"/>
        <v>57661</v>
      </c>
      <c r="XQ19" s="47">
        <f t="shared" si="110"/>
        <v>57661</v>
      </c>
      <c r="XR19" s="47">
        <f t="shared" si="110"/>
        <v>57661</v>
      </c>
      <c r="XS19" s="47">
        <f t="shared" si="110"/>
        <v>57661</v>
      </c>
      <c r="XT19" s="47">
        <f t="shared" si="110"/>
        <v>57661</v>
      </c>
      <c r="XU19" s="47">
        <f t="shared" si="110"/>
        <v>57661</v>
      </c>
      <c r="XV19" s="47">
        <f t="shared" si="110"/>
        <v>57661</v>
      </c>
      <c r="XW19" s="47">
        <f t="shared" si="110"/>
        <v>57661</v>
      </c>
      <c r="XX19" s="47">
        <f t="shared" si="110"/>
        <v>57661</v>
      </c>
      <c r="XY19" s="47">
        <f t="shared" si="110"/>
        <v>57661</v>
      </c>
      <c r="XZ19" s="47">
        <f t="shared" si="110"/>
        <v>57661</v>
      </c>
      <c r="YA19" s="47">
        <f t="shared" si="110"/>
        <v>57661</v>
      </c>
      <c r="YB19" s="47">
        <f t="shared" si="110"/>
        <v>57661</v>
      </c>
      <c r="YC19" s="47">
        <f t="shared" si="110"/>
        <v>57661</v>
      </c>
      <c r="YD19" s="47">
        <f t="shared" si="110"/>
        <v>57661</v>
      </c>
      <c r="YE19" s="47">
        <f t="shared" si="110"/>
        <v>57661</v>
      </c>
      <c r="YF19" s="47">
        <f t="shared" si="110"/>
        <v>57661</v>
      </c>
      <c r="YG19" s="47">
        <f t="shared" si="110"/>
        <v>57661</v>
      </c>
      <c r="YH19" s="47">
        <f t="shared" si="110"/>
        <v>57661</v>
      </c>
      <c r="YI19" s="47">
        <f t="shared" si="110"/>
        <v>57661</v>
      </c>
      <c r="YJ19" s="47">
        <f t="shared" si="110"/>
        <v>57661</v>
      </c>
      <c r="YK19" s="47">
        <f t="shared" si="110"/>
        <v>57661</v>
      </c>
      <c r="YL19" s="47">
        <f t="shared" si="110"/>
        <v>57661</v>
      </c>
      <c r="YM19" s="47">
        <f t="shared" si="110"/>
        <v>57661</v>
      </c>
      <c r="YN19" s="47">
        <f t="shared" si="110"/>
        <v>57661</v>
      </c>
      <c r="YO19" s="47">
        <f t="shared" si="110"/>
        <v>57661</v>
      </c>
      <c r="YP19" s="47">
        <f t="shared" si="110"/>
        <v>57661</v>
      </c>
      <c r="YQ19" s="47">
        <f t="shared" si="110"/>
        <v>57661</v>
      </c>
      <c r="YR19" s="47">
        <f t="shared" si="110"/>
        <v>57661</v>
      </c>
      <c r="YS19" s="47">
        <f t="shared" si="110"/>
        <v>57661</v>
      </c>
      <c r="YT19" s="47">
        <f t="shared" si="110"/>
        <v>57661</v>
      </c>
      <c r="YU19" s="47">
        <f t="shared" si="110"/>
        <v>57661</v>
      </c>
      <c r="YV19" s="47">
        <f t="shared" si="110"/>
        <v>57661</v>
      </c>
      <c r="YW19" s="47">
        <f t="shared" si="110"/>
        <v>57661</v>
      </c>
      <c r="YX19" s="47">
        <f t="shared" si="110"/>
        <v>57661</v>
      </c>
      <c r="YY19" s="47">
        <f t="shared" ref="YY19:ABJ19" si="111">YX19</f>
        <v>57661</v>
      </c>
      <c r="YZ19" s="47">
        <f t="shared" si="111"/>
        <v>57661</v>
      </c>
      <c r="ZA19" s="47">
        <f t="shared" si="111"/>
        <v>57661</v>
      </c>
      <c r="ZB19" s="47">
        <f t="shared" si="111"/>
        <v>57661</v>
      </c>
      <c r="ZC19" s="47">
        <f t="shared" si="111"/>
        <v>57661</v>
      </c>
      <c r="ZD19" s="47">
        <f t="shared" si="111"/>
        <v>57661</v>
      </c>
      <c r="ZE19" s="47">
        <f t="shared" si="111"/>
        <v>57661</v>
      </c>
      <c r="ZF19" s="47">
        <f t="shared" si="111"/>
        <v>57661</v>
      </c>
      <c r="ZG19" s="47">
        <f t="shared" si="111"/>
        <v>57661</v>
      </c>
      <c r="ZH19" s="47">
        <f t="shared" si="111"/>
        <v>57661</v>
      </c>
      <c r="ZI19" s="47">
        <f t="shared" si="111"/>
        <v>57661</v>
      </c>
      <c r="ZJ19" s="47">
        <f t="shared" si="111"/>
        <v>57661</v>
      </c>
      <c r="ZK19" s="47">
        <f t="shared" si="111"/>
        <v>57661</v>
      </c>
      <c r="ZL19" s="47">
        <f t="shared" si="111"/>
        <v>57661</v>
      </c>
      <c r="ZM19" s="47">
        <f t="shared" si="111"/>
        <v>57661</v>
      </c>
      <c r="ZN19" s="47">
        <f t="shared" si="111"/>
        <v>57661</v>
      </c>
      <c r="ZO19" s="47">
        <f t="shared" si="111"/>
        <v>57661</v>
      </c>
      <c r="ZP19" s="47">
        <f t="shared" si="111"/>
        <v>57661</v>
      </c>
      <c r="ZQ19" s="47">
        <f t="shared" si="111"/>
        <v>57661</v>
      </c>
      <c r="ZR19" s="47">
        <f t="shared" si="111"/>
        <v>57661</v>
      </c>
      <c r="ZS19" s="47">
        <f t="shared" si="111"/>
        <v>57661</v>
      </c>
      <c r="ZT19" s="47">
        <f t="shared" si="111"/>
        <v>57661</v>
      </c>
      <c r="ZU19" s="47">
        <f t="shared" si="111"/>
        <v>57661</v>
      </c>
      <c r="ZV19" s="47">
        <f t="shared" si="111"/>
        <v>57661</v>
      </c>
      <c r="ZW19" s="47">
        <f t="shared" si="111"/>
        <v>57661</v>
      </c>
      <c r="ZX19" s="47">
        <f t="shared" si="111"/>
        <v>57661</v>
      </c>
      <c r="ZY19" s="47">
        <f t="shared" si="111"/>
        <v>57661</v>
      </c>
      <c r="ZZ19" s="47">
        <f t="shared" si="111"/>
        <v>57661</v>
      </c>
      <c r="AAA19" s="47">
        <f t="shared" si="111"/>
        <v>57661</v>
      </c>
      <c r="AAB19" s="47">
        <f t="shared" si="111"/>
        <v>57661</v>
      </c>
      <c r="AAC19" s="47">
        <f t="shared" si="111"/>
        <v>57661</v>
      </c>
      <c r="AAD19" s="47">
        <f t="shared" si="111"/>
        <v>57661</v>
      </c>
      <c r="AAE19" s="47">
        <f t="shared" si="111"/>
        <v>57661</v>
      </c>
      <c r="AAF19" s="47">
        <f t="shared" si="111"/>
        <v>57661</v>
      </c>
      <c r="AAG19" s="47">
        <f t="shared" si="111"/>
        <v>57661</v>
      </c>
      <c r="AAH19" s="47">
        <f t="shared" si="111"/>
        <v>57661</v>
      </c>
      <c r="AAI19" s="47">
        <f t="shared" si="111"/>
        <v>57661</v>
      </c>
      <c r="AAJ19" s="47">
        <f t="shared" si="111"/>
        <v>57661</v>
      </c>
      <c r="AAK19" s="47">
        <f t="shared" si="111"/>
        <v>57661</v>
      </c>
      <c r="AAL19" s="47">
        <f t="shared" si="111"/>
        <v>57661</v>
      </c>
      <c r="AAM19" s="47">
        <f t="shared" si="111"/>
        <v>57661</v>
      </c>
      <c r="AAN19" s="47">
        <f t="shared" si="111"/>
        <v>57661</v>
      </c>
      <c r="AAO19" s="47">
        <f t="shared" si="111"/>
        <v>57661</v>
      </c>
      <c r="AAP19" s="47">
        <f t="shared" si="111"/>
        <v>57661</v>
      </c>
      <c r="AAQ19" s="47">
        <f t="shared" si="111"/>
        <v>57661</v>
      </c>
      <c r="AAR19" s="47">
        <f t="shared" si="111"/>
        <v>57661</v>
      </c>
      <c r="AAS19" s="47">
        <f t="shared" si="111"/>
        <v>57661</v>
      </c>
      <c r="AAT19" s="47">
        <f t="shared" si="111"/>
        <v>57661</v>
      </c>
      <c r="AAU19" s="47">
        <f t="shared" si="111"/>
        <v>57661</v>
      </c>
      <c r="AAV19" s="47">
        <f t="shared" si="111"/>
        <v>57661</v>
      </c>
      <c r="AAW19" s="47">
        <f t="shared" si="111"/>
        <v>57661</v>
      </c>
      <c r="AAX19" s="47">
        <f t="shared" si="111"/>
        <v>57661</v>
      </c>
      <c r="AAY19" s="47">
        <f t="shared" si="111"/>
        <v>57661</v>
      </c>
      <c r="AAZ19" s="47">
        <f t="shared" si="111"/>
        <v>57661</v>
      </c>
      <c r="ABA19" s="47">
        <f t="shared" si="111"/>
        <v>57661</v>
      </c>
      <c r="ABB19" s="47">
        <f t="shared" si="111"/>
        <v>57661</v>
      </c>
      <c r="ABC19" s="47">
        <f t="shared" si="111"/>
        <v>57661</v>
      </c>
      <c r="ABD19" s="47">
        <f t="shared" si="111"/>
        <v>57661</v>
      </c>
      <c r="ABE19" s="47">
        <f t="shared" si="111"/>
        <v>57661</v>
      </c>
      <c r="ABF19" s="47">
        <f t="shared" si="111"/>
        <v>57661</v>
      </c>
      <c r="ABG19" s="47">
        <f t="shared" si="111"/>
        <v>57661</v>
      </c>
      <c r="ABH19" s="47">
        <f t="shared" si="111"/>
        <v>57661</v>
      </c>
      <c r="ABI19" s="47">
        <f t="shared" si="111"/>
        <v>57661</v>
      </c>
      <c r="ABJ19" s="47">
        <f t="shared" si="111"/>
        <v>57661</v>
      </c>
      <c r="ABK19" s="47">
        <f t="shared" ref="ABK19:ADV19" si="112">ABJ19</f>
        <v>57661</v>
      </c>
      <c r="ABL19" s="47">
        <f t="shared" si="112"/>
        <v>57661</v>
      </c>
      <c r="ABM19" s="47">
        <f t="shared" si="112"/>
        <v>57661</v>
      </c>
      <c r="ABN19" s="47">
        <f t="shared" si="112"/>
        <v>57661</v>
      </c>
      <c r="ABO19" s="47">
        <f t="shared" si="112"/>
        <v>57661</v>
      </c>
      <c r="ABP19" s="47">
        <f t="shared" si="112"/>
        <v>57661</v>
      </c>
      <c r="ABQ19" s="47">
        <f t="shared" si="112"/>
        <v>57661</v>
      </c>
      <c r="ABR19" s="47">
        <f t="shared" si="112"/>
        <v>57661</v>
      </c>
      <c r="ABS19" s="47">
        <f t="shared" si="112"/>
        <v>57661</v>
      </c>
      <c r="ABT19" s="47">
        <f t="shared" si="112"/>
        <v>57661</v>
      </c>
      <c r="ABU19" s="47">
        <f t="shared" si="112"/>
        <v>57661</v>
      </c>
      <c r="ABV19" s="47">
        <f t="shared" si="112"/>
        <v>57661</v>
      </c>
      <c r="ABW19" s="47">
        <f t="shared" si="112"/>
        <v>57661</v>
      </c>
      <c r="ABX19" s="47">
        <f t="shared" si="112"/>
        <v>57661</v>
      </c>
      <c r="ABY19" s="47">
        <f t="shared" si="112"/>
        <v>57661</v>
      </c>
      <c r="ABZ19" s="47">
        <f t="shared" si="112"/>
        <v>57661</v>
      </c>
      <c r="ACA19" s="47">
        <f t="shared" si="112"/>
        <v>57661</v>
      </c>
      <c r="ACB19" s="47">
        <f t="shared" si="112"/>
        <v>57661</v>
      </c>
      <c r="ACC19" s="47">
        <f t="shared" si="112"/>
        <v>57661</v>
      </c>
      <c r="ACD19" s="47">
        <f t="shared" si="112"/>
        <v>57661</v>
      </c>
      <c r="ACE19" s="47">
        <f t="shared" si="112"/>
        <v>57661</v>
      </c>
      <c r="ACF19" s="47">
        <f t="shared" si="112"/>
        <v>57661</v>
      </c>
      <c r="ACG19" s="47">
        <f t="shared" si="112"/>
        <v>57661</v>
      </c>
      <c r="ACH19" s="47">
        <f t="shared" si="112"/>
        <v>57661</v>
      </c>
      <c r="ACI19" s="47">
        <f t="shared" si="112"/>
        <v>57661</v>
      </c>
      <c r="ACJ19" s="47">
        <f t="shared" si="112"/>
        <v>57661</v>
      </c>
      <c r="ACK19" s="47">
        <f t="shared" si="112"/>
        <v>57661</v>
      </c>
      <c r="ACL19" s="47">
        <f t="shared" si="112"/>
        <v>57661</v>
      </c>
      <c r="ACM19" s="47">
        <f t="shared" si="112"/>
        <v>57661</v>
      </c>
      <c r="ACN19" s="47">
        <f t="shared" si="112"/>
        <v>57661</v>
      </c>
      <c r="ACO19" s="47">
        <f t="shared" si="112"/>
        <v>57661</v>
      </c>
      <c r="ACP19" s="47">
        <f t="shared" si="112"/>
        <v>57661</v>
      </c>
      <c r="ACQ19" s="47">
        <f t="shared" si="112"/>
        <v>57661</v>
      </c>
      <c r="ACR19" s="47">
        <f t="shared" si="112"/>
        <v>57661</v>
      </c>
      <c r="ACS19" s="47">
        <f t="shared" si="112"/>
        <v>57661</v>
      </c>
      <c r="ACT19" s="47">
        <f t="shared" si="112"/>
        <v>57661</v>
      </c>
      <c r="ACU19" s="47">
        <f t="shared" si="112"/>
        <v>57661</v>
      </c>
      <c r="ACV19" s="47">
        <f t="shared" si="112"/>
        <v>57661</v>
      </c>
      <c r="ACW19" s="47">
        <f t="shared" si="112"/>
        <v>57661</v>
      </c>
      <c r="ACX19" s="47">
        <f t="shared" si="112"/>
        <v>57661</v>
      </c>
      <c r="ACY19" s="47">
        <f t="shared" si="112"/>
        <v>57661</v>
      </c>
      <c r="ACZ19" s="47">
        <f t="shared" si="112"/>
        <v>57661</v>
      </c>
      <c r="ADA19" s="47">
        <f t="shared" si="112"/>
        <v>57661</v>
      </c>
      <c r="ADB19" s="47">
        <f t="shared" si="112"/>
        <v>57661</v>
      </c>
      <c r="ADC19" s="47">
        <f t="shared" si="112"/>
        <v>57661</v>
      </c>
      <c r="ADD19" s="47">
        <f t="shared" si="112"/>
        <v>57661</v>
      </c>
      <c r="ADE19" s="47">
        <f t="shared" si="112"/>
        <v>57661</v>
      </c>
      <c r="ADF19" s="47">
        <f t="shared" si="112"/>
        <v>57661</v>
      </c>
      <c r="ADG19" s="47">
        <f t="shared" si="112"/>
        <v>57661</v>
      </c>
      <c r="ADH19" s="47">
        <f t="shared" si="112"/>
        <v>57661</v>
      </c>
      <c r="ADI19" s="47">
        <f t="shared" si="112"/>
        <v>57661</v>
      </c>
      <c r="ADJ19" s="47">
        <f t="shared" si="112"/>
        <v>57661</v>
      </c>
      <c r="ADK19" s="47">
        <f t="shared" si="112"/>
        <v>57661</v>
      </c>
      <c r="ADL19" s="47">
        <f t="shared" si="112"/>
        <v>57661</v>
      </c>
      <c r="ADM19" s="47">
        <f t="shared" si="112"/>
        <v>57661</v>
      </c>
      <c r="ADN19" s="47">
        <f t="shared" si="112"/>
        <v>57661</v>
      </c>
      <c r="ADO19" s="47">
        <f t="shared" si="112"/>
        <v>57661</v>
      </c>
      <c r="ADP19" s="47">
        <f t="shared" si="112"/>
        <v>57661</v>
      </c>
      <c r="ADQ19" s="47">
        <f t="shared" si="112"/>
        <v>57661</v>
      </c>
      <c r="ADR19" s="47">
        <f t="shared" si="112"/>
        <v>57661</v>
      </c>
      <c r="ADS19" s="47">
        <f t="shared" si="112"/>
        <v>57661</v>
      </c>
      <c r="ADT19" s="47">
        <f t="shared" si="112"/>
        <v>57661</v>
      </c>
      <c r="ADU19" s="47">
        <f t="shared" si="112"/>
        <v>57661</v>
      </c>
      <c r="ADV19" s="47">
        <f t="shared" si="112"/>
        <v>57661</v>
      </c>
      <c r="ADW19" s="47">
        <f t="shared" ref="ADW19:AGH19" si="113">ADV19</f>
        <v>57661</v>
      </c>
      <c r="ADX19" s="47">
        <f t="shared" si="113"/>
        <v>57661</v>
      </c>
      <c r="ADY19" s="47">
        <f t="shared" si="113"/>
        <v>57661</v>
      </c>
      <c r="ADZ19" s="47">
        <f t="shared" si="113"/>
        <v>57661</v>
      </c>
      <c r="AEA19" s="47">
        <f t="shared" si="113"/>
        <v>57661</v>
      </c>
      <c r="AEB19" s="47">
        <f t="shared" si="113"/>
        <v>57661</v>
      </c>
      <c r="AEC19" s="47">
        <f t="shared" si="113"/>
        <v>57661</v>
      </c>
      <c r="AED19" s="47">
        <f t="shared" si="113"/>
        <v>57661</v>
      </c>
      <c r="AEE19" s="47">
        <f t="shared" si="113"/>
        <v>57661</v>
      </c>
      <c r="AEF19" s="47">
        <f t="shared" si="113"/>
        <v>57661</v>
      </c>
      <c r="AEG19" s="47">
        <f t="shared" si="113"/>
        <v>57661</v>
      </c>
      <c r="AEH19" s="47">
        <f t="shared" si="113"/>
        <v>57661</v>
      </c>
      <c r="AEI19" s="47">
        <f t="shared" si="113"/>
        <v>57661</v>
      </c>
      <c r="AEJ19" s="47">
        <f t="shared" si="113"/>
        <v>57661</v>
      </c>
      <c r="AEK19" s="47">
        <f t="shared" si="113"/>
        <v>57661</v>
      </c>
      <c r="AEL19" s="47">
        <f t="shared" si="113"/>
        <v>57661</v>
      </c>
      <c r="AEM19" s="47">
        <f t="shared" si="113"/>
        <v>57661</v>
      </c>
      <c r="AEN19" s="47">
        <f t="shared" si="113"/>
        <v>57661</v>
      </c>
      <c r="AEO19" s="47">
        <f t="shared" si="113"/>
        <v>57661</v>
      </c>
      <c r="AEP19" s="47">
        <f t="shared" si="113"/>
        <v>57661</v>
      </c>
      <c r="AEQ19" s="47">
        <f t="shared" si="113"/>
        <v>57661</v>
      </c>
      <c r="AER19" s="47">
        <f t="shared" si="113"/>
        <v>57661</v>
      </c>
      <c r="AES19" s="47">
        <f t="shared" si="113"/>
        <v>57661</v>
      </c>
      <c r="AET19" s="47">
        <f t="shared" si="113"/>
        <v>57661</v>
      </c>
      <c r="AEU19" s="47">
        <f t="shared" si="113"/>
        <v>57661</v>
      </c>
      <c r="AEV19" s="47">
        <f t="shared" si="113"/>
        <v>57661</v>
      </c>
      <c r="AEW19" s="47">
        <f t="shared" si="113"/>
        <v>57661</v>
      </c>
      <c r="AEX19" s="47">
        <f t="shared" si="113"/>
        <v>57661</v>
      </c>
      <c r="AEY19" s="47">
        <f t="shared" si="113"/>
        <v>57661</v>
      </c>
      <c r="AEZ19" s="47">
        <f t="shared" si="113"/>
        <v>57661</v>
      </c>
      <c r="AFA19" s="47">
        <f t="shared" si="113"/>
        <v>57661</v>
      </c>
      <c r="AFB19" s="47">
        <f t="shared" si="113"/>
        <v>57661</v>
      </c>
      <c r="AFC19" s="47">
        <f t="shared" si="113"/>
        <v>57661</v>
      </c>
      <c r="AFD19" s="47">
        <f t="shared" si="113"/>
        <v>57661</v>
      </c>
      <c r="AFE19" s="47">
        <f t="shared" si="113"/>
        <v>57661</v>
      </c>
      <c r="AFF19" s="47">
        <f t="shared" si="113"/>
        <v>57661</v>
      </c>
      <c r="AFG19" s="47">
        <f t="shared" si="113"/>
        <v>57661</v>
      </c>
      <c r="AFH19" s="47">
        <f t="shared" si="113"/>
        <v>57661</v>
      </c>
      <c r="AFI19" s="47">
        <f t="shared" si="113"/>
        <v>57661</v>
      </c>
      <c r="AFJ19" s="47">
        <f t="shared" si="113"/>
        <v>57661</v>
      </c>
      <c r="AFK19" s="47">
        <f t="shared" si="113"/>
        <v>57661</v>
      </c>
      <c r="AFL19" s="47">
        <f t="shared" si="113"/>
        <v>57661</v>
      </c>
      <c r="AFM19" s="47">
        <f t="shared" si="113"/>
        <v>57661</v>
      </c>
      <c r="AFN19" s="47">
        <f t="shared" si="113"/>
        <v>57661</v>
      </c>
      <c r="AFO19" s="47">
        <f t="shared" si="113"/>
        <v>57661</v>
      </c>
      <c r="AFP19" s="47">
        <f t="shared" si="113"/>
        <v>57661</v>
      </c>
      <c r="AFQ19" s="47">
        <f t="shared" si="113"/>
        <v>57661</v>
      </c>
      <c r="AFR19" s="47">
        <f t="shared" si="113"/>
        <v>57661</v>
      </c>
      <c r="AFS19" s="47">
        <f t="shared" si="113"/>
        <v>57661</v>
      </c>
      <c r="AFT19" s="47">
        <f t="shared" si="113"/>
        <v>57661</v>
      </c>
      <c r="AFU19" s="47">
        <f t="shared" si="113"/>
        <v>57661</v>
      </c>
      <c r="AFV19" s="47">
        <f t="shared" si="113"/>
        <v>57661</v>
      </c>
      <c r="AFW19" s="47">
        <f t="shared" si="113"/>
        <v>57661</v>
      </c>
      <c r="AFX19" s="47">
        <f t="shared" si="113"/>
        <v>57661</v>
      </c>
      <c r="AFY19" s="47">
        <f t="shared" si="113"/>
        <v>57661</v>
      </c>
      <c r="AFZ19" s="47">
        <f t="shared" si="113"/>
        <v>57661</v>
      </c>
      <c r="AGA19" s="47">
        <f t="shared" si="113"/>
        <v>57661</v>
      </c>
      <c r="AGB19" s="47">
        <f t="shared" si="113"/>
        <v>57661</v>
      </c>
      <c r="AGC19" s="47">
        <f t="shared" si="113"/>
        <v>57661</v>
      </c>
      <c r="AGD19" s="47">
        <f t="shared" si="113"/>
        <v>57661</v>
      </c>
      <c r="AGE19" s="47">
        <f t="shared" si="113"/>
        <v>57661</v>
      </c>
      <c r="AGF19" s="47">
        <f t="shared" si="113"/>
        <v>57661</v>
      </c>
      <c r="AGG19" s="47">
        <f t="shared" si="113"/>
        <v>57661</v>
      </c>
      <c r="AGH19" s="47">
        <f t="shared" si="113"/>
        <v>57661</v>
      </c>
      <c r="AGI19" s="47">
        <f t="shared" ref="AGI19:AIT19" si="114">AGH19</f>
        <v>57661</v>
      </c>
      <c r="AGJ19" s="47">
        <f t="shared" si="114"/>
        <v>57661</v>
      </c>
      <c r="AGK19" s="47">
        <f t="shared" si="114"/>
        <v>57661</v>
      </c>
      <c r="AGL19" s="47">
        <f t="shared" si="114"/>
        <v>57661</v>
      </c>
      <c r="AGM19" s="47">
        <f t="shared" si="114"/>
        <v>57661</v>
      </c>
      <c r="AGN19" s="47">
        <f t="shared" si="114"/>
        <v>57661</v>
      </c>
      <c r="AGO19" s="47">
        <f t="shared" si="114"/>
        <v>57661</v>
      </c>
      <c r="AGP19" s="47">
        <f t="shared" si="114"/>
        <v>57661</v>
      </c>
      <c r="AGQ19" s="47">
        <f t="shared" si="114"/>
        <v>57661</v>
      </c>
      <c r="AGR19" s="47">
        <f t="shared" si="114"/>
        <v>57661</v>
      </c>
      <c r="AGS19" s="47">
        <f t="shared" si="114"/>
        <v>57661</v>
      </c>
      <c r="AGT19" s="47">
        <f t="shared" si="114"/>
        <v>57661</v>
      </c>
      <c r="AGU19" s="47">
        <f t="shared" si="114"/>
        <v>57661</v>
      </c>
      <c r="AGV19" s="47">
        <f t="shared" si="114"/>
        <v>57661</v>
      </c>
      <c r="AGW19" s="47">
        <f t="shared" si="114"/>
        <v>57661</v>
      </c>
      <c r="AGX19" s="47">
        <f t="shared" si="114"/>
        <v>57661</v>
      </c>
      <c r="AGY19" s="47">
        <f t="shared" si="114"/>
        <v>57661</v>
      </c>
      <c r="AGZ19" s="47">
        <f t="shared" si="114"/>
        <v>57661</v>
      </c>
      <c r="AHA19" s="47">
        <f t="shared" si="114"/>
        <v>57661</v>
      </c>
      <c r="AHB19" s="47">
        <f t="shared" si="114"/>
        <v>57661</v>
      </c>
      <c r="AHC19" s="47">
        <f t="shared" si="114"/>
        <v>57661</v>
      </c>
      <c r="AHD19" s="47">
        <f t="shared" si="114"/>
        <v>57661</v>
      </c>
      <c r="AHE19" s="47">
        <f t="shared" si="114"/>
        <v>57661</v>
      </c>
      <c r="AHF19" s="47">
        <f t="shared" si="114"/>
        <v>57661</v>
      </c>
      <c r="AHG19" s="47">
        <f t="shared" si="114"/>
        <v>57661</v>
      </c>
      <c r="AHH19" s="47">
        <f t="shared" si="114"/>
        <v>57661</v>
      </c>
      <c r="AHI19" s="47">
        <f t="shared" si="114"/>
        <v>57661</v>
      </c>
      <c r="AHJ19" s="47">
        <f t="shared" si="114"/>
        <v>57661</v>
      </c>
      <c r="AHK19" s="47">
        <f t="shared" si="114"/>
        <v>57661</v>
      </c>
      <c r="AHL19" s="47">
        <f t="shared" si="114"/>
        <v>57661</v>
      </c>
      <c r="AHM19" s="47">
        <f t="shared" si="114"/>
        <v>57661</v>
      </c>
      <c r="AHN19" s="47">
        <f t="shared" si="114"/>
        <v>57661</v>
      </c>
      <c r="AHO19" s="47">
        <f t="shared" si="114"/>
        <v>57661</v>
      </c>
      <c r="AHP19" s="47">
        <f t="shared" si="114"/>
        <v>57661</v>
      </c>
      <c r="AHQ19" s="47">
        <f t="shared" si="114"/>
        <v>57661</v>
      </c>
      <c r="AHR19" s="47">
        <f t="shared" si="114"/>
        <v>57661</v>
      </c>
      <c r="AHS19" s="47">
        <f t="shared" si="114"/>
        <v>57661</v>
      </c>
      <c r="AHT19" s="47">
        <f t="shared" si="114"/>
        <v>57661</v>
      </c>
      <c r="AHU19" s="47">
        <f t="shared" si="114"/>
        <v>57661</v>
      </c>
      <c r="AHV19" s="47">
        <f t="shared" si="114"/>
        <v>57661</v>
      </c>
      <c r="AHW19" s="47">
        <f t="shared" si="114"/>
        <v>57661</v>
      </c>
      <c r="AHX19" s="47">
        <f t="shared" si="114"/>
        <v>57661</v>
      </c>
      <c r="AHY19" s="47">
        <f t="shared" si="114"/>
        <v>57661</v>
      </c>
      <c r="AHZ19" s="47">
        <f t="shared" si="114"/>
        <v>57661</v>
      </c>
      <c r="AIA19" s="47">
        <f t="shared" si="114"/>
        <v>57661</v>
      </c>
      <c r="AIB19" s="47">
        <f t="shared" si="114"/>
        <v>57661</v>
      </c>
      <c r="AIC19" s="47">
        <f t="shared" si="114"/>
        <v>57661</v>
      </c>
      <c r="AID19" s="47">
        <f t="shared" si="114"/>
        <v>57661</v>
      </c>
      <c r="AIE19" s="47">
        <f t="shared" si="114"/>
        <v>57661</v>
      </c>
      <c r="AIF19" s="47">
        <f t="shared" si="114"/>
        <v>57661</v>
      </c>
      <c r="AIG19" s="47">
        <f t="shared" si="114"/>
        <v>57661</v>
      </c>
      <c r="AIH19" s="47">
        <f t="shared" si="114"/>
        <v>57661</v>
      </c>
      <c r="AII19" s="47">
        <f t="shared" si="114"/>
        <v>57661</v>
      </c>
      <c r="AIJ19" s="47">
        <f t="shared" si="114"/>
        <v>57661</v>
      </c>
      <c r="AIK19" s="47">
        <f t="shared" si="114"/>
        <v>57661</v>
      </c>
      <c r="AIL19" s="47">
        <f t="shared" si="114"/>
        <v>57661</v>
      </c>
      <c r="AIM19" s="47">
        <f t="shared" si="114"/>
        <v>57661</v>
      </c>
      <c r="AIN19" s="47">
        <f t="shared" si="114"/>
        <v>57661</v>
      </c>
      <c r="AIO19" s="47">
        <f t="shared" si="114"/>
        <v>57661</v>
      </c>
      <c r="AIP19" s="47">
        <f t="shared" si="114"/>
        <v>57661</v>
      </c>
      <c r="AIQ19" s="47">
        <f t="shared" si="114"/>
        <v>57661</v>
      </c>
      <c r="AIR19" s="47">
        <f t="shared" si="114"/>
        <v>57661</v>
      </c>
      <c r="AIS19" s="47">
        <f t="shared" si="114"/>
        <v>57661</v>
      </c>
      <c r="AIT19" s="47">
        <f t="shared" si="114"/>
        <v>57661</v>
      </c>
      <c r="AIU19" s="47">
        <f t="shared" ref="AIU19:ALF19" si="115">AIT19</f>
        <v>57661</v>
      </c>
      <c r="AIV19" s="47">
        <f t="shared" si="115"/>
        <v>57661</v>
      </c>
      <c r="AIW19" s="47">
        <f t="shared" si="115"/>
        <v>57661</v>
      </c>
      <c r="AIX19" s="47">
        <f t="shared" si="115"/>
        <v>57661</v>
      </c>
      <c r="AIY19" s="47">
        <f t="shared" si="115"/>
        <v>57661</v>
      </c>
      <c r="AIZ19" s="47">
        <f t="shared" si="115"/>
        <v>57661</v>
      </c>
      <c r="AJA19" s="47">
        <f t="shared" si="115"/>
        <v>57661</v>
      </c>
      <c r="AJB19" s="47">
        <f t="shared" si="115"/>
        <v>57661</v>
      </c>
      <c r="AJC19" s="47">
        <f t="shared" si="115"/>
        <v>57661</v>
      </c>
      <c r="AJD19" s="47">
        <f t="shared" si="115"/>
        <v>57661</v>
      </c>
      <c r="AJE19" s="47">
        <f t="shared" si="115"/>
        <v>57661</v>
      </c>
      <c r="AJF19" s="47">
        <f t="shared" si="115"/>
        <v>57661</v>
      </c>
      <c r="AJG19" s="47">
        <f t="shared" si="115"/>
        <v>57661</v>
      </c>
      <c r="AJH19" s="47">
        <f t="shared" si="115"/>
        <v>57661</v>
      </c>
      <c r="AJI19" s="47">
        <f t="shared" si="115"/>
        <v>57661</v>
      </c>
      <c r="AJJ19" s="47">
        <f t="shared" si="115"/>
        <v>57661</v>
      </c>
      <c r="AJK19" s="47">
        <f t="shared" si="115"/>
        <v>57661</v>
      </c>
      <c r="AJL19" s="47">
        <f t="shared" si="115"/>
        <v>57661</v>
      </c>
      <c r="AJM19" s="47">
        <f t="shared" si="115"/>
        <v>57661</v>
      </c>
      <c r="AJN19" s="47">
        <f t="shared" si="115"/>
        <v>57661</v>
      </c>
      <c r="AJO19" s="47">
        <f t="shared" si="115"/>
        <v>57661</v>
      </c>
      <c r="AJP19" s="47">
        <f t="shared" si="115"/>
        <v>57661</v>
      </c>
      <c r="AJQ19" s="47">
        <f t="shared" si="115"/>
        <v>57661</v>
      </c>
      <c r="AJR19" s="47">
        <f t="shared" si="115"/>
        <v>57661</v>
      </c>
      <c r="AJS19" s="47">
        <f t="shared" si="115"/>
        <v>57661</v>
      </c>
      <c r="AJT19" s="47">
        <f t="shared" si="115"/>
        <v>57661</v>
      </c>
      <c r="AJU19" s="47">
        <f t="shared" si="115"/>
        <v>57661</v>
      </c>
      <c r="AJV19" s="47">
        <f t="shared" si="115"/>
        <v>57661</v>
      </c>
      <c r="AJW19" s="47">
        <f t="shared" si="115"/>
        <v>57661</v>
      </c>
      <c r="AJX19" s="47">
        <f t="shared" si="115"/>
        <v>57661</v>
      </c>
      <c r="AJY19" s="47">
        <f t="shared" si="115"/>
        <v>57661</v>
      </c>
      <c r="AJZ19" s="47">
        <f t="shared" si="115"/>
        <v>57661</v>
      </c>
      <c r="AKA19" s="47">
        <f t="shared" si="115"/>
        <v>57661</v>
      </c>
      <c r="AKB19" s="47">
        <f t="shared" si="115"/>
        <v>57661</v>
      </c>
      <c r="AKC19" s="47">
        <f t="shared" si="115"/>
        <v>57661</v>
      </c>
      <c r="AKD19" s="47">
        <f t="shared" si="115"/>
        <v>57661</v>
      </c>
      <c r="AKE19" s="47">
        <f t="shared" si="115"/>
        <v>57661</v>
      </c>
      <c r="AKF19" s="47">
        <f t="shared" si="115"/>
        <v>57661</v>
      </c>
      <c r="AKG19" s="47">
        <f t="shared" si="115"/>
        <v>57661</v>
      </c>
      <c r="AKH19" s="47">
        <f t="shared" si="115"/>
        <v>57661</v>
      </c>
      <c r="AKI19" s="47">
        <f t="shared" si="115"/>
        <v>57661</v>
      </c>
      <c r="AKJ19" s="47">
        <f t="shared" si="115"/>
        <v>57661</v>
      </c>
      <c r="AKK19" s="47">
        <f t="shared" si="115"/>
        <v>57661</v>
      </c>
      <c r="AKL19" s="47">
        <f t="shared" si="115"/>
        <v>57661</v>
      </c>
      <c r="AKM19" s="47">
        <f t="shared" si="115"/>
        <v>57661</v>
      </c>
      <c r="AKN19" s="47">
        <f t="shared" si="115"/>
        <v>57661</v>
      </c>
      <c r="AKO19" s="47">
        <f t="shared" si="115"/>
        <v>57661</v>
      </c>
      <c r="AKP19" s="47">
        <f t="shared" si="115"/>
        <v>57661</v>
      </c>
      <c r="AKQ19" s="47">
        <f t="shared" si="115"/>
        <v>57661</v>
      </c>
      <c r="AKR19" s="47">
        <f t="shared" si="115"/>
        <v>57661</v>
      </c>
      <c r="AKS19" s="47">
        <f t="shared" si="115"/>
        <v>57661</v>
      </c>
      <c r="AKT19" s="47">
        <f t="shared" si="115"/>
        <v>57661</v>
      </c>
      <c r="AKU19" s="47">
        <f t="shared" si="115"/>
        <v>57661</v>
      </c>
      <c r="AKV19" s="47">
        <f t="shared" si="115"/>
        <v>57661</v>
      </c>
      <c r="AKW19" s="47">
        <f t="shared" si="115"/>
        <v>57661</v>
      </c>
      <c r="AKX19" s="47">
        <f t="shared" si="115"/>
        <v>57661</v>
      </c>
      <c r="AKY19" s="47">
        <f t="shared" si="115"/>
        <v>57661</v>
      </c>
      <c r="AKZ19" s="47">
        <f t="shared" si="115"/>
        <v>57661</v>
      </c>
      <c r="ALA19" s="47">
        <f t="shared" si="115"/>
        <v>57661</v>
      </c>
      <c r="ALB19" s="47">
        <f t="shared" si="115"/>
        <v>57661</v>
      </c>
      <c r="ALC19" s="47">
        <f t="shared" si="115"/>
        <v>57661</v>
      </c>
      <c r="ALD19" s="47">
        <f t="shared" si="115"/>
        <v>57661</v>
      </c>
      <c r="ALE19" s="47">
        <f t="shared" si="115"/>
        <v>57661</v>
      </c>
      <c r="ALF19" s="47">
        <f t="shared" si="115"/>
        <v>57661</v>
      </c>
      <c r="ALG19" s="47">
        <f t="shared" ref="ALG19:ALR19" si="116">ALF19</f>
        <v>57661</v>
      </c>
      <c r="ALH19" s="47">
        <f t="shared" si="116"/>
        <v>57661</v>
      </c>
      <c r="ALI19" s="47">
        <f t="shared" si="116"/>
        <v>57661</v>
      </c>
      <c r="ALJ19" s="47">
        <f t="shared" si="116"/>
        <v>57661</v>
      </c>
      <c r="ALK19" s="47">
        <f t="shared" si="116"/>
        <v>57661</v>
      </c>
      <c r="ALL19" s="47">
        <f t="shared" si="116"/>
        <v>57661</v>
      </c>
      <c r="ALM19" s="47">
        <f t="shared" si="116"/>
        <v>57661</v>
      </c>
      <c r="ALN19" s="47">
        <f t="shared" si="116"/>
        <v>57661</v>
      </c>
      <c r="ALO19" s="47">
        <f t="shared" si="116"/>
        <v>57661</v>
      </c>
      <c r="ALP19" s="47">
        <f t="shared" si="116"/>
        <v>57661</v>
      </c>
      <c r="ALQ19" s="47">
        <f t="shared" si="116"/>
        <v>57661</v>
      </c>
      <c r="ALR19" s="47">
        <f t="shared" si="116"/>
        <v>57661</v>
      </c>
    </row>
    <row r="20" spans="1:1006" s="35" customFormat="1" x14ac:dyDescent="0.2">
      <c r="F20" s="32">
        <f>1</f>
        <v>1</v>
      </c>
      <c r="G20" s="46">
        <f ca="1">EXP(G4)*G19</f>
        <v>58563.486321624536</v>
      </c>
      <c r="H20" s="46">
        <f t="shared" ref="H20:K20" ca="1" si="117">EXP(H4)*H19</f>
        <v>56590.248178012167</v>
      </c>
      <c r="I20" s="46">
        <f t="shared" ca="1" si="117"/>
        <v>55283.782842329339</v>
      </c>
      <c r="J20" s="46">
        <f t="shared" ca="1" si="117"/>
        <v>58100.53682769867</v>
      </c>
      <c r="K20" s="46">
        <f t="shared" ca="1" si="117"/>
        <v>58563.012660633685</v>
      </c>
      <c r="L20" s="46">
        <f t="shared" ref="L20:L31" ca="1" si="118">EXP(L4)*L19</f>
        <v>60692.637461134225</v>
      </c>
      <c r="M20" s="46">
        <f t="shared" ref="M20:M31" ca="1" si="119">EXP(M4)*M19</f>
        <v>56191.985401698796</v>
      </c>
      <c r="N20" s="46">
        <f t="shared" ref="N20:N31" ca="1" si="120">EXP(N4)*N19</f>
        <v>60347.116669573938</v>
      </c>
      <c r="O20" s="46">
        <f t="shared" ref="O20:O31" ca="1" si="121">EXP(O4)*O19</f>
        <v>57281.138928944449</v>
      </c>
      <c r="P20" s="46">
        <f t="shared" ref="P20:P31" ca="1" si="122">EXP(P4)*P19</f>
        <v>54730.83293550236</v>
      </c>
      <c r="Q20" s="46">
        <f t="shared" ref="Q20:Q31" ca="1" si="123">EXP(Q4)*Q19</f>
        <v>59250.037216082259</v>
      </c>
      <c r="R20" s="46">
        <f t="shared" ref="R20:R31" ca="1" si="124">EXP(R4)*R19</f>
        <v>58781.868889843645</v>
      </c>
      <c r="S20" s="46">
        <f t="shared" ref="S20:S31" ca="1" si="125">EXP(S4)*S19</f>
        <v>58107.792172618232</v>
      </c>
      <c r="T20" s="46">
        <f t="shared" ref="T20:T31" ca="1" si="126">EXP(T4)*T19</f>
        <v>61294.146131316324</v>
      </c>
      <c r="U20" s="46">
        <f t="shared" ref="U20:U31" ca="1" si="127">EXP(U4)*U19</f>
        <v>54388.868362003108</v>
      </c>
      <c r="V20" s="46">
        <f t="shared" ref="V20:V31" ca="1" si="128">EXP(V4)*V19</f>
        <v>59459.910260593373</v>
      </c>
      <c r="W20" s="46">
        <f t="shared" ref="W20:W31" ca="1" si="129">EXP(W4)*W19</f>
        <v>56768.470697937177</v>
      </c>
      <c r="X20" s="46">
        <f t="shared" ref="X20:X31" ca="1" si="130">EXP(X4)*X19</f>
        <v>60313.390859252198</v>
      </c>
      <c r="Y20" s="46">
        <f t="shared" ref="Y20:Y31" ca="1" si="131">EXP(Y4)*Y19</f>
        <v>57531.010046980598</v>
      </c>
      <c r="Z20" s="46">
        <f t="shared" ref="Z20:Z31" ca="1" si="132">EXP(Z4)*Z19</f>
        <v>56832.88246410594</v>
      </c>
      <c r="AA20" s="46">
        <f t="shared" ref="AA20:AA31" ca="1" si="133">EXP(AA4)*AA19</f>
        <v>58489.372461669387</v>
      </c>
      <c r="AB20" s="46">
        <f t="shared" ref="AB20:AB31" ca="1" si="134">EXP(AB4)*AB19</f>
        <v>60503.505724143251</v>
      </c>
      <c r="AC20" s="46">
        <f t="shared" ref="AC20:AC31" ca="1" si="135">EXP(AC4)*AC19</f>
        <v>58754.008043105125</v>
      </c>
      <c r="AD20" s="46">
        <f t="shared" ref="AD20:AD31" ca="1" si="136">EXP(AD4)*AD19</f>
        <v>55495.834580608775</v>
      </c>
      <c r="AE20" s="46">
        <f t="shared" ref="AE20:AE31" ca="1" si="137">EXP(AE4)*AE19</f>
        <v>58425.0774224821</v>
      </c>
      <c r="AF20" s="46">
        <f t="shared" ref="AF20:AF31" ca="1" si="138">EXP(AF4)*AF19</f>
        <v>57207.171633464844</v>
      </c>
      <c r="AG20" s="46">
        <f t="shared" ref="AG20:AG31" ca="1" si="139">EXP(AG4)*AG19</f>
        <v>57987.024437960943</v>
      </c>
      <c r="AH20" s="46">
        <f t="shared" ref="AH20:AH31" ca="1" si="140">EXP(AH4)*AH19</f>
        <v>56697.55774058665</v>
      </c>
      <c r="AI20" s="46">
        <f t="shared" ref="AI20:AI31" ca="1" si="141">EXP(AI4)*AI19</f>
        <v>60678.363639215859</v>
      </c>
      <c r="AJ20" s="46">
        <f t="shared" ref="AJ20:AJ31" ca="1" si="142">EXP(AJ4)*AJ19</f>
        <v>58016.66364864901</v>
      </c>
      <c r="AK20" s="46">
        <f t="shared" ref="AK20:AK31" ca="1" si="143">EXP(AK4)*AK19</f>
        <v>59962.890521793961</v>
      </c>
      <c r="AL20" s="46">
        <f t="shared" ref="AL20:AL31" ca="1" si="144">EXP(AL4)*AL19</f>
        <v>55676.964545577532</v>
      </c>
      <c r="AM20" s="46">
        <f t="shared" ref="AM20:AM31" ca="1" si="145">EXP(AM4)*AM19</f>
        <v>55983.780611952017</v>
      </c>
      <c r="AN20" s="46">
        <f t="shared" ref="AN20:AN31" ca="1" si="146">EXP(AN4)*AN19</f>
        <v>54014.865405746204</v>
      </c>
      <c r="AO20" s="46">
        <f t="shared" ref="AO20:AO31" ca="1" si="147">EXP(AO4)*AO19</f>
        <v>60432.540598456297</v>
      </c>
      <c r="AP20" s="46">
        <f t="shared" ref="AP20:AP31" ca="1" si="148">EXP(AP4)*AP19</f>
        <v>61678.889096335639</v>
      </c>
      <c r="AQ20" s="46">
        <f t="shared" ref="AQ20:AQ31" ca="1" si="149">EXP(AQ4)*AQ19</f>
        <v>59790.294433566487</v>
      </c>
      <c r="AR20" s="46">
        <f t="shared" ref="AR20:AR31" ca="1" si="150">EXP(AR4)*AR19</f>
        <v>63297.165216473157</v>
      </c>
      <c r="AS20" s="46">
        <f t="shared" ref="AS20:AS31" ca="1" si="151">EXP(AS4)*AS19</f>
        <v>52187.851075479957</v>
      </c>
      <c r="AT20" s="46">
        <f t="shared" ref="AT20:AT31" ca="1" si="152">EXP(AT4)*AT19</f>
        <v>56858.843019012194</v>
      </c>
      <c r="AU20" s="46">
        <f t="shared" ref="AU20:AU31" ca="1" si="153">EXP(AU4)*AU19</f>
        <v>57651.671292104598</v>
      </c>
      <c r="AV20" s="46">
        <f t="shared" ref="AV20:AV31" ca="1" si="154">EXP(AV4)*AV19</f>
        <v>56935.409366837535</v>
      </c>
      <c r="AW20" s="46">
        <f t="shared" ref="AW20:AW31" ca="1" si="155">EXP(AW4)*AW19</f>
        <v>60461.324694656549</v>
      </c>
      <c r="AX20" s="46">
        <f t="shared" ref="AX20:AX31" ca="1" si="156">EXP(AX4)*AX19</f>
        <v>60639.355278887044</v>
      </c>
      <c r="AY20" s="46">
        <f t="shared" ref="AY20:AY31" ca="1" si="157">EXP(AY4)*AY19</f>
        <v>55782.999283630445</v>
      </c>
      <c r="AZ20" s="46">
        <f t="shared" ref="AZ20:AZ31" ca="1" si="158">EXP(AZ4)*AZ19</f>
        <v>56407.623271039738</v>
      </c>
      <c r="BA20" s="46">
        <f t="shared" ref="BA20:BA31" ca="1" si="159">EXP(BA4)*BA19</f>
        <v>56455.65499227793</v>
      </c>
      <c r="BB20" s="46">
        <f t="shared" ref="BB20:BB31" ca="1" si="160">EXP(BB4)*BB19</f>
        <v>56857.357934242325</v>
      </c>
      <c r="BC20" s="46">
        <f t="shared" ref="BC20:BC31" ca="1" si="161">EXP(BC4)*BC19</f>
        <v>57740.308713427345</v>
      </c>
      <c r="BD20" s="46">
        <f t="shared" ref="BD20:BD31" ca="1" si="162">EXP(BD4)*BD19</f>
        <v>60505.417329846372</v>
      </c>
      <c r="BE20" s="46">
        <f t="shared" ref="BE20:BE31" ca="1" si="163">EXP(BE4)*BE19</f>
        <v>56577.296431126328</v>
      </c>
      <c r="BF20" s="46">
        <f t="shared" ref="BF20:BF31" ca="1" si="164">EXP(BF4)*BF19</f>
        <v>54845.704197853585</v>
      </c>
      <c r="BG20" s="46">
        <f t="shared" ref="BG20:BG31" ca="1" si="165">EXP(BG4)*BG19</f>
        <v>54414.116221365177</v>
      </c>
      <c r="BH20" s="46">
        <f t="shared" ref="BH20:BH31" ca="1" si="166">EXP(BH4)*BH19</f>
        <v>58222.07378218793</v>
      </c>
      <c r="BI20" s="46">
        <f t="shared" ref="BI20:BI31" ca="1" si="167">EXP(BI4)*BI19</f>
        <v>60584.122675962921</v>
      </c>
      <c r="BJ20" s="46">
        <f t="shared" ref="BJ20:BJ31" ca="1" si="168">EXP(BJ4)*BJ19</f>
        <v>56382.570171009625</v>
      </c>
      <c r="BK20" s="46">
        <f t="shared" ref="BK20:BK31" ca="1" si="169">EXP(BK4)*BK19</f>
        <v>56584.069293379594</v>
      </c>
      <c r="BL20" s="46">
        <f t="shared" ref="BL20:BL31" ca="1" si="170">EXP(BL4)*BL19</f>
        <v>55102.201216517875</v>
      </c>
      <c r="BM20" s="46">
        <f t="shared" ref="BM20:BM31" ca="1" si="171">EXP(BM4)*BM19</f>
        <v>57479.304657341796</v>
      </c>
      <c r="BN20" s="46">
        <f t="shared" ref="BN20:BN31" ca="1" si="172">EXP(BN4)*BN19</f>
        <v>57520.846268582332</v>
      </c>
      <c r="BO20" s="46">
        <f t="shared" ref="BO20:BO31" ca="1" si="173">EXP(BO4)*BO19</f>
        <v>58001.842083017764</v>
      </c>
      <c r="BP20" s="46">
        <f t="shared" ref="BP20:BP31" ca="1" si="174">EXP(BP4)*BP19</f>
        <v>57490.988641224278</v>
      </c>
      <c r="BQ20" s="46">
        <f t="shared" ref="BQ20:BQ31" ca="1" si="175">EXP(BQ4)*BQ19</f>
        <v>54656.879149668071</v>
      </c>
      <c r="BR20" s="46">
        <f t="shared" ref="BR20:BR31" ca="1" si="176">EXP(BR4)*BR19</f>
        <v>54586.392399654207</v>
      </c>
      <c r="BS20" s="46">
        <f t="shared" ref="BS20:BS31" ca="1" si="177">EXP(BS4)*BS19</f>
        <v>58100.352617959041</v>
      </c>
      <c r="BT20" s="46">
        <f t="shared" ref="BT20:BT31" ca="1" si="178">EXP(BT4)*BT19</f>
        <v>54908.35694577801</v>
      </c>
      <c r="BU20" s="46">
        <f t="shared" ref="BU20:BU31" ca="1" si="179">EXP(BU4)*BU19</f>
        <v>57068.315199004785</v>
      </c>
      <c r="BV20" s="46">
        <f t="shared" ref="BV20:BV31" ca="1" si="180">EXP(BV4)*BV19</f>
        <v>53871.724998062615</v>
      </c>
      <c r="BW20" s="46">
        <f t="shared" ref="BW20:BW31" ca="1" si="181">EXP(BW4)*BW19</f>
        <v>55910.256550448074</v>
      </c>
      <c r="BX20" s="46">
        <f t="shared" ref="BX20:BX31" ca="1" si="182">EXP(BX4)*BX19</f>
        <v>56078.857849007742</v>
      </c>
      <c r="BY20" s="46">
        <f t="shared" ref="BY20:BY31" ca="1" si="183">EXP(BY4)*BY19</f>
        <v>63311.419259421658</v>
      </c>
      <c r="BZ20" s="46">
        <f t="shared" ref="BZ20:BZ31" ca="1" si="184">EXP(BZ4)*BZ19</f>
        <v>53578.213910420855</v>
      </c>
      <c r="CA20" s="46">
        <f t="shared" ref="CA20:CA31" ca="1" si="185">EXP(CA4)*CA19</f>
        <v>56098.951009142067</v>
      </c>
      <c r="CB20" s="46">
        <f t="shared" ref="CB20:CB31" ca="1" si="186">EXP(CB4)*CB19</f>
        <v>59360.395475713784</v>
      </c>
      <c r="CC20" s="46">
        <f t="shared" ref="CC20:CC31" ca="1" si="187">EXP(CC4)*CC19</f>
        <v>59847.428280605818</v>
      </c>
      <c r="CD20" s="46">
        <f t="shared" ref="CD20:CD31" ca="1" si="188">EXP(CD4)*CD19</f>
        <v>55499.321414645048</v>
      </c>
      <c r="CE20" s="46">
        <f t="shared" ref="CE20:CE31" ca="1" si="189">EXP(CE4)*CE19</f>
        <v>55949.345539706846</v>
      </c>
      <c r="CF20" s="46">
        <f t="shared" ref="CF20:CF31" ca="1" si="190">EXP(CF4)*CF19</f>
        <v>56017.203985841261</v>
      </c>
      <c r="CG20" s="46">
        <f t="shared" ref="CG20:CG31" ca="1" si="191">EXP(CG4)*CG19</f>
        <v>58864.156472163966</v>
      </c>
      <c r="CH20" s="46">
        <f t="shared" ref="CH20:CH31" ca="1" si="192">EXP(CH4)*CH19</f>
        <v>55237.93838248487</v>
      </c>
      <c r="CI20" s="46">
        <f t="shared" ref="CI20:CI31" ca="1" si="193">EXP(CI4)*CI19</f>
        <v>56970.545130221384</v>
      </c>
      <c r="CJ20" s="46">
        <f t="shared" ref="CJ20:CJ31" ca="1" si="194">EXP(CJ4)*CJ19</f>
        <v>59774.753778493301</v>
      </c>
      <c r="CK20" s="46">
        <f t="shared" ref="CK20:CK31" ca="1" si="195">EXP(CK4)*CK19</f>
        <v>59826.774194736419</v>
      </c>
      <c r="CL20" s="46">
        <f t="shared" ref="CL20:CL31" ca="1" si="196">EXP(CL4)*CL19</f>
        <v>57475.66470366357</v>
      </c>
      <c r="CM20" s="46">
        <f t="shared" ref="CM20:CM31" ca="1" si="197">EXP(CM4)*CM19</f>
        <v>56845.120260313051</v>
      </c>
      <c r="CN20" s="46">
        <f t="shared" ref="CN20:CN31" ca="1" si="198">EXP(CN4)*CN19</f>
        <v>57430.389150077237</v>
      </c>
      <c r="CO20" s="46">
        <f t="shared" ref="CO20:CO31" ca="1" si="199">EXP(CO4)*CO19</f>
        <v>59554.357169853065</v>
      </c>
      <c r="CP20" s="46">
        <f t="shared" ref="CP20:CP31" ca="1" si="200">EXP(CP4)*CP19</f>
        <v>57055.27784453363</v>
      </c>
      <c r="CQ20" s="46">
        <f t="shared" ref="CQ20:CQ31" ca="1" si="201">EXP(CQ4)*CQ19</f>
        <v>55557.042354935285</v>
      </c>
      <c r="CR20" s="46">
        <f t="shared" ref="CR20:CR31" ca="1" si="202">EXP(CR4)*CR19</f>
        <v>57627.015826586539</v>
      </c>
      <c r="CS20" s="46">
        <f t="shared" ref="CS20:CS31" ca="1" si="203">EXP(CS4)*CS19</f>
        <v>57110.860592131772</v>
      </c>
      <c r="CT20" s="46">
        <f t="shared" ref="CT20:CT31" ca="1" si="204">EXP(CT4)*CT19</f>
        <v>58063.823094192099</v>
      </c>
      <c r="CU20" s="46">
        <f t="shared" ref="CU20:CU31" ca="1" si="205">EXP(CU4)*CU19</f>
        <v>57202.875384121617</v>
      </c>
      <c r="CV20" s="46">
        <f t="shared" ref="CV20:CV31" ca="1" si="206">EXP(CV4)*CV19</f>
        <v>54616.80711522785</v>
      </c>
      <c r="CW20" s="46">
        <f t="shared" ref="CW20:CW31" ca="1" si="207">EXP(CW4)*CW19</f>
        <v>55646.810264104461</v>
      </c>
      <c r="CX20" s="46">
        <f t="shared" ref="CX20:CX31" ca="1" si="208">EXP(CX4)*CX19</f>
        <v>58963.313693442498</v>
      </c>
      <c r="CY20" s="46">
        <f t="shared" ref="CY20:CY31" ca="1" si="209">EXP(CY4)*CY19</f>
        <v>57862.311669532108</v>
      </c>
      <c r="CZ20" s="46">
        <f t="shared" ref="CZ20:CZ31" ca="1" si="210">EXP(CZ4)*CZ19</f>
        <v>61923.819689794029</v>
      </c>
      <c r="DA20" s="46">
        <f t="shared" ref="DA20:DA31" ca="1" si="211">EXP(DA4)*DA19</f>
        <v>56846.458420852556</v>
      </c>
      <c r="DB20" s="46">
        <f t="shared" ref="DB20:DB31" ca="1" si="212">EXP(DB4)*DB19</f>
        <v>57315.637453614807</v>
      </c>
      <c r="DC20" s="46">
        <f t="shared" ref="DC20:DC31" ca="1" si="213">EXP(DC4)*DC19</f>
        <v>61934.082192161353</v>
      </c>
      <c r="DD20" s="46">
        <f t="shared" ref="DD20:DD31" ca="1" si="214">EXP(DD4)*DD19</f>
        <v>54295.111760139065</v>
      </c>
      <c r="DE20" s="46">
        <f t="shared" ref="DE20:DE31" ca="1" si="215">EXP(DE4)*DE19</f>
        <v>61276.168221656211</v>
      </c>
      <c r="DF20" s="46">
        <f t="shared" ref="DF20:DF31" ca="1" si="216">EXP(DF4)*DF19</f>
        <v>58849.378614381239</v>
      </c>
      <c r="DG20" s="46">
        <f t="shared" ref="DG20:DG31" ca="1" si="217">EXP(DG4)*DG19</f>
        <v>55507.929776750869</v>
      </c>
      <c r="DH20" s="46">
        <f t="shared" ref="DH20:DH31" ca="1" si="218">EXP(DH4)*DH19</f>
        <v>58040.544310041812</v>
      </c>
      <c r="DI20" s="46">
        <f t="shared" ref="DI20:DI31" ca="1" si="219">EXP(DI4)*DI19</f>
        <v>54826.750607091868</v>
      </c>
      <c r="DJ20" s="46">
        <f t="shared" ref="DJ20:DJ31" ca="1" si="220">EXP(DJ4)*DJ19</f>
        <v>61009.49855020229</v>
      </c>
      <c r="DK20" s="46">
        <f t="shared" ref="DK20:DK31" ca="1" si="221">EXP(DK4)*DK19</f>
        <v>54451.604947911081</v>
      </c>
      <c r="DL20" s="46">
        <f t="shared" ref="DL20:DL31" ca="1" si="222">EXP(DL4)*DL19</f>
        <v>61313.118099129293</v>
      </c>
      <c r="DM20" s="46">
        <f t="shared" ref="DM20:DM31" ca="1" si="223">EXP(DM4)*DM19</f>
        <v>57148.267444844489</v>
      </c>
      <c r="DN20" s="46">
        <f t="shared" ref="DN20:DN31" ca="1" si="224">EXP(DN4)*DN19</f>
        <v>55818.668229608753</v>
      </c>
      <c r="DO20" s="46">
        <f t="shared" ref="DO20:DO31" ca="1" si="225">EXP(DO4)*DO19</f>
        <v>54997.804011669927</v>
      </c>
      <c r="DP20" s="46">
        <f t="shared" ref="DP20:DP31" ca="1" si="226">EXP(DP4)*DP19</f>
        <v>56106.112782046504</v>
      </c>
      <c r="DQ20" s="46">
        <f t="shared" ref="DQ20:DQ31" ca="1" si="227">EXP(DQ4)*DQ19</f>
        <v>57515.393990801989</v>
      </c>
      <c r="DR20" s="46">
        <f t="shared" ref="DR20:DR31" ca="1" si="228">EXP(DR4)*DR19</f>
        <v>59195.793728439334</v>
      </c>
      <c r="DS20" s="46">
        <f t="shared" ref="DS20:DS31" ca="1" si="229">EXP(DS4)*DS19</f>
        <v>54648.270802095307</v>
      </c>
      <c r="DT20" s="46">
        <f t="shared" ref="DT20:DT31" ca="1" si="230">EXP(DT4)*DT19</f>
        <v>66426.230660089015</v>
      </c>
      <c r="DU20" s="46">
        <f t="shared" ref="DU20:DU31" ca="1" si="231">EXP(DU4)*DU19</f>
        <v>58886.36524867043</v>
      </c>
      <c r="DV20" s="46">
        <f t="shared" ref="DV20:DV31" ca="1" si="232">EXP(DV4)*DV19</f>
        <v>54429.401967906866</v>
      </c>
      <c r="DW20" s="46">
        <f t="shared" ref="DW20:DW31" ca="1" si="233">EXP(DW4)*DW19</f>
        <v>57347.338078921435</v>
      </c>
      <c r="DX20" s="46">
        <f t="shared" ref="DX20:DX31" ca="1" si="234">EXP(DX4)*DX19</f>
        <v>56754.972060825807</v>
      </c>
      <c r="DY20" s="46">
        <f t="shared" ref="DY20:DY31" ca="1" si="235">EXP(DY4)*DY19</f>
        <v>54418.037913452026</v>
      </c>
      <c r="DZ20" s="46">
        <f t="shared" ref="DZ20:DZ31" ca="1" si="236">EXP(DZ4)*DZ19</f>
        <v>58429.852435096145</v>
      </c>
      <c r="EA20" s="46">
        <f t="shared" ref="EA20:EA31" ca="1" si="237">EXP(EA4)*EA19</f>
        <v>62292.528553493386</v>
      </c>
      <c r="EB20" s="46">
        <f t="shared" ref="EB20:EB31" ca="1" si="238">EXP(EB4)*EB19</f>
        <v>61503.984671584119</v>
      </c>
      <c r="EC20" s="46">
        <f t="shared" ref="EC20:EC31" ca="1" si="239">EXP(EC4)*EC19</f>
        <v>55222.868600164751</v>
      </c>
      <c r="ED20" s="46">
        <f t="shared" ref="ED20:ED31" ca="1" si="240">EXP(ED4)*ED19</f>
        <v>60067.349490851353</v>
      </c>
      <c r="EE20" s="46">
        <f t="shared" ref="EE20:EE31" ca="1" si="241">EXP(EE4)*EE19</f>
        <v>59823.649016102136</v>
      </c>
      <c r="EF20" s="46">
        <f t="shared" ref="EF20:EF31" ca="1" si="242">EXP(EF4)*EF19</f>
        <v>58792.986287131353</v>
      </c>
      <c r="EG20" s="46">
        <f t="shared" ref="EG20:EG31" ca="1" si="243">EXP(EG4)*EG19</f>
        <v>59041.082939085965</v>
      </c>
      <c r="EH20" s="46">
        <f t="shared" ref="EH20:EH31" ca="1" si="244">EXP(EH4)*EH19</f>
        <v>58172.557095302662</v>
      </c>
      <c r="EI20" s="46">
        <f t="shared" ref="EI20:EI31" ca="1" si="245">EXP(EI4)*EI19</f>
        <v>57403.595323583329</v>
      </c>
      <c r="EJ20" s="46">
        <f t="shared" ref="EJ20:EJ31" ca="1" si="246">EXP(EJ4)*EJ19</f>
        <v>59166.611942713418</v>
      </c>
      <c r="EK20" s="46">
        <f t="shared" ref="EK20:EK31" ca="1" si="247">EXP(EK4)*EK19</f>
        <v>56068.481155621172</v>
      </c>
      <c r="EL20" s="46">
        <f t="shared" ref="EL20:EL31" ca="1" si="248">EXP(EL4)*EL19</f>
        <v>60837.263438845061</v>
      </c>
      <c r="EM20" s="46">
        <f t="shared" ref="EM20:EM31" ca="1" si="249">EXP(EM4)*EM19</f>
        <v>57577.247154441095</v>
      </c>
      <c r="EN20" s="46">
        <f t="shared" ref="EN20:EN31" ca="1" si="250">EXP(EN4)*EN19</f>
        <v>61044.412473325152</v>
      </c>
      <c r="EO20" s="46">
        <f t="shared" ref="EO20:EO31" ca="1" si="251">EXP(EO4)*EO19</f>
        <v>56372.191871788433</v>
      </c>
      <c r="EP20" s="46">
        <f t="shared" ref="EP20:EP31" ca="1" si="252">EXP(EP4)*EP19</f>
        <v>58893.739958521699</v>
      </c>
      <c r="EQ20" s="46">
        <f t="shared" ref="EQ20:EQ31" ca="1" si="253">EXP(EQ4)*EQ19</f>
        <v>59771.257232710988</v>
      </c>
      <c r="ER20" s="46">
        <f t="shared" ref="ER20:ER31" ca="1" si="254">EXP(ER4)*ER19</f>
        <v>58966.528107371916</v>
      </c>
      <c r="ES20" s="46">
        <f t="shared" ref="ES20:ES31" ca="1" si="255">EXP(ES4)*ES19</f>
        <v>55496.529696665442</v>
      </c>
      <c r="ET20" s="46">
        <f t="shared" ref="ET20:ET31" ca="1" si="256">EXP(ET4)*ET19</f>
        <v>55536.570322428037</v>
      </c>
      <c r="EU20" s="46">
        <f t="shared" ref="EU20:EU31" ca="1" si="257">EXP(EU4)*EU19</f>
        <v>57151.14471459121</v>
      </c>
      <c r="EV20" s="46">
        <f t="shared" ref="EV20:EV31" ca="1" si="258">EXP(EV4)*EV19</f>
        <v>56823.506770693544</v>
      </c>
      <c r="EW20" s="46">
        <f t="shared" ref="EW20:EW31" ca="1" si="259">EXP(EW4)*EW19</f>
        <v>59474.512298266178</v>
      </c>
      <c r="EX20" s="46">
        <f t="shared" ref="EX20:EX31" ca="1" si="260">EXP(EX4)*EX19</f>
        <v>60525.78050584616</v>
      </c>
      <c r="EY20" s="46">
        <f t="shared" ref="EY20:EY31" ca="1" si="261">EXP(EY4)*EY19</f>
        <v>55449.398932347911</v>
      </c>
      <c r="EZ20" s="46">
        <f t="shared" ref="EZ20:EZ31" ca="1" si="262">EXP(EZ4)*EZ19</f>
        <v>57142.50925655933</v>
      </c>
      <c r="FA20" s="46">
        <f t="shared" ref="FA20:FA31" ca="1" si="263">EXP(FA4)*FA19</f>
        <v>59351.355228113294</v>
      </c>
      <c r="FB20" s="46">
        <f t="shared" ref="FB20:FB31" ca="1" si="264">EXP(FB4)*FB19</f>
        <v>61533.463322206771</v>
      </c>
      <c r="FC20" s="46">
        <f t="shared" ref="FC20:FC31" ca="1" si="265">EXP(FC4)*FC19</f>
        <v>58341.967741912522</v>
      </c>
      <c r="FD20" s="46">
        <f t="shared" ref="FD20:FD31" ca="1" si="266">EXP(FD4)*FD19</f>
        <v>56932.545919353412</v>
      </c>
      <c r="FE20" s="46">
        <f t="shared" ref="FE20:FE31" ca="1" si="267">EXP(FE4)*FE19</f>
        <v>57546.230120694563</v>
      </c>
      <c r="FF20" s="46">
        <f t="shared" ref="FF20:FF31" ca="1" si="268">EXP(FF4)*FF19</f>
        <v>59465.547232540433</v>
      </c>
      <c r="FG20" s="46">
        <f t="shared" ref="FG20:FG31" ca="1" si="269">EXP(FG4)*FG19</f>
        <v>53031.507099775765</v>
      </c>
      <c r="FH20" s="46">
        <f t="shared" ref="FH20:FH31" ca="1" si="270">EXP(FH4)*FH19</f>
        <v>59076.734872122819</v>
      </c>
      <c r="FI20" s="46">
        <f t="shared" ref="FI20:FI31" ca="1" si="271">EXP(FI4)*FI19</f>
        <v>63081.140632298499</v>
      </c>
      <c r="FJ20" s="46">
        <f t="shared" ref="FJ20:FJ31" ca="1" si="272">EXP(FJ4)*FJ19</f>
        <v>54150.662982146285</v>
      </c>
      <c r="FK20" s="46">
        <f t="shared" ref="FK20:FK31" ca="1" si="273">EXP(FK4)*FK19</f>
        <v>60381.782314413016</v>
      </c>
      <c r="FL20" s="46">
        <f t="shared" ref="FL20:FL31" ca="1" si="274">EXP(FL4)*FL19</f>
        <v>58572.164842538456</v>
      </c>
      <c r="FM20" s="46">
        <f t="shared" ref="FM20:FM31" ca="1" si="275">EXP(FM4)*FM19</f>
        <v>57749.942368892116</v>
      </c>
      <c r="FN20" s="46">
        <f t="shared" ref="FN20:FN31" ca="1" si="276">EXP(FN4)*FN19</f>
        <v>56442.709129235322</v>
      </c>
      <c r="FO20" s="46">
        <f t="shared" ref="FO20:FO31" ca="1" si="277">EXP(FO4)*FO19</f>
        <v>56011.923037304296</v>
      </c>
      <c r="FP20" s="46">
        <f t="shared" ref="FP20:FP31" ca="1" si="278">EXP(FP4)*FP19</f>
        <v>60737.605154393255</v>
      </c>
      <c r="FQ20" s="46">
        <f t="shared" ref="FQ20:FQ31" ca="1" si="279">EXP(FQ4)*FQ19</f>
        <v>59361.787537758079</v>
      </c>
      <c r="FR20" s="46">
        <f t="shared" ref="FR20:FR31" ca="1" si="280">EXP(FR4)*FR19</f>
        <v>57283.9229617936</v>
      </c>
      <c r="FS20" s="46">
        <f t="shared" ref="FS20:FS31" ca="1" si="281">EXP(FS4)*FS19</f>
        <v>57683.699649294955</v>
      </c>
      <c r="FT20" s="46">
        <f t="shared" ref="FT20:FT31" ca="1" si="282">EXP(FT4)*FT19</f>
        <v>56454.741603062597</v>
      </c>
      <c r="FU20" s="46">
        <f t="shared" ref="FU20:FU31" ca="1" si="283">EXP(FU4)*FU19</f>
        <v>53988.107380877489</v>
      </c>
      <c r="FV20" s="46">
        <f t="shared" ref="FV20:FV31" ca="1" si="284">EXP(FV4)*FV19</f>
        <v>55755.624838396318</v>
      </c>
      <c r="FW20" s="46">
        <f t="shared" ref="FW20:FW31" ca="1" si="285">EXP(FW4)*FW19</f>
        <v>58909.575189552124</v>
      </c>
      <c r="FX20" s="46">
        <f t="shared" ref="FX20:FX31" ca="1" si="286">EXP(FX4)*FX19</f>
        <v>61511.320562823086</v>
      </c>
      <c r="FY20" s="46">
        <f t="shared" ref="FY20:FY31" ca="1" si="287">EXP(FY4)*FY19</f>
        <v>60070.437738736357</v>
      </c>
      <c r="FZ20" s="46">
        <f t="shared" ref="FZ20:FZ31" ca="1" si="288">EXP(FZ4)*FZ19</f>
        <v>56702.323589881518</v>
      </c>
      <c r="GA20" s="46">
        <f t="shared" ref="GA20:GA31" ca="1" si="289">EXP(GA4)*GA19</f>
        <v>56986.220336325736</v>
      </c>
      <c r="GB20" s="46">
        <f t="shared" ref="GB20:GB31" ca="1" si="290">EXP(GB4)*GB19</f>
        <v>55603.037143159774</v>
      </c>
      <c r="GC20" s="46">
        <f t="shared" ref="GC20:GC31" ca="1" si="291">EXP(GC4)*GC19</f>
        <v>61807.548100339678</v>
      </c>
      <c r="GD20" s="46">
        <f t="shared" ref="GD20:GD31" ca="1" si="292">EXP(GD4)*GD19</f>
        <v>55682.287558177595</v>
      </c>
      <c r="GE20" s="46">
        <f t="shared" ref="GE20:GE31" ca="1" si="293">EXP(GE4)*GE19</f>
        <v>59023.698689468612</v>
      </c>
      <c r="GF20" s="46">
        <f t="shared" ref="GF20:GF31" ca="1" si="294">EXP(GF4)*GF19</f>
        <v>56578.010224679332</v>
      </c>
      <c r="GG20" s="46">
        <f t="shared" ref="GG20:GG31" ca="1" si="295">EXP(GG4)*GG19</f>
        <v>58362.490063056604</v>
      </c>
      <c r="GH20" s="46">
        <f t="shared" ref="GH20:GH31" ca="1" si="296">EXP(GH4)*GH19</f>
        <v>55149.338319608592</v>
      </c>
      <c r="GI20" s="46">
        <f t="shared" ref="GI20:GI31" ca="1" si="297">EXP(GI4)*GI19</f>
        <v>57969.502984780185</v>
      </c>
      <c r="GJ20" s="46">
        <f t="shared" ref="GJ20:GJ31" ca="1" si="298">EXP(GJ4)*GJ19</f>
        <v>61595.53556812185</v>
      </c>
      <c r="GK20" s="46">
        <f t="shared" ref="GK20:GK31" ca="1" si="299">EXP(GK4)*GK19</f>
        <v>54595.565856903064</v>
      </c>
      <c r="GL20" s="46">
        <f t="shared" ref="GL20:GL31" ca="1" si="300">EXP(GL4)*GL19</f>
        <v>62186.916123354225</v>
      </c>
      <c r="GM20" s="46">
        <f t="shared" ref="GM20:GM31" ca="1" si="301">EXP(GM4)*GM19</f>
        <v>55240.375119098637</v>
      </c>
      <c r="GN20" s="46">
        <f t="shared" ref="GN20:GN31" ca="1" si="302">EXP(GN4)*GN19</f>
        <v>56539.959506961248</v>
      </c>
      <c r="GO20" s="46">
        <f t="shared" ref="GO20:GO31" ca="1" si="303">EXP(GO4)*GO19</f>
        <v>60714.73914496271</v>
      </c>
      <c r="GP20" s="46">
        <f t="shared" ref="GP20:GP31" ca="1" si="304">EXP(GP4)*GP19</f>
        <v>61118.118520016178</v>
      </c>
      <c r="GQ20" s="46">
        <f t="shared" ref="GQ20:GQ31" ca="1" si="305">EXP(GQ4)*GQ19</f>
        <v>54889.125811031241</v>
      </c>
      <c r="GR20" s="46">
        <f t="shared" ref="GR20:GR31" ca="1" si="306">EXP(GR4)*GR19</f>
        <v>62088.448529009489</v>
      </c>
      <c r="GS20" s="46">
        <f t="shared" ref="GS20:GS31" ca="1" si="307">EXP(GS4)*GS19</f>
        <v>57745.77113942818</v>
      </c>
      <c r="GT20" s="46">
        <f t="shared" ref="GT20:GT31" ca="1" si="308">EXP(GT4)*GT19</f>
        <v>56407.563863350384</v>
      </c>
      <c r="GU20" s="46">
        <f t="shared" ref="GU20:GU31" ca="1" si="309">EXP(GU4)*GU19</f>
        <v>57282.299583828142</v>
      </c>
      <c r="GV20" s="46">
        <f t="shared" ref="GV20:GV31" ca="1" si="310">EXP(GV4)*GV19</f>
        <v>60772.000478864582</v>
      </c>
      <c r="GW20" s="46">
        <f t="shared" ref="GW20:GW31" ca="1" si="311">EXP(GW4)*GW19</f>
        <v>56480.939458576686</v>
      </c>
      <c r="GX20" s="46">
        <f t="shared" ref="GX20:GX31" ca="1" si="312">EXP(GX4)*GX19</f>
        <v>58353.493867702404</v>
      </c>
      <c r="GY20" s="46">
        <f t="shared" ref="GY20:GY31" ca="1" si="313">EXP(GY4)*GY19</f>
        <v>55533.502278186053</v>
      </c>
      <c r="GZ20" s="46">
        <f t="shared" ref="GZ20:GZ31" ca="1" si="314">EXP(GZ4)*GZ19</f>
        <v>57533.425882344804</v>
      </c>
      <c r="HA20" s="46">
        <f t="shared" ref="HA20:HA31" ca="1" si="315">EXP(HA4)*HA19</f>
        <v>55730.609205101675</v>
      </c>
      <c r="HB20" s="46">
        <f t="shared" ref="HB20:HB31" ca="1" si="316">EXP(HB4)*HB19</f>
        <v>55740.843066778209</v>
      </c>
      <c r="HC20" s="46">
        <f t="shared" ref="HC20:HC31" ca="1" si="317">EXP(HC4)*HC19</f>
        <v>58327.238853958006</v>
      </c>
      <c r="HD20" s="46">
        <f t="shared" ref="HD20:HD31" ca="1" si="318">EXP(HD4)*HD19</f>
        <v>55830.997985223519</v>
      </c>
      <c r="HE20" s="46">
        <f t="shared" ref="HE20:HE31" ca="1" si="319">EXP(HE4)*HE19</f>
        <v>58945.435410575607</v>
      </c>
      <c r="HF20" s="46">
        <f t="shared" ref="HF20:HF31" ca="1" si="320">EXP(HF4)*HF19</f>
        <v>55458.244760755399</v>
      </c>
      <c r="HG20" s="46">
        <f t="shared" ref="HG20:HG31" ca="1" si="321">EXP(HG4)*HG19</f>
        <v>60544.067673572965</v>
      </c>
      <c r="HH20" s="46">
        <f t="shared" ref="HH20:HH31" ca="1" si="322">EXP(HH4)*HH19</f>
        <v>60147.344493191813</v>
      </c>
      <c r="HI20" s="46">
        <f t="shared" ref="HI20:HI31" ca="1" si="323">EXP(HI4)*HI19</f>
        <v>56944.411821049929</v>
      </c>
      <c r="HJ20" s="46">
        <f t="shared" ref="HJ20:HJ31" ca="1" si="324">EXP(HJ4)*HJ19</f>
        <v>55467.158079866917</v>
      </c>
      <c r="HK20" s="46">
        <f t="shared" ref="HK20:HK31" ca="1" si="325">EXP(HK4)*HK19</f>
        <v>57443.00899276675</v>
      </c>
      <c r="HL20" s="46">
        <f t="shared" ref="HL20:HL31" ca="1" si="326">EXP(HL4)*HL19</f>
        <v>56375.104466327139</v>
      </c>
      <c r="HM20" s="46">
        <f t="shared" ref="HM20:HM31" ca="1" si="327">EXP(HM4)*HM19</f>
        <v>60923.020025654165</v>
      </c>
      <c r="HN20" s="46">
        <f t="shared" ref="HN20:HN31" ca="1" si="328">EXP(HN4)*HN19</f>
        <v>57221.90429316154</v>
      </c>
      <c r="HO20" s="46">
        <f t="shared" ref="HO20:HO31" ca="1" si="329">EXP(HO4)*HO19</f>
        <v>59404.961141841886</v>
      </c>
      <c r="HP20" s="46">
        <f t="shared" ref="HP20:HP31" ca="1" si="330">EXP(HP4)*HP19</f>
        <v>56849.28159986854</v>
      </c>
      <c r="HQ20" s="46">
        <f t="shared" ref="HQ20:HQ31" ca="1" si="331">EXP(HQ4)*HQ19</f>
        <v>57800.909774915744</v>
      </c>
      <c r="HR20" s="46">
        <f t="shared" ref="HR20:HR31" ca="1" si="332">EXP(HR4)*HR19</f>
        <v>56816.328782360244</v>
      </c>
      <c r="HS20" s="46">
        <f t="shared" ref="HS20:HS31" ca="1" si="333">EXP(HS4)*HS19</f>
        <v>59272.620323279196</v>
      </c>
      <c r="HT20" s="46">
        <f t="shared" ref="HT20:HT31" ca="1" si="334">EXP(HT4)*HT19</f>
        <v>54154.933838379387</v>
      </c>
      <c r="HU20" s="46">
        <f t="shared" ref="HU20:HU31" ca="1" si="335">EXP(HU4)*HU19</f>
        <v>60618.517363612213</v>
      </c>
      <c r="HV20" s="46">
        <f t="shared" ref="HV20:HV31" ca="1" si="336">EXP(HV4)*HV19</f>
        <v>58022.347996979086</v>
      </c>
      <c r="HW20" s="46">
        <f t="shared" ref="HW20:HW31" ca="1" si="337">EXP(HW4)*HW19</f>
        <v>58012.794333553087</v>
      </c>
      <c r="HX20" s="46">
        <f t="shared" ref="HX20:HX31" ca="1" si="338">EXP(HX4)*HX19</f>
        <v>60432.517012578428</v>
      </c>
      <c r="HY20" s="46">
        <f t="shared" ref="HY20:HY31" ca="1" si="339">EXP(HY4)*HY19</f>
        <v>51657.309565864991</v>
      </c>
      <c r="HZ20" s="46">
        <f t="shared" ref="HZ20:HZ31" ca="1" si="340">EXP(HZ4)*HZ19</f>
        <v>59230.291938036986</v>
      </c>
      <c r="IA20" s="46">
        <f t="shared" ref="IA20:IA31" ca="1" si="341">EXP(IA4)*IA19</f>
        <v>62122.942920833128</v>
      </c>
      <c r="IB20" s="46">
        <f t="shared" ref="IB20:IB31" ca="1" si="342">EXP(IB4)*IB19</f>
        <v>54772.959949900702</v>
      </c>
      <c r="IC20" s="46">
        <f t="shared" ref="IC20:IC31" ca="1" si="343">EXP(IC4)*IC19</f>
        <v>59235.967373952655</v>
      </c>
      <c r="ID20" s="46">
        <f t="shared" ref="ID20:ID31" ca="1" si="344">EXP(ID4)*ID19</f>
        <v>58688.48385402705</v>
      </c>
      <c r="IE20" s="46">
        <f t="shared" ref="IE20:IE31" ca="1" si="345">EXP(IE4)*IE19</f>
        <v>57733.862529237726</v>
      </c>
      <c r="IF20" s="46">
        <f t="shared" ref="IF20:IF31" ca="1" si="346">EXP(IF4)*IF19</f>
        <v>54659.993557234353</v>
      </c>
      <c r="IG20" s="46">
        <f t="shared" ref="IG20:IG31" ca="1" si="347">EXP(IG4)*IG19</f>
        <v>60800.854453396991</v>
      </c>
      <c r="IH20" s="46">
        <f t="shared" ref="IH20:IH31" ca="1" si="348">EXP(IH4)*IH19</f>
        <v>60559.037249818903</v>
      </c>
      <c r="II20" s="46">
        <f t="shared" ref="II20:II31" ca="1" si="349">EXP(II4)*II19</f>
        <v>60000.410542944242</v>
      </c>
      <c r="IJ20" s="46">
        <f t="shared" ref="IJ20:IJ31" ca="1" si="350">EXP(IJ4)*IJ19</f>
        <v>59065.465032246328</v>
      </c>
      <c r="IK20" s="46">
        <f t="shared" ref="IK20:IK31" ca="1" si="351">EXP(IK4)*IK19</f>
        <v>59732.380029318658</v>
      </c>
      <c r="IL20" s="46">
        <f t="shared" ref="IL20:IL31" ca="1" si="352">EXP(IL4)*IL19</f>
        <v>55863.856112824942</v>
      </c>
      <c r="IM20" s="46">
        <f t="shared" ref="IM20:IM31" ca="1" si="353">EXP(IM4)*IM19</f>
        <v>57148.73103069426</v>
      </c>
      <c r="IN20" s="46">
        <f t="shared" ref="IN20:IN31" ca="1" si="354">EXP(IN4)*IN19</f>
        <v>62370.479125603946</v>
      </c>
      <c r="IO20" s="46">
        <f t="shared" ref="IO20:IO31" ca="1" si="355">EXP(IO4)*IO19</f>
        <v>54360.169930245502</v>
      </c>
      <c r="IP20" s="46">
        <f t="shared" ref="IP20:IP31" ca="1" si="356">EXP(IP4)*IP19</f>
        <v>56392.876284735474</v>
      </c>
      <c r="IQ20" s="46">
        <f t="shared" ref="IQ20:IQ31" ca="1" si="357">EXP(IQ4)*IQ19</f>
        <v>56121.721500179243</v>
      </c>
      <c r="IR20" s="46">
        <f t="shared" ref="IR20:IR31" ca="1" si="358">EXP(IR4)*IR19</f>
        <v>54224.554043087475</v>
      </c>
      <c r="IS20" s="46">
        <f t="shared" ref="IS20:IS31" ca="1" si="359">EXP(IS4)*IS19</f>
        <v>57098.457485885505</v>
      </c>
      <c r="IT20" s="46">
        <f t="shared" ref="IT20:IT31" ca="1" si="360">EXP(IT4)*IT19</f>
        <v>56601.578152640664</v>
      </c>
      <c r="IU20" s="46">
        <f t="shared" ref="IU20:IU31" ca="1" si="361">EXP(IU4)*IU19</f>
        <v>56115.818698996169</v>
      </c>
      <c r="IV20" s="46">
        <f t="shared" ref="IV20:IV31" ca="1" si="362">EXP(IV4)*IV19</f>
        <v>57034.596954971639</v>
      </c>
      <c r="IW20" s="46">
        <f t="shared" ref="IW20:IW31" ca="1" si="363">EXP(IW4)*IW19</f>
        <v>54746.406803355916</v>
      </c>
      <c r="IX20" s="46">
        <f t="shared" ref="IX20:IX31" ca="1" si="364">EXP(IX4)*IX19</f>
        <v>58184.644014798017</v>
      </c>
      <c r="IY20" s="46">
        <f t="shared" ref="IY20:IY31" ca="1" si="365">EXP(IY4)*IY19</f>
        <v>58796.407425579811</v>
      </c>
      <c r="IZ20" s="46">
        <f t="shared" ref="IZ20:IZ31" ca="1" si="366">EXP(IZ4)*IZ19</f>
        <v>60245.023579303437</v>
      </c>
      <c r="JA20" s="46">
        <f t="shared" ref="JA20:JA31" ca="1" si="367">EXP(JA4)*JA19</f>
        <v>57447.193828498996</v>
      </c>
      <c r="JB20" s="46">
        <f t="shared" ref="JB20:JB31" ca="1" si="368">EXP(JB4)*JB19</f>
        <v>59439.866628605712</v>
      </c>
      <c r="JC20" s="46">
        <f t="shared" ref="JC20:JC31" ca="1" si="369">EXP(JC4)*JC19</f>
        <v>56520.208280299594</v>
      </c>
      <c r="JD20" s="46">
        <f t="shared" ref="JD20:JD31" ca="1" si="370">EXP(JD4)*JD19</f>
        <v>54004.391168012073</v>
      </c>
      <c r="JE20" s="46">
        <f t="shared" ref="JE20:JE31" ca="1" si="371">EXP(JE4)*JE19</f>
        <v>57727.076773000357</v>
      </c>
      <c r="JF20" s="46">
        <f t="shared" ref="JF20:JF31" ca="1" si="372">EXP(JF4)*JF19</f>
        <v>61038.369807069204</v>
      </c>
      <c r="JG20" s="46">
        <f t="shared" ref="JG20:JG31" ca="1" si="373">EXP(JG4)*JG19</f>
        <v>58641.019322917069</v>
      </c>
      <c r="JH20" s="46">
        <f t="shared" ref="JH20:JH31" ca="1" si="374">EXP(JH4)*JH19</f>
        <v>57008.375070266389</v>
      </c>
      <c r="JI20" s="46">
        <f t="shared" ref="JI20:JI31" ca="1" si="375">EXP(JI4)*JI19</f>
        <v>60028.248240439265</v>
      </c>
      <c r="JJ20" s="46">
        <f t="shared" ref="JJ20:JJ31" ca="1" si="376">EXP(JJ4)*JJ19</f>
        <v>57105.725076376126</v>
      </c>
      <c r="JK20" s="46">
        <f t="shared" ref="JK20:JK31" ca="1" si="377">EXP(JK4)*JK19</f>
        <v>56448.855100843088</v>
      </c>
      <c r="JL20" s="46">
        <f t="shared" ref="JL20:JL31" ca="1" si="378">EXP(JL4)*JL19</f>
        <v>56395.072977663025</v>
      </c>
      <c r="JM20" s="46">
        <f t="shared" ref="JM20:JM31" ca="1" si="379">EXP(JM4)*JM19</f>
        <v>60673.107596126458</v>
      </c>
      <c r="JN20" s="46">
        <f t="shared" ref="JN20:JN31" ca="1" si="380">EXP(JN4)*JN19</f>
        <v>61557.443890161601</v>
      </c>
      <c r="JO20" s="46">
        <f t="shared" ref="JO20:JO31" ca="1" si="381">EXP(JO4)*JO19</f>
        <v>58004.365146057651</v>
      </c>
      <c r="JP20" s="46">
        <f t="shared" ref="JP20:JP31" ca="1" si="382">EXP(JP4)*JP19</f>
        <v>55996.841081564977</v>
      </c>
      <c r="JQ20" s="46">
        <f t="shared" ref="JQ20:JQ31" ca="1" si="383">EXP(JQ4)*JQ19</f>
        <v>61121.713195271092</v>
      </c>
      <c r="JR20" s="46">
        <f t="shared" ref="JR20:JR31" ca="1" si="384">EXP(JR4)*JR19</f>
        <v>64563.237680415223</v>
      </c>
      <c r="JS20" s="46">
        <f t="shared" ref="JS20:JS31" ca="1" si="385">EXP(JS4)*JS19</f>
        <v>60116.860120253637</v>
      </c>
      <c r="JT20" s="46">
        <f t="shared" ref="JT20:JT31" ca="1" si="386">EXP(JT4)*JT19</f>
        <v>62140.356554302467</v>
      </c>
      <c r="JU20" s="46">
        <f t="shared" ref="JU20:JU31" ca="1" si="387">EXP(JU4)*JU19</f>
        <v>57845.795225867776</v>
      </c>
      <c r="JV20" s="46">
        <f t="shared" ref="JV20:JV31" ca="1" si="388">EXP(JV4)*JV19</f>
        <v>53212.885258175833</v>
      </c>
      <c r="JW20" s="46">
        <f t="shared" ref="JW20:JW31" ca="1" si="389">EXP(JW4)*JW19</f>
        <v>57784.133202595556</v>
      </c>
      <c r="JX20" s="46">
        <f t="shared" ref="JX20:JX31" ca="1" si="390">EXP(JX4)*JX19</f>
        <v>54126.88094829375</v>
      </c>
      <c r="JY20" s="46">
        <f t="shared" ref="JY20:JY31" ca="1" si="391">EXP(JY4)*JY19</f>
        <v>60666.927937992645</v>
      </c>
      <c r="JZ20" s="46">
        <f t="shared" ref="JZ20:JZ31" ca="1" si="392">EXP(JZ4)*JZ19</f>
        <v>56343.258046616233</v>
      </c>
      <c r="KA20" s="46">
        <f t="shared" ref="KA20:KA31" ca="1" si="393">EXP(KA4)*KA19</f>
        <v>61330.475757438384</v>
      </c>
      <c r="KB20" s="46">
        <f t="shared" ref="KB20:KB31" ca="1" si="394">EXP(KB4)*KB19</f>
        <v>56954.909790466714</v>
      </c>
      <c r="KC20" s="46">
        <f t="shared" ref="KC20:KC31" ca="1" si="395">EXP(KC4)*KC19</f>
        <v>58759.565390616095</v>
      </c>
      <c r="KD20" s="46">
        <f t="shared" ref="KD20:KD31" ca="1" si="396">EXP(KD4)*KD19</f>
        <v>58250.340406107716</v>
      </c>
      <c r="KE20" s="46">
        <f t="shared" ref="KE20:KE31" ca="1" si="397">EXP(KE4)*KE19</f>
        <v>56943.803275242833</v>
      </c>
      <c r="KF20" s="46">
        <f t="shared" ref="KF20:KF31" ca="1" si="398">EXP(KF4)*KF19</f>
        <v>59637.649096760812</v>
      </c>
      <c r="KG20" s="46">
        <f t="shared" ref="KG20:KG31" ca="1" si="399">EXP(KG4)*KG19</f>
        <v>57112.360973420109</v>
      </c>
      <c r="KH20" s="46">
        <f t="shared" ref="KH20:KH31" ca="1" si="400">EXP(KH4)*KH19</f>
        <v>57437.709504954917</v>
      </c>
      <c r="KI20" s="46">
        <f t="shared" ref="KI20:KI31" ca="1" si="401">EXP(KI4)*KI19</f>
        <v>57454.405439840957</v>
      </c>
      <c r="KJ20" s="46">
        <f t="shared" ref="KJ20:KJ31" ca="1" si="402">EXP(KJ4)*KJ19</f>
        <v>55333.881355130463</v>
      </c>
      <c r="KK20" s="46">
        <f t="shared" ref="KK20:KK31" ca="1" si="403">EXP(KK4)*KK19</f>
        <v>57926.438130538372</v>
      </c>
      <c r="KL20" s="46">
        <f t="shared" ref="KL20:KL31" ca="1" si="404">EXP(KL4)*KL19</f>
        <v>57331.257006399072</v>
      </c>
      <c r="KM20" s="46">
        <f t="shared" ref="KM20:KM31" ca="1" si="405">EXP(KM4)*KM19</f>
        <v>57582.251780182196</v>
      </c>
      <c r="KN20" s="46">
        <f t="shared" ref="KN20:KN31" ca="1" si="406">EXP(KN4)*KN19</f>
        <v>58500.274433608036</v>
      </c>
      <c r="KO20" s="46">
        <f t="shared" ref="KO20:KO31" ca="1" si="407">EXP(KO4)*KO19</f>
        <v>54111.68680901987</v>
      </c>
      <c r="KP20" s="46">
        <f t="shared" ref="KP20:KP31" ca="1" si="408">EXP(KP4)*KP19</f>
        <v>57278.513030720809</v>
      </c>
      <c r="KQ20" s="46">
        <f t="shared" ref="KQ20:KQ31" ca="1" si="409">EXP(KQ4)*KQ19</f>
        <v>59920.535251950161</v>
      </c>
      <c r="KR20" s="46">
        <f t="shared" ref="KR20:KR31" ca="1" si="410">EXP(KR4)*KR19</f>
        <v>57257.177182231564</v>
      </c>
      <c r="KS20" s="46">
        <f t="shared" ref="KS20:KS31" ca="1" si="411">EXP(KS4)*KS19</f>
        <v>55442.807854174738</v>
      </c>
      <c r="KT20" s="46">
        <f t="shared" ref="KT20:KT31" ca="1" si="412">EXP(KT4)*KT19</f>
        <v>60269.220256708177</v>
      </c>
      <c r="KU20" s="46">
        <f t="shared" ref="KU20:KU31" ca="1" si="413">EXP(KU4)*KU19</f>
        <v>59292.489109341244</v>
      </c>
      <c r="KV20" s="46">
        <f t="shared" ref="KV20:KV31" ca="1" si="414">EXP(KV4)*KV19</f>
        <v>60240.671867170218</v>
      </c>
      <c r="KW20" s="46">
        <f t="shared" ref="KW20:KW31" ca="1" si="415">EXP(KW4)*KW19</f>
        <v>57886.67201654255</v>
      </c>
      <c r="KX20" s="46">
        <f t="shared" ref="KX20:KX31" ca="1" si="416">EXP(KX4)*KX19</f>
        <v>60741.406279033159</v>
      </c>
      <c r="KY20" s="46">
        <f t="shared" ref="KY20:KY31" ca="1" si="417">EXP(KY4)*KY19</f>
        <v>62622.713609957726</v>
      </c>
      <c r="KZ20" s="46">
        <f t="shared" ref="KZ20:KZ31" ca="1" si="418">EXP(KZ4)*KZ19</f>
        <v>56471.743827795013</v>
      </c>
      <c r="LA20" s="46">
        <f t="shared" ref="LA20:LA31" ca="1" si="419">EXP(LA4)*LA19</f>
        <v>57180.064298311627</v>
      </c>
      <c r="LB20" s="46">
        <f t="shared" ref="LB20:LB31" ca="1" si="420">EXP(LB4)*LB19</f>
        <v>60054.030035801959</v>
      </c>
      <c r="LC20" s="46">
        <f t="shared" ref="LC20:LC31" ca="1" si="421">EXP(LC4)*LC19</f>
        <v>56480.455206339029</v>
      </c>
      <c r="LD20" s="46">
        <f t="shared" ref="LD20:LD31" ca="1" si="422">EXP(LD4)*LD19</f>
        <v>57874.570892463576</v>
      </c>
      <c r="LE20" s="46">
        <f t="shared" ref="LE20:LE31" ca="1" si="423">EXP(LE4)*LE19</f>
        <v>60865.719621238844</v>
      </c>
      <c r="LF20" s="46">
        <f t="shared" ref="LF20:LF31" ca="1" si="424">EXP(LF4)*LF19</f>
        <v>57535.510353838319</v>
      </c>
      <c r="LG20" s="46">
        <f t="shared" ref="LG20:LG31" ca="1" si="425">EXP(LG4)*LG19</f>
        <v>56839.653724947653</v>
      </c>
      <c r="LH20" s="46">
        <f t="shared" ref="LH20:LH31" ca="1" si="426">EXP(LH4)*LH19</f>
        <v>57713.225266076988</v>
      </c>
      <c r="LI20" s="46">
        <f t="shared" ref="LI20:LI31" ca="1" si="427">EXP(LI4)*LI19</f>
        <v>58457.034436136484</v>
      </c>
      <c r="LJ20" s="46">
        <f t="shared" ref="LJ20:LJ31" ca="1" si="428">EXP(LJ4)*LJ19</f>
        <v>56138.365866670858</v>
      </c>
      <c r="LK20" s="46">
        <f t="shared" ref="LK20:LK31" ca="1" si="429">EXP(LK4)*LK19</f>
        <v>58146.37238249361</v>
      </c>
      <c r="LL20" s="46">
        <f t="shared" ref="LL20:LL31" ca="1" si="430">EXP(LL4)*LL19</f>
        <v>55542.374869304986</v>
      </c>
      <c r="LM20" s="46">
        <f t="shared" ref="LM20:LM31" ca="1" si="431">EXP(LM4)*LM19</f>
        <v>58556.080752522808</v>
      </c>
      <c r="LN20" s="46">
        <f t="shared" ref="LN20:LN31" ca="1" si="432">EXP(LN4)*LN19</f>
        <v>56784.818980931363</v>
      </c>
      <c r="LO20" s="46">
        <f t="shared" ref="LO20:LO31" ca="1" si="433">EXP(LO4)*LO19</f>
        <v>58801.328250403691</v>
      </c>
      <c r="LP20" s="46">
        <f t="shared" ref="LP20:LP31" ca="1" si="434">EXP(LP4)*LP19</f>
        <v>57468.649037250994</v>
      </c>
      <c r="LQ20" s="46">
        <f t="shared" ref="LQ20:LQ31" ca="1" si="435">EXP(LQ4)*LQ19</f>
        <v>56037.585266108777</v>
      </c>
      <c r="LR20" s="46">
        <f t="shared" ref="LR20:LR31" ca="1" si="436">EXP(LR4)*LR19</f>
        <v>58374.748678222648</v>
      </c>
      <c r="LS20" s="46">
        <f t="shared" ref="LS20:LS31" ca="1" si="437">EXP(LS4)*LS19</f>
        <v>59430.076724319973</v>
      </c>
      <c r="LT20" s="46">
        <f t="shared" ref="LT20:LT31" ca="1" si="438">EXP(LT4)*LT19</f>
        <v>58252.856999748816</v>
      </c>
      <c r="LU20" s="46">
        <f t="shared" ref="LU20:LU31" ca="1" si="439">EXP(LU4)*LU19</f>
        <v>61853.89544611243</v>
      </c>
      <c r="LV20" s="46">
        <f t="shared" ref="LV20:LV31" ca="1" si="440">EXP(LV4)*LV19</f>
        <v>57127.570979937213</v>
      </c>
      <c r="LW20" s="46">
        <f t="shared" ref="LW20:LW31" ca="1" si="441">EXP(LW4)*LW19</f>
        <v>55963.102151363652</v>
      </c>
      <c r="LX20" s="46">
        <f t="shared" ref="LX20:LX31" ca="1" si="442">EXP(LX4)*LX19</f>
        <v>59178.972067790055</v>
      </c>
      <c r="LY20" s="46">
        <f t="shared" ref="LY20:LY31" ca="1" si="443">EXP(LY4)*LY19</f>
        <v>58970.199291923025</v>
      </c>
      <c r="LZ20" s="46">
        <f t="shared" ref="LZ20:LZ31" ca="1" si="444">EXP(LZ4)*LZ19</f>
        <v>58167.88877932397</v>
      </c>
      <c r="MA20" s="46">
        <f t="shared" ref="MA20:MA31" ca="1" si="445">EXP(MA4)*MA19</f>
        <v>58974.034174853849</v>
      </c>
      <c r="MB20" s="46">
        <f t="shared" ref="MB20:MB31" ca="1" si="446">EXP(MB4)*MB19</f>
        <v>62936.591185496451</v>
      </c>
      <c r="MC20" s="46">
        <f t="shared" ref="MC20:MC31" ca="1" si="447">EXP(MC4)*MC19</f>
        <v>57120.550985621121</v>
      </c>
      <c r="MD20" s="46">
        <f t="shared" ref="MD20:MD31" ca="1" si="448">EXP(MD4)*MD19</f>
        <v>59153.046178517579</v>
      </c>
      <c r="ME20" s="46">
        <f t="shared" ref="ME20:ME31" ca="1" si="449">EXP(ME4)*ME19</f>
        <v>54694.344386194287</v>
      </c>
      <c r="MF20" s="46">
        <f t="shared" ref="MF20:MF31" ca="1" si="450">EXP(MF4)*MF19</f>
        <v>61573.363668140999</v>
      </c>
      <c r="MG20" s="46">
        <f t="shared" ref="MG20:MG31" ca="1" si="451">EXP(MG4)*MG19</f>
        <v>59143.39031654421</v>
      </c>
      <c r="MH20" s="46">
        <f t="shared" ref="MH20:MH31" ca="1" si="452">EXP(MH4)*MH19</f>
        <v>55405.853232304777</v>
      </c>
      <c r="MI20" s="46">
        <f t="shared" ref="MI20:MI31" ca="1" si="453">EXP(MI4)*MI19</f>
        <v>59426.306045588426</v>
      </c>
      <c r="MJ20" s="46">
        <f t="shared" ref="MJ20:MJ31" ca="1" si="454">EXP(MJ4)*MJ19</f>
        <v>60298.34123622896</v>
      </c>
      <c r="MK20" s="46">
        <f t="shared" ref="MK20:MK31" ca="1" si="455">EXP(MK4)*MK19</f>
        <v>58055.967240177146</v>
      </c>
      <c r="ML20" s="46">
        <f t="shared" ref="ML20:ML31" ca="1" si="456">EXP(ML4)*ML19</f>
        <v>53480.146587521427</v>
      </c>
      <c r="MM20" s="46">
        <f t="shared" ref="MM20:MM31" ca="1" si="457">EXP(MM4)*MM19</f>
        <v>60157.519368362024</v>
      </c>
      <c r="MN20" s="46">
        <f t="shared" ref="MN20:MN31" ca="1" si="458">EXP(MN4)*MN19</f>
        <v>55158.59538029963</v>
      </c>
      <c r="MO20" s="46">
        <f t="shared" ref="MO20:MO31" ca="1" si="459">EXP(MO4)*MO19</f>
        <v>55409.486740696193</v>
      </c>
      <c r="MP20" s="46">
        <f t="shared" ref="MP20:MP31" ca="1" si="460">EXP(MP4)*MP19</f>
        <v>61241.193075618285</v>
      </c>
      <c r="MQ20" s="46">
        <f t="shared" ref="MQ20:MQ31" ca="1" si="461">EXP(MQ4)*MQ19</f>
        <v>54011.005755283244</v>
      </c>
      <c r="MR20" s="46">
        <f t="shared" ref="MR20:MR31" ca="1" si="462">EXP(MR4)*MR19</f>
        <v>55689.779927710297</v>
      </c>
      <c r="MS20" s="46">
        <f t="shared" ref="MS20:MS31" ca="1" si="463">EXP(MS4)*MS19</f>
        <v>59530.157561022294</v>
      </c>
      <c r="MT20" s="46">
        <f t="shared" ref="MT20:MT31" ca="1" si="464">EXP(MT4)*MT19</f>
        <v>57073.01053024768</v>
      </c>
      <c r="MU20" s="46">
        <f t="shared" ref="MU20:MU31" ca="1" si="465">EXP(MU4)*MU19</f>
        <v>59994.874604528311</v>
      </c>
      <c r="MV20" s="46">
        <f t="shared" ref="MV20:MV31" ca="1" si="466">EXP(MV4)*MV19</f>
        <v>57070.860202510034</v>
      </c>
      <c r="MW20" s="46">
        <f t="shared" ref="MW20:MW31" ca="1" si="467">EXP(MW4)*MW19</f>
        <v>55574.429234097057</v>
      </c>
      <c r="MX20" s="46">
        <f t="shared" ref="MX20:MX31" ca="1" si="468">EXP(MX4)*MX19</f>
        <v>57983.795552201656</v>
      </c>
      <c r="MY20" s="46">
        <f t="shared" ref="MY20:MY31" ca="1" si="469">EXP(MY4)*MY19</f>
        <v>61623.650441262253</v>
      </c>
      <c r="MZ20" s="46">
        <f t="shared" ref="MZ20:MZ31" ca="1" si="470">EXP(MZ4)*MZ19</f>
        <v>56973.614247430443</v>
      </c>
      <c r="NA20" s="46">
        <f t="shared" ref="NA20:NA31" ca="1" si="471">EXP(NA4)*NA19</f>
        <v>63530.52086591893</v>
      </c>
      <c r="NB20" s="46">
        <f t="shared" ref="NB20:NB31" ca="1" si="472">EXP(NB4)*NB19</f>
        <v>58396.222881086498</v>
      </c>
      <c r="NC20" s="46">
        <f t="shared" ref="NC20:NC31" ca="1" si="473">EXP(NC4)*NC19</f>
        <v>59970.245790848909</v>
      </c>
      <c r="ND20" s="46">
        <f t="shared" ref="ND20:ND31" ca="1" si="474">EXP(ND4)*ND19</f>
        <v>58506.055968994275</v>
      </c>
      <c r="NE20" s="46">
        <f t="shared" ref="NE20:NE31" ca="1" si="475">EXP(NE4)*NE19</f>
        <v>55552.321617967369</v>
      </c>
      <c r="NF20" s="46">
        <f t="shared" ref="NF20:NF31" ca="1" si="476">EXP(NF4)*NF19</f>
        <v>56081.543207311253</v>
      </c>
      <c r="NG20" s="46">
        <f t="shared" ref="NG20:NG31" ca="1" si="477">EXP(NG4)*NG19</f>
        <v>57832.347875799431</v>
      </c>
      <c r="NH20" s="46">
        <f t="shared" ref="NH20:NH31" ca="1" si="478">EXP(NH4)*NH19</f>
        <v>60664.672451603023</v>
      </c>
      <c r="NI20" s="46">
        <f t="shared" ref="NI20:NI31" ca="1" si="479">EXP(NI4)*NI19</f>
        <v>56372.636575478697</v>
      </c>
      <c r="NJ20" s="46">
        <f t="shared" ref="NJ20:NJ31" ca="1" si="480">EXP(NJ4)*NJ19</f>
        <v>60052.437878030854</v>
      </c>
      <c r="NK20" s="46">
        <f t="shared" ref="NK20:NK31" ca="1" si="481">EXP(NK4)*NK19</f>
        <v>57014.504312511621</v>
      </c>
      <c r="NL20" s="46">
        <f t="shared" ref="NL20:NL31" ca="1" si="482">EXP(NL4)*NL19</f>
        <v>55594.731404491809</v>
      </c>
      <c r="NM20" s="46">
        <f t="shared" ref="NM20:NM31" ca="1" si="483">EXP(NM4)*NM19</f>
        <v>58427.997749157716</v>
      </c>
      <c r="NN20" s="46">
        <f t="shared" ref="NN20:NN31" ca="1" si="484">EXP(NN4)*NN19</f>
        <v>56075.132669353283</v>
      </c>
      <c r="NO20" s="46">
        <f t="shared" ref="NO20:NO31" ca="1" si="485">EXP(NO4)*NO19</f>
        <v>59830.816287827198</v>
      </c>
      <c r="NP20" s="46">
        <f t="shared" ref="NP20:NP31" ca="1" si="486">EXP(NP4)*NP19</f>
        <v>54746.235652598945</v>
      </c>
      <c r="NQ20" s="46">
        <f t="shared" ref="NQ20:NQ31" ca="1" si="487">EXP(NQ4)*NQ19</f>
        <v>55998.866372893943</v>
      </c>
      <c r="NR20" s="46">
        <f t="shared" ref="NR20:NR31" ca="1" si="488">EXP(NR4)*NR19</f>
        <v>60012.076007035175</v>
      </c>
      <c r="NS20" s="46">
        <f t="shared" ref="NS20:NS31" ca="1" si="489">EXP(NS4)*NS19</f>
        <v>57913.748255530714</v>
      </c>
      <c r="NT20" s="46">
        <f t="shared" ref="NT20:NT31" ca="1" si="490">EXP(NT4)*NT19</f>
        <v>56712.776222292749</v>
      </c>
      <c r="NU20" s="46">
        <f t="shared" ref="NU20:NU31" ca="1" si="491">EXP(NU4)*NU19</f>
        <v>54152.492289372109</v>
      </c>
      <c r="NV20" s="46">
        <f t="shared" ref="NV20:NV31" ca="1" si="492">EXP(NV4)*NV19</f>
        <v>59370.492563159503</v>
      </c>
      <c r="NW20" s="46">
        <f t="shared" ref="NW20:NW31" ca="1" si="493">EXP(NW4)*NW19</f>
        <v>54362.990092117638</v>
      </c>
      <c r="NX20" s="46">
        <f t="shared" ref="NX20:NX31" ca="1" si="494">EXP(NX4)*NX19</f>
        <v>55599.645111548372</v>
      </c>
      <c r="NY20" s="46">
        <f t="shared" ref="NY20:NY31" ca="1" si="495">EXP(NY4)*NY19</f>
        <v>60597.688202238242</v>
      </c>
      <c r="NZ20" s="46">
        <f t="shared" ref="NZ20:NZ31" ca="1" si="496">EXP(NZ4)*NZ19</f>
        <v>55831.848568925016</v>
      </c>
      <c r="OA20" s="46">
        <f t="shared" ref="OA20:OA31" ca="1" si="497">EXP(OA4)*OA19</f>
        <v>60690.391488075387</v>
      </c>
      <c r="OB20" s="46">
        <f t="shared" ref="OB20:OB31" ca="1" si="498">EXP(OB4)*OB19</f>
        <v>59492.282598784244</v>
      </c>
      <c r="OC20" s="46">
        <f t="shared" ref="OC20:OC31" ca="1" si="499">EXP(OC4)*OC19</f>
        <v>55906.791554822034</v>
      </c>
      <c r="OD20" s="46">
        <f t="shared" ref="OD20:OD31" ca="1" si="500">EXP(OD4)*OD19</f>
        <v>55189.899624436024</v>
      </c>
      <c r="OE20" s="46">
        <f t="shared" ref="OE20:OE31" ca="1" si="501">EXP(OE4)*OE19</f>
        <v>61542.859715365536</v>
      </c>
      <c r="OF20" s="46">
        <f t="shared" ref="OF20:OF31" ca="1" si="502">EXP(OF4)*OF19</f>
        <v>60677.979049926762</v>
      </c>
      <c r="OG20" s="46">
        <f t="shared" ref="OG20:OG31" ca="1" si="503">EXP(OG4)*OG19</f>
        <v>62366.881419013756</v>
      </c>
      <c r="OH20" s="46">
        <f t="shared" ref="OH20:OH31" ca="1" si="504">EXP(OH4)*OH19</f>
        <v>60629.31707605836</v>
      </c>
      <c r="OI20" s="46">
        <f t="shared" ref="OI20:OI31" ca="1" si="505">EXP(OI4)*OI19</f>
        <v>56775.64003491943</v>
      </c>
      <c r="OJ20" s="46">
        <f t="shared" ref="OJ20:OJ31" ca="1" si="506">EXP(OJ4)*OJ19</f>
        <v>60096.54978161223</v>
      </c>
      <c r="OK20" s="46">
        <f t="shared" ref="OK20:OK31" ca="1" si="507">EXP(OK4)*OK19</f>
        <v>57177.8559014438</v>
      </c>
      <c r="OL20" s="46">
        <f t="shared" ref="OL20:OL31" ca="1" si="508">EXP(OL4)*OL19</f>
        <v>53706.748402577243</v>
      </c>
      <c r="OM20" s="46">
        <f t="shared" ref="OM20:OM31" ca="1" si="509">EXP(OM4)*OM19</f>
        <v>54000.130288637258</v>
      </c>
      <c r="ON20" s="46">
        <f t="shared" ref="ON20:ON31" ca="1" si="510">EXP(ON4)*ON19</f>
        <v>62077.857823774168</v>
      </c>
      <c r="OO20" s="46">
        <f t="shared" ref="OO20:OO31" ca="1" si="511">EXP(OO4)*OO19</f>
        <v>53745.697092548828</v>
      </c>
      <c r="OP20" s="46">
        <f t="shared" ref="OP20:OP31" ca="1" si="512">EXP(OP4)*OP19</f>
        <v>58788.176344600506</v>
      </c>
      <c r="OQ20" s="46">
        <f t="shared" ref="OQ20:OQ31" ca="1" si="513">EXP(OQ4)*OQ19</f>
        <v>59902.436656901271</v>
      </c>
      <c r="OR20" s="46">
        <f t="shared" ref="OR20:OR31" ca="1" si="514">EXP(OR4)*OR19</f>
        <v>60947.679393784318</v>
      </c>
      <c r="OS20" s="46">
        <f t="shared" ref="OS20:OS31" ca="1" si="515">EXP(OS4)*OS19</f>
        <v>58029.738817399491</v>
      </c>
      <c r="OT20" s="46">
        <f t="shared" ref="OT20:OT31" ca="1" si="516">EXP(OT4)*OT19</f>
        <v>58714.454022416285</v>
      </c>
      <c r="OU20" s="46">
        <f t="shared" ref="OU20:OU31" ca="1" si="517">EXP(OU4)*OU19</f>
        <v>57813.495163746586</v>
      </c>
      <c r="OV20" s="46">
        <f t="shared" ref="OV20:OV31" ca="1" si="518">EXP(OV4)*OV19</f>
        <v>59387.485289626617</v>
      </c>
      <c r="OW20" s="46">
        <f t="shared" ref="OW20:OW31" ca="1" si="519">EXP(OW4)*OW19</f>
        <v>53055.951291011545</v>
      </c>
      <c r="OX20" s="46">
        <f t="shared" ref="OX20:OX31" ca="1" si="520">EXP(OX4)*OX19</f>
        <v>58672.302757810146</v>
      </c>
      <c r="OY20" s="46">
        <f t="shared" ref="OY20:OY31" ca="1" si="521">EXP(OY4)*OY19</f>
        <v>59303.633254949455</v>
      </c>
      <c r="OZ20" s="46">
        <f t="shared" ref="OZ20:OZ31" ca="1" si="522">EXP(OZ4)*OZ19</f>
        <v>56791.974414670927</v>
      </c>
      <c r="PA20" s="46">
        <f t="shared" ref="PA20:PA31" ca="1" si="523">EXP(PA4)*PA19</f>
        <v>58727.365772905294</v>
      </c>
      <c r="PB20" s="46">
        <f t="shared" ref="PB20:PB31" ca="1" si="524">EXP(PB4)*PB19</f>
        <v>58103.115559885264</v>
      </c>
      <c r="PC20" s="46">
        <f t="shared" ref="PC20:PC31" ca="1" si="525">EXP(PC4)*PC19</f>
        <v>58128.839873684949</v>
      </c>
      <c r="PD20" s="46">
        <f t="shared" ref="PD20:PD31" ca="1" si="526">EXP(PD4)*PD19</f>
        <v>55117.810331770197</v>
      </c>
      <c r="PE20" s="46">
        <f t="shared" ref="PE20:PE31" ca="1" si="527">EXP(PE4)*PE19</f>
        <v>58389.541884391445</v>
      </c>
      <c r="PF20" s="46">
        <f t="shared" ref="PF20:PF31" ca="1" si="528">EXP(PF4)*PF19</f>
        <v>61841.016610169892</v>
      </c>
      <c r="PG20" s="46">
        <f t="shared" ref="PG20:PG31" ca="1" si="529">EXP(PG4)*PG19</f>
        <v>55327.344729443801</v>
      </c>
      <c r="PH20" s="46">
        <f t="shared" ref="PH20:PH31" ca="1" si="530">EXP(PH4)*PH19</f>
        <v>56587.000272417339</v>
      </c>
      <c r="PI20" s="46">
        <f t="shared" ref="PI20:PI31" ca="1" si="531">EXP(PI4)*PI19</f>
        <v>55468.598093038818</v>
      </c>
      <c r="PJ20" s="46">
        <f t="shared" ref="PJ20:PJ31" ca="1" si="532">EXP(PJ4)*PJ19</f>
        <v>62238.339440243297</v>
      </c>
      <c r="PK20" s="46">
        <f t="shared" ref="PK20:PK31" ca="1" si="533">EXP(PK4)*PK19</f>
        <v>58022.486873723392</v>
      </c>
      <c r="PL20" s="46">
        <f t="shared" ref="PL20:PL31" ca="1" si="534">EXP(PL4)*PL19</f>
        <v>59663.441545088754</v>
      </c>
      <c r="PM20" s="46">
        <f t="shared" ref="PM20:PM31" ca="1" si="535">EXP(PM4)*PM19</f>
        <v>53199.963060940892</v>
      </c>
      <c r="PN20" s="46">
        <f t="shared" ref="PN20:PN31" ca="1" si="536">EXP(PN4)*PN19</f>
        <v>57735.18621284503</v>
      </c>
      <c r="PO20" s="46">
        <f t="shared" ref="PO20:PO31" ca="1" si="537">EXP(PO4)*PO19</f>
        <v>62176.270899425021</v>
      </c>
      <c r="PP20" s="46">
        <f t="shared" ref="PP20:PP31" ca="1" si="538">EXP(PP4)*PP19</f>
        <v>58694.977536077866</v>
      </c>
      <c r="PQ20" s="46">
        <f t="shared" ref="PQ20:PQ31" ca="1" si="539">EXP(PQ4)*PQ19</f>
        <v>56745.824747109284</v>
      </c>
      <c r="PR20" s="46">
        <f t="shared" ref="PR20:PR31" ca="1" si="540">EXP(PR4)*PR19</f>
        <v>60595.02411205184</v>
      </c>
      <c r="PS20" s="46">
        <f t="shared" ref="PS20:PS31" ca="1" si="541">EXP(PS4)*PS19</f>
        <v>58866.631405678047</v>
      </c>
      <c r="PT20" s="46">
        <f t="shared" ref="PT20:PT31" ca="1" si="542">EXP(PT4)*PT19</f>
        <v>57549.322890521573</v>
      </c>
      <c r="PU20" s="46">
        <f t="shared" ref="PU20:PU31" ca="1" si="543">EXP(PU4)*PU19</f>
        <v>58507.724070792137</v>
      </c>
      <c r="PV20" s="46">
        <f t="shared" ref="PV20:PV31" ca="1" si="544">EXP(PV4)*PV19</f>
        <v>58951.768825226682</v>
      </c>
      <c r="PW20" s="46">
        <f t="shared" ref="PW20:PW31" ca="1" si="545">EXP(PW4)*PW19</f>
        <v>56421.242947515144</v>
      </c>
      <c r="PX20" s="46">
        <f t="shared" ref="PX20:PX31" ca="1" si="546">EXP(PX4)*PX19</f>
        <v>60425.094692705439</v>
      </c>
      <c r="PY20" s="46">
        <f t="shared" ref="PY20:PY31" ca="1" si="547">EXP(PY4)*PY19</f>
        <v>55342.014915453787</v>
      </c>
      <c r="PZ20" s="46">
        <f t="shared" ref="PZ20:PZ31" ca="1" si="548">EXP(PZ4)*PZ19</f>
        <v>59863.196299774085</v>
      </c>
      <c r="QA20" s="46">
        <f t="shared" ref="QA20:QA31" ca="1" si="549">EXP(QA4)*QA19</f>
        <v>53188.373131362438</v>
      </c>
      <c r="QB20" s="46">
        <f t="shared" ref="QB20:QB31" ca="1" si="550">EXP(QB4)*QB19</f>
        <v>59343.989209398627</v>
      </c>
      <c r="QC20" s="46">
        <f t="shared" ref="QC20:QC31" ca="1" si="551">EXP(QC4)*QC19</f>
        <v>56168.843189312749</v>
      </c>
      <c r="QD20" s="46">
        <f t="shared" ref="QD20:QD31" ca="1" si="552">EXP(QD4)*QD19</f>
        <v>62905.915400665901</v>
      </c>
      <c r="QE20" s="46">
        <f t="shared" ref="QE20:QE31" ca="1" si="553">EXP(QE4)*QE19</f>
        <v>60145.564670869455</v>
      </c>
      <c r="QF20" s="46">
        <f t="shared" ref="QF20:QF31" ca="1" si="554">EXP(QF4)*QF19</f>
        <v>59133.566962204219</v>
      </c>
      <c r="QG20" s="46">
        <f t="shared" ref="QG20:QG31" ca="1" si="555">EXP(QG4)*QG19</f>
        <v>55123.097501353819</v>
      </c>
      <c r="QH20" s="46">
        <f t="shared" ref="QH20:QH31" ca="1" si="556">EXP(QH4)*QH19</f>
        <v>59596.337951437716</v>
      </c>
      <c r="QI20" s="46">
        <f t="shared" ref="QI20:QI31" ca="1" si="557">EXP(QI4)*QI19</f>
        <v>56910.815221005629</v>
      </c>
      <c r="QJ20" s="46">
        <f t="shared" ref="QJ20:QJ31" ca="1" si="558">EXP(QJ4)*QJ19</f>
        <v>55039.210283974935</v>
      </c>
      <c r="QK20" s="46">
        <f t="shared" ref="QK20:QK31" ca="1" si="559">EXP(QK4)*QK19</f>
        <v>56115.309222215437</v>
      </c>
      <c r="QL20" s="46">
        <f t="shared" ref="QL20:QL31" ca="1" si="560">EXP(QL4)*QL19</f>
        <v>59858.17159163631</v>
      </c>
      <c r="QM20" s="46">
        <f t="shared" ref="QM20:QM31" ca="1" si="561">EXP(QM4)*QM19</f>
        <v>52412.101885682983</v>
      </c>
      <c r="QN20" s="46">
        <f t="shared" ref="QN20:QN31" ca="1" si="562">EXP(QN4)*QN19</f>
        <v>54654.03272231658</v>
      </c>
      <c r="QO20" s="46">
        <f t="shared" ref="QO20:QO31" ca="1" si="563">EXP(QO4)*QO19</f>
        <v>62427.502027365706</v>
      </c>
      <c r="QP20" s="46">
        <f t="shared" ref="QP20:QP31" ca="1" si="564">EXP(QP4)*QP19</f>
        <v>52738.230143840628</v>
      </c>
      <c r="QQ20" s="46">
        <f t="shared" ref="QQ20:QQ31" ca="1" si="565">EXP(QQ4)*QQ19</f>
        <v>58786.794487383631</v>
      </c>
      <c r="QR20" s="46">
        <f t="shared" ref="QR20:QR31" ca="1" si="566">EXP(QR4)*QR19</f>
        <v>57619.548356253406</v>
      </c>
      <c r="QS20" s="46">
        <f t="shared" ref="QS20:QS31" ca="1" si="567">EXP(QS4)*QS19</f>
        <v>56579.151271620132</v>
      </c>
      <c r="QT20" s="46">
        <f t="shared" ref="QT20:QT31" ca="1" si="568">EXP(QT4)*QT19</f>
        <v>54163.05159693554</v>
      </c>
      <c r="QU20" s="46">
        <f t="shared" ref="QU20:QU31" ca="1" si="569">EXP(QU4)*QU19</f>
        <v>53396.453472808833</v>
      </c>
      <c r="QV20" s="46">
        <f t="shared" ref="QV20:QV31" ca="1" si="570">EXP(QV4)*QV19</f>
        <v>57699.420402856296</v>
      </c>
      <c r="QW20" s="46">
        <f t="shared" ref="QW20:QW31" ca="1" si="571">EXP(QW4)*QW19</f>
        <v>56670.789408193268</v>
      </c>
      <c r="QX20" s="46">
        <f t="shared" ref="QX20:QX31" ca="1" si="572">EXP(QX4)*QX19</f>
        <v>56443.082205047285</v>
      </c>
      <c r="QY20" s="46">
        <f t="shared" ref="QY20:QY31" ca="1" si="573">EXP(QY4)*QY19</f>
        <v>56619.066059915342</v>
      </c>
      <c r="QZ20" s="46">
        <f t="shared" ref="QZ20:QZ31" ca="1" si="574">EXP(QZ4)*QZ19</f>
        <v>58009.016184162094</v>
      </c>
      <c r="RA20" s="46">
        <f t="shared" ref="RA20:RA31" ca="1" si="575">EXP(RA4)*RA19</f>
        <v>58215.152338864616</v>
      </c>
      <c r="RB20" s="46">
        <f t="shared" ref="RB20:RB31" ca="1" si="576">EXP(RB4)*RB19</f>
        <v>58940.084259411844</v>
      </c>
      <c r="RC20" s="46">
        <f t="shared" ref="RC20:RC31" ca="1" si="577">EXP(RC4)*RC19</f>
        <v>58276.129406379572</v>
      </c>
      <c r="RD20" s="46">
        <f t="shared" ref="RD20:RD31" ca="1" si="578">EXP(RD4)*RD19</f>
        <v>54685.548972184355</v>
      </c>
      <c r="RE20" s="46">
        <f t="shared" ref="RE20:RE31" ca="1" si="579">EXP(RE4)*RE19</f>
        <v>53915.43630822163</v>
      </c>
      <c r="RF20" s="46">
        <f t="shared" ref="RF20:RF31" ca="1" si="580">EXP(RF4)*RF19</f>
        <v>58418.385488367152</v>
      </c>
      <c r="RG20" s="46">
        <f t="shared" ref="RG20:RG31" ca="1" si="581">EXP(RG4)*RG19</f>
        <v>57169.820130846449</v>
      </c>
      <c r="RH20" s="46">
        <f t="shared" ref="RH20:RH31" ca="1" si="582">EXP(RH4)*RH19</f>
        <v>60291.189573669646</v>
      </c>
      <c r="RI20" s="46">
        <f t="shared" ref="RI20:RI31" ca="1" si="583">EXP(RI4)*RI19</f>
        <v>58901.465876019982</v>
      </c>
      <c r="RJ20" s="46">
        <f t="shared" ref="RJ20:RJ31" ca="1" si="584">EXP(RJ4)*RJ19</f>
        <v>61108.239154766321</v>
      </c>
      <c r="RK20" s="46">
        <f t="shared" ref="RK20:RK31" ca="1" si="585">EXP(RK4)*RK19</f>
        <v>60002.926019541519</v>
      </c>
      <c r="RL20" s="46">
        <f t="shared" ref="RL20:RL31" ca="1" si="586">EXP(RL4)*RL19</f>
        <v>59607.633242631979</v>
      </c>
      <c r="RM20" s="46">
        <f t="shared" ref="RM20:RM31" ca="1" si="587">EXP(RM4)*RM19</f>
        <v>64118.921347015901</v>
      </c>
      <c r="RN20" s="46">
        <f t="shared" ref="RN20:RN31" ca="1" si="588">EXP(RN4)*RN19</f>
        <v>55917.06398307885</v>
      </c>
      <c r="RO20" s="46">
        <f t="shared" ref="RO20:RO31" ca="1" si="589">EXP(RO4)*RO19</f>
        <v>58494.948267139138</v>
      </c>
      <c r="RP20" s="46">
        <f t="shared" ref="RP20:RP31" ca="1" si="590">EXP(RP4)*RP19</f>
        <v>57022.438681737985</v>
      </c>
      <c r="RQ20" s="46">
        <f t="shared" ref="RQ20:RQ31" ca="1" si="591">EXP(RQ4)*RQ19</f>
        <v>60663.199199568611</v>
      </c>
      <c r="RR20" s="46">
        <f t="shared" ref="RR20:RR31" ca="1" si="592">EXP(RR4)*RR19</f>
        <v>57546.264906832752</v>
      </c>
      <c r="RS20" s="46">
        <f t="shared" ref="RS20:RS31" ca="1" si="593">EXP(RS4)*RS19</f>
        <v>61736.170474782433</v>
      </c>
      <c r="RT20" s="46">
        <f t="shared" ref="RT20:RT31" ca="1" si="594">EXP(RT4)*RT19</f>
        <v>57830.856597972539</v>
      </c>
      <c r="RU20" s="46">
        <f t="shared" ref="RU20:RU31" ca="1" si="595">EXP(RU4)*RU19</f>
        <v>57266.750833075093</v>
      </c>
      <c r="RV20" s="46">
        <f t="shared" ref="RV20:RV31" ca="1" si="596">EXP(RV4)*RV19</f>
        <v>57461.983571561461</v>
      </c>
      <c r="RW20" s="46">
        <f t="shared" ref="RW20:RW31" ca="1" si="597">EXP(RW4)*RW19</f>
        <v>58741.619116807349</v>
      </c>
      <c r="RX20" s="46">
        <f t="shared" ref="RX20:RX31" ca="1" si="598">EXP(RX4)*RX19</f>
        <v>57377.733485139237</v>
      </c>
      <c r="RY20" s="46">
        <f t="shared" ref="RY20:RY31" ca="1" si="599">EXP(RY4)*RY19</f>
        <v>59534.273445326187</v>
      </c>
      <c r="RZ20" s="46">
        <f t="shared" ref="RZ20:RZ31" ca="1" si="600">EXP(RZ4)*RZ19</f>
        <v>56152.759385937519</v>
      </c>
      <c r="SA20" s="46">
        <f t="shared" ref="SA20:SA31" ca="1" si="601">EXP(SA4)*SA19</f>
        <v>56917.320782066672</v>
      </c>
      <c r="SB20" s="46">
        <f t="shared" ref="SB20:SB31" ca="1" si="602">EXP(SB4)*SB19</f>
        <v>54934.114939240913</v>
      </c>
      <c r="SC20" s="46">
        <f t="shared" ref="SC20:SC31" ca="1" si="603">EXP(SC4)*SC19</f>
        <v>56018.089694372553</v>
      </c>
      <c r="SD20" s="46">
        <f t="shared" ref="SD20:SD31" ca="1" si="604">EXP(SD4)*SD19</f>
        <v>57510.814916023272</v>
      </c>
      <c r="SE20" s="46">
        <f t="shared" ref="SE20:SE31" ca="1" si="605">EXP(SE4)*SE19</f>
        <v>61731.239041416651</v>
      </c>
      <c r="SF20" s="46">
        <f t="shared" ref="SF20:SF31" ca="1" si="606">EXP(SF4)*SF19</f>
        <v>55327.9461847887</v>
      </c>
      <c r="SG20" s="46">
        <f t="shared" ref="SG20:SG31" ca="1" si="607">EXP(SG4)*SG19</f>
        <v>58712.937428582329</v>
      </c>
      <c r="SH20" s="46">
        <f t="shared" ref="SH20:SH31" ca="1" si="608">EXP(SH4)*SH19</f>
        <v>54015.383860683352</v>
      </c>
      <c r="SI20" s="46">
        <f t="shared" ref="SI20:SI31" ca="1" si="609">EXP(SI4)*SI19</f>
        <v>53216.983291674886</v>
      </c>
      <c r="SJ20" s="46">
        <f t="shared" ref="SJ20:SJ31" ca="1" si="610">EXP(SJ4)*SJ19</f>
        <v>55483.21467665019</v>
      </c>
      <c r="SK20" s="46">
        <f t="shared" ref="SK20:SK31" ca="1" si="611">EXP(SK4)*SK19</f>
        <v>60275.315326696276</v>
      </c>
      <c r="SL20" s="46">
        <f t="shared" ref="SL20:SL31" ca="1" si="612">EXP(SL4)*SL19</f>
        <v>55628.011893467141</v>
      </c>
      <c r="SM20" s="46">
        <f t="shared" ref="SM20:SM31" ca="1" si="613">EXP(SM4)*SM19</f>
        <v>57714.665840090784</v>
      </c>
      <c r="SN20" s="46">
        <f t="shared" ref="SN20:SN31" ca="1" si="614">EXP(SN4)*SN19</f>
        <v>62555.80675578121</v>
      </c>
      <c r="SO20" s="46">
        <f t="shared" ref="SO20:SO31" ca="1" si="615">EXP(SO4)*SO19</f>
        <v>57506.310231289222</v>
      </c>
      <c r="SP20" s="46">
        <f t="shared" ref="SP20:SP31" ca="1" si="616">EXP(SP4)*SP19</f>
        <v>61052.559419394165</v>
      </c>
      <c r="SQ20" s="46">
        <f t="shared" ref="SQ20:SQ31" ca="1" si="617">EXP(SQ4)*SQ19</f>
        <v>57596.721428409226</v>
      </c>
      <c r="SR20" s="46">
        <f t="shared" ref="SR20:SR31" ca="1" si="618">EXP(SR4)*SR19</f>
        <v>56350.135065645234</v>
      </c>
      <c r="SS20" s="46">
        <f t="shared" ref="SS20:SS31" ca="1" si="619">EXP(SS4)*SS19</f>
        <v>56054.327719139532</v>
      </c>
      <c r="ST20" s="46">
        <f t="shared" ref="ST20:ST31" ca="1" si="620">EXP(ST4)*ST19</f>
        <v>55012.79783235443</v>
      </c>
      <c r="SU20" s="46">
        <f t="shared" ref="SU20:SU31" ca="1" si="621">EXP(SU4)*SU19</f>
        <v>57767.5510766968</v>
      </c>
      <c r="SV20" s="46">
        <f t="shared" ref="SV20:SV31" ca="1" si="622">EXP(SV4)*SV19</f>
        <v>58483.970250017184</v>
      </c>
      <c r="SW20" s="46">
        <f t="shared" ref="SW20:SW31" ca="1" si="623">EXP(SW4)*SW19</f>
        <v>54651.281037930457</v>
      </c>
      <c r="SX20" s="46">
        <f t="shared" ref="SX20:SX31" ca="1" si="624">EXP(SX4)*SX19</f>
        <v>56917.736710301644</v>
      </c>
      <c r="SY20" s="46">
        <f t="shared" ref="SY20:SY31" ca="1" si="625">EXP(SY4)*SY19</f>
        <v>54718.076046263195</v>
      </c>
      <c r="SZ20" s="46">
        <f t="shared" ref="SZ20:SZ31" ca="1" si="626">EXP(SZ4)*SZ19</f>
        <v>57828.29105289634</v>
      </c>
      <c r="TA20" s="46">
        <f t="shared" ref="TA20:TA31" ca="1" si="627">EXP(TA4)*TA19</f>
        <v>59117.18188050139</v>
      </c>
      <c r="TB20" s="46">
        <f t="shared" ref="TB20:TB31" ca="1" si="628">EXP(TB4)*TB19</f>
        <v>60290.587077834956</v>
      </c>
      <c r="TC20" s="46">
        <f t="shared" ref="TC20:TC31" ca="1" si="629">EXP(TC4)*TC19</f>
        <v>53039.542330001117</v>
      </c>
      <c r="TD20" s="46">
        <f t="shared" ref="TD20:TD31" ca="1" si="630">EXP(TD4)*TD19</f>
        <v>60221.111972009967</v>
      </c>
      <c r="TE20" s="46">
        <f t="shared" ref="TE20:TE31" ca="1" si="631">EXP(TE4)*TE19</f>
        <v>53873.706430180653</v>
      </c>
      <c r="TF20" s="46">
        <f t="shared" ref="TF20:TF31" ca="1" si="632">EXP(TF4)*TF19</f>
        <v>55962.732404255934</v>
      </c>
      <c r="TG20" s="46">
        <f t="shared" ref="TG20:TG31" ca="1" si="633">EXP(TG4)*TG19</f>
        <v>54086.325046542763</v>
      </c>
      <c r="TH20" s="46">
        <f t="shared" ref="TH20:TH31" ca="1" si="634">EXP(TH4)*TH19</f>
        <v>56344.21984227543</v>
      </c>
      <c r="TI20" s="46">
        <f t="shared" ref="TI20:TI31" ca="1" si="635">EXP(TI4)*TI19</f>
        <v>55484.381010218065</v>
      </c>
      <c r="TJ20" s="46">
        <f t="shared" ref="TJ20:TJ31" ca="1" si="636">EXP(TJ4)*TJ19</f>
        <v>58495.136286788496</v>
      </c>
      <c r="TK20" s="46">
        <f t="shared" ref="TK20:TK31" ca="1" si="637">EXP(TK4)*TK19</f>
        <v>57848.597047959061</v>
      </c>
      <c r="TL20" s="46">
        <f t="shared" ref="TL20:TL31" ca="1" si="638">EXP(TL4)*TL19</f>
        <v>58017.604907942987</v>
      </c>
      <c r="TM20" s="46">
        <f t="shared" ref="TM20:TM31" ca="1" si="639">EXP(TM4)*TM19</f>
        <v>58132.324804787764</v>
      </c>
      <c r="TN20" s="46">
        <f t="shared" ref="TN20:TN31" ca="1" si="640">EXP(TN4)*TN19</f>
        <v>51620.597891678757</v>
      </c>
      <c r="TO20" s="46">
        <f t="shared" ref="TO20:TO31" ca="1" si="641">EXP(TO4)*TO19</f>
        <v>56746.992914558534</v>
      </c>
      <c r="TP20" s="46">
        <f t="shared" ref="TP20:TP31" ca="1" si="642">EXP(TP4)*TP19</f>
        <v>57127.260405474954</v>
      </c>
      <c r="TQ20" s="46">
        <f t="shared" ref="TQ20:TQ31" ca="1" si="643">EXP(TQ4)*TQ19</f>
        <v>60992.493100812644</v>
      </c>
      <c r="TR20" s="46">
        <f t="shared" ref="TR20:TR31" ca="1" si="644">EXP(TR4)*TR19</f>
        <v>57626.643778676196</v>
      </c>
      <c r="TS20" s="46">
        <f t="shared" ref="TS20:TS31" ca="1" si="645">EXP(TS4)*TS19</f>
        <v>61124.015967452055</v>
      </c>
      <c r="TT20" s="46">
        <f t="shared" ref="TT20:TT31" ca="1" si="646">EXP(TT4)*TT19</f>
        <v>56044.786472956985</v>
      </c>
      <c r="TU20" s="46">
        <f t="shared" ref="TU20:TU31" ca="1" si="647">EXP(TU4)*TU19</f>
        <v>59242.177412664307</v>
      </c>
      <c r="TV20" s="46">
        <f t="shared" ref="TV20:TV31" ca="1" si="648">EXP(TV4)*TV19</f>
        <v>60641.460231238423</v>
      </c>
      <c r="TW20" s="46">
        <f t="shared" ref="TW20:TW31" ca="1" si="649">EXP(TW4)*TW19</f>
        <v>54329.72418364825</v>
      </c>
      <c r="TX20" s="46">
        <f t="shared" ref="TX20:TX31" ca="1" si="650">EXP(TX4)*TX19</f>
        <v>56968.01682318504</v>
      </c>
      <c r="TY20" s="46">
        <f t="shared" ref="TY20:TY31" ca="1" si="651">EXP(TY4)*TY19</f>
        <v>55119.630533492942</v>
      </c>
      <c r="TZ20" s="46">
        <f t="shared" ref="TZ20:TZ31" ca="1" si="652">EXP(TZ4)*TZ19</f>
        <v>60024.336334722291</v>
      </c>
      <c r="UA20" s="46">
        <f t="shared" ref="UA20:UA31" ca="1" si="653">EXP(UA4)*UA19</f>
        <v>58035.088706974209</v>
      </c>
      <c r="UB20" s="46">
        <f t="shared" ref="UB20:UB31" ca="1" si="654">EXP(UB4)*UB19</f>
        <v>59714.272578720833</v>
      </c>
      <c r="UC20" s="46">
        <f t="shared" ref="UC20:UC31" ca="1" si="655">EXP(UC4)*UC19</f>
        <v>58902.246036249744</v>
      </c>
      <c r="UD20" s="46">
        <f t="shared" ref="UD20:UD31" ca="1" si="656">EXP(UD4)*UD19</f>
        <v>58372.504777154434</v>
      </c>
      <c r="UE20" s="46">
        <f t="shared" ref="UE20:UE31" ca="1" si="657">EXP(UE4)*UE19</f>
        <v>58314.996028751812</v>
      </c>
      <c r="UF20" s="46">
        <f t="shared" ref="UF20:UF31" ca="1" si="658">EXP(UF4)*UF19</f>
        <v>56692.233501381408</v>
      </c>
      <c r="UG20" s="46">
        <f t="shared" ref="UG20:UG31" ca="1" si="659">EXP(UG4)*UG19</f>
        <v>58548.864498351417</v>
      </c>
      <c r="UH20" s="46">
        <f t="shared" ref="UH20:UH31" ca="1" si="660">EXP(UH4)*UH19</f>
        <v>59843.087620895036</v>
      </c>
      <c r="UI20" s="46">
        <f t="shared" ref="UI20:UI31" ca="1" si="661">EXP(UI4)*UI19</f>
        <v>58020.257392405932</v>
      </c>
      <c r="UJ20" s="46">
        <f t="shared" ref="UJ20:UJ31" ca="1" si="662">EXP(UJ4)*UJ19</f>
        <v>57844.37984736752</v>
      </c>
      <c r="UK20" s="46">
        <f t="shared" ref="UK20:UK31" ca="1" si="663">EXP(UK4)*UK19</f>
        <v>54627.383711422772</v>
      </c>
      <c r="UL20" s="46">
        <f t="shared" ref="UL20:UL31" ca="1" si="664">EXP(UL4)*UL19</f>
        <v>58165.168356774666</v>
      </c>
      <c r="UM20" s="46">
        <f t="shared" ref="UM20:UM31" ca="1" si="665">EXP(UM4)*UM19</f>
        <v>61672.707445580469</v>
      </c>
      <c r="UN20" s="46">
        <f t="shared" ref="UN20:UN31" ca="1" si="666">EXP(UN4)*UN19</f>
        <v>58950.992091085878</v>
      </c>
      <c r="UO20" s="46">
        <f t="shared" ref="UO20:UO31" ca="1" si="667">EXP(UO4)*UO19</f>
        <v>57678.268917429981</v>
      </c>
      <c r="UP20" s="46">
        <f t="shared" ref="UP20:UP31" ca="1" si="668">EXP(UP4)*UP19</f>
        <v>59483.213077808017</v>
      </c>
      <c r="UQ20" s="46">
        <f t="shared" ref="UQ20:UQ31" ca="1" si="669">EXP(UQ4)*UQ19</f>
        <v>57979.951116767508</v>
      </c>
      <c r="UR20" s="46">
        <f t="shared" ref="UR20:UR31" ca="1" si="670">EXP(UR4)*UR19</f>
        <v>57193.813684401088</v>
      </c>
      <c r="US20" s="46">
        <f t="shared" ref="US20:US31" ca="1" si="671">EXP(US4)*US19</f>
        <v>56566.166750571181</v>
      </c>
      <c r="UT20" s="46">
        <f t="shared" ref="UT20:UT31" ca="1" si="672">EXP(UT4)*UT19</f>
        <v>55454.676597224505</v>
      </c>
      <c r="UU20" s="46">
        <f t="shared" ref="UU20:UU31" ca="1" si="673">EXP(UU4)*UU19</f>
        <v>54999.607460707397</v>
      </c>
      <c r="UV20" s="46">
        <f t="shared" ref="UV20:UV31" ca="1" si="674">EXP(UV4)*UV19</f>
        <v>58497.525376575642</v>
      </c>
      <c r="UW20" s="46">
        <f t="shared" ref="UW20:UW31" ca="1" si="675">EXP(UW4)*UW19</f>
        <v>56007.390451567757</v>
      </c>
      <c r="UX20" s="46">
        <f t="shared" ref="UX20:UX31" ca="1" si="676">EXP(UX4)*UX19</f>
        <v>58250.624641518581</v>
      </c>
      <c r="UY20" s="46">
        <f t="shared" ref="UY20:UY31" ca="1" si="677">EXP(UY4)*UY19</f>
        <v>56383.064480657747</v>
      </c>
      <c r="UZ20" s="46">
        <f t="shared" ref="UZ20:UZ31" ca="1" si="678">EXP(UZ4)*UZ19</f>
        <v>61954.312693999906</v>
      </c>
      <c r="VA20" s="46">
        <f t="shared" ref="VA20:VA31" ca="1" si="679">EXP(VA4)*VA19</f>
        <v>60679.146761145545</v>
      </c>
      <c r="VB20" s="46">
        <f t="shared" ref="VB20:VB31" ca="1" si="680">EXP(VB4)*VB19</f>
        <v>58406.508815998473</v>
      </c>
      <c r="VC20" s="46">
        <f t="shared" ref="VC20:VC31" ca="1" si="681">EXP(VC4)*VC19</f>
        <v>56827.660436308652</v>
      </c>
      <c r="VD20" s="46">
        <f t="shared" ref="VD20:VD31" ca="1" si="682">EXP(VD4)*VD19</f>
        <v>57302.199446968109</v>
      </c>
      <c r="VE20" s="46">
        <f t="shared" ref="VE20:VE31" ca="1" si="683">EXP(VE4)*VE19</f>
        <v>54153.254738051481</v>
      </c>
      <c r="VF20" s="46">
        <f t="shared" ref="VF20:VF31" ca="1" si="684">EXP(VF4)*VF19</f>
        <v>60330.625809747107</v>
      </c>
      <c r="VG20" s="46">
        <f t="shared" ref="VG20:VG31" ca="1" si="685">EXP(VG4)*VG19</f>
        <v>59008.073626901132</v>
      </c>
      <c r="VH20" s="46">
        <f t="shared" ref="VH20:VH31" ca="1" si="686">EXP(VH4)*VH19</f>
        <v>56079.302668215409</v>
      </c>
      <c r="VI20" s="46">
        <f t="shared" ref="VI20:VI31" ca="1" si="687">EXP(VI4)*VI19</f>
        <v>60578.426579071565</v>
      </c>
      <c r="VJ20" s="46">
        <f t="shared" ref="VJ20:VJ31" ca="1" si="688">EXP(VJ4)*VJ19</f>
        <v>57947.571264179212</v>
      </c>
      <c r="VK20" s="46">
        <f t="shared" ref="VK20:VK31" ca="1" si="689">EXP(VK4)*VK19</f>
        <v>59394.059909449563</v>
      </c>
      <c r="VL20" s="46">
        <f t="shared" ref="VL20:VL31" ca="1" si="690">EXP(VL4)*VL19</f>
        <v>55187.904482397818</v>
      </c>
      <c r="VM20" s="46">
        <f t="shared" ref="VM20:VM31" ca="1" si="691">EXP(VM4)*VM19</f>
        <v>60394.669252764805</v>
      </c>
      <c r="VN20" s="46">
        <f t="shared" ref="VN20:VN31" ca="1" si="692">EXP(VN4)*VN19</f>
        <v>60217.096474860911</v>
      </c>
      <c r="VO20" s="46">
        <f t="shared" ref="VO20:VO31" ca="1" si="693">EXP(VO4)*VO19</f>
        <v>58997.269146699233</v>
      </c>
      <c r="VP20" s="46">
        <f t="shared" ref="VP20:VP31" ca="1" si="694">EXP(VP4)*VP19</f>
        <v>54940.268328221777</v>
      </c>
      <c r="VQ20" s="46">
        <f t="shared" ref="VQ20:VQ31" ca="1" si="695">EXP(VQ4)*VQ19</f>
        <v>60182.306412757694</v>
      </c>
      <c r="VR20" s="46">
        <f t="shared" ref="VR20:VR31" ca="1" si="696">EXP(VR4)*VR19</f>
        <v>61070.581207733594</v>
      </c>
      <c r="VS20" s="46">
        <f t="shared" ref="VS20:VS31" ca="1" si="697">EXP(VS4)*VS19</f>
        <v>64680.919634338192</v>
      </c>
      <c r="VT20" s="46">
        <f t="shared" ref="VT20:VT31" ca="1" si="698">EXP(VT4)*VT19</f>
        <v>55551.336042705188</v>
      </c>
      <c r="VU20" s="46">
        <f t="shared" ref="VU20:VU31" ca="1" si="699">EXP(VU4)*VU19</f>
        <v>55319.162958054876</v>
      </c>
      <c r="VV20" s="46">
        <f t="shared" ref="VV20:VV31" ca="1" si="700">EXP(VV4)*VV19</f>
        <v>58089.173358854736</v>
      </c>
      <c r="VW20" s="46">
        <f t="shared" ref="VW20:VW31" ca="1" si="701">EXP(VW4)*VW19</f>
        <v>54720.356841029963</v>
      </c>
      <c r="VX20" s="46">
        <f t="shared" ref="VX20:VX31" ca="1" si="702">EXP(VX4)*VX19</f>
        <v>61676.671668934963</v>
      </c>
      <c r="VY20" s="46">
        <f t="shared" ref="VY20:VY31" ca="1" si="703">EXP(VY4)*VY19</f>
        <v>54179.465017978786</v>
      </c>
      <c r="VZ20" s="46">
        <f t="shared" ref="VZ20:VZ31" ca="1" si="704">EXP(VZ4)*VZ19</f>
        <v>57502.081822548505</v>
      </c>
      <c r="WA20" s="46">
        <f t="shared" ref="WA20:WA31" ca="1" si="705">EXP(WA4)*WA19</f>
        <v>55778.309473631707</v>
      </c>
      <c r="WB20" s="46">
        <f t="shared" ref="WB20:WB31" ca="1" si="706">EXP(WB4)*WB19</f>
        <v>54821.366117752332</v>
      </c>
      <c r="WC20" s="46">
        <f t="shared" ref="WC20:WC31" ca="1" si="707">EXP(WC4)*WC19</f>
        <v>59064.09416500185</v>
      </c>
      <c r="WD20" s="46">
        <f t="shared" ref="WD20:WD31" ca="1" si="708">EXP(WD4)*WD19</f>
        <v>60184.363040412536</v>
      </c>
      <c r="WE20" s="46">
        <f t="shared" ref="WE20:WE31" ca="1" si="709">EXP(WE4)*WE19</f>
        <v>58525.364880402398</v>
      </c>
      <c r="WF20" s="46">
        <f t="shared" ref="WF20:WF31" ca="1" si="710">EXP(WF4)*WF19</f>
        <v>59879.435694219937</v>
      </c>
      <c r="WG20" s="46">
        <f t="shared" ref="WG20:WG31" ca="1" si="711">EXP(WG4)*WG19</f>
        <v>57154.405729969272</v>
      </c>
      <c r="WH20" s="46">
        <f t="shared" ref="WH20:WH31" ca="1" si="712">EXP(WH4)*WH19</f>
        <v>59624.000477940637</v>
      </c>
      <c r="WI20" s="46">
        <f t="shared" ref="WI20:WI31" ca="1" si="713">EXP(WI4)*WI19</f>
        <v>58083.147354609391</v>
      </c>
      <c r="WJ20" s="46">
        <f t="shared" ref="WJ20:WJ31" ca="1" si="714">EXP(WJ4)*WJ19</f>
        <v>57288.50855151112</v>
      </c>
      <c r="WK20" s="46">
        <f t="shared" ref="WK20:WK31" ca="1" si="715">EXP(WK4)*WK19</f>
        <v>60308.609260303252</v>
      </c>
      <c r="WL20" s="46">
        <f t="shared" ref="WL20:WL31" ca="1" si="716">EXP(WL4)*WL19</f>
        <v>61407.520965072297</v>
      </c>
      <c r="WM20" s="46">
        <f t="shared" ref="WM20:WM31" ca="1" si="717">EXP(WM4)*WM19</f>
        <v>56083.735458334522</v>
      </c>
      <c r="WN20" s="46">
        <f t="shared" ref="WN20:WN31" ca="1" si="718">EXP(WN4)*WN19</f>
        <v>59323.879389746136</v>
      </c>
      <c r="WO20" s="46">
        <f t="shared" ref="WO20:WO31" ca="1" si="719">EXP(WO4)*WO19</f>
        <v>61241.70965449034</v>
      </c>
      <c r="WP20" s="46">
        <f t="shared" ref="WP20:WP31" ca="1" si="720">EXP(WP4)*WP19</f>
        <v>57879.307196602749</v>
      </c>
      <c r="WQ20" s="46">
        <f t="shared" ref="WQ20:WQ31" ca="1" si="721">EXP(WQ4)*WQ19</f>
        <v>53451.200761083914</v>
      </c>
      <c r="WR20" s="46">
        <f t="shared" ref="WR20:WR31" ca="1" si="722">EXP(WR4)*WR19</f>
        <v>58205.926609776288</v>
      </c>
      <c r="WS20" s="46">
        <f t="shared" ref="WS20:WS31" ca="1" si="723">EXP(WS4)*WS19</f>
        <v>58837.575370787374</v>
      </c>
      <c r="WT20" s="46">
        <f t="shared" ref="WT20:WT31" ca="1" si="724">EXP(WT4)*WT19</f>
        <v>61912.592494269629</v>
      </c>
      <c r="WU20" s="46">
        <f t="shared" ref="WU20:WU31" ca="1" si="725">EXP(WU4)*WU19</f>
        <v>64156.225632438181</v>
      </c>
      <c r="WV20" s="46">
        <f t="shared" ref="WV20:WV31" ca="1" si="726">EXP(WV4)*WV19</f>
        <v>54446.627883473637</v>
      </c>
      <c r="WW20" s="46">
        <f t="shared" ref="WW20:WW31" ca="1" si="727">EXP(WW4)*WW19</f>
        <v>60025.263605790271</v>
      </c>
      <c r="WX20" s="46">
        <f t="shared" ref="WX20:WX31" ca="1" si="728">EXP(WX4)*WX19</f>
        <v>51865.64092226373</v>
      </c>
      <c r="WY20" s="46">
        <f t="shared" ref="WY20:WY31" ca="1" si="729">EXP(WY4)*WY19</f>
        <v>56743.325466442708</v>
      </c>
      <c r="WZ20" s="46">
        <f t="shared" ref="WZ20:WZ31" ca="1" si="730">EXP(WZ4)*WZ19</f>
        <v>57007.415111973009</v>
      </c>
      <c r="XA20" s="46">
        <f t="shared" ref="XA20:XA31" ca="1" si="731">EXP(XA4)*XA19</f>
        <v>60998.684050243675</v>
      </c>
      <c r="XB20" s="46">
        <f t="shared" ref="XB20:XB31" ca="1" si="732">EXP(XB4)*XB19</f>
        <v>60800.533042390787</v>
      </c>
      <c r="XC20" s="46">
        <f t="shared" ref="XC20:XC31" ca="1" si="733">EXP(XC4)*XC19</f>
        <v>64055.40947221643</v>
      </c>
      <c r="XD20" s="46">
        <f t="shared" ref="XD20:XD31" ca="1" si="734">EXP(XD4)*XD19</f>
        <v>59592.323325270241</v>
      </c>
      <c r="XE20" s="46">
        <f t="shared" ref="XE20:XE31" ca="1" si="735">EXP(XE4)*XE19</f>
        <v>54912.373055752076</v>
      </c>
      <c r="XF20" s="46">
        <f t="shared" ref="XF20:XF31" ca="1" si="736">EXP(XF4)*XF19</f>
        <v>57314.194822905891</v>
      </c>
      <c r="XG20" s="46">
        <f t="shared" ref="XG20:XG31" ca="1" si="737">EXP(XG4)*XG19</f>
        <v>55779.967716753308</v>
      </c>
      <c r="XH20" s="46">
        <f t="shared" ref="XH20:XH31" ca="1" si="738">EXP(XH4)*XH19</f>
        <v>57019.481592968295</v>
      </c>
      <c r="XI20" s="46">
        <f t="shared" ref="XI20:XI31" ca="1" si="739">EXP(XI4)*XI19</f>
        <v>56052.778924963473</v>
      </c>
      <c r="XJ20" s="46">
        <f t="shared" ref="XJ20:XJ31" ca="1" si="740">EXP(XJ4)*XJ19</f>
        <v>55576.748432782035</v>
      </c>
      <c r="XK20" s="46">
        <f t="shared" ref="XK20:XK31" ca="1" si="741">EXP(XK4)*XK19</f>
        <v>58318.680661345534</v>
      </c>
      <c r="XL20" s="46">
        <f t="shared" ref="XL20:XL31" ca="1" si="742">EXP(XL4)*XL19</f>
        <v>59098.391013987028</v>
      </c>
      <c r="XM20" s="46">
        <f t="shared" ref="XM20:XM31" ca="1" si="743">EXP(XM4)*XM19</f>
        <v>57164.652655877719</v>
      </c>
      <c r="XN20" s="46">
        <f t="shared" ref="XN20:XN31" ca="1" si="744">EXP(XN4)*XN19</f>
        <v>57457.739840683273</v>
      </c>
      <c r="XO20" s="46">
        <f t="shared" ref="XO20:XO31" ca="1" si="745">EXP(XO4)*XO19</f>
        <v>61341.323805936197</v>
      </c>
      <c r="XP20" s="46">
        <f t="shared" ref="XP20:XP31" ca="1" si="746">EXP(XP4)*XP19</f>
        <v>59214.282889807728</v>
      </c>
      <c r="XQ20" s="46">
        <f t="shared" ref="XQ20:XQ31" ca="1" si="747">EXP(XQ4)*XQ19</f>
        <v>59262.363271883085</v>
      </c>
      <c r="XR20" s="46">
        <f t="shared" ref="XR20:XR31" ca="1" si="748">EXP(XR4)*XR19</f>
        <v>63922.248384610706</v>
      </c>
      <c r="XS20" s="46">
        <f t="shared" ref="XS20:XS31" ca="1" si="749">EXP(XS4)*XS19</f>
        <v>59299.71365198111</v>
      </c>
      <c r="XT20" s="46">
        <f t="shared" ref="XT20:XT31" ca="1" si="750">EXP(XT4)*XT19</f>
        <v>57436.356100693272</v>
      </c>
      <c r="XU20" s="46">
        <f t="shared" ref="XU20:XU31" ca="1" si="751">EXP(XU4)*XU19</f>
        <v>59304.244751331054</v>
      </c>
      <c r="XV20" s="46">
        <f t="shared" ref="XV20:XV31" ca="1" si="752">EXP(XV4)*XV19</f>
        <v>57861.704484551854</v>
      </c>
      <c r="XW20" s="46">
        <f t="shared" ref="XW20:XW31" ca="1" si="753">EXP(XW4)*XW19</f>
        <v>55268.15479277548</v>
      </c>
      <c r="XX20" s="46">
        <f t="shared" ref="XX20:XX31" ca="1" si="754">EXP(XX4)*XX19</f>
        <v>58881.984248835361</v>
      </c>
      <c r="XY20" s="46">
        <f t="shared" ref="XY20:XY31" ca="1" si="755">EXP(XY4)*XY19</f>
        <v>52078.550674775957</v>
      </c>
      <c r="XZ20" s="46">
        <f t="shared" ref="XZ20:XZ31" ca="1" si="756">EXP(XZ4)*XZ19</f>
        <v>60245.018610795414</v>
      </c>
      <c r="YA20" s="46">
        <f t="shared" ref="YA20:YA31" ca="1" si="757">EXP(YA4)*YA19</f>
        <v>58996.476352348975</v>
      </c>
      <c r="YB20" s="46">
        <f t="shared" ref="YB20:YB31" ca="1" si="758">EXP(YB4)*YB19</f>
        <v>59904.580679072045</v>
      </c>
      <c r="YC20" s="46">
        <f t="shared" ref="YC20:YC31" ca="1" si="759">EXP(YC4)*YC19</f>
        <v>60597.126294578731</v>
      </c>
      <c r="YD20" s="46">
        <f t="shared" ref="YD20:YD31" ca="1" si="760">EXP(YD4)*YD19</f>
        <v>56261.232957426582</v>
      </c>
      <c r="YE20" s="46">
        <f t="shared" ref="YE20:YE31" ca="1" si="761">EXP(YE4)*YE19</f>
        <v>58215.255226998874</v>
      </c>
      <c r="YF20" s="46">
        <f t="shared" ref="YF20:YF31" ca="1" si="762">EXP(YF4)*YF19</f>
        <v>63435.321710169163</v>
      </c>
      <c r="YG20" s="46">
        <f t="shared" ref="YG20:YG31" ca="1" si="763">EXP(YG4)*YG19</f>
        <v>57885.249432633049</v>
      </c>
      <c r="YH20" s="46">
        <f t="shared" ref="YH20:YH31" ca="1" si="764">EXP(YH4)*YH19</f>
        <v>58712.474775285889</v>
      </c>
      <c r="YI20" s="46">
        <f t="shared" ref="YI20:YI31" ca="1" si="765">EXP(YI4)*YI19</f>
        <v>57664.79093126626</v>
      </c>
      <c r="YJ20" s="46">
        <f t="shared" ref="YJ20:YJ31" ca="1" si="766">EXP(YJ4)*YJ19</f>
        <v>59665.251921762421</v>
      </c>
      <c r="YK20" s="46">
        <f t="shared" ref="YK20:YK31" ca="1" si="767">EXP(YK4)*YK19</f>
        <v>60321.733067393165</v>
      </c>
      <c r="YL20" s="46">
        <f t="shared" ref="YL20:YL31" ca="1" si="768">EXP(YL4)*YL19</f>
        <v>58016.235636864178</v>
      </c>
      <c r="YM20" s="46">
        <f t="shared" ref="YM20:YM31" ca="1" si="769">EXP(YM4)*YM19</f>
        <v>58483.827266307722</v>
      </c>
      <c r="YN20" s="46">
        <f t="shared" ref="YN20:YN31" ca="1" si="770">EXP(YN4)*YN19</f>
        <v>57824.063354035825</v>
      </c>
      <c r="YO20" s="46">
        <f t="shared" ref="YO20:YO31" ca="1" si="771">EXP(YO4)*YO19</f>
        <v>57492.078633366124</v>
      </c>
      <c r="YP20" s="46">
        <f t="shared" ref="YP20:YP31" ca="1" si="772">EXP(YP4)*YP19</f>
        <v>57696.787127487391</v>
      </c>
      <c r="YQ20" s="46">
        <f t="shared" ref="YQ20:YQ31" ca="1" si="773">EXP(YQ4)*YQ19</f>
        <v>58356.840262035643</v>
      </c>
      <c r="YR20" s="46">
        <f t="shared" ref="YR20:YR31" ca="1" si="774">EXP(YR4)*YR19</f>
        <v>60298.435854750409</v>
      </c>
      <c r="YS20" s="46">
        <f t="shared" ref="YS20:YS31" ca="1" si="775">EXP(YS4)*YS19</f>
        <v>64175.441650048779</v>
      </c>
      <c r="YT20" s="46">
        <f t="shared" ref="YT20:YT31" ca="1" si="776">EXP(YT4)*YT19</f>
        <v>56944.369165962795</v>
      </c>
      <c r="YU20" s="46">
        <f t="shared" ref="YU20:YU31" ca="1" si="777">EXP(YU4)*YU19</f>
        <v>59664.843840818852</v>
      </c>
      <c r="YV20" s="46">
        <f t="shared" ref="YV20:YV31" ca="1" si="778">EXP(YV4)*YV19</f>
        <v>59425.198627896774</v>
      </c>
      <c r="YW20" s="46">
        <f t="shared" ref="YW20:YW31" ca="1" si="779">EXP(YW4)*YW19</f>
        <v>56784.197687855034</v>
      </c>
      <c r="YX20" s="46">
        <f t="shared" ref="YX20:YX31" ca="1" si="780">EXP(YX4)*YX19</f>
        <v>60623.433836665426</v>
      </c>
      <c r="YY20" s="46">
        <f t="shared" ref="YY20:YY31" ca="1" si="781">EXP(YY4)*YY19</f>
        <v>53931.382349547472</v>
      </c>
      <c r="YZ20" s="46">
        <f t="shared" ref="YZ20:YZ31" ca="1" si="782">EXP(YZ4)*YZ19</f>
        <v>55718.903318014309</v>
      </c>
      <c r="ZA20" s="46">
        <f t="shared" ref="ZA20:ZA31" ca="1" si="783">EXP(ZA4)*ZA19</f>
        <v>56738.364286607692</v>
      </c>
      <c r="ZB20" s="46">
        <f t="shared" ref="ZB20:ZB31" ca="1" si="784">EXP(ZB4)*ZB19</f>
        <v>56539.782413707122</v>
      </c>
      <c r="ZC20" s="46">
        <f t="shared" ref="ZC20:ZC31" ca="1" si="785">EXP(ZC4)*ZC19</f>
        <v>56716.332936358674</v>
      </c>
      <c r="ZD20" s="46">
        <f t="shared" ref="ZD20:ZD31" ca="1" si="786">EXP(ZD4)*ZD19</f>
        <v>60266.448984076545</v>
      </c>
      <c r="ZE20" s="46">
        <f t="shared" ref="ZE20:ZE31" ca="1" si="787">EXP(ZE4)*ZE19</f>
        <v>60060.646692176444</v>
      </c>
      <c r="ZF20" s="46">
        <f t="shared" ref="ZF20:ZF31" ca="1" si="788">EXP(ZF4)*ZF19</f>
        <v>60974.022994416438</v>
      </c>
      <c r="ZG20" s="46">
        <f t="shared" ref="ZG20:ZG31" ca="1" si="789">EXP(ZG4)*ZG19</f>
        <v>58995.163000710454</v>
      </c>
      <c r="ZH20" s="46">
        <f t="shared" ref="ZH20:ZH31" ca="1" si="790">EXP(ZH4)*ZH19</f>
        <v>56411.740661890391</v>
      </c>
      <c r="ZI20" s="46">
        <f t="shared" ref="ZI20:ZI31" ca="1" si="791">EXP(ZI4)*ZI19</f>
        <v>59207.737758713723</v>
      </c>
      <c r="ZJ20" s="46">
        <f t="shared" ref="ZJ20:ZJ31" ca="1" si="792">EXP(ZJ4)*ZJ19</f>
        <v>58497.5860740184</v>
      </c>
      <c r="ZK20" s="46">
        <f t="shared" ref="ZK20:ZK31" ca="1" si="793">EXP(ZK4)*ZK19</f>
        <v>56785.751910069921</v>
      </c>
      <c r="ZL20" s="46">
        <f t="shared" ref="ZL20:ZL31" ca="1" si="794">EXP(ZL4)*ZL19</f>
        <v>56186.493423036547</v>
      </c>
      <c r="ZM20" s="46">
        <f t="shared" ref="ZM20:ZM31" ca="1" si="795">EXP(ZM4)*ZM19</f>
        <v>57354.305818435023</v>
      </c>
      <c r="ZN20" s="46">
        <f t="shared" ref="ZN20:ZN31" ca="1" si="796">EXP(ZN4)*ZN19</f>
        <v>56681.655691218686</v>
      </c>
      <c r="ZO20" s="46">
        <f t="shared" ref="ZO20:ZO31" ca="1" si="797">EXP(ZO4)*ZO19</f>
        <v>54758.001011771921</v>
      </c>
      <c r="ZP20" s="46">
        <f t="shared" ref="ZP20:ZP31" ca="1" si="798">EXP(ZP4)*ZP19</f>
        <v>59497.466647781199</v>
      </c>
      <c r="ZQ20" s="46">
        <f t="shared" ref="ZQ20:ZQ31" ca="1" si="799">EXP(ZQ4)*ZQ19</f>
        <v>57580.463841214361</v>
      </c>
      <c r="ZR20" s="46">
        <f t="shared" ref="ZR20:ZR31" ca="1" si="800">EXP(ZR4)*ZR19</f>
        <v>55039.020164142006</v>
      </c>
      <c r="ZS20" s="46">
        <f t="shared" ref="ZS20:ZS31" ca="1" si="801">EXP(ZS4)*ZS19</f>
        <v>60770.856104338258</v>
      </c>
      <c r="ZT20" s="46">
        <f t="shared" ref="ZT20:ZT31" ca="1" si="802">EXP(ZT4)*ZT19</f>
        <v>59207.989113980519</v>
      </c>
      <c r="ZU20" s="46">
        <f t="shared" ref="ZU20:ZU31" ca="1" si="803">EXP(ZU4)*ZU19</f>
        <v>55571.634563990599</v>
      </c>
      <c r="ZV20" s="46">
        <f t="shared" ref="ZV20:ZV31" ca="1" si="804">EXP(ZV4)*ZV19</f>
        <v>58855.177602125237</v>
      </c>
      <c r="ZW20" s="46">
        <f t="shared" ref="ZW20:ZW31" ca="1" si="805">EXP(ZW4)*ZW19</f>
        <v>54840.611044189318</v>
      </c>
      <c r="ZX20" s="46">
        <f t="shared" ref="ZX20:ZX31" ca="1" si="806">EXP(ZX4)*ZX19</f>
        <v>57688.912128603901</v>
      </c>
      <c r="ZY20" s="46">
        <f t="shared" ref="ZY20:ZY31" ca="1" si="807">EXP(ZY4)*ZY19</f>
        <v>51294.53250108879</v>
      </c>
      <c r="ZZ20" s="46">
        <f t="shared" ref="ZZ20:ZZ31" ca="1" si="808">EXP(ZZ4)*ZZ19</f>
        <v>62142.583073125919</v>
      </c>
      <c r="AAA20" s="46">
        <f t="shared" ref="AAA20:AAA31" ca="1" si="809">EXP(AAA4)*AAA19</f>
        <v>53943.309016530467</v>
      </c>
      <c r="AAB20" s="46">
        <f t="shared" ref="AAB20:AAB31" ca="1" si="810">EXP(AAB4)*AAB19</f>
        <v>56807.631515713278</v>
      </c>
      <c r="AAC20" s="46">
        <f t="shared" ref="AAC20:AAC31" ca="1" si="811">EXP(AAC4)*AAC19</f>
        <v>56356.519261721201</v>
      </c>
      <c r="AAD20" s="46">
        <f t="shared" ref="AAD20:AAD31" ca="1" si="812">EXP(AAD4)*AAD19</f>
        <v>56399.896852014441</v>
      </c>
      <c r="AAE20" s="46">
        <f t="shared" ref="AAE20:AAE31" ca="1" si="813">EXP(AAE4)*AAE19</f>
        <v>59362.312444396463</v>
      </c>
      <c r="AAF20" s="46">
        <f t="shared" ref="AAF20:AAF31" ca="1" si="814">EXP(AAF4)*AAF19</f>
        <v>56212.088913869971</v>
      </c>
      <c r="AAG20" s="46">
        <f t="shared" ref="AAG20:AAG31" ca="1" si="815">EXP(AAG4)*AAG19</f>
        <v>60682.748103089471</v>
      </c>
      <c r="AAH20" s="46">
        <f t="shared" ref="AAH20:AAH31" ca="1" si="816">EXP(AAH4)*AAH19</f>
        <v>56492.207061660971</v>
      </c>
      <c r="AAI20" s="46">
        <f t="shared" ref="AAI20:AAI31" ca="1" si="817">EXP(AAI4)*AAI19</f>
        <v>57790.308180510823</v>
      </c>
      <c r="AAJ20" s="46">
        <f t="shared" ref="AAJ20:AAJ31" ca="1" si="818">EXP(AAJ4)*AAJ19</f>
        <v>56705.398737541851</v>
      </c>
      <c r="AAK20" s="46">
        <f t="shared" ref="AAK20:AAK31" ca="1" si="819">EXP(AAK4)*AAK19</f>
        <v>57228.311217170354</v>
      </c>
      <c r="AAL20" s="46">
        <f t="shared" ref="AAL20:AAL31" ca="1" si="820">EXP(AAL4)*AAL19</f>
        <v>57426.334656915104</v>
      </c>
      <c r="AAM20" s="46">
        <f t="shared" ref="AAM20:AAM31" ca="1" si="821">EXP(AAM4)*AAM19</f>
        <v>58844.455529559746</v>
      </c>
      <c r="AAN20" s="46">
        <f t="shared" ref="AAN20:AAN31" ca="1" si="822">EXP(AAN4)*AAN19</f>
        <v>56840.845448731154</v>
      </c>
      <c r="AAO20" s="46">
        <f t="shared" ref="AAO20:AAO31" ca="1" si="823">EXP(AAO4)*AAO19</f>
        <v>54841.462220618843</v>
      </c>
      <c r="AAP20" s="46">
        <f t="shared" ref="AAP20:AAP31" ca="1" si="824">EXP(AAP4)*AAP19</f>
        <v>54953.291820933409</v>
      </c>
      <c r="AAQ20" s="46">
        <f t="shared" ref="AAQ20:AAQ31" ca="1" si="825">EXP(AAQ4)*AAQ19</f>
        <v>59611.899446775496</v>
      </c>
      <c r="AAR20" s="46">
        <f t="shared" ref="AAR20:AAR31" ca="1" si="826">EXP(AAR4)*AAR19</f>
        <v>56463.002337643426</v>
      </c>
      <c r="AAS20" s="46">
        <f t="shared" ref="AAS20:AAS31" ca="1" si="827">EXP(AAS4)*AAS19</f>
        <v>55174.815579925933</v>
      </c>
      <c r="AAT20" s="46">
        <f t="shared" ref="AAT20:AAT31" ca="1" si="828">EXP(AAT4)*AAT19</f>
        <v>58585.591644010972</v>
      </c>
      <c r="AAU20" s="46">
        <f t="shared" ref="AAU20:AAU31" ca="1" si="829">EXP(AAU4)*AAU19</f>
        <v>59839.528896388263</v>
      </c>
      <c r="AAV20" s="46">
        <f t="shared" ref="AAV20:AAV31" ca="1" si="830">EXP(AAV4)*AAV19</f>
        <v>55415.69024589449</v>
      </c>
      <c r="AAW20" s="46">
        <f t="shared" ref="AAW20:AAW31" ca="1" si="831">EXP(AAW4)*AAW19</f>
        <v>59102.455980152648</v>
      </c>
      <c r="AAX20" s="46">
        <f t="shared" ref="AAX20:AAX31" ca="1" si="832">EXP(AAX4)*AAX19</f>
        <v>57334.930280983514</v>
      </c>
      <c r="AAY20" s="46">
        <f t="shared" ref="AAY20:AAY31" ca="1" si="833">EXP(AAY4)*AAY19</f>
        <v>58556.555125389845</v>
      </c>
      <c r="AAZ20" s="46">
        <f t="shared" ref="AAZ20:AAZ31" ca="1" si="834">EXP(AAZ4)*AAZ19</f>
        <v>56768.065715420307</v>
      </c>
      <c r="ABA20" s="46">
        <f t="shared" ref="ABA20:ABA31" ca="1" si="835">EXP(ABA4)*ABA19</f>
        <v>57548.729917307195</v>
      </c>
      <c r="ABB20" s="46">
        <f t="shared" ref="ABB20:ABB31" ca="1" si="836">EXP(ABB4)*ABB19</f>
        <v>59751.909086771069</v>
      </c>
      <c r="ABC20" s="46">
        <f t="shared" ref="ABC20:ABC31" ca="1" si="837">EXP(ABC4)*ABC19</f>
        <v>56086.191154278211</v>
      </c>
      <c r="ABD20" s="46">
        <f t="shared" ref="ABD20:ABD31" ca="1" si="838">EXP(ABD4)*ABD19</f>
        <v>57434.120448780814</v>
      </c>
      <c r="ABE20" s="46">
        <f t="shared" ref="ABE20:ABE31" ca="1" si="839">EXP(ABE4)*ABE19</f>
        <v>59669.940393445817</v>
      </c>
      <c r="ABF20" s="46">
        <f t="shared" ref="ABF20:ABF31" ca="1" si="840">EXP(ABF4)*ABF19</f>
        <v>57592.511268915187</v>
      </c>
      <c r="ABG20" s="46">
        <f t="shared" ref="ABG20:ABG31" ca="1" si="841">EXP(ABG4)*ABG19</f>
        <v>58997.937708162652</v>
      </c>
      <c r="ABH20" s="46">
        <f t="shared" ref="ABH20:ABH31" ca="1" si="842">EXP(ABH4)*ABH19</f>
        <v>57183.010484576516</v>
      </c>
      <c r="ABI20" s="46">
        <f t="shared" ref="ABI20:ABI31" ca="1" si="843">EXP(ABI4)*ABI19</f>
        <v>55882.519895815225</v>
      </c>
      <c r="ABJ20" s="46">
        <f t="shared" ref="ABJ20:ABJ31" ca="1" si="844">EXP(ABJ4)*ABJ19</f>
        <v>61423.041986916091</v>
      </c>
      <c r="ABK20" s="46">
        <f t="shared" ref="ABK20:ABK31" ca="1" si="845">EXP(ABK4)*ABK19</f>
        <v>57613.857625756616</v>
      </c>
      <c r="ABL20" s="46">
        <f t="shared" ref="ABL20:ABL31" ca="1" si="846">EXP(ABL4)*ABL19</f>
        <v>57618.696116321182</v>
      </c>
      <c r="ABM20" s="46">
        <f t="shared" ref="ABM20:ABM31" ca="1" si="847">EXP(ABM4)*ABM19</f>
        <v>55473.304443548986</v>
      </c>
      <c r="ABN20" s="46">
        <f t="shared" ref="ABN20:ABN31" ca="1" si="848">EXP(ABN4)*ABN19</f>
        <v>56541.876084055053</v>
      </c>
      <c r="ABO20" s="46">
        <f t="shared" ref="ABO20:ABO31" ca="1" si="849">EXP(ABO4)*ABO19</f>
        <v>59844.696297694441</v>
      </c>
      <c r="ABP20" s="46">
        <f t="shared" ref="ABP20:ABP31" ca="1" si="850">EXP(ABP4)*ABP19</f>
        <v>53027.539871545669</v>
      </c>
      <c r="ABQ20" s="46">
        <f t="shared" ref="ABQ20:ABQ31" ca="1" si="851">EXP(ABQ4)*ABQ19</f>
        <v>56199.520387766272</v>
      </c>
      <c r="ABR20" s="46">
        <f t="shared" ref="ABR20:ABR31" ca="1" si="852">EXP(ABR4)*ABR19</f>
        <v>58791.048707249458</v>
      </c>
      <c r="ABS20" s="46">
        <f t="shared" ref="ABS20:ABS31" ca="1" si="853">EXP(ABS4)*ABS19</f>
        <v>59824.266562055207</v>
      </c>
      <c r="ABT20" s="46">
        <f t="shared" ref="ABT20:ABT31" ca="1" si="854">EXP(ABT4)*ABT19</f>
        <v>58537.097708060217</v>
      </c>
      <c r="ABU20" s="46">
        <f t="shared" ref="ABU20:ABU31" ca="1" si="855">EXP(ABU4)*ABU19</f>
        <v>57428.713061409027</v>
      </c>
      <c r="ABV20" s="46">
        <f t="shared" ref="ABV20:ABV31" ca="1" si="856">EXP(ABV4)*ABV19</f>
        <v>56568.506811027371</v>
      </c>
      <c r="ABW20" s="46">
        <f t="shared" ref="ABW20:ABW31" ca="1" si="857">EXP(ABW4)*ABW19</f>
        <v>53111.339177589398</v>
      </c>
      <c r="ABX20" s="46">
        <f t="shared" ref="ABX20:ABX31" ca="1" si="858">EXP(ABX4)*ABX19</f>
        <v>59095.412130525008</v>
      </c>
      <c r="ABY20" s="46">
        <f t="shared" ref="ABY20:ABY31" ca="1" si="859">EXP(ABY4)*ABY19</f>
        <v>55298.276846199893</v>
      </c>
      <c r="ABZ20" s="46">
        <f t="shared" ref="ABZ20:ABZ31" ca="1" si="860">EXP(ABZ4)*ABZ19</f>
        <v>56415.190923531271</v>
      </c>
      <c r="ACA20" s="46">
        <f t="shared" ref="ACA20:ACA31" ca="1" si="861">EXP(ACA4)*ACA19</f>
        <v>61651.193099844451</v>
      </c>
      <c r="ACB20" s="46">
        <f t="shared" ref="ACB20:ACB31" ca="1" si="862">EXP(ACB4)*ACB19</f>
        <v>57241.862319327782</v>
      </c>
      <c r="ACC20" s="46">
        <f t="shared" ref="ACC20:ACC31" ca="1" si="863">EXP(ACC4)*ACC19</f>
        <v>54854.8226963981</v>
      </c>
      <c r="ACD20" s="46">
        <f t="shared" ref="ACD20:ACD31" ca="1" si="864">EXP(ACD4)*ACD19</f>
        <v>61544.03273497396</v>
      </c>
      <c r="ACE20" s="46">
        <f t="shared" ref="ACE20:ACE31" ca="1" si="865">EXP(ACE4)*ACE19</f>
        <v>61527.485234681975</v>
      </c>
      <c r="ACF20" s="46">
        <f t="shared" ref="ACF20:ACF31" ca="1" si="866">EXP(ACF4)*ACF19</f>
        <v>60000.622228440589</v>
      </c>
      <c r="ACG20" s="46">
        <f t="shared" ref="ACG20:ACG31" ca="1" si="867">EXP(ACG4)*ACG19</f>
        <v>62665.486283174127</v>
      </c>
      <c r="ACH20" s="46">
        <f t="shared" ref="ACH20:ACH31" ca="1" si="868">EXP(ACH4)*ACH19</f>
        <v>58758.05505692248</v>
      </c>
      <c r="ACI20" s="46">
        <f t="shared" ref="ACI20:ACI31" ca="1" si="869">EXP(ACI4)*ACI19</f>
        <v>55022.029019875627</v>
      </c>
      <c r="ACJ20" s="46">
        <f t="shared" ref="ACJ20:ACJ31" ca="1" si="870">EXP(ACJ4)*ACJ19</f>
        <v>55210.836189517417</v>
      </c>
      <c r="ACK20" s="46">
        <f t="shared" ref="ACK20:ACK31" ca="1" si="871">EXP(ACK4)*ACK19</f>
        <v>58248.337285874972</v>
      </c>
      <c r="ACL20" s="46">
        <f t="shared" ref="ACL20:ACL31" ca="1" si="872">EXP(ACL4)*ACL19</f>
        <v>59282.852311766408</v>
      </c>
      <c r="ACM20" s="46">
        <f t="shared" ref="ACM20:ACM31" ca="1" si="873">EXP(ACM4)*ACM19</f>
        <v>55883.987262132454</v>
      </c>
      <c r="ACN20" s="46">
        <f t="shared" ref="ACN20:ACN31" ca="1" si="874">EXP(ACN4)*ACN19</f>
        <v>56358.019623282766</v>
      </c>
      <c r="ACO20" s="46">
        <f t="shared" ref="ACO20:ACO31" ca="1" si="875">EXP(ACO4)*ACO19</f>
        <v>58176.362681379658</v>
      </c>
      <c r="ACP20" s="46">
        <f t="shared" ref="ACP20:ACP31" ca="1" si="876">EXP(ACP4)*ACP19</f>
        <v>56644.930196320856</v>
      </c>
      <c r="ACQ20" s="46">
        <f t="shared" ref="ACQ20:ACQ31" ca="1" si="877">EXP(ACQ4)*ACQ19</f>
        <v>55125.804145287257</v>
      </c>
      <c r="ACR20" s="46">
        <f t="shared" ref="ACR20:ACR31" ca="1" si="878">EXP(ACR4)*ACR19</f>
        <v>57935.181148476833</v>
      </c>
      <c r="ACS20" s="46">
        <f t="shared" ref="ACS20:ACS31" ca="1" si="879">EXP(ACS4)*ACS19</f>
        <v>56583.019183092227</v>
      </c>
      <c r="ACT20" s="46">
        <f t="shared" ref="ACT20:ACT31" ca="1" si="880">EXP(ACT4)*ACT19</f>
        <v>55006.47902437405</v>
      </c>
      <c r="ACU20" s="46">
        <f t="shared" ref="ACU20:ACU31" ca="1" si="881">EXP(ACU4)*ACU19</f>
        <v>60811.038529917299</v>
      </c>
      <c r="ACV20" s="46">
        <f t="shared" ref="ACV20:ACV31" ca="1" si="882">EXP(ACV4)*ACV19</f>
        <v>54664.760370905831</v>
      </c>
      <c r="ACW20" s="46">
        <f t="shared" ref="ACW20:ACW31" ca="1" si="883">EXP(ACW4)*ACW19</f>
        <v>58248.372542168727</v>
      </c>
      <c r="ACX20" s="46">
        <f t="shared" ref="ACX20:ACX31" ca="1" si="884">EXP(ACX4)*ACX19</f>
        <v>57162.903932777437</v>
      </c>
      <c r="ACY20" s="46">
        <f t="shared" ref="ACY20:ACY31" ca="1" si="885">EXP(ACY4)*ACY19</f>
        <v>57658.592617239738</v>
      </c>
      <c r="ACZ20" s="46">
        <f t="shared" ref="ACZ20:ACZ31" ca="1" si="886">EXP(ACZ4)*ACZ19</f>
        <v>53167.873307542402</v>
      </c>
      <c r="ADA20" s="46">
        <f t="shared" ref="ADA20:ADA31" ca="1" si="887">EXP(ADA4)*ADA19</f>
        <v>58785.511564561035</v>
      </c>
      <c r="ADB20" s="46">
        <f t="shared" ref="ADB20:ADB31" ca="1" si="888">EXP(ADB4)*ADB19</f>
        <v>56918.468453434427</v>
      </c>
      <c r="ADC20" s="46">
        <f t="shared" ref="ADC20:ADC31" ca="1" si="889">EXP(ADC4)*ADC19</f>
        <v>57507.693071714399</v>
      </c>
      <c r="ADD20" s="46">
        <f t="shared" ref="ADD20:ADD31" ca="1" si="890">EXP(ADD4)*ADD19</f>
        <v>56987.224342666348</v>
      </c>
      <c r="ADE20" s="46">
        <f t="shared" ref="ADE20:ADE31" ca="1" si="891">EXP(ADE4)*ADE19</f>
        <v>51400.50157538434</v>
      </c>
      <c r="ADF20" s="46">
        <f t="shared" ref="ADF20:ADF31" ca="1" si="892">EXP(ADF4)*ADF19</f>
        <v>53204.34412144198</v>
      </c>
      <c r="ADG20" s="46">
        <f t="shared" ref="ADG20:ADG31" ca="1" si="893">EXP(ADG4)*ADG19</f>
        <v>62331.606985502185</v>
      </c>
      <c r="ADH20" s="46">
        <f t="shared" ref="ADH20:ADH31" ca="1" si="894">EXP(ADH4)*ADH19</f>
        <v>55572.31960560906</v>
      </c>
      <c r="ADI20" s="46">
        <f t="shared" ref="ADI20:ADI31" ca="1" si="895">EXP(ADI4)*ADI19</f>
        <v>52051.843883238318</v>
      </c>
      <c r="ADJ20" s="46">
        <f t="shared" ref="ADJ20:ADJ31" ca="1" si="896">EXP(ADJ4)*ADJ19</f>
        <v>59128.472267957091</v>
      </c>
      <c r="ADK20" s="46">
        <f t="shared" ref="ADK20:ADK31" ca="1" si="897">EXP(ADK4)*ADK19</f>
        <v>59090.550905249118</v>
      </c>
      <c r="ADL20" s="46">
        <f t="shared" ref="ADL20:ADL31" ca="1" si="898">EXP(ADL4)*ADL19</f>
        <v>57043.216898496939</v>
      </c>
      <c r="ADM20" s="46">
        <f t="shared" ref="ADM20:ADM31" ca="1" si="899">EXP(ADM4)*ADM19</f>
        <v>55854.76222482288</v>
      </c>
      <c r="ADN20" s="46">
        <f t="shared" ref="ADN20:ADN31" ca="1" si="900">EXP(ADN4)*ADN19</f>
        <v>59450.646657569778</v>
      </c>
      <c r="ADO20" s="46">
        <f t="shared" ref="ADO20:ADO31" ca="1" si="901">EXP(ADO4)*ADO19</f>
        <v>53213.412450324387</v>
      </c>
      <c r="ADP20" s="46">
        <f t="shared" ref="ADP20:ADP31" ca="1" si="902">EXP(ADP4)*ADP19</f>
        <v>60264.518990934215</v>
      </c>
      <c r="ADQ20" s="46">
        <f t="shared" ref="ADQ20:ADQ31" ca="1" si="903">EXP(ADQ4)*ADQ19</f>
        <v>54569.389751438328</v>
      </c>
      <c r="ADR20" s="46">
        <f t="shared" ref="ADR20:ADR31" ca="1" si="904">EXP(ADR4)*ADR19</f>
        <v>55233.570825786883</v>
      </c>
      <c r="ADS20" s="46">
        <f t="shared" ref="ADS20:ADS31" ca="1" si="905">EXP(ADS4)*ADS19</f>
        <v>58124.129413682436</v>
      </c>
      <c r="ADT20" s="46">
        <f t="shared" ref="ADT20:ADT31" ca="1" si="906">EXP(ADT4)*ADT19</f>
        <v>57090.354324347616</v>
      </c>
      <c r="ADU20" s="46">
        <f t="shared" ref="ADU20:ADU31" ca="1" si="907">EXP(ADU4)*ADU19</f>
        <v>60200.27890518299</v>
      </c>
      <c r="ADV20" s="46">
        <f t="shared" ref="ADV20:ADV31" ca="1" si="908">EXP(ADV4)*ADV19</f>
        <v>58445.001511184892</v>
      </c>
      <c r="ADW20" s="46">
        <f t="shared" ref="ADW20:ADW31" ca="1" si="909">EXP(ADW4)*ADW19</f>
        <v>54473.835056221658</v>
      </c>
      <c r="ADX20" s="46">
        <f t="shared" ref="ADX20:ADX31" ca="1" si="910">EXP(ADX4)*ADX19</f>
        <v>59219.935773238605</v>
      </c>
      <c r="ADY20" s="46">
        <f t="shared" ref="ADY20:ADY31" ca="1" si="911">EXP(ADY4)*ADY19</f>
        <v>57727.019685764615</v>
      </c>
      <c r="ADZ20" s="46">
        <f t="shared" ref="ADZ20:ADZ31" ca="1" si="912">EXP(ADZ4)*ADZ19</f>
        <v>60451.590879524403</v>
      </c>
      <c r="AEA20" s="46">
        <f t="shared" ref="AEA20:AEA31" ca="1" si="913">EXP(AEA4)*AEA19</f>
        <v>58284.990356722214</v>
      </c>
      <c r="AEB20" s="46">
        <f t="shared" ref="AEB20:AEB31" ca="1" si="914">EXP(AEB4)*AEB19</f>
        <v>60646.544297828179</v>
      </c>
      <c r="AEC20" s="46">
        <f t="shared" ref="AEC20:AEC31" ca="1" si="915">EXP(AEC4)*AEC19</f>
        <v>58737.031868486352</v>
      </c>
      <c r="AED20" s="46">
        <f t="shared" ref="AED20:AED31" ca="1" si="916">EXP(AED4)*AED19</f>
        <v>61251.71291713175</v>
      </c>
      <c r="AEE20" s="46">
        <f t="shared" ref="AEE20:AEE31" ca="1" si="917">EXP(AEE4)*AEE19</f>
        <v>58919.532566956776</v>
      </c>
      <c r="AEF20" s="46">
        <f t="shared" ref="AEF20:AEF31" ca="1" si="918">EXP(AEF4)*AEF19</f>
        <v>58649.551283611458</v>
      </c>
      <c r="AEG20" s="46">
        <f t="shared" ref="AEG20:AEG31" ca="1" si="919">EXP(AEG4)*AEG19</f>
        <v>58011.429908119331</v>
      </c>
      <c r="AEH20" s="46">
        <f t="shared" ref="AEH20:AEH31" ca="1" si="920">EXP(AEH4)*AEH19</f>
        <v>56725.467933104963</v>
      </c>
      <c r="AEI20" s="46">
        <f t="shared" ref="AEI20:AEI31" ca="1" si="921">EXP(AEI4)*AEI19</f>
        <v>58016.215247958935</v>
      </c>
      <c r="AEJ20" s="46">
        <f t="shared" ref="AEJ20:AEJ31" ca="1" si="922">EXP(AEJ4)*AEJ19</f>
        <v>59794.399429072553</v>
      </c>
      <c r="AEK20" s="46">
        <f t="shared" ref="AEK20:AEK31" ca="1" si="923">EXP(AEK4)*AEK19</f>
        <v>57225.778734847539</v>
      </c>
      <c r="AEL20" s="46">
        <f t="shared" ref="AEL20:AEL31" ca="1" si="924">EXP(AEL4)*AEL19</f>
        <v>56526.862988914618</v>
      </c>
      <c r="AEM20" s="46">
        <f t="shared" ref="AEM20:AEM31" ca="1" si="925">EXP(AEM4)*AEM19</f>
        <v>58390.75940694812</v>
      </c>
      <c r="AEN20" s="46">
        <f t="shared" ref="AEN20:AEN31" ca="1" si="926">EXP(AEN4)*AEN19</f>
        <v>59814.219561333382</v>
      </c>
      <c r="AEO20" s="46">
        <f t="shared" ref="AEO20:AEO31" ca="1" si="927">EXP(AEO4)*AEO19</f>
        <v>59830.844223980479</v>
      </c>
      <c r="AEP20" s="46">
        <f t="shared" ref="AEP20:AEP31" ca="1" si="928">EXP(AEP4)*AEP19</f>
        <v>55112.28475253591</v>
      </c>
      <c r="AEQ20" s="46">
        <f t="shared" ref="AEQ20:AEQ31" ca="1" si="929">EXP(AEQ4)*AEQ19</f>
        <v>60649.141977747648</v>
      </c>
      <c r="AER20" s="46">
        <f t="shared" ref="AER20:AER31" ca="1" si="930">EXP(AER4)*AER19</f>
        <v>60703.254560719201</v>
      </c>
      <c r="AES20" s="46">
        <f t="shared" ref="AES20:AES31" ca="1" si="931">EXP(AES4)*AES19</f>
        <v>55048.295594253417</v>
      </c>
      <c r="AET20" s="46">
        <f t="shared" ref="AET20:AET31" ca="1" si="932">EXP(AET4)*AET19</f>
        <v>56931.161156940223</v>
      </c>
      <c r="AEU20" s="46">
        <f t="shared" ref="AEU20:AEU31" ca="1" si="933">EXP(AEU4)*AEU19</f>
        <v>62474.502187962942</v>
      </c>
      <c r="AEV20" s="46">
        <f t="shared" ref="AEV20:AEV31" ca="1" si="934">EXP(AEV4)*AEV19</f>
        <v>62830.822861582717</v>
      </c>
      <c r="AEW20" s="46">
        <f t="shared" ref="AEW20:AEW31" ca="1" si="935">EXP(AEW4)*AEW19</f>
        <v>59417.134117961192</v>
      </c>
      <c r="AEX20" s="46">
        <f t="shared" ref="AEX20:AEX31" ca="1" si="936">EXP(AEX4)*AEX19</f>
        <v>56823.119899706864</v>
      </c>
      <c r="AEY20" s="46">
        <f t="shared" ref="AEY20:AEY31" ca="1" si="937">EXP(AEY4)*AEY19</f>
        <v>59256.255742379049</v>
      </c>
      <c r="AEZ20" s="46">
        <f t="shared" ref="AEZ20:AEZ31" ca="1" si="938">EXP(AEZ4)*AEZ19</f>
        <v>54707.636556329147</v>
      </c>
      <c r="AFA20" s="46">
        <f t="shared" ref="AFA20:AFA31" ca="1" si="939">EXP(AFA4)*AFA19</f>
        <v>59998.589307077251</v>
      </c>
      <c r="AFB20" s="46">
        <f t="shared" ref="AFB20:AFB31" ca="1" si="940">EXP(AFB4)*AFB19</f>
        <v>56585.603683937174</v>
      </c>
      <c r="AFC20" s="46">
        <f t="shared" ref="AFC20:AFC31" ca="1" si="941">EXP(AFC4)*AFC19</f>
        <v>64888.263653732145</v>
      </c>
      <c r="AFD20" s="46">
        <f t="shared" ref="AFD20:AFD31" ca="1" si="942">EXP(AFD4)*AFD19</f>
        <v>61432.501595754991</v>
      </c>
      <c r="AFE20" s="46">
        <f t="shared" ref="AFE20:AFE31" ca="1" si="943">EXP(AFE4)*AFE19</f>
        <v>55007.492412949265</v>
      </c>
      <c r="AFF20" s="46">
        <f t="shared" ref="AFF20:AFF31" ca="1" si="944">EXP(AFF4)*AFF19</f>
        <v>56872.755927399579</v>
      </c>
      <c r="AFG20" s="46">
        <f t="shared" ref="AFG20:AFG31" ca="1" si="945">EXP(AFG4)*AFG19</f>
        <v>56411.338079997317</v>
      </c>
      <c r="AFH20" s="46">
        <f t="shared" ref="AFH20:AFH31" ca="1" si="946">EXP(AFH4)*AFH19</f>
        <v>55950.363733530103</v>
      </c>
      <c r="AFI20" s="46">
        <f t="shared" ref="AFI20:AFI31" ca="1" si="947">EXP(AFI4)*AFI19</f>
        <v>59287.967097960951</v>
      </c>
      <c r="AFJ20" s="46">
        <f t="shared" ref="AFJ20:AFJ31" ca="1" si="948">EXP(AFJ4)*AFJ19</f>
        <v>54658.061424002357</v>
      </c>
      <c r="AFK20" s="46">
        <f t="shared" ref="AFK20:AFK31" ca="1" si="949">EXP(AFK4)*AFK19</f>
        <v>56743.659904792126</v>
      </c>
      <c r="AFL20" s="46">
        <f t="shared" ref="AFL20:AFL31" ca="1" si="950">EXP(AFL4)*AFL19</f>
        <v>58014.070183620832</v>
      </c>
      <c r="AFM20" s="46">
        <f t="shared" ref="AFM20:AFM31" ca="1" si="951">EXP(AFM4)*AFM19</f>
        <v>58177.841856720588</v>
      </c>
      <c r="AFN20" s="46">
        <f t="shared" ref="AFN20:AFN31" ca="1" si="952">EXP(AFN4)*AFN19</f>
        <v>57789.091504454256</v>
      </c>
      <c r="AFO20" s="46">
        <f t="shared" ref="AFO20:AFO31" ca="1" si="953">EXP(AFO4)*AFO19</f>
        <v>61176.166343022604</v>
      </c>
      <c r="AFP20" s="46">
        <f t="shared" ref="AFP20:AFP31" ca="1" si="954">EXP(AFP4)*AFP19</f>
        <v>58020.055021120868</v>
      </c>
      <c r="AFQ20" s="46">
        <f t="shared" ref="AFQ20:AFQ31" ca="1" si="955">EXP(AFQ4)*AFQ19</f>
        <v>58766.50870085846</v>
      </c>
      <c r="AFR20" s="46">
        <f t="shared" ref="AFR20:AFR31" ca="1" si="956">EXP(AFR4)*AFR19</f>
        <v>55714.913892205092</v>
      </c>
      <c r="AFS20" s="46">
        <f t="shared" ref="AFS20:AFS31" ca="1" si="957">EXP(AFS4)*AFS19</f>
        <v>57950.465847415202</v>
      </c>
      <c r="AFT20" s="46">
        <f t="shared" ref="AFT20:AFT31" ca="1" si="958">EXP(AFT4)*AFT19</f>
        <v>60492.152171990434</v>
      </c>
      <c r="AFU20" s="46">
        <f t="shared" ref="AFU20:AFU31" ca="1" si="959">EXP(AFU4)*AFU19</f>
        <v>57444.872843121047</v>
      </c>
      <c r="AFV20" s="46">
        <f t="shared" ref="AFV20:AFV31" ca="1" si="960">EXP(AFV4)*AFV19</f>
        <v>59869.189781065063</v>
      </c>
      <c r="AFW20" s="46">
        <f t="shared" ref="AFW20:AFW31" ca="1" si="961">EXP(AFW4)*AFW19</f>
        <v>59316.356685017985</v>
      </c>
      <c r="AFX20" s="46">
        <f t="shared" ref="AFX20:AFX31" ca="1" si="962">EXP(AFX4)*AFX19</f>
        <v>57500.552235511415</v>
      </c>
      <c r="AFY20" s="46">
        <f t="shared" ref="AFY20:AFY31" ca="1" si="963">EXP(AFY4)*AFY19</f>
        <v>60106.884372856177</v>
      </c>
      <c r="AFZ20" s="46">
        <f t="shared" ref="AFZ20:AFZ31" ca="1" si="964">EXP(AFZ4)*AFZ19</f>
        <v>61759.416662443095</v>
      </c>
      <c r="AGA20" s="46">
        <f t="shared" ref="AGA20:AGA31" ca="1" si="965">EXP(AGA4)*AGA19</f>
        <v>58578.801275131846</v>
      </c>
      <c r="AGB20" s="46">
        <f t="shared" ref="AGB20:AGB31" ca="1" si="966">EXP(AGB4)*AGB19</f>
        <v>59194.536386930893</v>
      </c>
      <c r="AGC20" s="46">
        <f t="shared" ref="AGC20:AGC31" ca="1" si="967">EXP(AGC4)*AGC19</f>
        <v>60695.380697423592</v>
      </c>
      <c r="AGD20" s="46">
        <f t="shared" ref="AGD20:AGD31" ca="1" si="968">EXP(AGD4)*AGD19</f>
        <v>59928.022393218162</v>
      </c>
      <c r="AGE20" s="46">
        <f t="shared" ref="AGE20:AGE31" ca="1" si="969">EXP(AGE4)*AGE19</f>
        <v>57362.612140303827</v>
      </c>
      <c r="AGF20" s="46">
        <f t="shared" ref="AGF20:AGF31" ca="1" si="970">EXP(AGF4)*AGF19</f>
        <v>55137.004670694441</v>
      </c>
      <c r="AGG20" s="46">
        <f t="shared" ref="AGG20:AGG31" ca="1" si="971">EXP(AGG4)*AGG19</f>
        <v>57733.208877469857</v>
      </c>
      <c r="AGH20" s="46">
        <f t="shared" ref="AGH20:AGH31" ca="1" si="972">EXP(AGH4)*AGH19</f>
        <v>58081.768250913061</v>
      </c>
      <c r="AGI20" s="46">
        <f t="shared" ref="AGI20:AGI31" ca="1" si="973">EXP(AGI4)*AGI19</f>
        <v>54854.516749879738</v>
      </c>
      <c r="AGJ20" s="46">
        <f t="shared" ref="AGJ20:AGJ31" ca="1" si="974">EXP(AGJ4)*AGJ19</f>
        <v>59225.08504449467</v>
      </c>
      <c r="AGK20" s="46">
        <f t="shared" ref="AGK20:AGK31" ca="1" si="975">EXP(AGK4)*AGK19</f>
        <v>59575.835824459835</v>
      </c>
      <c r="AGL20" s="46">
        <f t="shared" ref="AGL20:AGL31" ca="1" si="976">EXP(AGL4)*AGL19</f>
        <v>56046.238029216947</v>
      </c>
      <c r="AGM20" s="46">
        <f t="shared" ref="AGM20:AGM31" ca="1" si="977">EXP(AGM4)*AGM19</f>
        <v>56438.277616630709</v>
      </c>
      <c r="AGN20" s="46">
        <f t="shared" ref="AGN20:AGN31" ca="1" si="978">EXP(AGN4)*AGN19</f>
        <v>59201.35537426544</v>
      </c>
      <c r="AGO20" s="46">
        <f t="shared" ref="AGO20:AGO31" ca="1" si="979">EXP(AGO4)*AGO19</f>
        <v>59309.450683231233</v>
      </c>
      <c r="AGP20" s="46">
        <f t="shared" ref="AGP20:AGP31" ca="1" si="980">EXP(AGP4)*AGP19</f>
        <v>60750.396685045751</v>
      </c>
      <c r="AGQ20" s="46">
        <f t="shared" ref="AGQ20:AGQ31" ca="1" si="981">EXP(AGQ4)*AGQ19</f>
        <v>56709.299713932669</v>
      </c>
      <c r="AGR20" s="46">
        <f t="shared" ref="AGR20:AGR31" ca="1" si="982">EXP(AGR4)*AGR19</f>
        <v>55108.989925567766</v>
      </c>
      <c r="AGS20" s="46">
        <f t="shared" ref="AGS20:AGS31" ca="1" si="983">EXP(AGS4)*AGS19</f>
        <v>58476.148641127889</v>
      </c>
      <c r="AGT20" s="46">
        <f t="shared" ref="AGT20:AGT31" ca="1" si="984">EXP(AGT4)*AGT19</f>
        <v>58382.623610370654</v>
      </c>
      <c r="AGU20" s="46">
        <f t="shared" ref="AGU20:AGU31" ca="1" si="985">EXP(AGU4)*AGU19</f>
        <v>58791.8769529532</v>
      </c>
      <c r="AGV20" s="46">
        <f t="shared" ref="AGV20:AGV31" ca="1" si="986">EXP(AGV4)*AGV19</f>
        <v>58954.746142033568</v>
      </c>
      <c r="AGW20" s="46">
        <f t="shared" ref="AGW20:AGW31" ca="1" si="987">EXP(AGW4)*AGW19</f>
        <v>59898.04395860112</v>
      </c>
      <c r="AGX20" s="46">
        <f t="shared" ref="AGX20:AGX31" ca="1" si="988">EXP(AGX4)*AGX19</f>
        <v>57360.462191860955</v>
      </c>
      <c r="AGY20" s="46">
        <f t="shared" ref="AGY20:AGY31" ca="1" si="989">EXP(AGY4)*AGY19</f>
        <v>60669.738799628067</v>
      </c>
      <c r="AGZ20" s="46">
        <f t="shared" ref="AGZ20:AGZ31" ca="1" si="990">EXP(AGZ4)*AGZ19</f>
        <v>60627.234234537289</v>
      </c>
      <c r="AHA20" s="46">
        <f t="shared" ref="AHA20:AHA31" ca="1" si="991">EXP(AHA4)*AHA19</f>
        <v>61391.025649629533</v>
      </c>
      <c r="AHB20" s="46">
        <f t="shared" ref="AHB20:AHB31" ca="1" si="992">EXP(AHB4)*AHB19</f>
        <v>55198.859084439129</v>
      </c>
      <c r="AHC20" s="46">
        <f t="shared" ref="AHC20:AHC31" ca="1" si="993">EXP(AHC4)*AHC19</f>
        <v>62679.709972832592</v>
      </c>
      <c r="AHD20" s="46">
        <f t="shared" ref="AHD20:AHD31" ca="1" si="994">EXP(AHD4)*AHD19</f>
        <v>54417.785600819996</v>
      </c>
      <c r="AHE20" s="46">
        <f t="shared" ref="AHE20:AHE31" ca="1" si="995">EXP(AHE4)*AHE19</f>
        <v>56349.369511403587</v>
      </c>
      <c r="AHF20" s="46">
        <f t="shared" ref="AHF20:AHF31" ca="1" si="996">EXP(AHF4)*AHF19</f>
        <v>56124.956456437372</v>
      </c>
      <c r="AHG20" s="46">
        <f t="shared" ref="AHG20:AHG31" ca="1" si="997">EXP(AHG4)*AHG19</f>
        <v>57948.255640365998</v>
      </c>
      <c r="AHH20" s="46">
        <f t="shared" ref="AHH20:AHH31" ca="1" si="998">EXP(AHH4)*AHH19</f>
        <v>56512.364626887087</v>
      </c>
      <c r="AHI20" s="46">
        <f t="shared" ref="AHI20:AHI31" ca="1" si="999">EXP(AHI4)*AHI19</f>
        <v>57060.538091875009</v>
      </c>
      <c r="AHJ20" s="46">
        <f t="shared" ref="AHJ20:AHJ31" ca="1" si="1000">EXP(AHJ4)*AHJ19</f>
        <v>61873.956914794115</v>
      </c>
      <c r="AHK20" s="46">
        <f t="shared" ref="AHK20:AHK31" ca="1" si="1001">EXP(AHK4)*AHK19</f>
        <v>56868.185809507653</v>
      </c>
      <c r="AHL20" s="46">
        <f t="shared" ref="AHL20:AHL31" ca="1" si="1002">EXP(AHL4)*AHL19</f>
        <v>56692.31108012249</v>
      </c>
      <c r="AHM20" s="46">
        <f t="shared" ref="AHM20:AHM31" ca="1" si="1003">EXP(AHM4)*AHM19</f>
        <v>57566.095388138441</v>
      </c>
      <c r="AHN20" s="46">
        <f t="shared" ref="AHN20:AHN31" ca="1" si="1004">EXP(AHN4)*AHN19</f>
        <v>58402.459296235204</v>
      </c>
      <c r="AHO20" s="46">
        <f t="shared" ref="AHO20:AHO31" ca="1" si="1005">EXP(AHO4)*AHO19</f>
        <v>57826.180554509818</v>
      </c>
      <c r="AHP20" s="46">
        <f t="shared" ref="AHP20:AHP31" ca="1" si="1006">EXP(AHP4)*AHP19</f>
        <v>54895.606455679743</v>
      </c>
      <c r="AHQ20" s="46">
        <f t="shared" ref="AHQ20:AHQ31" ca="1" si="1007">EXP(AHQ4)*AHQ19</f>
        <v>59178.662554674956</v>
      </c>
      <c r="AHR20" s="46">
        <f t="shared" ref="AHR20:AHR31" ca="1" si="1008">EXP(AHR4)*AHR19</f>
        <v>61049.253800623213</v>
      </c>
      <c r="AHS20" s="46">
        <f t="shared" ref="AHS20:AHS31" ca="1" si="1009">EXP(AHS4)*AHS19</f>
        <v>57094.92663054946</v>
      </c>
      <c r="AHT20" s="46">
        <f t="shared" ref="AHT20:AHT31" ca="1" si="1010">EXP(AHT4)*AHT19</f>
        <v>56799.586890096136</v>
      </c>
      <c r="AHU20" s="46">
        <f t="shared" ref="AHU20:AHU31" ca="1" si="1011">EXP(AHU4)*AHU19</f>
        <v>59815.413660097474</v>
      </c>
      <c r="AHV20" s="46">
        <f t="shared" ref="AHV20:AHV31" ca="1" si="1012">EXP(AHV4)*AHV19</f>
        <v>56651.790726061496</v>
      </c>
      <c r="AHW20" s="46">
        <f t="shared" ref="AHW20:AHW31" ca="1" si="1013">EXP(AHW4)*AHW19</f>
        <v>57440.326857295113</v>
      </c>
      <c r="AHX20" s="46">
        <f t="shared" ref="AHX20:AHX31" ca="1" si="1014">EXP(AHX4)*AHX19</f>
        <v>56189.227804444468</v>
      </c>
      <c r="AHY20" s="46">
        <f t="shared" ref="AHY20:AHY31" ca="1" si="1015">EXP(AHY4)*AHY19</f>
        <v>60920.346131237551</v>
      </c>
      <c r="AHZ20" s="46">
        <f t="shared" ref="AHZ20:AHZ31" ca="1" si="1016">EXP(AHZ4)*AHZ19</f>
        <v>55283.639491632581</v>
      </c>
      <c r="AIA20" s="46">
        <f t="shared" ref="AIA20:AIA31" ca="1" si="1017">EXP(AIA4)*AIA19</f>
        <v>57943.327807893664</v>
      </c>
      <c r="AIB20" s="46">
        <f t="shared" ref="AIB20:AIB31" ca="1" si="1018">EXP(AIB4)*AIB19</f>
        <v>53483.125974287716</v>
      </c>
      <c r="AIC20" s="46">
        <f t="shared" ref="AIC20:AIC31" ca="1" si="1019">EXP(AIC4)*AIC19</f>
        <v>53137.372233450187</v>
      </c>
      <c r="AID20" s="46">
        <f t="shared" ref="AID20:AID31" ca="1" si="1020">EXP(AID4)*AID19</f>
        <v>56382.546918981076</v>
      </c>
      <c r="AIE20" s="46">
        <f t="shared" ref="AIE20:AIE31" ca="1" si="1021">EXP(AIE4)*AIE19</f>
        <v>55258.424129708736</v>
      </c>
      <c r="AIF20" s="46">
        <f t="shared" ref="AIF20:AIF31" ca="1" si="1022">EXP(AIF4)*AIF19</f>
        <v>62449.872719990475</v>
      </c>
      <c r="AIG20" s="46">
        <f t="shared" ref="AIG20:AIG31" ca="1" si="1023">EXP(AIG4)*AIG19</f>
        <v>58462.280228971249</v>
      </c>
      <c r="AIH20" s="46">
        <f t="shared" ref="AIH20:AIH31" ca="1" si="1024">EXP(AIH4)*AIH19</f>
        <v>61589.150529801787</v>
      </c>
      <c r="AII20" s="46">
        <f t="shared" ref="AII20:AII31" ca="1" si="1025">EXP(AII4)*AII19</f>
        <v>57759.714674595241</v>
      </c>
      <c r="AIJ20" s="46">
        <f t="shared" ref="AIJ20:AIJ31" ca="1" si="1026">EXP(AIJ4)*AIJ19</f>
        <v>58696.509116634385</v>
      </c>
      <c r="AIK20" s="46">
        <f t="shared" ref="AIK20:AIK31" ca="1" si="1027">EXP(AIK4)*AIK19</f>
        <v>58491.749201339931</v>
      </c>
      <c r="AIL20" s="46">
        <f t="shared" ref="AIL20:AIL31" ca="1" si="1028">EXP(AIL4)*AIL19</f>
        <v>61137.271540164773</v>
      </c>
      <c r="AIM20" s="46">
        <f t="shared" ref="AIM20:AIM31" ca="1" si="1029">EXP(AIM4)*AIM19</f>
        <v>59096.092864483217</v>
      </c>
      <c r="AIN20" s="46">
        <f t="shared" ref="AIN20:AIN31" ca="1" si="1030">EXP(AIN4)*AIN19</f>
        <v>60596.622946142641</v>
      </c>
      <c r="AIO20" s="46">
        <f t="shared" ref="AIO20:AIO31" ca="1" si="1031">EXP(AIO4)*AIO19</f>
        <v>56919.218812820043</v>
      </c>
      <c r="AIP20" s="46">
        <f t="shared" ref="AIP20:AIP31" ca="1" si="1032">EXP(AIP4)*AIP19</f>
        <v>57654.891437497201</v>
      </c>
      <c r="AIQ20" s="46">
        <f t="shared" ref="AIQ20:AIQ31" ca="1" si="1033">EXP(AIQ4)*AIQ19</f>
        <v>57084.260339987952</v>
      </c>
      <c r="AIR20" s="46">
        <f t="shared" ref="AIR20:AIR31" ca="1" si="1034">EXP(AIR4)*AIR19</f>
        <v>57110.467830839079</v>
      </c>
      <c r="AIS20" s="46">
        <f t="shared" ref="AIS20:AIS31" ca="1" si="1035">EXP(AIS4)*AIS19</f>
        <v>58712.699910381321</v>
      </c>
      <c r="AIT20" s="46">
        <f t="shared" ref="AIT20:AIT31" ca="1" si="1036">EXP(AIT4)*AIT19</f>
        <v>54863.456121509298</v>
      </c>
      <c r="AIU20" s="46">
        <f t="shared" ref="AIU20:AIU31" ca="1" si="1037">EXP(AIU4)*AIU19</f>
        <v>59923.03409889718</v>
      </c>
      <c r="AIV20" s="46">
        <f t="shared" ref="AIV20:AIV31" ca="1" si="1038">EXP(AIV4)*AIV19</f>
        <v>53414.878698524393</v>
      </c>
      <c r="AIW20" s="46">
        <f t="shared" ref="AIW20:AIW31" ca="1" si="1039">EXP(AIW4)*AIW19</f>
        <v>55557.48912846882</v>
      </c>
      <c r="AIX20" s="46">
        <f t="shared" ref="AIX20:AIX31" ca="1" si="1040">EXP(AIX4)*AIX19</f>
        <v>57431.349891161975</v>
      </c>
      <c r="AIY20" s="46">
        <f t="shared" ref="AIY20:AIY31" ca="1" si="1041">EXP(AIY4)*AIY19</f>
        <v>55240.439976622401</v>
      </c>
      <c r="AIZ20" s="46">
        <f t="shared" ref="AIZ20:AIZ31" ca="1" si="1042">EXP(AIZ4)*AIZ19</f>
        <v>61135.522470028285</v>
      </c>
      <c r="AJA20" s="46">
        <f t="shared" ref="AJA20:AJA31" ca="1" si="1043">EXP(AJA4)*AJA19</f>
        <v>60341.697218350935</v>
      </c>
      <c r="AJB20" s="46">
        <f t="shared" ref="AJB20:AJB31" ca="1" si="1044">EXP(AJB4)*AJB19</f>
        <v>60162.875098901444</v>
      </c>
      <c r="AJC20" s="46">
        <f t="shared" ref="AJC20:AJC31" ca="1" si="1045">EXP(AJC4)*AJC19</f>
        <v>55901.985272765342</v>
      </c>
      <c r="AJD20" s="46">
        <f t="shared" ref="AJD20:AJD31" ca="1" si="1046">EXP(AJD4)*AJD19</f>
        <v>55997.720019820183</v>
      </c>
      <c r="AJE20" s="46">
        <f t="shared" ref="AJE20:AJE31" ca="1" si="1047">EXP(AJE4)*AJE19</f>
        <v>57323.58983901851</v>
      </c>
      <c r="AJF20" s="46">
        <f t="shared" ref="AJF20:AJF31" ca="1" si="1048">EXP(AJF4)*AJF19</f>
        <v>61947.972425311782</v>
      </c>
      <c r="AJG20" s="46">
        <f t="shared" ref="AJG20:AJG31" ca="1" si="1049">EXP(AJG4)*AJG19</f>
        <v>58696.719491788521</v>
      </c>
      <c r="AJH20" s="46">
        <f t="shared" ref="AJH20:AJH31" ca="1" si="1050">EXP(AJH4)*AJH19</f>
        <v>59483.127612670614</v>
      </c>
      <c r="AJI20" s="46">
        <f t="shared" ref="AJI20:AJI31" ca="1" si="1051">EXP(AJI4)*AJI19</f>
        <v>57483.153568280082</v>
      </c>
      <c r="AJJ20" s="46">
        <f t="shared" ref="AJJ20:AJJ31" ca="1" si="1052">EXP(AJJ4)*AJJ19</f>
        <v>65745.740738222448</v>
      </c>
      <c r="AJK20" s="46">
        <f t="shared" ref="AJK20:AJK31" ca="1" si="1053">EXP(AJK4)*AJK19</f>
        <v>54821.215038410453</v>
      </c>
      <c r="AJL20" s="46">
        <f t="shared" ref="AJL20:AJL31" ca="1" si="1054">EXP(AJL4)*AJL19</f>
        <v>58623.134298873469</v>
      </c>
      <c r="AJM20" s="46">
        <f t="shared" ref="AJM20:AJM31" ca="1" si="1055">EXP(AJM4)*AJM19</f>
        <v>54175.113006587046</v>
      </c>
      <c r="AJN20" s="46">
        <f t="shared" ref="AJN20:AJN31" ca="1" si="1056">EXP(AJN4)*AJN19</f>
        <v>59708.237099799917</v>
      </c>
      <c r="AJO20" s="46">
        <f t="shared" ref="AJO20:AJO31" ca="1" si="1057">EXP(AJO4)*AJO19</f>
        <v>55937.143379363122</v>
      </c>
      <c r="AJP20" s="46">
        <f t="shared" ref="AJP20:AJP31" ca="1" si="1058">EXP(AJP4)*AJP19</f>
        <v>58721.723742779242</v>
      </c>
      <c r="AJQ20" s="46">
        <f t="shared" ref="AJQ20:AJQ31" ca="1" si="1059">EXP(AJQ4)*AJQ19</f>
        <v>57514.361058180191</v>
      </c>
      <c r="AJR20" s="46">
        <f t="shared" ref="AJR20:AJR31" ca="1" si="1060">EXP(AJR4)*AJR19</f>
        <v>58324.414387775032</v>
      </c>
      <c r="AJS20" s="46">
        <f t="shared" ref="AJS20:AJS31" ca="1" si="1061">EXP(AJS4)*AJS19</f>
        <v>55588.68224982862</v>
      </c>
      <c r="AJT20" s="46">
        <f t="shared" ref="AJT20:AJT31" ca="1" si="1062">EXP(AJT4)*AJT19</f>
        <v>58415.528825070447</v>
      </c>
      <c r="AJU20" s="46">
        <f t="shared" ref="AJU20:AJU31" ca="1" si="1063">EXP(AJU4)*AJU19</f>
        <v>55616.364739756093</v>
      </c>
      <c r="AJV20" s="46">
        <f t="shared" ref="AJV20:AJV31" ca="1" si="1064">EXP(AJV4)*AJV19</f>
        <v>54355.342504398031</v>
      </c>
      <c r="AJW20" s="46">
        <f t="shared" ref="AJW20:AJW31" ca="1" si="1065">EXP(AJW4)*AJW19</f>
        <v>55336.260070979006</v>
      </c>
      <c r="AJX20" s="46">
        <f t="shared" ref="AJX20:AJX31" ca="1" si="1066">EXP(AJX4)*AJX19</f>
        <v>58459.054944414529</v>
      </c>
      <c r="AJY20" s="46">
        <f t="shared" ref="AJY20:AJY31" ca="1" si="1067">EXP(AJY4)*AJY19</f>
        <v>55724.919511106353</v>
      </c>
      <c r="AJZ20" s="46">
        <f t="shared" ref="AJZ20:AJZ31" ca="1" si="1068">EXP(AJZ4)*AJZ19</f>
        <v>56500.800314380795</v>
      </c>
      <c r="AKA20" s="46">
        <f t="shared" ref="AKA20:AKA31" ca="1" si="1069">EXP(AKA4)*AKA19</f>
        <v>58141.396817949557</v>
      </c>
      <c r="AKB20" s="46">
        <f t="shared" ref="AKB20:AKB31" ca="1" si="1070">EXP(AKB4)*AKB19</f>
        <v>55599.619829120842</v>
      </c>
      <c r="AKC20" s="46">
        <f t="shared" ref="AKC20:AKC31" ca="1" si="1071">EXP(AKC4)*AKC19</f>
        <v>57534.35328015445</v>
      </c>
      <c r="AKD20" s="46">
        <f t="shared" ref="AKD20:AKD31" ca="1" si="1072">EXP(AKD4)*AKD19</f>
        <v>60525.997739817649</v>
      </c>
      <c r="AKE20" s="46">
        <f t="shared" ref="AKE20:AKE31" ca="1" si="1073">EXP(AKE4)*AKE19</f>
        <v>59047.306062819283</v>
      </c>
      <c r="AKF20" s="46">
        <f t="shared" ref="AKF20:AKF31" ca="1" si="1074">EXP(AKF4)*AKF19</f>
        <v>57549.422383804987</v>
      </c>
      <c r="AKG20" s="46">
        <f t="shared" ref="AKG20:AKG31" ca="1" si="1075">EXP(AKG4)*AKG19</f>
        <v>56929.031706196954</v>
      </c>
      <c r="AKH20" s="46">
        <f t="shared" ref="AKH20:AKH31" ca="1" si="1076">EXP(AKH4)*AKH19</f>
        <v>59160.834986666574</v>
      </c>
      <c r="AKI20" s="46">
        <f t="shared" ref="AKI20:AKI31" ca="1" si="1077">EXP(AKI4)*AKI19</f>
        <v>57978.443345498272</v>
      </c>
      <c r="AKJ20" s="46">
        <f t="shared" ref="AKJ20:AKJ31" ca="1" si="1078">EXP(AKJ4)*AKJ19</f>
        <v>60180.053647239693</v>
      </c>
      <c r="AKK20" s="46">
        <f t="shared" ref="AKK20:AKK31" ca="1" si="1079">EXP(AKK4)*AKK19</f>
        <v>56085.383205981365</v>
      </c>
      <c r="AKL20" s="46">
        <f t="shared" ref="AKL20:AKL31" ca="1" si="1080">EXP(AKL4)*AKL19</f>
        <v>57133.070611052339</v>
      </c>
      <c r="AKM20" s="46">
        <f t="shared" ref="AKM20:AKM31" ca="1" si="1081">EXP(AKM4)*AKM19</f>
        <v>60740.686563147101</v>
      </c>
      <c r="AKN20" s="46">
        <f t="shared" ref="AKN20:AKN31" ca="1" si="1082">EXP(AKN4)*AKN19</f>
        <v>57428.79098806432</v>
      </c>
      <c r="AKO20" s="46">
        <f t="shared" ref="AKO20:AKO31" ca="1" si="1083">EXP(AKO4)*AKO19</f>
        <v>53532.263982150755</v>
      </c>
      <c r="AKP20" s="46">
        <f t="shared" ref="AKP20:AKP31" ca="1" si="1084">EXP(AKP4)*AKP19</f>
        <v>59508.606117410694</v>
      </c>
      <c r="AKQ20" s="46">
        <f t="shared" ref="AKQ20:AKQ31" ca="1" si="1085">EXP(AKQ4)*AKQ19</f>
        <v>56450.931764442757</v>
      </c>
      <c r="AKR20" s="46">
        <f t="shared" ref="AKR20:AKR31" ca="1" si="1086">EXP(AKR4)*AKR19</f>
        <v>55071.57783280532</v>
      </c>
      <c r="AKS20" s="46">
        <f t="shared" ref="AKS20:AKS31" ca="1" si="1087">EXP(AKS4)*AKS19</f>
        <v>54916.046187601525</v>
      </c>
      <c r="AKT20" s="46">
        <f t="shared" ref="AKT20:AKT31" ca="1" si="1088">EXP(AKT4)*AKT19</f>
        <v>54407.798997616752</v>
      </c>
      <c r="AKU20" s="46">
        <f t="shared" ref="AKU20:AKU31" ca="1" si="1089">EXP(AKU4)*AKU19</f>
        <v>58561.054283142672</v>
      </c>
      <c r="AKV20" s="46">
        <f t="shared" ref="AKV20:AKV31" ca="1" si="1090">EXP(AKV4)*AKV19</f>
        <v>57663.518808027344</v>
      </c>
      <c r="AKW20" s="46">
        <f t="shared" ref="AKW20:AKW31" ca="1" si="1091">EXP(AKW4)*AKW19</f>
        <v>59707.25463211615</v>
      </c>
      <c r="AKX20" s="46">
        <f t="shared" ref="AKX20:AKX31" ca="1" si="1092">EXP(AKX4)*AKX19</f>
        <v>59054.229317309437</v>
      </c>
      <c r="AKY20" s="46">
        <f t="shared" ref="AKY20:AKY31" ca="1" si="1093">EXP(AKY4)*AKY19</f>
        <v>58800.168262282728</v>
      </c>
      <c r="AKZ20" s="46">
        <f t="shared" ref="AKZ20:AKZ31" ca="1" si="1094">EXP(AKZ4)*AKZ19</f>
        <v>57187.920348565</v>
      </c>
      <c r="ALA20" s="46">
        <f t="shared" ref="ALA20:ALA31" ca="1" si="1095">EXP(ALA4)*ALA19</f>
        <v>56714.816344496336</v>
      </c>
      <c r="ALB20" s="46">
        <f t="shared" ref="ALB20:ALB31" ca="1" si="1096">EXP(ALB4)*ALB19</f>
        <v>57813.629115809628</v>
      </c>
      <c r="ALC20" s="46">
        <f t="shared" ref="ALC20:ALC31" ca="1" si="1097">EXP(ALC4)*ALC19</f>
        <v>59828.192817099283</v>
      </c>
      <c r="ALD20" s="46">
        <f t="shared" ref="ALD20:ALD31" ca="1" si="1098">EXP(ALD4)*ALD19</f>
        <v>57111.947220255475</v>
      </c>
      <c r="ALE20" s="46">
        <f t="shared" ref="ALE20:ALE31" ca="1" si="1099">EXP(ALE4)*ALE19</f>
        <v>56487.245124708825</v>
      </c>
      <c r="ALF20" s="46">
        <f t="shared" ref="ALF20:ALF31" ca="1" si="1100">EXP(ALF4)*ALF19</f>
        <v>54713.272593833964</v>
      </c>
      <c r="ALG20" s="46">
        <f t="shared" ref="ALG20:ALG31" ca="1" si="1101">EXP(ALG4)*ALG19</f>
        <v>56110.711997995641</v>
      </c>
      <c r="ALH20" s="46">
        <f t="shared" ref="ALH20:ALH31" ca="1" si="1102">EXP(ALH4)*ALH19</f>
        <v>55748.699323307672</v>
      </c>
      <c r="ALI20" s="46">
        <f t="shared" ref="ALI20:ALI31" ca="1" si="1103">EXP(ALI4)*ALI19</f>
        <v>57545.698537869706</v>
      </c>
      <c r="ALJ20" s="46">
        <f t="shared" ref="ALJ20:ALJ31" ca="1" si="1104">EXP(ALJ4)*ALJ19</f>
        <v>60954.163738493444</v>
      </c>
      <c r="ALK20" s="46">
        <f t="shared" ref="ALK20:ALK31" ca="1" si="1105">EXP(ALK4)*ALK19</f>
        <v>59543.45190048527</v>
      </c>
      <c r="ALL20" s="46">
        <f t="shared" ref="ALL20:ALL31" ca="1" si="1106">EXP(ALL4)*ALL19</f>
        <v>57838.166531126219</v>
      </c>
      <c r="ALM20" s="46">
        <f t="shared" ref="ALM20:ALM31" ca="1" si="1107">EXP(ALM4)*ALM19</f>
        <v>55823.167423542633</v>
      </c>
      <c r="ALN20" s="46">
        <f t="shared" ref="ALN20:ALN31" ca="1" si="1108">EXP(ALN4)*ALN19</f>
        <v>55056.736327926723</v>
      </c>
      <c r="ALO20" s="46">
        <f t="shared" ref="ALO20:ALO31" ca="1" si="1109">EXP(ALO4)*ALO19</f>
        <v>59150.832188744556</v>
      </c>
      <c r="ALP20" s="46">
        <f t="shared" ref="ALP20:ALP31" ca="1" si="1110">EXP(ALP4)*ALP19</f>
        <v>58424.094435214909</v>
      </c>
      <c r="ALQ20" s="46">
        <f t="shared" ref="ALQ20:ALQ31" ca="1" si="1111">EXP(ALQ4)*ALQ19</f>
        <v>57014.793815695732</v>
      </c>
      <c r="ALR20" s="46">
        <f t="shared" ref="ALR20:ALR31" ca="1" si="1112">EXP(ALR4)*ALR19</f>
        <v>60447.171935628627</v>
      </c>
    </row>
    <row r="21" spans="1:1006" s="35" customFormat="1" x14ac:dyDescent="0.2">
      <c r="F21" s="32">
        <f>F20+1</f>
        <v>2</v>
      </c>
      <c r="G21" s="50">
        <f ca="1">EXP(G5)*G20</f>
        <v>56598.93531634524</v>
      </c>
      <c r="H21" s="50">
        <f t="shared" ref="H21:K31" ca="1" si="1113">EXP(H5)*H20</f>
        <v>56296.121509035438</v>
      </c>
      <c r="I21" s="50">
        <f t="shared" ca="1" si="1113"/>
        <v>57161.022190725176</v>
      </c>
      <c r="J21" s="50">
        <f t="shared" ca="1" si="1113"/>
        <v>58566.951911075397</v>
      </c>
      <c r="K21" s="50">
        <f t="shared" ca="1" si="1113"/>
        <v>59035.478609767211</v>
      </c>
      <c r="L21" s="50">
        <f t="shared" ca="1" si="118"/>
        <v>63079.10782134466</v>
      </c>
      <c r="M21" s="50">
        <f t="shared" ca="1" si="119"/>
        <v>55250.461939519206</v>
      </c>
      <c r="N21" s="50">
        <f t="shared" ca="1" si="120"/>
        <v>59869.497087254065</v>
      </c>
      <c r="O21" s="50">
        <f t="shared" ca="1" si="121"/>
        <v>56505.311770411114</v>
      </c>
      <c r="P21" s="50">
        <f t="shared" ca="1" si="122"/>
        <v>57184.018056149936</v>
      </c>
      <c r="Q21" s="50">
        <f t="shared" ca="1" si="123"/>
        <v>56014.872619552203</v>
      </c>
      <c r="R21" s="50">
        <f t="shared" ca="1" si="124"/>
        <v>61511.97022344196</v>
      </c>
      <c r="S21" s="50">
        <f t="shared" ca="1" si="125"/>
        <v>60359.498249392069</v>
      </c>
      <c r="T21" s="50">
        <f t="shared" ca="1" si="126"/>
        <v>63066.443810834666</v>
      </c>
      <c r="U21" s="50">
        <f t="shared" ca="1" si="127"/>
        <v>54374.218154595212</v>
      </c>
      <c r="V21" s="50">
        <f t="shared" ca="1" si="128"/>
        <v>61274.6535873557</v>
      </c>
      <c r="W21" s="50">
        <f t="shared" ca="1" si="129"/>
        <v>54499.761392947476</v>
      </c>
      <c r="X21" s="50">
        <f t="shared" ca="1" si="130"/>
        <v>63058.339456832444</v>
      </c>
      <c r="Y21" s="50">
        <f t="shared" ca="1" si="131"/>
        <v>59402.555087790257</v>
      </c>
      <c r="Z21" s="50">
        <f t="shared" ca="1" si="132"/>
        <v>56283.865979755305</v>
      </c>
      <c r="AA21" s="50">
        <f t="shared" ca="1" si="133"/>
        <v>59810.481503029994</v>
      </c>
      <c r="AB21" s="50">
        <f t="shared" ca="1" si="134"/>
        <v>60102.834627704891</v>
      </c>
      <c r="AC21" s="50">
        <f t="shared" ca="1" si="135"/>
        <v>55844.154646487725</v>
      </c>
      <c r="AD21" s="50">
        <f t="shared" ca="1" si="136"/>
        <v>55437.443333893105</v>
      </c>
      <c r="AE21" s="50">
        <f t="shared" ca="1" si="137"/>
        <v>59071.389759855148</v>
      </c>
      <c r="AF21" s="50">
        <f t="shared" ca="1" si="138"/>
        <v>54659.283901640963</v>
      </c>
      <c r="AG21" s="50">
        <f t="shared" ca="1" si="139"/>
        <v>63022.416931879779</v>
      </c>
      <c r="AH21" s="50">
        <f t="shared" ca="1" si="140"/>
        <v>56277.837533188511</v>
      </c>
      <c r="AI21" s="50">
        <f t="shared" ca="1" si="141"/>
        <v>62538.179157652958</v>
      </c>
      <c r="AJ21" s="50">
        <f t="shared" ca="1" si="142"/>
        <v>59346.024257474812</v>
      </c>
      <c r="AK21" s="50">
        <f t="shared" ca="1" si="143"/>
        <v>59666.014460927763</v>
      </c>
      <c r="AL21" s="50">
        <f t="shared" ca="1" si="144"/>
        <v>57317.933652329732</v>
      </c>
      <c r="AM21" s="50">
        <f t="shared" ca="1" si="145"/>
        <v>53093.215980136069</v>
      </c>
      <c r="AN21" s="50">
        <f t="shared" ca="1" si="146"/>
        <v>49864.603038216002</v>
      </c>
      <c r="AO21" s="50">
        <f t="shared" ca="1" si="147"/>
        <v>64112.312408343598</v>
      </c>
      <c r="AP21" s="50">
        <f t="shared" ca="1" si="148"/>
        <v>60338.630966161385</v>
      </c>
      <c r="AQ21" s="50">
        <f t="shared" ca="1" si="149"/>
        <v>59911.197465446778</v>
      </c>
      <c r="AR21" s="50">
        <f t="shared" ca="1" si="150"/>
        <v>65341.881644212488</v>
      </c>
      <c r="AS21" s="50">
        <f t="shared" ca="1" si="151"/>
        <v>54918.292259674148</v>
      </c>
      <c r="AT21" s="50">
        <f t="shared" ca="1" si="152"/>
        <v>56877.781016429493</v>
      </c>
      <c r="AU21" s="50">
        <f t="shared" ca="1" si="153"/>
        <v>59909.287584926547</v>
      </c>
      <c r="AV21" s="50">
        <f t="shared" ca="1" si="154"/>
        <v>56328.416904319914</v>
      </c>
      <c r="AW21" s="50">
        <f t="shared" ca="1" si="155"/>
        <v>59780.709491112531</v>
      </c>
      <c r="AX21" s="50">
        <f t="shared" ca="1" si="156"/>
        <v>58132.430164052916</v>
      </c>
      <c r="AY21" s="50">
        <f t="shared" ca="1" si="157"/>
        <v>55661.514105591472</v>
      </c>
      <c r="AZ21" s="50">
        <f t="shared" ca="1" si="158"/>
        <v>58636.244074541479</v>
      </c>
      <c r="BA21" s="50">
        <f t="shared" ca="1" si="159"/>
        <v>57616.054330198436</v>
      </c>
      <c r="BB21" s="50">
        <f t="shared" ca="1" si="160"/>
        <v>53823.415959020618</v>
      </c>
      <c r="BC21" s="50">
        <f t="shared" ca="1" si="161"/>
        <v>63140.056690572412</v>
      </c>
      <c r="BD21" s="50">
        <f t="shared" ca="1" si="162"/>
        <v>58207.031104887974</v>
      </c>
      <c r="BE21" s="50">
        <f t="shared" ca="1" si="163"/>
        <v>58969.860911301192</v>
      </c>
      <c r="BF21" s="50">
        <f t="shared" ca="1" si="164"/>
        <v>57152.782805366616</v>
      </c>
      <c r="BG21" s="50">
        <f t="shared" ca="1" si="165"/>
        <v>55350.660711978147</v>
      </c>
      <c r="BH21" s="50">
        <f t="shared" ca="1" si="166"/>
        <v>55773.293556131684</v>
      </c>
      <c r="BI21" s="50">
        <f t="shared" ca="1" si="167"/>
        <v>64212.048562043492</v>
      </c>
      <c r="BJ21" s="50">
        <f t="shared" ca="1" si="168"/>
        <v>56400.127014462225</v>
      </c>
      <c r="BK21" s="50">
        <f t="shared" ca="1" si="169"/>
        <v>54412.123214131541</v>
      </c>
      <c r="BL21" s="50">
        <f t="shared" ca="1" si="170"/>
        <v>53365.001937811503</v>
      </c>
      <c r="BM21" s="50">
        <f t="shared" ca="1" si="171"/>
        <v>60918.341915850157</v>
      </c>
      <c r="BN21" s="50">
        <f t="shared" ca="1" si="172"/>
        <v>54861.032024969551</v>
      </c>
      <c r="BO21" s="50">
        <f t="shared" ca="1" si="173"/>
        <v>58522.199142770376</v>
      </c>
      <c r="BP21" s="50">
        <f t="shared" ca="1" si="174"/>
        <v>60821.249776934397</v>
      </c>
      <c r="BQ21" s="50">
        <f t="shared" ca="1" si="175"/>
        <v>54089.437242086555</v>
      </c>
      <c r="BR21" s="50">
        <f t="shared" ca="1" si="176"/>
        <v>55207.718177609175</v>
      </c>
      <c r="BS21" s="50">
        <f t="shared" ca="1" si="177"/>
        <v>58721.635215620059</v>
      </c>
      <c r="BT21" s="50">
        <f t="shared" ca="1" si="178"/>
        <v>54623.187329164248</v>
      </c>
      <c r="BU21" s="50">
        <f t="shared" ca="1" si="179"/>
        <v>58936.809868238088</v>
      </c>
      <c r="BV21" s="50">
        <f t="shared" ca="1" si="180"/>
        <v>51824.987715359646</v>
      </c>
      <c r="BW21" s="50">
        <f t="shared" ca="1" si="181"/>
        <v>56702.418231971526</v>
      </c>
      <c r="BX21" s="50">
        <f t="shared" ca="1" si="182"/>
        <v>55392.767361082006</v>
      </c>
      <c r="BY21" s="50">
        <f t="shared" ca="1" si="183"/>
        <v>65059.026874845535</v>
      </c>
      <c r="BZ21" s="50">
        <f t="shared" ca="1" si="184"/>
        <v>53614.431352463522</v>
      </c>
      <c r="CA21" s="50">
        <f t="shared" ca="1" si="185"/>
        <v>56287.632077268107</v>
      </c>
      <c r="CB21" s="50">
        <f t="shared" ca="1" si="186"/>
        <v>59748.82105628492</v>
      </c>
      <c r="CC21" s="50">
        <f t="shared" ca="1" si="187"/>
        <v>58695.678134629467</v>
      </c>
      <c r="CD21" s="50">
        <f t="shared" ca="1" si="188"/>
        <v>59157.237652791555</v>
      </c>
      <c r="CE21" s="50">
        <f t="shared" ca="1" si="189"/>
        <v>54454.610831983264</v>
      </c>
      <c r="CF21" s="50">
        <f t="shared" ca="1" si="190"/>
        <v>56619.796110296826</v>
      </c>
      <c r="CG21" s="50">
        <f t="shared" ca="1" si="191"/>
        <v>58867.904555849738</v>
      </c>
      <c r="CH21" s="50">
        <f t="shared" ca="1" si="192"/>
        <v>51494.984090037564</v>
      </c>
      <c r="CI21" s="50">
        <f t="shared" ca="1" si="193"/>
        <v>57801.99109519834</v>
      </c>
      <c r="CJ21" s="50">
        <f t="shared" ca="1" si="194"/>
        <v>55058.645875064889</v>
      </c>
      <c r="CK21" s="50">
        <f t="shared" ca="1" si="195"/>
        <v>60068.058124439522</v>
      </c>
      <c r="CL21" s="50">
        <f t="shared" ca="1" si="196"/>
        <v>58278.644631583426</v>
      </c>
      <c r="CM21" s="50">
        <f t="shared" ca="1" si="197"/>
        <v>56421.6357837217</v>
      </c>
      <c r="CN21" s="50">
        <f t="shared" ca="1" si="198"/>
        <v>58161.229097469397</v>
      </c>
      <c r="CO21" s="50">
        <f t="shared" ca="1" si="199"/>
        <v>60986.323744606125</v>
      </c>
      <c r="CP21" s="50">
        <f t="shared" ca="1" si="200"/>
        <v>54886.697101732745</v>
      </c>
      <c r="CQ21" s="50">
        <f t="shared" ca="1" si="201"/>
        <v>57170.555611171403</v>
      </c>
      <c r="CR21" s="50">
        <f t="shared" ca="1" si="202"/>
        <v>57537.04996262191</v>
      </c>
      <c r="CS21" s="50">
        <f t="shared" ca="1" si="203"/>
        <v>57823.623393286165</v>
      </c>
      <c r="CT21" s="50">
        <f t="shared" ca="1" si="204"/>
        <v>58397.353832203844</v>
      </c>
      <c r="CU21" s="50">
        <f t="shared" ca="1" si="205"/>
        <v>57285.891498679048</v>
      </c>
      <c r="CV21" s="50">
        <f t="shared" ca="1" si="206"/>
        <v>54200.756590311888</v>
      </c>
      <c r="CW21" s="50">
        <f t="shared" ca="1" si="207"/>
        <v>55112.109422678834</v>
      </c>
      <c r="CX21" s="50">
        <f t="shared" ca="1" si="208"/>
        <v>57941.571568814514</v>
      </c>
      <c r="CY21" s="50">
        <f t="shared" ca="1" si="209"/>
        <v>56205.961665479728</v>
      </c>
      <c r="CZ21" s="50">
        <f t="shared" ca="1" si="210"/>
        <v>64620.909803329268</v>
      </c>
      <c r="DA21" s="50">
        <f t="shared" ca="1" si="211"/>
        <v>55251.844858184617</v>
      </c>
      <c r="DB21" s="50">
        <f t="shared" ca="1" si="212"/>
        <v>61481.565206369654</v>
      </c>
      <c r="DC21" s="50">
        <f t="shared" ca="1" si="213"/>
        <v>63635.012299846545</v>
      </c>
      <c r="DD21" s="50">
        <f t="shared" ca="1" si="214"/>
        <v>55665.822286703551</v>
      </c>
      <c r="DE21" s="50">
        <f t="shared" ca="1" si="215"/>
        <v>56740.117497074818</v>
      </c>
      <c r="DF21" s="50">
        <f t="shared" ca="1" si="216"/>
        <v>57940.701111573086</v>
      </c>
      <c r="DG21" s="50">
        <f t="shared" ca="1" si="217"/>
        <v>56691.863670640167</v>
      </c>
      <c r="DH21" s="50">
        <f t="shared" ca="1" si="218"/>
        <v>59919.101166058361</v>
      </c>
      <c r="DI21" s="50">
        <f t="shared" ca="1" si="219"/>
        <v>56156.262237673138</v>
      </c>
      <c r="DJ21" s="50">
        <f t="shared" ca="1" si="220"/>
        <v>65770.865609436267</v>
      </c>
      <c r="DK21" s="50">
        <f t="shared" ca="1" si="221"/>
        <v>57147.350887610686</v>
      </c>
      <c r="DL21" s="50">
        <f t="shared" ca="1" si="222"/>
        <v>62537.139277214126</v>
      </c>
      <c r="DM21" s="50">
        <f t="shared" ca="1" si="223"/>
        <v>60678.283874406312</v>
      </c>
      <c r="DN21" s="50">
        <f t="shared" ca="1" si="224"/>
        <v>54740.179044582095</v>
      </c>
      <c r="DO21" s="50">
        <f t="shared" ca="1" si="225"/>
        <v>56065.308735669198</v>
      </c>
      <c r="DP21" s="50">
        <f t="shared" ca="1" si="226"/>
        <v>55801.963156763566</v>
      </c>
      <c r="DQ21" s="50">
        <f t="shared" ca="1" si="227"/>
        <v>56915.845600395107</v>
      </c>
      <c r="DR21" s="50">
        <f t="shared" ca="1" si="228"/>
        <v>56777.171194666364</v>
      </c>
      <c r="DS21" s="50">
        <f t="shared" ca="1" si="229"/>
        <v>54545.426813783539</v>
      </c>
      <c r="DT21" s="50">
        <f t="shared" ca="1" si="230"/>
        <v>65375.041179851483</v>
      </c>
      <c r="DU21" s="50">
        <f t="shared" ca="1" si="231"/>
        <v>61369.383262644289</v>
      </c>
      <c r="DV21" s="50">
        <f t="shared" ca="1" si="232"/>
        <v>52475.232045634373</v>
      </c>
      <c r="DW21" s="50">
        <f t="shared" ca="1" si="233"/>
        <v>56989.286758484726</v>
      </c>
      <c r="DX21" s="50">
        <f t="shared" ca="1" si="234"/>
        <v>57077.231179032526</v>
      </c>
      <c r="DY21" s="50">
        <f t="shared" ca="1" si="235"/>
        <v>57112.858753812739</v>
      </c>
      <c r="DZ21" s="50">
        <f t="shared" ca="1" si="236"/>
        <v>61022.202265091226</v>
      </c>
      <c r="EA21" s="50">
        <f t="shared" ca="1" si="237"/>
        <v>64478.610939983344</v>
      </c>
      <c r="EB21" s="50">
        <f t="shared" ca="1" si="238"/>
        <v>59134.996757741428</v>
      </c>
      <c r="EC21" s="50">
        <f t="shared" ca="1" si="239"/>
        <v>58259.745014430817</v>
      </c>
      <c r="ED21" s="50">
        <f t="shared" ca="1" si="240"/>
        <v>57280.426979168908</v>
      </c>
      <c r="EE21" s="50">
        <f t="shared" ca="1" si="241"/>
        <v>57380.728651824815</v>
      </c>
      <c r="EF21" s="50">
        <f t="shared" ca="1" si="242"/>
        <v>53645.011956488925</v>
      </c>
      <c r="EG21" s="50">
        <f t="shared" ca="1" si="243"/>
        <v>56911.015831827302</v>
      </c>
      <c r="EH21" s="50">
        <f t="shared" ca="1" si="244"/>
        <v>57930.767201997354</v>
      </c>
      <c r="EI21" s="50">
        <f t="shared" ca="1" si="245"/>
        <v>56206.325831811606</v>
      </c>
      <c r="EJ21" s="50">
        <f t="shared" ca="1" si="246"/>
        <v>55051.784480596907</v>
      </c>
      <c r="EK21" s="50">
        <f t="shared" ca="1" si="247"/>
        <v>57312.46486756474</v>
      </c>
      <c r="EL21" s="50">
        <f t="shared" ca="1" si="248"/>
        <v>56350.667693883464</v>
      </c>
      <c r="EM21" s="50">
        <f t="shared" ca="1" si="249"/>
        <v>56609.081380362142</v>
      </c>
      <c r="EN21" s="50">
        <f t="shared" ca="1" si="250"/>
        <v>60151.138635342926</v>
      </c>
      <c r="EO21" s="50">
        <f t="shared" ca="1" si="251"/>
        <v>56270.481345347041</v>
      </c>
      <c r="EP21" s="50">
        <f t="shared" ca="1" si="252"/>
        <v>60292.404474890958</v>
      </c>
      <c r="EQ21" s="50">
        <f t="shared" ca="1" si="253"/>
        <v>61798.566841400549</v>
      </c>
      <c r="ER21" s="50">
        <f t="shared" ca="1" si="254"/>
        <v>58857.922847099384</v>
      </c>
      <c r="ES21" s="50">
        <f t="shared" ca="1" si="255"/>
        <v>51553.312490085933</v>
      </c>
      <c r="ET21" s="50">
        <f t="shared" ca="1" si="256"/>
        <v>53500.296791054068</v>
      </c>
      <c r="EU21" s="50">
        <f t="shared" ca="1" si="257"/>
        <v>56134.822662239654</v>
      </c>
      <c r="EV21" s="50">
        <f t="shared" ca="1" si="258"/>
        <v>52819.072890665841</v>
      </c>
      <c r="EW21" s="50">
        <f t="shared" ca="1" si="259"/>
        <v>60239.664884561913</v>
      </c>
      <c r="EX21" s="50">
        <f t="shared" ca="1" si="260"/>
        <v>58224.124495878277</v>
      </c>
      <c r="EY21" s="50">
        <f t="shared" ca="1" si="261"/>
        <v>54203.967521490973</v>
      </c>
      <c r="EZ21" s="50">
        <f t="shared" ca="1" si="262"/>
        <v>55880.293265948356</v>
      </c>
      <c r="FA21" s="50">
        <f t="shared" ca="1" si="263"/>
        <v>54780.309955325924</v>
      </c>
      <c r="FB21" s="50">
        <f t="shared" ca="1" si="264"/>
        <v>62438.636360645767</v>
      </c>
      <c r="FC21" s="50">
        <f t="shared" ca="1" si="265"/>
        <v>57027.336497146141</v>
      </c>
      <c r="FD21" s="50">
        <f t="shared" ca="1" si="266"/>
        <v>56420.597313562808</v>
      </c>
      <c r="FE21" s="50">
        <f t="shared" ca="1" si="267"/>
        <v>61624.071831035391</v>
      </c>
      <c r="FF21" s="50">
        <f t="shared" ca="1" si="268"/>
        <v>60829.683492552191</v>
      </c>
      <c r="FG21" s="50">
        <f t="shared" ca="1" si="269"/>
        <v>54813.116127371162</v>
      </c>
      <c r="FH21" s="50">
        <f t="shared" ca="1" si="270"/>
        <v>54925.901394148874</v>
      </c>
      <c r="FI21" s="50">
        <f t="shared" ca="1" si="271"/>
        <v>62973.713605722041</v>
      </c>
      <c r="FJ21" s="50">
        <f t="shared" ca="1" si="272"/>
        <v>55584.96775687312</v>
      </c>
      <c r="FK21" s="50">
        <f t="shared" ca="1" si="273"/>
        <v>61122.587426397055</v>
      </c>
      <c r="FL21" s="50">
        <f t="shared" ca="1" si="274"/>
        <v>61180.075508186033</v>
      </c>
      <c r="FM21" s="50">
        <f t="shared" ca="1" si="275"/>
        <v>59101.96433238122</v>
      </c>
      <c r="FN21" s="50">
        <f t="shared" ca="1" si="276"/>
        <v>53538.095439071323</v>
      </c>
      <c r="FO21" s="50">
        <f t="shared" ca="1" si="277"/>
        <v>63175.888726971156</v>
      </c>
      <c r="FP21" s="50">
        <f t="shared" ca="1" si="278"/>
        <v>62604.923327908291</v>
      </c>
      <c r="FQ21" s="50">
        <f t="shared" ca="1" si="279"/>
        <v>58803.778735321386</v>
      </c>
      <c r="FR21" s="50">
        <f t="shared" ca="1" si="280"/>
        <v>58759.660927911144</v>
      </c>
      <c r="FS21" s="50">
        <f t="shared" ca="1" si="281"/>
        <v>57381.768251393434</v>
      </c>
      <c r="FT21" s="50">
        <f t="shared" ca="1" si="282"/>
        <v>56492.533779570418</v>
      </c>
      <c r="FU21" s="50">
        <f t="shared" ca="1" si="283"/>
        <v>57549.696996819599</v>
      </c>
      <c r="FV21" s="50">
        <f t="shared" ca="1" si="284"/>
        <v>52882.983537165339</v>
      </c>
      <c r="FW21" s="50">
        <f t="shared" ca="1" si="285"/>
        <v>60268.98760566127</v>
      </c>
      <c r="FX21" s="50">
        <f t="shared" ca="1" si="286"/>
        <v>63521.136751621496</v>
      </c>
      <c r="FY21" s="50">
        <f t="shared" ca="1" si="287"/>
        <v>60456.762312921157</v>
      </c>
      <c r="FZ21" s="50">
        <f t="shared" ca="1" si="288"/>
        <v>55070.690152209958</v>
      </c>
      <c r="GA21" s="50">
        <f t="shared" ca="1" si="289"/>
        <v>57414.537751842501</v>
      </c>
      <c r="GB21" s="50">
        <f t="shared" ca="1" si="290"/>
        <v>53820.768216175937</v>
      </c>
      <c r="GC21" s="50">
        <f t="shared" ca="1" si="291"/>
        <v>60739.530889634319</v>
      </c>
      <c r="GD21" s="50">
        <f t="shared" ca="1" si="292"/>
        <v>54559.866287907098</v>
      </c>
      <c r="GE21" s="50">
        <f t="shared" ca="1" si="293"/>
        <v>61124.319845465645</v>
      </c>
      <c r="GF21" s="50">
        <f t="shared" ca="1" si="294"/>
        <v>59042.617063939651</v>
      </c>
      <c r="GG21" s="50">
        <f t="shared" ca="1" si="295"/>
        <v>60378.410831118432</v>
      </c>
      <c r="GH21" s="50">
        <f t="shared" ca="1" si="296"/>
        <v>52729.039584664708</v>
      </c>
      <c r="GI21" s="50">
        <f t="shared" ca="1" si="297"/>
        <v>56789.497940244124</v>
      </c>
      <c r="GJ21" s="50">
        <f t="shared" ca="1" si="298"/>
        <v>58507.790900217056</v>
      </c>
      <c r="GK21" s="50">
        <f t="shared" ca="1" si="299"/>
        <v>52149.561072965211</v>
      </c>
      <c r="GL21" s="50">
        <f t="shared" ca="1" si="300"/>
        <v>61083.995010537219</v>
      </c>
      <c r="GM21" s="50">
        <f t="shared" ca="1" si="301"/>
        <v>52882.894051302806</v>
      </c>
      <c r="GN21" s="50">
        <f t="shared" ca="1" si="302"/>
        <v>56973.77851948492</v>
      </c>
      <c r="GO21" s="50">
        <f t="shared" ca="1" si="303"/>
        <v>60107.8865920229</v>
      </c>
      <c r="GP21" s="50">
        <f t="shared" ca="1" si="304"/>
        <v>63265.40910445981</v>
      </c>
      <c r="GQ21" s="50">
        <f t="shared" ca="1" si="305"/>
        <v>55933.815891286853</v>
      </c>
      <c r="GR21" s="50">
        <f t="shared" ca="1" si="306"/>
        <v>62226.61727004499</v>
      </c>
      <c r="GS21" s="50">
        <f t="shared" ca="1" si="307"/>
        <v>54140.822320762774</v>
      </c>
      <c r="GT21" s="50">
        <f t="shared" ca="1" si="308"/>
        <v>54485.005500689454</v>
      </c>
      <c r="GU21" s="50">
        <f t="shared" ca="1" si="309"/>
        <v>59029.265743761345</v>
      </c>
      <c r="GV21" s="50">
        <f t="shared" ca="1" si="310"/>
        <v>61045.265966132916</v>
      </c>
      <c r="GW21" s="50">
        <f t="shared" ca="1" si="311"/>
        <v>59289.362557723434</v>
      </c>
      <c r="GX21" s="50">
        <f t="shared" ca="1" si="312"/>
        <v>58921.692154665914</v>
      </c>
      <c r="GY21" s="50">
        <f t="shared" ca="1" si="313"/>
        <v>55537.194281755626</v>
      </c>
      <c r="GZ21" s="50">
        <f t="shared" ca="1" si="314"/>
        <v>63558.563615912914</v>
      </c>
      <c r="HA21" s="50">
        <f t="shared" ca="1" si="315"/>
        <v>51851.652453211733</v>
      </c>
      <c r="HB21" s="50">
        <f t="shared" ca="1" si="316"/>
        <v>54969.251747796086</v>
      </c>
      <c r="HC21" s="50">
        <f t="shared" ca="1" si="317"/>
        <v>62188.489886229974</v>
      </c>
      <c r="HD21" s="50">
        <f t="shared" ca="1" si="318"/>
        <v>54644.933570741028</v>
      </c>
      <c r="HE21" s="50">
        <f t="shared" ca="1" si="319"/>
        <v>60421.45054341005</v>
      </c>
      <c r="HF21" s="50">
        <f t="shared" ca="1" si="320"/>
        <v>59350.948542480299</v>
      </c>
      <c r="HG21" s="50">
        <f t="shared" ca="1" si="321"/>
        <v>65782.662362521121</v>
      </c>
      <c r="HH21" s="50">
        <f t="shared" ca="1" si="322"/>
        <v>63862.886909695786</v>
      </c>
      <c r="HI21" s="50">
        <f t="shared" ca="1" si="323"/>
        <v>55432.295770274904</v>
      </c>
      <c r="HJ21" s="50">
        <f t="shared" ca="1" si="324"/>
        <v>54788.672111635817</v>
      </c>
      <c r="HK21" s="50">
        <f t="shared" ca="1" si="325"/>
        <v>56079.060691602506</v>
      </c>
      <c r="HL21" s="50">
        <f t="shared" ca="1" si="326"/>
        <v>57078.161293037396</v>
      </c>
      <c r="HM21" s="50">
        <f t="shared" ca="1" si="327"/>
        <v>57357.09155433697</v>
      </c>
      <c r="HN21" s="50">
        <f t="shared" ca="1" si="328"/>
        <v>57360.596356601076</v>
      </c>
      <c r="HO21" s="50">
        <f t="shared" ca="1" si="329"/>
        <v>54401.653632289759</v>
      </c>
      <c r="HP21" s="50">
        <f t="shared" ca="1" si="330"/>
        <v>57846.436638824678</v>
      </c>
      <c r="HQ21" s="50">
        <f t="shared" ca="1" si="331"/>
        <v>59543.164078271868</v>
      </c>
      <c r="HR21" s="50">
        <f t="shared" ca="1" si="332"/>
        <v>56264.640923227729</v>
      </c>
      <c r="HS21" s="50">
        <f t="shared" ca="1" si="333"/>
        <v>57513.977229758733</v>
      </c>
      <c r="HT21" s="50">
        <f t="shared" ca="1" si="334"/>
        <v>51320.912729281787</v>
      </c>
      <c r="HU21" s="50">
        <f t="shared" ca="1" si="335"/>
        <v>58171.392033068856</v>
      </c>
      <c r="HV21" s="50">
        <f t="shared" ca="1" si="336"/>
        <v>58017.974544217039</v>
      </c>
      <c r="HW21" s="50">
        <f t="shared" ca="1" si="337"/>
        <v>55540.679233591312</v>
      </c>
      <c r="HX21" s="50">
        <f t="shared" ca="1" si="338"/>
        <v>62350.364313329388</v>
      </c>
      <c r="HY21" s="50">
        <f t="shared" ca="1" si="339"/>
        <v>54687.229666109983</v>
      </c>
      <c r="HZ21" s="50">
        <f t="shared" ca="1" si="340"/>
        <v>59537.502442514844</v>
      </c>
      <c r="IA21" s="50">
        <f t="shared" ca="1" si="341"/>
        <v>61360.322562743211</v>
      </c>
      <c r="IB21" s="50">
        <f t="shared" ca="1" si="342"/>
        <v>52815.684816623456</v>
      </c>
      <c r="IC21" s="50">
        <f t="shared" ca="1" si="343"/>
        <v>64505.529685517475</v>
      </c>
      <c r="ID21" s="50">
        <f t="shared" ca="1" si="344"/>
        <v>61061.982492042203</v>
      </c>
      <c r="IE21" s="50">
        <f t="shared" ca="1" si="345"/>
        <v>57555.523929597155</v>
      </c>
      <c r="IF21" s="50">
        <f t="shared" ca="1" si="346"/>
        <v>53725.307817706023</v>
      </c>
      <c r="IG21" s="50">
        <f t="shared" ca="1" si="347"/>
        <v>65979.930772332955</v>
      </c>
      <c r="IH21" s="50">
        <f t="shared" ca="1" si="348"/>
        <v>60347.442329487596</v>
      </c>
      <c r="II21" s="50">
        <f t="shared" ca="1" si="349"/>
        <v>57220.588278414602</v>
      </c>
      <c r="IJ21" s="50">
        <f t="shared" ca="1" si="350"/>
        <v>58859.40618191097</v>
      </c>
      <c r="IK21" s="50">
        <f t="shared" ca="1" si="351"/>
        <v>61296.748303865148</v>
      </c>
      <c r="IL21" s="50">
        <f t="shared" ca="1" si="352"/>
        <v>55871.091925711975</v>
      </c>
      <c r="IM21" s="50">
        <f t="shared" ca="1" si="353"/>
        <v>57653.219180381966</v>
      </c>
      <c r="IN21" s="50">
        <f t="shared" ca="1" si="354"/>
        <v>67170.43567037172</v>
      </c>
      <c r="IO21" s="50">
        <f t="shared" ca="1" si="355"/>
        <v>52684.936760410666</v>
      </c>
      <c r="IP21" s="50">
        <f t="shared" ca="1" si="356"/>
        <v>55648.680799849644</v>
      </c>
      <c r="IQ21" s="50">
        <f t="shared" ca="1" si="357"/>
        <v>56464.737272520608</v>
      </c>
      <c r="IR21" s="50">
        <f t="shared" ca="1" si="358"/>
        <v>55936.917686684268</v>
      </c>
      <c r="IS21" s="50">
        <f t="shared" ca="1" si="359"/>
        <v>62780.499863129262</v>
      </c>
      <c r="IT21" s="50">
        <f t="shared" ca="1" si="360"/>
        <v>57473.46688312781</v>
      </c>
      <c r="IU21" s="50">
        <f t="shared" ca="1" si="361"/>
        <v>57419.957563161232</v>
      </c>
      <c r="IV21" s="50">
        <f t="shared" ca="1" si="362"/>
        <v>56318.968619361047</v>
      </c>
      <c r="IW21" s="50">
        <f t="shared" ca="1" si="363"/>
        <v>55756.308957432178</v>
      </c>
      <c r="IX21" s="50">
        <f t="shared" ca="1" si="364"/>
        <v>58751.24449510665</v>
      </c>
      <c r="IY21" s="50">
        <f t="shared" ca="1" si="365"/>
        <v>56798.772161063382</v>
      </c>
      <c r="IZ21" s="50">
        <f t="shared" ca="1" si="366"/>
        <v>53808.681259163677</v>
      </c>
      <c r="JA21" s="50">
        <f t="shared" ca="1" si="367"/>
        <v>54584.755354181601</v>
      </c>
      <c r="JB21" s="50">
        <f t="shared" ca="1" si="368"/>
        <v>59882.481668249689</v>
      </c>
      <c r="JC21" s="50">
        <f t="shared" ca="1" si="369"/>
        <v>58875.826498859577</v>
      </c>
      <c r="JD21" s="50">
        <f t="shared" ca="1" si="370"/>
        <v>55346.25178156195</v>
      </c>
      <c r="JE21" s="50">
        <f t="shared" ca="1" si="371"/>
        <v>57695.742625798004</v>
      </c>
      <c r="JF21" s="50">
        <f t="shared" ca="1" si="372"/>
        <v>64205.666458971362</v>
      </c>
      <c r="JG21" s="50">
        <f t="shared" ca="1" si="373"/>
        <v>58837.585810634657</v>
      </c>
      <c r="JH21" s="50">
        <f t="shared" ca="1" si="374"/>
        <v>57869.515656905343</v>
      </c>
      <c r="JI21" s="50">
        <f t="shared" ca="1" si="375"/>
        <v>59274.713013261622</v>
      </c>
      <c r="JJ21" s="50">
        <f t="shared" ca="1" si="376"/>
        <v>56896.59772928583</v>
      </c>
      <c r="JK21" s="50">
        <f t="shared" ca="1" si="377"/>
        <v>55980.644812299877</v>
      </c>
      <c r="JL21" s="50">
        <f t="shared" ca="1" si="378"/>
        <v>56315.544017352629</v>
      </c>
      <c r="JM21" s="50">
        <f t="shared" ca="1" si="379"/>
        <v>57933.144936395758</v>
      </c>
      <c r="JN21" s="50">
        <f t="shared" ca="1" si="380"/>
        <v>59646.774995399261</v>
      </c>
      <c r="JO21" s="50">
        <f t="shared" ca="1" si="381"/>
        <v>57717.855152889286</v>
      </c>
      <c r="JP21" s="50">
        <f t="shared" ca="1" si="382"/>
        <v>55435.343244189811</v>
      </c>
      <c r="JQ21" s="50">
        <f t="shared" ca="1" si="383"/>
        <v>59612.798185474276</v>
      </c>
      <c r="JR21" s="50">
        <f t="shared" ca="1" si="384"/>
        <v>67793.559362828673</v>
      </c>
      <c r="JS21" s="50">
        <f t="shared" ca="1" si="385"/>
        <v>58770.753899245756</v>
      </c>
      <c r="JT21" s="50">
        <f t="shared" ca="1" si="386"/>
        <v>60356.982735536578</v>
      </c>
      <c r="JU21" s="50">
        <f t="shared" ca="1" si="387"/>
        <v>54317.293408488811</v>
      </c>
      <c r="JV21" s="50">
        <f t="shared" ca="1" si="388"/>
        <v>54378.210625677166</v>
      </c>
      <c r="JW21" s="50">
        <f t="shared" ca="1" si="389"/>
        <v>59121.171776951967</v>
      </c>
      <c r="JX21" s="50">
        <f t="shared" ca="1" si="390"/>
        <v>55395.756739397715</v>
      </c>
      <c r="JY21" s="50">
        <f t="shared" ca="1" si="391"/>
        <v>65664.556306706145</v>
      </c>
      <c r="JZ21" s="50">
        <f t="shared" ca="1" si="392"/>
        <v>51367.576801192205</v>
      </c>
      <c r="KA21" s="50">
        <f t="shared" ca="1" si="393"/>
        <v>61631.77680302925</v>
      </c>
      <c r="KB21" s="50">
        <f t="shared" ca="1" si="394"/>
        <v>58049.474345490155</v>
      </c>
      <c r="KC21" s="50">
        <f t="shared" ca="1" si="395"/>
        <v>59221.192753091796</v>
      </c>
      <c r="KD21" s="50">
        <f t="shared" ca="1" si="396"/>
        <v>54630.087313935386</v>
      </c>
      <c r="KE21" s="50">
        <f t="shared" ca="1" si="397"/>
        <v>57486.321405283001</v>
      </c>
      <c r="KF21" s="50">
        <f t="shared" ca="1" si="398"/>
        <v>60091.148308066338</v>
      </c>
      <c r="KG21" s="50">
        <f t="shared" ca="1" si="399"/>
        <v>53026.429045802754</v>
      </c>
      <c r="KH21" s="50">
        <f t="shared" ca="1" si="400"/>
        <v>58703.454173448285</v>
      </c>
      <c r="KI21" s="50">
        <f t="shared" ca="1" si="401"/>
        <v>57777.106921555955</v>
      </c>
      <c r="KJ21" s="50">
        <f t="shared" ca="1" si="402"/>
        <v>57378.647278332006</v>
      </c>
      <c r="KK21" s="50">
        <f t="shared" ca="1" si="403"/>
        <v>59608.38594875858</v>
      </c>
      <c r="KL21" s="50">
        <f t="shared" ca="1" si="404"/>
        <v>60581.528975882975</v>
      </c>
      <c r="KM21" s="50">
        <f t="shared" ca="1" si="405"/>
        <v>62207.431151055069</v>
      </c>
      <c r="KN21" s="50">
        <f t="shared" ca="1" si="406"/>
        <v>59098.003350440522</v>
      </c>
      <c r="KO21" s="50">
        <f t="shared" ca="1" si="407"/>
        <v>55622.245063521877</v>
      </c>
      <c r="KP21" s="50">
        <f t="shared" ca="1" si="408"/>
        <v>54149.270382457777</v>
      </c>
      <c r="KQ21" s="50">
        <f t="shared" ca="1" si="409"/>
        <v>61084.130755724647</v>
      </c>
      <c r="KR21" s="50">
        <f t="shared" ca="1" si="410"/>
        <v>56344.75298985104</v>
      </c>
      <c r="KS21" s="50">
        <f t="shared" ca="1" si="411"/>
        <v>54844.288720131641</v>
      </c>
      <c r="KT21" s="50">
        <f t="shared" ca="1" si="412"/>
        <v>55465.795398692993</v>
      </c>
      <c r="KU21" s="50">
        <f t="shared" ca="1" si="413"/>
        <v>58330.073749092327</v>
      </c>
      <c r="KV21" s="50">
        <f t="shared" ca="1" si="414"/>
        <v>61457.559138895878</v>
      </c>
      <c r="KW21" s="50">
        <f t="shared" ca="1" si="415"/>
        <v>56277.136794194186</v>
      </c>
      <c r="KX21" s="50">
        <f t="shared" ca="1" si="416"/>
        <v>60527.416027636405</v>
      </c>
      <c r="KY21" s="50">
        <f t="shared" ca="1" si="417"/>
        <v>64779.09527601907</v>
      </c>
      <c r="KZ21" s="50">
        <f t="shared" ca="1" si="418"/>
        <v>55980.414119540517</v>
      </c>
      <c r="LA21" s="50">
        <f t="shared" ca="1" si="419"/>
        <v>55473.328348377923</v>
      </c>
      <c r="LB21" s="50">
        <f t="shared" ca="1" si="420"/>
        <v>60770.765100049917</v>
      </c>
      <c r="LC21" s="50">
        <f t="shared" ca="1" si="421"/>
        <v>57936.132692993866</v>
      </c>
      <c r="LD21" s="50">
        <f t="shared" ca="1" si="422"/>
        <v>54703.113381256575</v>
      </c>
      <c r="LE21" s="50">
        <f t="shared" ca="1" si="423"/>
        <v>63633.787997212006</v>
      </c>
      <c r="LF21" s="50">
        <f t="shared" ca="1" si="424"/>
        <v>57000.13191799113</v>
      </c>
      <c r="LG21" s="50">
        <f t="shared" ca="1" si="425"/>
        <v>54995.57047600978</v>
      </c>
      <c r="LH21" s="50">
        <f t="shared" ca="1" si="426"/>
        <v>57895.719961852134</v>
      </c>
      <c r="LI21" s="50">
        <f t="shared" ca="1" si="427"/>
        <v>57380.218434918483</v>
      </c>
      <c r="LJ21" s="50">
        <f t="shared" ca="1" si="428"/>
        <v>55661.419414875134</v>
      </c>
      <c r="LK21" s="50">
        <f t="shared" ca="1" si="429"/>
        <v>60424.305786370904</v>
      </c>
      <c r="LL21" s="50">
        <f t="shared" ca="1" si="430"/>
        <v>59315.883028673437</v>
      </c>
      <c r="LM21" s="50">
        <f t="shared" ca="1" si="431"/>
        <v>55704.07908542209</v>
      </c>
      <c r="LN21" s="50">
        <f t="shared" ca="1" si="432"/>
        <v>57708.524014200062</v>
      </c>
      <c r="LO21" s="50">
        <f t="shared" ca="1" si="433"/>
        <v>56035.922211930512</v>
      </c>
      <c r="LP21" s="50">
        <f t="shared" ca="1" si="434"/>
        <v>55897.369234536352</v>
      </c>
      <c r="LQ21" s="50">
        <f t="shared" ca="1" si="435"/>
        <v>53941.01025427354</v>
      </c>
      <c r="LR21" s="50">
        <f t="shared" ca="1" si="436"/>
        <v>59113.918293049792</v>
      </c>
      <c r="LS21" s="50">
        <f t="shared" ca="1" si="437"/>
        <v>61507.647038117721</v>
      </c>
      <c r="LT21" s="50">
        <f t="shared" ca="1" si="438"/>
        <v>59285.98052485205</v>
      </c>
      <c r="LU21" s="50">
        <f t="shared" ca="1" si="439"/>
        <v>62544.475714716376</v>
      </c>
      <c r="LV21" s="50">
        <f t="shared" ca="1" si="440"/>
        <v>60462.758621008325</v>
      </c>
      <c r="LW21" s="50">
        <f t="shared" ca="1" si="441"/>
        <v>53998.57069890471</v>
      </c>
      <c r="LX21" s="50">
        <f t="shared" ca="1" si="442"/>
        <v>59871.710453469008</v>
      </c>
      <c r="LY21" s="50">
        <f t="shared" ca="1" si="443"/>
        <v>56753.600172883511</v>
      </c>
      <c r="LZ21" s="50">
        <f t="shared" ca="1" si="444"/>
        <v>59554.808434718827</v>
      </c>
      <c r="MA21" s="50">
        <f t="shared" ca="1" si="445"/>
        <v>57917.785637866124</v>
      </c>
      <c r="MB21" s="50">
        <f t="shared" ca="1" si="446"/>
        <v>65056.649706718512</v>
      </c>
      <c r="MC21" s="50">
        <f t="shared" ca="1" si="447"/>
        <v>59957.246694897243</v>
      </c>
      <c r="MD21" s="50">
        <f t="shared" ca="1" si="448"/>
        <v>59171.85534422718</v>
      </c>
      <c r="ME21" s="50">
        <f t="shared" ca="1" si="449"/>
        <v>57984.32282943921</v>
      </c>
      <c r="MF21" s="50">
        <f t="shared" ca="1" si="450"/>
        <v>67865.20141147812</v>
      </c>
      <c r="MG21" s="50">
        <f t="shared" ca="1" si="451"/>
        <v>60010.660564987236</v>
      </c>
      <c r="MH21" s="50">
        <f t="shared" ca="1" si="452"/>
        <v>55226.041055139824</v>
      </c>
      <c r="MI21" s="50">
        <f t="shared" ca="1" si="453"/>
        <v>58778.059164727885</v>
      </c>
      <c r="MJ21" s="50">
        <f t="shared" ca="1" si="454"/>
        <v>60877.097090416704</v>
      </c>
      <c r="MK21" s="50">
        <f t="shared" ca="1" si="455"/>
        <v>56768.890202982111</v>
      </c>
      <c r="ML21" s="50">
        <f t="shared" ca="1" si="456"/>
        <v>58232.056611784305</v>
      </c>
      <c r="MM21" s="50">
        <f t="shared" ca="1" si="457"/>
        <v>60474.26674288389</v>
      </c>
      <c r="MN21" s="50">
        <f t="shared" ca="1" si="458"/>
        <v>59740.803255846775</v>
      </c>
      <c r="MO21" s="50">
        <f t="shared" ca="1" si="459"/>
        <v>58943.994344722647</v>
      </c>
      <c r="MP21" s="50">
        <f t="shared" ca="1" si="460"/>
        <v>57110.938844195516</v>
      </c>
      <c r="MQ21" s="50">
        <f t="shared" ca="1" si="461"/>
        <v>52792.549410945867</v>
      </c>
      <c r="MR21" s="50">
        <f t="shared" ca="1" si="462"/>
        <v>50882.177985796487</v>
      </c>
      <c r="MS21" s="50">
        <f t="shared" ca="1" si="463"/>
        <v>58281.688657582963</v>
      </c>
      <c r="MT21" s="50">
        <f t="shared" ca="1" si="464"/>
        <v>55860.554106341013</v>
      </c>
      <c r="MU21" s="50">
        <f t="shared" ca="1" si="465"/>
        <v>63180.670740123991</v>
      </c>
      <c r="MV21" s="50">
        <f t="shared" ca="1" si="466"/>
        <v>55773.423491432412</v>
      </c>
      <c r="MW21" s="50">
        <f t="shared" ca="1" si="467"/>
        <v>56253.660893308486</v>
      </c>
      <c r="MX21" s="50">
        <f t="shared" ca="1" si="468"/>
        <v>59852.331074733018</v>
      </c>
      <c r="MY21" s="50">
        <f t="shared" ca="1" si="469"/>
        <v>61743.508907429139</v>
      </c>
      <c r="MZ21" s="50">
        <f t="shared" ca="1" si="470"/>
        <v>57788.308637760871</v>
      </c>
      <c r="NA21" s="50">
        <f t="shared" ca="1" si="471"/>
        <v>65769.304349792714</v>
      </c>
      <c r="NB21" s="50">
        <f t="shared" ca="1" si="472"/>
        <v>58160.063622293361</v>
      </c>
      <c r="NC21" s="50">
        <f t="shared" ca="1" si="473"/>
        <v>59994.621518849257</v>
      </c>
      <c r="ND21" s="50">
        <f t="shared" ca="1" si="474"/>
        <v>57137.459910189187</v>
      </c>
      <c r="NE21" s="50">
        <f t="shared" ca="1" si="475"/>
        <v>53969.547110497195</v>
      </c>
      <c r="NF21" s="50">
        <f t="shared" ca="1" si="476"/>
        <v>54296.899776984574</v>
      </c>
      <c r="NG21" s="50">
        <f t="shared" ca="1" si="477"/>
        <v>59525.17053313036</v>
      </c>
      <c r="NH21" s="50">
        <f t="shared" ca="1" si="478"/>
        <v>59743.804492274649</v>
      </c>
      <c r="NI21" s="50">
        <f t="shared" ca="1" si="479"/>
        <v>56520.130476946266</v>
      </c>
      <c r="NJ21" s="50">
        <f t="shared" ca="1" si="480"/>
        <v>61744.300618291803</v>
      </c>
      <c r="NK21" s="50">
        <f t="shared" ca="1" si="481"/>
        <v>55540.543658744478</v>
      </c>
      <c r="NL21" s="50">
        <f t="shared" ca="1" si="482"/>
        <v>53194.655868376671</v>
      </c>
      <c r="NM21" s="50">
        <f t="shared" ca="1" si="483"/>
        <v>57712.038154870403</v>
      </c>
      <c r="NN21" s="50">
        <f t="shared" ca="1" si="484"/>
        <v>55386.51408723458</v>
      </c>
      <c r="NO21" s="50">
        <f t="shared" ca="1" si="485"/>
        <v>55204.179254996721</v>
      </c>
      <c r="NP21" s="50">
        <f t="shared" ca="1" si="486"/>
        <v>53286.966135747265</v>
      </c>
      <c r="NQ21" s="50">
        <f t="shared" ca="1" si="487"/>
        <v>55141.810311672452</v>
      </c>
      <c r="NR21" s="50">
        <f t="shared" ca="1" si="488"/>
        <v>61651.958941359473</v>
      </c>
      <c r="NS21" s="50">
        <f t="shared" ca="1" si="489"/>
        <v>55271.602426726356</v>
      </c>
      <c r="NT21" s="50">
        <f t="shared" ca="1" si="490"/>
        <v>58440.44716293853</v>
      </c>
      <c r="NU21" s="50">
        <f t="shared" ca="1" si="491"/>
        <v>56401.280102681398</v>
      </c>
      <c r="NV21" s="50">
        <f t="shared" ca="1" si="492"/>
        <v>57868.248150957064</v>
      </c>
      <c r="NW21" s="50">
        <f t="shared" ca="1" si="493"/>
        <v>56033.668214949954</v>
      </c>
      <c r="NX21" s="50">
        <f t="shared" ca="1" si="494"/>
        <v>61155.044373918769</v>
      </c>
      <c r="NY21" s="50">
        <f t="shared" ca="1" si="495"/>
        <v>61710.119324723441</v>
      </c>
      <c r="NZ21" s="50">
        <f t="shared" ca="1" si="496"/>
        <v>52722.091965142441</v>
      </c>
      <c r="OA21" s="50">
        <f t="shared" ca="1" si="497"/>
        <v>60059.774591449313</v>
      </c>
      <c r="OB21" s="50">
        <f t="shared" ca="1" si="498"/>
        <v>59798.925284612371</v>
      </c>
      <c r="OC21" s="50">
        <f t="shared" ca="1" si="499"/>
        <v>56427.726287530029</v>
      </c>
      <c r="OD21" s="50">
        <f t="shared" ca="1" si="500"/>
        <v>55612.499383944509</v>
      </c>
      <c r="OE21" s="50">
        <f t="shared" ca="1" si="501"/>
        <v>63888.286916618476</v>
      </c>
      <c r="OF21" s="50">
        <f t="shared" ca="1" si="502"/>
        <v>62906.140676390351</v>
      </c>
      <c r="OG21" s="50">
        <f t="shared" ca="1" si="503"/>
        <v>64974.650998954567</v>
      </c>
      <c r="OH21" s="50">
        <f t="shared" ca="1" si="504"/>
        <v>61048.804372572238</v>
      </c>
      <c r="OI21" s="50">
        <f t="shared" ca="1" si="505"/>
        <v>60086.156193844785</v>
      </c>
      <c r="OJ21" s="50">
        <f t="shared" ca="1" si="506"/>
        <v>63882.173174346011</v>
      </c>
      <c r="OK21" s="50">
        <f t="shared" ca="1" si="507"/>
        <v>55443.82500737095</v>
      </c>
      <c r="OL21" s="50">
        <f t="shared" ca="1" si="508"/>
        <v>54549.866497558127</v>
      </c>
      <c r="OM21" s="50">
        <f t="shared" ca="1" si="509"/>
        <v>51202.108584175374</v>
      </c>
      <c r="ON21" s="50">
        <f t="shared" ca="1" si="510"/>
        <v>62616.948044654491</v>
      </c>
      <c r="OO21" s="50">
        <f t="shared" ca="1" si="511"/>
        <v>52671.844510516661</v>
      </c>
      <c r="OP21" s="50">
        <f t="shared" ca="1" si="512"/>
        <v>58162.285027526123</v>
      </c>
      <c r="OQ21" s="50">
        <f t="shared" ca="1" si="513"/>
        <v>61896.668121225994</v>
      </c>
      <c r="OR21" s="50">
        <f t="shared" ca="1" si="514"/>
        <v>60465.438487673768</v>
      </c>
      <c r="OS21" s="50">
        <f t="shared" ca="1" si="515"/>
        <v>58078.348918328753</v>
      </c>
      <c r="OT21" s="50">
        <f t="shared" ca="1" si="516"/>
        <v>62246.144415952651</v>
      </c>
      <c r="OU21" s="50">
        <f t="shared" ca="1" si="517"/>
        <v>54030.675129918367</v>
      </c>
      <c r="OV21" s="50">
        <f t="shared" ca="1" si="518"/>
        <v>61168.429741875916</v>
      </c>
      <c r="OW21" s="50">
        <f t="shared" ca="1" si="519"/>
        <v>52147.437894488423</v>
      </c>
      <c r="OX21" s="50">
        <f t="shared" ca="1" si="520"/>
        <v>56886.891123090449</v>
      </c>
      <c r="OY21" s="50">
        <f t="shared" ca="1" si="521"/>
        <v>55918.935183913258</v>
      </c>
      <c r="OZ21" s="50">
        <f t="shared" ca="1" si="522"/>
        <v>58997.092620931238</v>
      </c>
      <c r="PA21" s="50">
        <f t="shared" ca="1" si="523"/>
        <v>58800.251489248658</v>
      </c>
      <c r="PB21" s="50">
        <f t="shared" ca="1" si="524"/>
        <v>59525.728801456971</v>
      </c>
      <c r="PC21" s="50">
        <f t="shared" ca="1" si="525"/>
        <v>61800.181129298617</v>
      </c>
      <c r="PD21" s="50">
        <f t="shared" ca="1" si="526"/>
        <v>51473.152122916166</v>
      </c>
      <c r="PE21" s="50">
        <f t="shared" ca="1" si="527"/>
        <v>59885.827143032133</v>
      </c>
      <c r="PF21" s="50">
        <f t="shared" ca="1" si="528"/>
        <v>61520.071800576712</v>
      </c>
      <c r="PG21" s="50">
        <f t="shared" ca="1" si="529"/>
        <v>58595.278265895933</v>
      </c>
      <c r="PH21" s="50">
        <f t="shared" ca="1" si="530"/>
        <v>56247.179308540544</v>
      </c>
      <c r="PI21" s="50">
        <f t="shared" ca="1" si="531"/>
        <v>55814.897731793346</v>
      </c>
      <c r="PJ21" s="50">
        <f t="shared" ca="1" si="532"/>
        <v>61075.25712579734</v>
      </c>
      <c r="PK21" s="50">
        <f t="shared" ca="1" si="533"/>
        <v>56279.538039297411</v>
      </c>
      <c r="PL21" s="50">
        <f t="shared" ca="1" si="534"/>
        <v>60359.883608716067</v>
      </c>
      <c r="PM21" s="50">
        <f t="shared" ca="1" si="535"/>
        <v>52101.636184002593</v>
      </c>
      <c r="PN21" s="50">
        <f t="shared" ca="1" si="536"/>
        <v>55826.558089955251</v>
      </c>
      <c r="PO21" s="50">
        <f t="shared" ca="1" si="537"/>
        <v>65707.881503495315</v>
      </c>
      <c r="PP21" s="50">
        <f t="shared" ca="1" si="538"/>
        <v>56978.840610435116</v>
      </c>
      <c r="PQ21" s="50">
        <f t="shared" ca="1" si="539"/>
        <v>53672.94995164877</v>
      </c>
      <c r="PR21" s="50">
        <f t="shared" ca="1" si="540"/>
        <v>63601.995145015462</v>
      </c>
      <c r="PS21" s="50">
        <f t="shared" ca="1" si="541"/>
        <v>60136.894481005344</v>
      </c>
      <c r="PT21" s="50">
        <f t="shared" ca="1" si="542"/>
        <v>55901.844846306492</v>
      </c>
      <c r="PU21" s="50">
        <f t="shared" ca="1" si="543"/>
        <v>60800.500159064526</v>
      </c>
      <c r="PV21" s="50">
        <f t="shared" ca="1" si="544"/>
        <v>55781.643871279106</v>
      </c>
      <c r="PW21" s="50">
        <f t="shared" ca="1" si="545"/>
        <v>56620.961030464881</v>
      </c>
      <c r="PX21" s="50">
        <f t="shared" ca="1" si="546"/>
        <v>61156.238849612142</v>
      </c>
      <c r="PY21" s="50">
        <f t="shared" ca="1" si="547"/>
        <v>56425.566067023559</v>
      </c>
      <c r="PZ21" s="50">
        <f t="shared" ca="1" si="548"/>
        <v>56047.908958149936</v>
      </c>
      <c r="QA21" s="50">
        <f t="shared" ca="1" si="549"/>
        <v>51982.195391841575</v>
      </c>
      <c r="QB21" s="50">
        <f t="shared" ca="1" si="550"/>
        <v>58316.210676858187</v>
      </c>
      <c r="QC21" s="50">
        <f t="shared" ca="1" si="551"/>
        <v>60125.292521445561</v>
      </c>
      <c r="QD21" s="50">
        <f t="shared" ca="1" si="552"/>
        <v>60533.287118698725</v>
      </c>
      <c r="QE21" s="50">
        <f t="shared" ca="1" si="553"/>
        <v>59504.595413488329</v>
      </c>
      <c r="QF21" s="50">
        <f t="shared" ca="1" si="554"/>
        <v>59241.567038011621</v>
      </c>
      <c r="QG21" s="50">
        <f t="shared" ca="1" si="555"/>
        <v>53956.56343422184</v>
      </c>
      <c r="QH21" s="50">
        <f t="shared" ca="1" si="556"/>
        <v>61707.481433521039</v>
      </c>
      <c r="QI21" s="50">
        <f t="shared" ca="1" si="557"/>
        <v>57268.409206910197</v>
      </c>
      <c r="QJ21" s="50">
        <f t="shared" ca="1" si="558"/>
        <v>57711.671919630724</v>
      </c>
      <c r="QK21" s="50">
        <f t="shared" ca="1" si="559"/>
        <v>58766.585203015122</v>
      </c>
      <c r="QL21" s="50">
        <f t="shared" ca="1" si="560"/>
        <v>62849.13796006098</v>
      </c>
      <c r="QM21" s="50">
        <f t="shared" ca="1" si="561"/>
        <v>51551.9628132859</v>
      </c>
      <c r="QN21" s="50">
        <f t="shared" ca="1" si="562"/>
        <v>56053.087197172186</v>
      </c>
      <c r="QO21" s="50">
        <f t="shared" ca="1" si="563"/>
        <v>63671.406163839718</v>
      </c>
      <c r="QP21" s="50">
        <f t="shared" ca="1" si="564"/>
        <v>54369.587738288683</v>
      </c>
      <c r="QQ21" s="50">
        <f t="shared" ca="1" si="565"/>
        <v>62795.183479066727</v>
      </c>
      <c r="QR21" s="50">
        <f t="shared" ca="1" si="566"/>
        <v>55938.806828255743</v>
      </c>
      <c r="QS21" s="50">
        <f t="shared" ca="1" si="567"/>
        <v>59611.501910855586</v>
      </c>
      <c r="QT21" s="50">
        <f t="shared" ca="1" si="568"/>
        <v>52834.545923263446</v>
      </c>
      <c r="QU21" s="50">
        <f t="shared" ca="1" si="569"/>
        <v>52153.420202437548</v>
      </c>
      <c r="QV21" s="50">
        <f t="shared" ca="1" si="570"/>
        <v>57339.975065313731</v>
      </c>
      <c r="QW21" s="50">
        <f t="shared" ca="1" si="571"/>
        <v>53607.266678180218</v>
      </c>
      <c r="QX21" s="50">
        <f t="shared" ca="1" si="572"/>
        <v>57896.308975504864</v>
      </c>
      <c r="QY21" s="50">
        <f t="shared" ca="1" si="573"/>
        <v>55038.588615375011</v>
      </c>
      <c r="QZ21" s="50">
        <f t="shared" ca="1" si="574"/>
        <v>57938.866043781629</v>
      </c>
      <c r="RA21" s="50">
        <f t="shared" ca="1" si="575"/>
        <v>56282.593448666048</v>
      </c>
      <c r="RB21" s="50">
        <f t="shared" ca="1" si="576"/>
        <v>62339.742940464021</v>
      </c>
      <c r="RC21" s="50">
        <f t="shared" ca="1" si="577"/>
        <v>59344.583818493033</v>
      </c>
      <c r="RD21" s="50">
        <f t="shared" ca="1" si="578"/>
        <v>54195.279348973796</v>
      </c>
      <c r="RE21" s="50">
        <f t="shared" ca="1" si="579"/>
        <v>54720.941339737219</v>
      </c>
      <c r="RF21" s="50">
        <f t="shared" ca="1" si="580"/>
        <v>52854.541249162983</v>
      </c>
      <c r="RG21" s="50">
        <f t="shared" ca="1" si="581"/>
        <v>55307.332182953651</v>
      </c>
      <c r="RH21" s="50">
        <f t="shared" ca="1" si="582"/>
        <v>62871.945091054113</v>
      </c>
      <c r="RI21" s="50">
        <f t="shared" ca="1" si="583"/>
        <v>57367.759222390865</v>
      </c>
      <c r="RJ21" s="50">
        <f t="shared" ca="1" si="584"/>
        <v>60117.154730371592</v>
      </c>
      <c r="RK21" s="50">
        <f t="shared" ca="1" si="585"/>
        <v>58617.711562711091</v>
      </c>
      <c r="RL21" s="50">
        <f t="shared" ca="1" si="586"/>
        <v>57202.819811949179</v>
      </c>
      <c r="RM21" s="50">
        <f t="shared" ca="1" si="587"/>
        <v>62153.159185587552</v>
      </c>
      <c r="RN21" s="50">
        <f t="shared" ca="1" si="588"/>
        <v>57627.764011731437</v>
      </c>
      <c r="RO21" s="50">
        <f t="shared" ca="1" si="589"/>
        <v>55578.97216182205</v>
      </c>
      <c r="RP21" s="50">
        <f t="shared" ca="1" si="590"/>
        <v>60213.830790023647</v>
      </c>
      <c r="RQ21" s="50">
        <f t="shared" ca="1" si="591"/>
        <v>59987.662107696051</v>
      </c>
      <c r="RR21" s="50">
        <f t="shared" ca="1" si="592"/>
        <v>55833.560967887657</v>
      </c>
      <c r="RS21" s="50">
        <f t="shared" ca="1" si="593"/>
        <v>64003.499186354966</v>
      </c>
      <c r="RT21" s="50">
        <f t="shared" ca="1" si="594"/>
        <v>60930.553416230898</v>
      </c>
      <c r="RU21" s="50">
        <f t="shared" ca="1" si="595"/>
        <v>57006.889889265301</v>
      </c>
      <c r="RV21" s="50">
        <f t="shared" ca="1" si="596"/>
        <v>58028.056210044924</v>
      </c>
      <c r="RW21" s="50">
        <f t="shared" ca="1" si="597"/>
        <v>56784.063819584699</v>
      </c>
      <c r="RX21" s="50">
        <f t="shared" ca="1" si="598"/>
        <v>54290.00766614962</v>
      </c>
      <c r="RY21" s="50">
        <f t="shared" ca="1" si="599"/>
        <v>56359.425554305562</v>
      </c>
      <c r="RZ21" s="50">
        <f t="shared" ca="1" si="600"/>
        <v>55619.618895495507</v>
      </c>
      <c r="SA21" s="50">
        <f t="shared" ca="1" si="601"/>
        <v>55603.753891884851</v>
      </c>
      <c r="SB21" s="50">
        <f t="shared" ca="1" si="602"/>
        <v>55990.53313431047</v>
      </c>
      <c r="SC21" s="50">
        <f t="shared" ca="1" si="603"/>
        <v>56074.753654810789</v>
      </c>
      <c r="SD21" s="50">
        <f t="shared" ca="1" si="604"/>
        <v>56146.687636126808</v>
      </c>
      <c r="SE21" s="50">
        <f t="shared" ca="1" si="605"/>
        <v>66208.142471691564</v>
      </c>
      <c r="SF21" s="50">
        <f t="shared" ca="1" si="606"/>
        <v>60493.710205204457</v>
      </c>
      <c r="SG21" s="50">
        <f t="shared" ca="1" si="607"/>
        <v>59907.369880103142</v>
      </c>
      <c r="SH21" s="50">
        <f t="shared" ca="1" si="608"/>
        <v>56128.956589382171</v>
      </c>
      <c r="SI21" s="50">
        <f t="shared" ca="1" si="609"/>
        <v>53978.457590962498</v>
      </c>
      <c r="SJ21" s="50">
        <f t="shared" ca="1" si="610"/>
        <v>52585.95546975435</v>
      </c>
      <c r="SK21" s="50">
        <f t="shared" ca="1" si="611"/>
        <v>65702.493241884105</v>
      </c>
      <c r="SL21" s="50">
        <f t="shared" ca="1" si="612"/>
        <v>51202.448898182818</v>
      </c>
      <c r="SM21" s="50">
        <f t="shared" ca="1" si="613"/>
        <v>57907.02860318125</v>
      </c>
      <c r="SN21" s="50">
        <f t="shared" ca="1" si="614"/>
        <v>64409.459159481819</v>
      </c>
      <c r="SO21" s="50">
        <f t="shared" ca="1" si="615"/>
        <v>57237.530844123845</v>
      </c>
      <c r="SP21" s="50">
        <f t="shared" ca="1" si="616"/>
        <v>59975.007962947755</v>
      </c>
      <c r="SQ21" s="50">
        <f t="shared" ca="1" si="617"/>
        <v>56558.541224355606</v>
      </c>
      <c r="SR21" s="50">
        <f t="shared" ca="1" si="618"/>
        <v>56464.161794975393</v>
      </c>
      <c r="SS21" s="50">
        <f t="shared" ca="1" si="619"/>
        <v>55763.096553956049</v>
      </c>
      <c r="ST21" s="50">
        <f t="shared" ca="1" si="620"/>
        <v>58988.308339955634</v>
      </c>
      <c r="SU21" s="50">
        <f t="shared" ca="1" si="621"/>
        <v>56686.599887746641</v>
      </c>
      <c r="SV21" s="50">
        <f t="shared" ca="1" si="622"/>
        <v>59836.607095504645</v>
      </c>
      <c r="SW21" s="50">
        <f t="shared" ca="1" si="623"/>
        <v>56344.887730281778</v>
      </c>
      <c r="SX21" s="50">
        <f t="shared" ca="1" si="624"/>
        <v>57765.220748453678</v>
      </c>
      <c r="SY21" s="50">
        <f t="shared" ca="1" si="625"/>
        <v>53608.876052734609</v>
      </c>
      <c r="SZ21" s="50">
        <f t="shared" ca="1" si="626"/>
        <v>60791.333350716181</v>
      </c>
      <c r="TA21" s="50">
        <f t="shared" ca="1" si="627"/>
        <v>58462.943373887596</v>
      </c>
      <c r="TB21" s="50">
        <f t="shared" ca="1" si="628"/>
        <v>58963.80412545264</v>
      </c>
      <c r="TC21" s="50">
        <f t="shared" ca="1" si="629"/>
        <v>56343.493309382335</v>
      </c>
      <c r="TD21" s="50">
        <f t="shared" ca="1" si="630"/>
        <v>62423.786463016178</v>
      </c>
      <c r="TE21" s="50">
        <f t="shared" ca="1" si="631"/>
        <v>52786.332782429032</v>
      </c>
      <c r="TF21" s="50">
        <f t="shared" ca="1" si="632"/>
        <v>57658.926243398608</v>
      </c>
      <c r="TG21" s="50">
        <f t="shared" ca="1" si="633"/>
        <v>57791.757560240585</v>
      </c>
      <c r="TH21" s="50">
        <f t="shared" ca="1" si="634"/>
        <v>60383.331685819736</v>
      </c>
      <c r="TI21" s="50">
        <f t="shared" ca="1" si="635"/>
        <v>54170.655756656182</v>
      </c>
      <c r="TJ21" s="50">
        <f t="shared" ca="1" si="636"/>
        <v>61730.747352898936</v>
      </c>
      <c r="TK21" s="50">
        <f t="shared" ca="1" si="637"/>
        <v>56560.532658539567</v>
      </c>
      <c r="TL21" s="50">
        <f t="shared" ca="1" si="638"/>
        <v>60954.444818242089</v>
      </c>
      <c r="TM21" s="50">
        <f t="shared" ca="1" si="639"/>
        <v>57722.493449161047</v>
      </c>
      <c r="TN21" s="50">
        <f t="shared" ca="1" si="640"/>
        <v>53356.557773803615</v>
      </c>
      <c r="TO21" s="50">
        <f t="shared" ca="1" si="641"/>
        <v>57944.030079744647</v>
      </c>
      <c r="TP21" s="50">
        <f t="shared" ca="1" si="642"/>
        <v>53990.157190341175</v>
      </c>
      <c r="TQ21" s="50">
        <f t="shared" ca="1" si="643"/>
        <v>60663.094945832694</v>
      </c>
      <c r="TR21" s="50">
        <f t="shared" ca="1" si="644"/>
        <v>56357.109045956429</v>
      </c>
      <c r="TS21" s="50">
        <f t="shared" ca="1" si="645"/>
        <v>58267.970851721751</v>
      </c>
      <c r="TT21" s="50">
        <f t="shared" ca="1" si="646"/>
        <v>52953.059704256062</v>
      </c>
      <c r="TU21" s="50">
        <f t="shared" ca="1" si="647"/>
        <v>60083.429911358893</v>
      </c>
      <c r="TV21" s="50">
        <f t="shared" ca="1" si="648"/>
        <v>60780.878377227906</v>
      </c>
      <c r="TW21" s="50">
        <f t="shared" ca="1" si="649"/>
        <v>53042.307596275685</v>
      </c>
      <c r="TX21" s="50">
        <f t="shared" ca="1" si="650"/>
        <v>57112.003785511013</v>
      </c>
      <c r="TY21" s="50">
        <f t="shared" ca="1" si="651"/>
        <v>55254.448041993113</v>
      </c>
      <c r="TZ21" s="50">
        <f t="shared" ca="1" si="652"/>
        <v>59036.93549027187</v>
      </c>
      <c r="UA21" s="50">
        <f t="shared" ca="1" si="653"/>
        <v>59369.925314765591</v>
      </c>
      <c r="UB21" s="50">
        <f t="shared" ca="1" si="654"/>
        <v>56259.78267813268</v>
      </c>
      <c r="UC21" s="50">
        <f t="shared" ca="1" si="655"/>
        <v>63465.684858303233</v>
      </c>
      <c r="UD21" s="50">
        <f t="shared" ca="1" si="656"/>
        <v>60187.850386373386</v>
      </c>
      <c r="UE21" s="50">
        <f t="shared" ca="1" si="657"/>
        <v>56832.500274178812</v>
      </c>
      <c r="UF21" s="50">
        <f t="shared" ca="1" si="658"/>
        <v>59139.175340775437</v>
      </c>
      <c r="UG21" s="50">
        <f t="shared" ca="1" si="659"/>
        <v>53640.840802969462</v>
      </c>
      <c r="UH21" s="50">
        <f t="shared" ca="1" si="660"/>
        <v>55738.669815665446</v>
      </c>
      <c r="UI21" s="50">
        <f t="shared" ca="1" si="661"/>
        <v>58159.211149193397</v>
      </c>
      <c r="UJ21" s="50">
        <f t="shared" ca="1" si="662"/>
        <v>57853.068492573155</v>
      </c>
      <c r="UK21" s="50">
        <f t="shared" ca="1" si="663"/>
        <v>57088.170115498688</v>
      </c>
      <c r="UL21" s="50">
        <f t="shared" ca="1" si="664"/>
        <v>56591.246451663792</v>
      </c>
      <c r="UM21" s="50">
        <f t="shared" ca="1" si="665"/>
        <v>62937.061054372251</v>
      </c>
      <c r="UN21" s="50">
        <f t="shared" ca="1" si="666"/>
        <v>56660.049373571834</v>
      </c>
      <c r="UO21" s="50">
        <f t="shared" ca="1" si="667"/>
        <v>57602.567337764442</v>
      </c>
      <c r="UP21" s="50">
        <f t="shared" ca="1" si="668"/>
        <v>58469.930006611743</v>
      </c>
      <c r="UQ21" s="50">
        <f t="shared" ca="1" si="669"/>
        <v>58754.726169889283</v>
      </c>
      <c r="UR21" s="50">
        <f t="shared" ca="1" si="670"/>
        <v>60821.33072070605</v>
      </c>
      <c r="US21" s="50">
        <f t="shared" ca="1" si="671"/>
        <v>58080.202109436555</v>
      </c>
      <c r="UT21" s="50">
        <f t="shared" ca="1" si="672"/>
        <v>51789.046821615193</v>
      </c>
      <c r="UU21" s="50">
        <f t="shared" ca="1" si="673"/>
        <v>56026.756433613024</v>
      </c>
      <c r="UV21" s="50">
        <f t="shared" ca="1" si="674"/>
        <v>56317.183865126681</v>
      </c>
      <c r="UW21" s="50">
        <f t="shared" ca="1" si="675"/>
        <v>56784.244543666515</v>
      </c>
      <c r="UX21" s="50">
        <f t="shared" ca="1" si="676"/>
        <v>59982.889644055685</v>
      </c>
      <c r="UY21" s="50">
        <f t="shared" ca="1" si="677"/>
        <v>56281.660662840513</v>
      </c>
      <c r="UZ21" s="50">
        <f t="shared" ca="1" si="678"/>
        <v>63913.419538517315</v>
      </c>
      <c r="VA21" s="50">
        <f t="shared" ca="1" si="679"/>
        <v>62111.741561884315</v>
      </c>
      <c r="VB21" s="50">
        <f t="shared" ca="1" si="680"/>
        <v>56888.219127958255</v>
      </c>
      <c r="VC21" s="50">
        <f t="shared" ca="1" si="681"/>
        <v>55708.722888712517</v>
      </c>
      <c r="VD21" s="50">
        <f t="shared" ca="1" si="682"/>
        <v>61564.700949074955</v>
      </c>
      <c r="VE21" s="50">
        <f t="shared" ca="1" si="683"/>
        <v>52946.594176075654</v>
      </c>
      <c r="VF21" s="50">
        <f t="shared" ca="1" si="684"/>
        <v>60399.200835924144</v>
      </c>
      <c r="VG21" s="50">
        <f t="shared" ca="1" si="685"/>
        <v>59278.748371001166</v>
      </c>
      <c r="VH21" s="50">
        <f t="shared" ca="1" si="686"/>
        <v>58987.435878120341</v>
      </c>
      <c r="VI21" s="50">
        <f t="shared" ca="1" si="687"/>
        <v>61337.08503587282</v>
      </c>
      <c r="VJ21" s="50">
        <f t="shared" ca="1" si="688"/>
        <v>61082.863766372189</v>
      </c>
      <c r="VK21" s="50">
        <f t="shared" ca="1" si="689"/>
        <v>60108.542634765065</v>
      </c>
      <c r="VL21" s="50">
        <f t="shared" ca="1" si="690"/>
        <v>55455.488275453259</v>
      </c>
      <c r="VM21" s="50">
        <f t="shared" ca="1" si="691"/>
        <v>61066.225088577216</v>
      </c>
      <c r="VN21" s="50">
        <f t="shared" ca="1" si="692"/>
        <v>59402.5338687654</v>
      </c>
      <c r="VO21" s="50">
        <f t="shared" ca="1" si="693"/>
        <v>64064.4562983738</v>
      </c>
      <c r="VP21" s="50">
        <f t="shared" ca="1" si="694"/>
        <v>55505.729233608712</v>
      </c>
      <c r="VQ21" s="50">
        <f t="shared" ca="1" si="695"/>
        <v>59008.371777134606</v>
      </c>
      <c r="VR21" s="50">
        <f t="shared" ca="1" si="696"/>
        <v>61473.149526364141</v>
      </c>
      <c r="VS21" s="50">
        <f t="shared" ca="1" si="697"/>
        <v>68404.813746827596</v>
      </c>
      <c r="VT21" s="50">
        <f t="shared" ca="1" si="698"/>
        <v>55366.889535201342</v>
      </c>
      <c r="VU21" s="50">
        <f t="shared" ca="1" si="699"/>
        <v>53292.182322181608</v>
      </c>
      <c r="VV21" s="50">
        <f t="shared" ca="1" si="700"/>
        <v>56831.773760164739</v>
      </c>
      <c r="VW21" s="50">
        <f t="shared" ca="1" si="701"/>
        <v>54381.531270608553</v>
      </c>
      <c r="VX21" s="50">
        <f t="shared" ca="1" si="702"/>
        <v>59551.186089600742</v>
      </c>
      <c r="VY21" s="50">
        <f t="shared" ca="1" si="703"/>
        <v>52738.158936337888</v>
      </c>
      <c r="VZ21" s="50">
        <f t="shared" ca="1" si="704"/>
        <v>58003.944439291256</v>
      </c>
      <c r="WA21" s="50">
        <f t="shared" ca="1" si="705"/>
        <v>55201.556135260646</v>
      </c>
      <c r="WB21" s="50">
        <f t="shared" ca="1" si="706"/>
        <v>55131.60764898733</v>
      </c>
      <c r="WC21" s="50">
        <f t="shared" ca="1" si="707"/>
        <v>59721.697380797006</v>
      </c>
      <c r="WD21" s="50">
        <f t="shared" ca="1" si="708"/>
        <v>60036.880568950786</v>
      </c>
      <c r="WE21" s="50">
        <f t="shared" ca="1" si="709"/>
        <v>59761.562193486126</v>
      </c>
      <c r="WF21" s="50">
        <f t="shared" ca="1" si="710"/>
        <v>64072.519902981403</v>
      </c>
      <c r="WG21" s="50">
        <f t="shared" ca="1" si="711"/>
        <v>58527.973726691824</v>
      </c>
      <c r="WH21" s="50">
        <f t="shared" ca="1" si="712"/>
        <v>59795.388958673393</v>
      </c>
      <c r="WI21" s="50">
        <f t="shared" ca="1" si="713"/>
        <v>60580.042743674334</v>
      </c>
      <c r="WJ21" s="50">
        <f t="shared" ca="1" si="714"/>
        <v>55160.371533328565</v>
      </c>
      <c r="WK21" s="50">
        <f t="shared" ca="1" si="715"/>
        <v>61901.124573099711</v>
      </c>
      <c r="WL21" s="50">
        <f t="shared" ca="1" si="716"/>
        <v>61146.048728800743</v>
      </c>
      <c r="WM21" s="50">
        <f t="shared" ca="1" si="717"/>
        <v>59290.787098880763</v>
      </c>
      <c r="WN21" s="50">
        <f t="shared" ca="1" si="718"/>
        <v>55041.782430826039</v>
      </c>
      <c r="WO21" s="50">
        <f t="shared" ca="1" si="719"/>
        <v>62044.728350859674</v>
      </c>
      <c r="WP21" s="50">
        <f t="shared" ca="1" si="720"/>
        <v>57816.495028582358</v>
      </c>
      <c r="WQ21" s="50">
        <f t="shared" ca="1" si="721"/>
        <v>53372.483810631442</v>
      </c>
      <c r="WR21" s="50">
        <f t="shared" ca="1" si="722"/>
        <v>58951.946953968822</v>
      </c>
      <c r="WS21" s="50">
        <f t="shared" ca="1" si="723"/>
        <v>56276.755461023757</v>
      </c>
      <c r="WT21" s="50">
        <f t="shared" ca="1" si="724"/>
        <v>61713.643891926942</v>
      </c>
      <c r="WU21" s="50">
        <f t="shared" ca="1" si="725"/>
        <v>64864.134674181994</v>
      </c>
      <c r="WV21" s="50">
        <f t="shared" ca="1" si="726"/>
        <v>57433.768736794955</v>
      </c>
      <c r="WW21" s="50">
        <f t="shared" ca="1" si="727"/>
        <v>61895.616961244465</v>
      </c>
      <c r="WX21" s="50">
        <f t="shared" ca="1" si="728"/>
        <v>53007.06539003631</v>
      </c>
      <c r="WY21" s="50">
        <f t="shared" ca="1" si="729"/>
        <v>54452.090784366439</v>
      </c>
      <c r="WZ21" s="50">
        <f t="shared" ca="1" si="730"/>
        <v>57239.699766830476</v>
      </c>
      <c r="XA21" s="50">
        <f t="shared" ca="1" si="731"/>
        <v>62254.548024618722</v>
      </c>
      <c r="XB21" s="50">
        <f t="shared" ca="1" si="732"/>
        <v>62156.740227973751</v>
      </c>
      <c r="XC21" s="50">
        <f t="shared" ca="1" si="733"/>
        <v>63744.610829821147</v>
      </c>
      <c r="XD21" s="50">
        <f t="shared" ca="1" si="734"/>
        <v>58267.172893263298</v>
      </c>
      <c r="XE21" s="50">
        <f t="shared" ca="1" si="735"/>
        <v>58799.27212986278</v>
      </c>
      <c r="XF21" s="50">
        <f t="shared" ca="1" si="736"/>
        <v>59924.52234264696</v>
      </c>
      <c r="XG21" s="50">
        <f t="shared" ca="1" si="737"/>
        <v>53244.814804414142</v>
      </c>
      <c r="XH21" s="50">
        <f t="shared" ca="1" si="738"/>
        <v>55417.505470751224</v>
      </c>
      <c r="XI21" s="50">
        <f t="shared" ca="1" si="739"/>
        <v>57362.13739296807</v>
      </c>
      <c r="XJ21" s="50">
        <f t="shared" ca="1" si="740"/>
        <v>53271.094722545706</v>
      </c>
      <c r="XK21" s="50">
        <f t="shared" ca="1" si="741"/>
        <v>58033.725909562294</v>
      </c>
      <c r="XL21" s="50">
        <f t="shared" ca="1" si="742"/>
        <v>60965.515283884793</v>
      </c>
      <c r="XM21" s="50">
        <f t="shared" ca="1" si="743"/>
        <v>62696.738239686572</v>
      </c>
      <c r="XN21" s="50">
        <f t="shared" ca="1" si="744"/>
        <v>55781.402379670064</v>
      </c>
      <c r="XO21" s="50">
        <f t="shared" ca="1" si="745"/>
        <v>60198.96770994713</v>
      </c>
      <c r="XP21" s="50">
        <f t="shared" ca="1" si="746"/>
        <v>55626.485966899992</v>
      </c>
      <c r="XQ21" s="50">
        <f t="shared" ca="1" si="747"/>
        <v>59639.07691564288</v>
      </c>
      <c r="XR21" s="50">
        <f t="shared" ca="1" si="748"/>
        <v>67987.637208669461</v>
      </c>
      <c r="XS21" s="50">
        <f t="shared" ca="1" si="749"/>
        <v>59860.837609861162</v>
      </c>
      <c r="XT21" s="50">
        <f t="shared" ca="1" si="750"/>
        <v>59330.656177157078</v>
      </c>
      <c r="XU21" s="50">
        <f t="shared" ca="1" si="751"/>
        <v>54376.146439854085</v>
      </c>
      <c r="XV21" s="50">
        <f t="shared" ca="1" si="752"/>
        <v>57152.439376761351</v>
      </c>
      <c r="XW21" s="50">
        <f t="shared" ca="1" si="753"/>
        <v>55981.850975676367</v>
      </c>
      <c r="XX21" s="50">
        <f t="shared" ca="1" si="754"/>
        <v>62355.972681966618</v>
      </c>
      <c r="XY21" s="50">
        <f t="shared" ca="1" si="755"/>
        <v>52358.247761219842</v>
      </c>
      <c r="XZ21" s="50">
        <f t="shared" ca="1" si="756"/>
        <v>64413.163490232939</v>
      </c>
      <c r="YA21" s="50">
        <f t="shared" ca="1" si="757"/>
        <v>59020.146476147733</v>
      </c>
      <c r="YB21" s="50">
        <f t="shared" ca="1" si="758"/>
        <v>62876.718859405431</v>
      </c>
      <c r="YC21" s="50">
        <f t="shared" ca="1" si="759"/>
        <v>57985.490765852985</v>
      </c>
      <c r="YD21" s="50">
        <f t="shared" ca="1" si="760"/>
        <v>55218.001234882591</v>
      </c>
      <c r="YE21" s="50">
        <f t="shared" ca="1" si="761"/>
        <v>58222.256659112711</v>
      </c>
      <c r="YF21" s="50">
        <f t="shared" ca="1" si="762"/>
        <v>64808.411537311469</v>
      </c>
      <c r="YG21" s="50">
        <f t="shared" ca="1" si="763"/>
        <v>59261.254773851455</v>
      </c>
      <c r="YH21" s="50">
        <f t="shared" ca="1" si="764"/>
        <v>57797.421256994028</v>
      </c>
      <c r="YI21" s="50">
        <f t="shared" ca="1" si="765"/>
        <v>60413.828197511953</v>
      </c>
      <c r="YJ21" s="50">
        <f t="shared" ca="1" si="766"/>
        <v>62456.083515012848</v>
      </c>
      <c r="YK21" s="50">
        <f t="shared" ca="1" si="767"/>
        <v>60305.375391656875</v>
      </c>
      <c r="YL21" s="50">
        <f t="shared" ca="1" si="768"/>
        <v>55199.626712692792</v>
      </c>
      <c r="YM21" s="50">
        <f t="shared" ca="1" si="769"/>
        <v>59622.763138239963</v>
      </c>
      <c r="YN21" s="50">
        <f t="shared" ca="1" si="770"/>
        <v>56140.252864431779</v>
      </c>
      <c r="YO21" s="50">
        <f t="shared" ca="1" si="771"/>
        <v>57677.651761155466</v>
      </c>
      <c r="YP21" s="50">
        <f t="shared" ca="1" si="772"/>
        <v>54825.977134633365</v>
      </c>
      <c r="YQ21" s="50">
        <f t="shared" ca="1" si="773"/>
        <v>58579.991383842091</v>
      </c>
      <c r="YR21" s="50">
        <f t="shared" ca="1" si="774"/>
        <v>56366.267063615109</v>
      </c>
      <c r="YS21" s="50">
        <f t="shared" ca="1" si="775"/>
        <v>64200.541447185002</v>
      </c>
      <c r="YT21" s="50">
        <f t="shared" ca="1" si="776"/>
        <v>55696.735711663452</v>
      </c>
      <c r="YU21" s="50">
        <f t="shared" ca="1" si="777"/>
        <v>66094.914968497265</v>
      </c>
      <c r="YV21" s="50">
        <f t="shared" ca="1" si="778"/>
        <v>53888.931382677518</v>
      </c>
      <c r="YW21" s="50">
        <f t="shared" ca="1" si="779"/>
        <v>56886.404975020232</v>
      </c>
      <c r="YX21" s="50">
        <f t="shared" ca="1" si="780"/>
        <v>60068.906464342494</v>
      </c>
      <c r="YY21" s="50">
        <f t="shared" ca="1" si="781"/>
        <v>55954.37636000714</v>
      </c>
      <c r="YZ21" s="50">
        <f t="shared" ca="1" si="782"/>
        <v>54979.23227701307</v>
      </c>
      <c r="ZA21" s="50">
        <f t="shared" ca="1" si="783"/>
        <v>61062.568348804984</v>
      </c>
      <c r="ZB21" s="50">
        <f t="shared" ca="1" si="784"/>
        <v>55680.653543128748</v>
      </c>
      <c r="ZC21" s="50">
        <f t="shared" ca="1" si="785"/>
        <v>57013.444417491679</v>
      </c>
      <c r="ZD21" s="50">
        <f t="shared" ca="1" si="786"/>
        <v>55816.124740047555</v>
      </c>
      <c r="ZE21" s="50">
        <f t="shared" ca="1" si="787"/>
        <v>57413.557969215508</v>
      </c>
      <c r="ZF21" s="50">
        <f t="shared" ca="1" si="788"/>
        <v>58989.920832833581</v>
      </c>
      <c r="ZG21" s="50">
        <f t="shared" ca="1" si="789"/>
        <v>58725.494086176477</v>
      </c>
      <c r="ZH21" s="50">
        <f t="shared" ca="1" si="790"/>
        <v>55591.896285791743</v>
      </c>
      <c r="ZI21" s="50">
        <f t="shared" ca="1" si="791"/>
        <v>55436.728040166658</v>
      </c>
      <c r="ZJ21" s="50">
        <f t="shared" ca="1" si="792"/>
        <v>57938.836844668294</v>
      </c>
      <c r="ZK21" s="50">
        <f t="shared" ca="1" si="793"/>
        <v>54587.753490762363</v>
      </c>
      <c r="ZL21" s="50">
        <f t="shared" ca="1" si="794"/>
        <v>52849.245238243115</v>
      </c>
      <c r="ZM21" s="50">
        <f t="shared" ca="1" si="795"/>
        <v>59252.200226394314</v>
      </c>
      <c r="ZN21" s="50">
        <f t="shared" ca="1" si="796"/>
        <v>55281.347052732155</v>
      </c>
      <c r="ZO21" s="50">
        <f t="shared" ca="1" si="797"/>
        <v>56025.902361519926</v>
      </c>
      <c r="ZP21" s="50">
        <f t="shared" ca="1" si="798"/>
        <v>59256.693045248059</v>
      </c>
      <c r="ZQ21" s="50">
        <f t="shared" ca="1" si="799"/>
        <v>58466.281304382595</v>
      </c>
      <c r="ZR21" s="50">
        <f t="shared" ca="1" si="800"/>
        <v>58733.7143687676</v>
      </c>
      <c r="ZS21" s="50">
        <f t="shared" ca="1" si="801"/>
        <v>65927.772445709241</v>
      </c>
      <c r="ZT21" s="50">
        <f t="shared" ca="1" si="802"/>
        <v>59748.161145717866</v>
      </c>
      <c r="ZU21" s="50">
        <f t="shared" ca="1" si="803"/>
        <v>56832.316811394907</v>
      </c>
      <c r="ZV21" s="50">
        <f t="shared" ca="1" si="804"/>
        <v>56899.697903649285</v>
      </c>
      <c r="ZW21" s="50">
        <f t="shared" ca="1" si="805"/>
        <v>53092.096954670698</v>
      </c>
      <c r="ZX21" s="50">
        <f t="shared" ca="1" si="806"/>
        <v>61625.478863025113</v>
      </c>
      <c r="ZY21" s="50">
        <f t="shared" ca="1" si="807"/>
        <v>52452.099167153407</v>
      </c>
      <c r="ZZ21" s="50">
        <f t="shared" ca="1" si="808"/>
        <v>63985.213701566739</v>
      </c>
      <c r="AAA21" s="50">
        <f t="shared" ca="1" si="809"/>
        <v>52657.096980220202</v>
      </c>
      <c r="AAB21" s="50">
        <f t="shared" ca="1" si="810"/>
        <v>55520.72922487661</v>
      </c>
      <c r="AAC21" s="50">
        <f t="shared" ca="1" si="811"/>
        <v>56243.641215033829</v>
      </c>
      <c r="AAD21" s="50">
        <f t="shared" ca="1" si="812"/>
        <v>60099.961958062777</v>
      </c>
      <c r="AAE21" s="50">
        <f t="shared" ca="1" si="813"/>
        <v>57858.88659190575</v>
      </c>
      <c r="AAF21" s="50">
        <f t="shared" ca="1" si="814"/>
        <v>54058.799722641656</v>
      </c>
      <c r="AAG21" s="50">
        <f t="shared" ca="1" si="815"/>
        <v>61032.990661553129</v>
      </c>
      <c r="AAH21" s="50">
        <f t="shared" ca="1" si="816"/>
        <v>57313.987133169991</v>
      </c>
      <c r="AAI21" s="50">
        <f t="shared" ca="1" si="817"/>
        <v>55890.972344729787</v>
      </c>
      <c r="AAJ21" s="50">
        <f t="shared" ca="1" si="818"/>
        <v>54251.441650249319</v>
      </c>
      <c r="AAK21" s="50">
        <f t="shared" ca="1" si="819"/>
        <v>59580.689492366248</v>
      </c>
      <c r="AAL21" s="50">
        <f t="shared" ca="1" si="820"/>
        <v>56768.137088243202</v>
      </c>
      <c r="AAM21" s="50">
        <f t="shared" ca="1" si="821"/>
        <v>59686.596788524061</v>
      </c>
      <c r="AAN21" s="50">
        <f t="shared" ca="1" si="822"/>
        <v>58177.394853196907</v>
      </c>
      <c r="AAO21" s="50">
        <f t="shared" ca="1" si="823"/>
        <v>53123.838402035006</v>
      </c>
      <c r="AAP21" s="50">
        <f t="shared" ca="1" si="824"/>
        <v>54724.789854070652</v>
      </c>
      <c r="AAQ21" s="50">
        <f t="shared" ca="1" si="825"/>
        <v>55633.195987342631</v>
      </c>
      <c r="AAR21" s="50">
        <f t="shared" ca="1" si="826"/>
        <v>56580.211432486627</v>
      </c>
      <c r="AAS21" s="50">
        <f t="shared" ca="1" si="827"/>
        <v>53359.856513436716</v>
      </c>
      <c r="AAT21" s="50">
        <f t="shared" ca="1" si="828"/>
        <v>55407.628165413218</v>
      </c>
      <c r="AAU21" s="50">
        <f t="shared" ca="1" si="829"/>
        <v>58781.768655498163</v>
      </c>
      <c r="AAV21" s="50">
        <f t="shared" ca="1" si="830"/>
        <v>55435.299661980069</v>
      </c>
      <c r="AAW21" s="50">
        <f t="shared" ca="1" si="831"/>
        <v>60580.092125072711</v>
      </c>
      <c r="AAX21" s="50">
        <f t="shared" ca="1" si="832"/>
        <v>61501.663566155265</v>
      </c>
      <c r="AAY21" s="50">
        <f t="shared" ca="1" si="833"/>
        <v>58121.698014165813</v>
      </c>
      <c r="AAZ21" s="50">
        <f t="shared" ca="1" si="834"/>
        <v>57733.377323527093</v>
      </c>
      <c r="ABA21" s="50">
        <f t="shared" ca="1" si="835"/>
        <v>53310.823342316857</v>
      </c>
      <c r="ABB21" s="50">
        <f t="shared" ca="1" si="836"/>
        <v>61395.4764756191</v>
      </c>
      <c r="ABC21" s="50">
        <f t="shared" ca="1" si="837"/>
        <v>55915.98915215661</v>
      </c>
      <c r="ABD21" s="50">
        <f t="shared" ca="1" si="838"/>
        <v>56152.799299423641</v>
      </c>
      <c r="ABE21" s="50">
        <f t="shared" ca="1" si="839"/>
        <v>59316.976800849974</v>
      </c>
      <c r="ABF21" s="50">
        <f t="shared" ca="1" si="840"/>
        <v>60932.74716416571</v>
      </c>
      <c r="ABG21" s="50">
        <f t="shared" ca="1" si="841"/>
        <v>61543.413560917063</v>
      </c>
      <c r="ABH21" s="50">
        <f t="shared" ca="1" si="842"/>
        <v>55342.092457355269</v>
      </c>
      <c r="ABI21" s="50">
        <f t="shared" ca="1" si="843"/>
        <v>59143.544627537434</v>
      </c>
      <c r="ABJ21" s="50">
        <f t="shared" ca="1" si="844"/>
        <v>60822.244375390692</v>
      </c>
      <c r="ABK21" s="50">
        <f t="shared" ca="1" si="845"/>
        <v>59792.991157474127</v>
      </c>
      <c r="ABL21" s="50">
        <f t="shared" ca="1" si="846"/>
        <v>58826.608124449027</v>
      </c>
      <c r="ABM21" s="50">
        <f t="shared" ca="1" si="847"/>
        <v>55252.709700440791</v>
      </c>
      <c r="ABN21" s="50">
        <f t="shared" ca="1" si="848"/>
        <v>54881.481093028669</v>
      </c>
      <c r="ABO21" s="50">
        <f t="shared" ca="1" si="849"/>
        <v>54775.797679298557</v>
      </c>
      <c r="ABP21" s="50">
        <f t="shared" ca="1" si="850"/>
        <v>54005.412146665192</v>
      </c>
      <c r="ABQ21" s="50">
        <f t="shared" ca="1" si="851"/>
        <v>57391.751292063258</v>
      </c>
      <c r="ABR21" s="50">
        <f t="shared" ca="1" si="852"/>
        <v>55397.888429995124</v>
      </c>
      <c r="ABS21" s="50">
        <f t="shared" ca="1" si="853"/>
        <v>58503.224033943312</v>
      </c>
      <c r="ABT21" s="50">
        <f t="shared" ca="1" si="854"/>
        <v>54973.644593176949</v>
      </c>
      <c r="ABU21" s="50">
        <f t="shared" ca="1" si="855"/>
        <v>56143.702020756238</v>
      </c>
      <c r="ABV21" s="50">
        <f t="shared" ca="1" si="856"/>
        <v>57781.85964966473</v>
      </c>
      <c r="ABW21" s="50">
        <f t="shared" ca="1" si="857"/>
        <v>53446.088085952731</v>
      </c>
      <c r="ABX21" s="50">
        <f t="shared" ca="1" si="858"/>
        <v>63402.340796689692</v>
      </c>
      <c r="ABY21" s="50">
        <f t="shared" ca="1" si="859"/>
        <v>58039.770613605135</v>
      </c>
      <c r="ABZ21" s="50">
        <f t="shared" ca="1" si="860"/>
        <v>51395.604340490725</v>
      </c>
      <c r="ACA21" s="50">
        <f t="shared" ca="1" si="861"/>
        <v>62590.894652853611</v>
      </c>
      <c r="ACB21" s="50">
        <f t="shared" ca="1" si="862"/>
        <v>57806.347096259626</v>
      </c>
      <c r="ACC21" s="50">
        <f t="shared" ca="1" si="863"/>
        <v>57202.630820255283</v>
      </c>
      <c r="ACD21" s="50">
        <f t="shared" ca="1" si="864"/>
        <v>57249.273280949899</v>
      </c>
      <c r="ACE21" s="50">
        <f t="shared" ca="1" si="865"/>
        <v>58517.756272077873</v>
      </c>
      <c r="ACF21" s="50">
        <f t="shared" ca="1" si="866"/>
        <v>63575.871548640214</v>
      </c>
      <c r="ACG21" s="50">
        <f t="shared" ca="1" si="867"/>
        <v>66229.187456391446</v>
      </c>
      <c r="ACH21" s="50">
        <f t="shared" ca="1" si="868"/>
        <v>60513.783419546664</v>
      </c>
      <c r="ACI21" s="50">
        <f t="shared" ca="1" si="869"/>
        <v>57560.053694454946</v>
      </c>
      <c r="ACJ21" s="50">
        <f t="shared" ca="1" si="870"/>
        <v>56212.97835305387</v>
      </c>
      <c r="ACK21" s="50">
        <f t="shared" ca="1" si="871"/>
        <v>57360.945092412818</v>
      </c>
      <c r="ACL21" s="50">
        <f t="shared" ca="1" si="872"/>
        <v>60186.375172616426</v>
      </c>
      <c r="ACM21" s="50">
        <f t="shared" ca="1" si="873"/>
        <v>55751.141420243097</v>
      </c>
      <c r="ACN21" s="50">
        <f t="shared" ca="1" si="874"/>
        <v>56661.69558882725</v>
      </c>
      <c r="ACO21" s="50">
        <f t="shared" ca="1" si="875"/>
        <v>56824.574912621887</v>
      </c>
      <c r="ACP21" s="50">
        <f t="shared" ca="1" si="876"/>
        <v>56410.926056743177</v>
      </c>
      <c r="ACQ21" s="50">
        <f t="shared" ca="1" si="877"/>
        <v>50341.946437577164</v>
      </c>
      <c r="ACR21" s="50">
        <f t="shared" ca="1" si="878"/>
        <v>56209.548544682722</v>
      </c>
      <c r="ACS21" s="50">
        <f t="shared" ca="1" si="879"/>
        <v>54498.242207840471</v>
      </c>
      <c r="ACT21" s="50">
        <f t="shared" ca="1" si="880"/>
        <v>56346.954837854799</v>
      </c>
      <c r="ACU21" s="50">
        <f t="shared" ca="1" si="881"/>
        <v>55341.420632073678</v>
      </c>
      <c r="ACV21" s="50">
        <f t="shared" ca="1" si="882"/>
        <v>57058.220596662504</v>
      </c>
      <c r="ACW21" s="50">
        <f t="shared" ca="1" si="883"/>
        <v>57050.302119463289</v>
      </c>
      <c r="ACX21" s="50">
        <f t="shared" ca="1" si="884"/>
        <v>60801.95467226809</v>
      </c>
      <c r="ACY21" s="50">
        <f t="shared" ca="1" si="885"/>
        <v>56342.287972358317</v>
      </c>
      <c r="ACZ21" s="50">
        <f t="shared" ca="1" si="886"/>
        <v>55330.963795327581</v>
      </c>
      <c r="ADA21" s="50">
        <f t="shared" ca="1" si="887"/>
        <v>60163.674543641544</v>
      </c>
      <c r="ADB21" s="50">
        <f t="shared" ca="1" si="888"/>
        <v>58129.919910518918</v>
      </c>
      <c r="ADC21" s="50">
        <f t="shared" ca="1" si="889"/>
        <v>59141.512733033305</v>
      </c>
      <c r="ADD21" s="50">
        <f t="shared" ca="1" si="890"/>
        <v>54771.712695167844</v>
      </c>
      <c r="ADE21" s="50">
        <f t="shared" ca="1" si="891"/>
        <v>52245.548819777287</v>
      </c>
      <c r="ADF21" s="50">
        <f t="shared" ca="1" si="892"/>
        <v>53216.621910161513</v>
      </c>
      <c r="ADG21" s="50">
        <f t="shared" ca="1" si="893"/>
        <v>61909.905288649432</v>
      </c>
      <c r="ADH21" s="50">
        <f t="shared" ca="1" si="894"/>
        <v>53778.586059720481</v>
      </c>
      <c r="ADI21" s="50">
        <f t="shared" ca="1" si="895"/>
        <v>51396.610961857732</v>
      </c>
      <c r="ADJ21" s="50">
        <f t="shared" ca="1" si="896"/>
        <v>59507.94259626951</v>
      </c>
      <c r="ADK21" s="50">
        <f t="shared" ca="1" si="897"/>
        <v>60006.180069182592</v>
      </c>
      <c r="ADL21" s="50">
        <f t="shared" ca="1" si="898"/>
        <v>58960.954090589992</v>
      </c>
      <c r="ADM21" s="50">
        <f t="shared" ca="1" si="899"/>
        <v>56244.490174039005</v>
      </c>
      <c r="ADN21" s="50">
        <f t="shared" ca="1" si="900"/>
        <v>61035.012312551429</v>
      </c>
      <c r="ADO21" s="50">
        <f t="shared" ca="1" si="901"/>
        <v>54029.374608913677</v>
      </c>
      <c r="ADP21" s="50">
        <f t="shared" ca="1" si="902"/>
        <v>59048.245585222248</v>
      </c>
      <c r="ADQ21" s="50">
        <f t="shared" ca="1" si="903"/>
        <v>52885.7690598013</v>
      </c>
      <c r="ADR21" s="50">
        <f t="shared" ca="1" si="904"/>
        <v>50874.823531999915</v>
      </c>
      <c r="ADS21" s="50">
        <f t="shared" ca="1" si="905"/>
        <v>58935.627548753204</v>
      </c>
      <c r="ADT21" s="50">
        <f t="shared" ca="1" si="906"/>
        <v>59534.934304035472</v>
      </c>
      <c r="ADU21" s="50">
        <f t="shared" ca="1" si="907"/>
        <v>58578.387066995943</v>
      </c>
      <c r="ADV21" s="50">
        <f t="shared" ca="1" si="908"/>
        <v>59408.486569151326</v>
      </c>
      <c r="ADW21" s="50">
        <f t="shared" ca="1" si="909"/>
        <v>56679.144150281958</v>
      </c>
      <c r="ADX21" s="50">
        <f t="shared" ca="1" si="910"/>
        <v>56596.16995162877</v>
      </c>
      <c r="ADY21" s="50">
        <f t="shared" ca="1" si="911"/>
        <v>57178.046665844515</v>
      </c>
      <c r="ADZ21" s="50">
        <f t="shared" ca="1" si="912"/>
        <v>57059.076669096707</v>
      </c>
      <c r="AEA21" s="50">
        <f t="shared" ca="1" si="913"/>
        <v>56704.007866944303</v>
      </c>
      <c r="AEB21" s="50">
        <f t="shared" ca="1" si="914"/>
        <v>61746.854641678932</v>
      </c>
      <c r="AEC21" s="50">
        <f t="shared" ca="1" si="915"/>
        <v>64485.679465132293</v>
      </c>
      <c r="AED21" s="50">
        <f t="shared" ca="1" si="916"/>
        <v>61393.366756220748</v>
      </c>
      <c r="AEE21" s="50">
        <f t="shared" ca="1" si="917"/>
        <v>55289.797522771194</v>
      </c>
      <c r="AEF21" s="50">
        <f t="shared" ca="1" si="918"/>
        <v>58991.238659159273</v>
      </c>
      <c r="AEG21" s="50">
        <f t="shared" ca="1" si="919"/>
        <v>54969.669565202981</v>
      </c>
      <c r="AEH21" s="50">
        <f t="shared" ca="1" si="920"/>
        <v>60300.199983953156</v>
      </c>
      <c r="AEI21" s="50">
        <f t="shared" ca="1" si="921"/>
        <v>59867.095082755222</v>
      </c>
      <c r="AEJ21" s="50">
        <f t="shared" ca="1" si="922"/>
        <v>56284.983929041548</v>
      </c>
      <c r="AEK21" s="50">
        <f t="shared" ca="1" si="923"/>
        <v>54183.374606734578</v>
      </c>
      <c r="AEL21" s="50">
        <f t="shared" ca="1" si="924"/>
        <v>58021.898799865936</v>
      </c>
      <c r="AEM21" s="50">
        <f t="shared" ca="1" si="925"/>
        <v>59211.895312637032</v>
      </c>
      <c r="AEN21" s="50">
        <f t="shared" ca="1" si="926"/>
        <v>61678.995884828648</v>
      </c>
      <c r="AEO21" s="50">
        <f t="shared" ca="1" si="927"/>
        <v>58187.389537101939</v>
      </c>
      <c r="AEP21" s="50">
        <f t="shared" ca="1" si="928"/>
        <v>56976.035759681465</v>
      </c>
      <c r="AEQ21" s="50">
        <f t="shared" ca="1" si="929"/>
        <v>61437.74431623242</v>
      </c>
      <c r="AER21" s="50">
        <f t="shared" ca="1" si="930"/>
        <v>58620.316379796488</v>
      </c>
      <c r="AES21" s="50">
        <f t="shared" ca="1" si="931"/>
        <v>56417.882692704734</v>
      </c>
      <c r="AET21" s="50">
        <f t="shared" ca="1" si="932"/>
        <v>59295.964996701463</v>
      </c>
      <c r="AEU21" s="50">
        <f t="shared" ca="1" si="933"/>
        <v>62786.946483444939</v>
      </c>
      <c r="AEV21" s="50">
        <f t="shared" ca="1" si="934"/>
        <v>60387.201530899256</v>
      </c>
      <c r="AEW21" s="50">
        <f t="shared" ca="1" si="935"/>
        <v>62328.888106773826</v>
      </c>
      <c r="AEX21" s="50">
        <f t="shared" ca="1" si="936"/>
        <v>55574.238934194116</v>
      </c>
      <c r="AEY21" s="50">
        <f t="shared" ca="1" si="937"/>
        <v>61981.497303443815</v>
      </c>
      <c r="AEZ21" s="50">
        <f t="shared" ca="1" si="938"/>
        <v>53721.55592290582</v>
      </c>
      <c r="AFA21" s="50">
        <f t="shared" ca="1" si="939"/>
        <v>58698.831377632159</v>
      </c>
      <c r="AFB21" s="50">
        <f t="shared" ca="1" si="940"/>
        <v>60266.693499330817</v>
      </c>
      <c r="AFC21" s="50">
        <f t="shared" ca="1" si="941"/>
        <v>62963.869582081439</v>
      </c>
      <c r="AFD21" s="50">
        <f t="shared" ca="1" si="942"/>
        <v>62667.675916671142</v>
      </c>
      <c r="AFE21" s="50">
        <f t="shared" ca="1" si="943"/>
        <v>53538.578096013596</v>
      </c>
      <c r="AFF21" s="50">
        <f t="shared" ca="1" si="944"/>
        <v>56700.408301891817</v>
      </c>
      <c r="AFG21" s="50">
        <f t="shared" ca="1" si="945"/>
        <v>51674.330241389362</v>
      </c>
      <c r="AFH21" s="50">
        <f t="shared" ca="1" si="946"/>
        <v>54453.198777990583</v>
      </c>
      <c r="AFI21" s="50">
        <f t="shared" ca="1" si="947"/>
        <v>61534.798767689324</v>
      </c>
      <c r="AFJ21" s="50">
        <f t="shared" ca="1" si="948"/>
        <v>56356.701482015094</v>
      </c>
      <c r="AFK21" s="50">
        <f t="shared" ca="1" si="949"/>
        <v>56564.082617913366</v>
      </c>
      <c r="AFL21" s="50">
        <f t="shared" ca="1" si="950"/>
        <v>59478.346602031561</v>
      </c>
      <c r="AFM21" s="50">
        <f t="shared" ca="1" si="951"/>
        <v>59886.630390385078</v>
      </c>
      <c r="AFN21" s="50">
        <f t="shared" ca="1" si="952"/>
        <v>56679.523922187931</v>
      </c>
      <c r="AFO21" s="50">
        <f t="shared" ca="1" si="953"/>
        <v>63255.385357555271</v>
      </c>
      <c r="AFP21" s="50">
        <f t="shared" ca="1" si="954"/>
        <v>57843.737407430177</v>
      </c>
      <c r="AFQ21" s="50">
        <f t="shared" ca="1" si="955"/>
        <v>59883.074711089168</v>
      </c>
      <c r="AFR21" s="50">
        <f t="shared" ca="1" si="956"/>
        <v>52582.187666775499</v>
      </c>
      <c r="AFS21" s="50">
        <f t="shared" ca="1" si="957"/>
        <v>54398.823906452162</v>
      </c>
      <c r="AFT21" s="50">
        <f t="shared" ca="1" si="958"/>
        <v>60284.609116353873</v>
      </c>
      <c r="AFU21" s="50">
        <f t="shared" ca="1" si="959"/>
        <v>57191.784497549619</v>
      </c>
      <c r="AFV21" s="50">
        <f t="shared" ca="1" si="960"/>
        <v>58322.245752797484</v>
      </c>
      <c r="AFW21" s="50">
        <f t="shared" ca="1" si="961"/>
        <v>59551.484751302749</v>
      </c>
      <c r="AFX21" s="50">
        <f t="shared" ca="1" si="962"/>
        <v>53894.020417859974</v>
      </c>
      <c r="AFY21" s="50">
        <f t="shared" ca="1" si="963"/>
        <v>63016.883225185687</v>
      </c>
      <c r="AFZ21" s="50">
        <f t="shared" ca="1" si="964"/>
        <v>61765.831723679119</v>
      </c>
      <c r="AGA21" s="50">
        <f t="shared" ca="1" si="965"/>
        <v>58716.650696044693</v>
      </c>
      <c r="AGB21" s="50">
        <f t="shared" ca="1" si="966"/>
        <v>60873.778570278962</v>
      </c>
      <c r="AGC21" s="50">
        <f t="shared" ca="1" si="967"/>
        <v>58194.14734968431</v>
      </c>
      <c r="AGD21" s="50">
        <f t="shared" ca="1" si="968"/>
        <v>63309.914531482005</v>
      </c>
      <c r="AGE21" s="50">
        <f t="shared" ca="1" si="969"/>
        <v>53376.29441267786</v>
      </c>
      <c r="AGF21" s="50">
        <f t="shared" ca="1" si="970"/>
        <v>53395.887821132317</v>
      </c>
      <c r="AGG21" s="50">
        <f t="shared" ca="1" si="971"/>
        <v>55944.478717278755</v>
      </c>
      <c r="AGH21" s="50">
        <f t="shared" ca="1" si="972"/>
        <v>62422.927063063937</v>
      </c>
      <c r="AGI21" s="50">
        <f t="shared" ca="1" si="973"/>
        <v>55011.094186665876</v>
      </c>
      <c r="AGJ21" s="50">
        <f t="shared" ca="1" si="974"/>
        <v>58000.146342386819</v>
      </c>
      <c r="AGK21" s="50">
        <f t="shared" ca="1" si="975"/>
        <v>62773.453364043708</v>
      </c>
      <c r="AGL21" s="50">
        <f t="shared" ca="1" si="976"/>
        <v>53305.476351541991</v>
      </c>
      <c r="AGM21" s="50">
        <f t="shared" ca="1" si="977"/>
        <v>56217.280609330461</v>
      </c>
      <c r="AGN21" s="50">
        <f t="shared" ca="1" si="978"/>
        <v>58077.089878921528</v>
      </c>
      <c r="AGO21" s="50">
        <f t="shared" ca="1" si="979"/>
        <v>56542.133236876994</v>
      </c>
      <c r="AGP21" s="50">
        <f t="shared" ca="1" si="980"/>
        <v>59633.613874871997</v>
      </c>
      <c r="AGQ21" s="50">
        <f t="shared" ca="1" si="981"/>
        <v>59978.905973734058</v>
      </c>
      <c r="AGR21" s="50">
        <f t="shared" ca="1" si="982"/>
        <v>53575.982977948108</v>
      </c>
      <c r="AGS21" s="50">
        <f t="shared" ca="1" si="983"/>
        <v>60652.540755277529</v>
      </c>
      <c r="AGT21" s="50">
        <f t="shared" ca="1" si="984"/>
        <v>59756.796543091667</v>
      </c>
      <c r="AGU21" s="50">
        <f t="shared" ca="1" si="985"/>
        <v>60749.390188125224</v>
      </c>
      <c r="AGV21" s="50">
        <f t="shared" ca="1" si="986"/>
        <v>59857.068329861817</v>
      </c>
      <c r="AGW21" s="50">
        <f t="shared" ca="1" si="987"/>
        <v>59380.745031220227</v>
      </c>
      <c r="AGX21" s="50">
        <f t="shared" ca="1" si="988"/>
        <v>56813.164090665523</v>
      </c>
      <c r="AGY21" s="50">
        <f t="shared" ca="1" si="989"/>
        <v>62422.306624970915</v>
      </c>
      <c r="AGZ21" s="50">
        <f t="shared" ca="1" si="990"/>
        <v>59203.715349889681</v>
      </c>
      <c r="AHA21" s="50">
        <f t="shared" ca="1" si="991"/>
        <v>61955.655919322875</v>
      </c>
      <c r="AHB21" s="50">
        <f t="shared" ca="1" si="992"/>
        <v>57802.095662043896</v>
      </c>
      <c r="AHC21" s="50">
        <f t="shared" ca="1" si="993"/>
        <v>65724.784899702761</v>
      </c>
      <c r="AHD21" s="50">
        <f t="shared" ca="1" si="994"/>
        <v>51821.320497017943</v>
      </c>
      <c r="AHE21" s="50">
        <f t="shared" ca="1" si="995"/>
        <v>57397.189487032054</v>
      </c>
      <c r="AHF21" s="50">
        <f t="shared" ca="1" si="996"/>
        <v>57969.89450777242</v>
      </c>
      <c r="AHG21" s="50">
        <f t="shared" ca="1" si="997"/>
        <v>60462.8157346109</v>
      </c>
      <c r="AHH21" s="50">
        <f t="shared" ca="1" si="998"/>
        <v>60317.843518357273</v>
      </c>
      <c r="AHI21" s="50">
        <f t="shared" ca="1" si="999"/>
        <v>53813.78160608231</v>
      </c>
      <c r="AHJ21" s="50">
        <f t="shared" ca="1" si="1000"/>
        <v>61946.382730248093</v>
      </c>
      <c r="AHK21" s="50">
        <f t="shared" ca="1" si="1001"/>
        <v>57395.157703582838</v>
      </c>
      <c r="AHL21" s="50">
        <f t="shared" ca="1" si="1002"/>
        <v>55980.405746052063</v>
      </c>
      <c r="AHM21" s="50">
        <f t="shared" ca="1" si="1003"/>
        <v>58166.701996961725</v>
      </c>
      <c r="AHN21" s="50">
        <f t="shared" ca="1" si="1004"/>
        <v>64709.476948156676</v>
      </c>
      <c r="AHO21" s="50">
        <f t="shared" ca="1" si="1005"/>
        <v>57041.060710717014</v>
      </c>
      <c r="AHP21" s="50">
        <f t="shared" ca="1" si="1006"/>
        <v>55740.031100958768</v>
      </c>
      <c r="AHQ21" s="50">
        <f t="shared" ca="1" si="1007"/>
        <v>56775.742776118488</v>
      </c>
      <c r="AHR21" s="50">
        <f t="shared" ca="1" si="1008"/>
        <v>59874.526429375772</v>
      </c>
      <c r="AHS21" s="50">
        <f t="shared" ca="1" si="1009"/>
        <v>54074.985087950714</v>
      </c>
      <c r="AHT21" s="50">
        <f t="shared" ca="1" si="1010"/>
        <v>58871.061514781868</v>
      </c>
      <c r="AHU21" s="50">
        <f t="shared" ca="1" si="1011"/>
        <v>57157.505827799076</v>
      </c>
      <c r="AHV21" s="50">
        <f t="shared" ca="1" si="1012"/>
        <v>54944.577293801543</v>
      </c>
      <c r="AHW21" s="50">
        <f t="shared" ca="1" si="1013"/>
        <v>53355.296591548293</v>
      </c>
      <c r="AHX21" s="50">
        <f t="shared" ca="1" si="1014"/>
        <v>61475.614728765526</v>
      </c>
      <c r="AHY21" s="50">
        <f t="shared" ca="1" si="1015"/>
        <v>64631.238266471417</v>
      </c>
      <c r="AHZ21" s="50">
        <f t="shared" ca="1" si="1016"/>
        <v>58140.49962326348</v>
      </c>
      <c r="AIA21" s="50">
        <f t="shared" ca="1" si="1017"/>
        <v>54735.691291904455</v>
      </c>
      <c r="AIB21" s="50">
        <f t="shared" ca="1" si="1018"/>
        <v>53124.814153236752</v>
      </c>
      <c r="AIC21" s="50">
        <f t="shared" ca="1" si="1019"/>
        <v>56871.505096238958</v>
      </c>
      <c r="AID21" s="50">
        <f t="shared" ca="1" si="1020"/>
        <v>58989.06679090859</v>
      </c>
      <c r="AIE21" s="50">
        <f t="shared" ca="1" si="1021"/>
        <v>56382.052441773543</v>
      </c>
      <c r="AIF21" s="50">
        <f t="shared" ca="1" si="1022"/>
        <v>58533.353089339209</v>
      </c>
      <c r="AIG21" s="50">
        <f t="shared" ca="1" si="1023"/>
        <v>55930.106484555799</v>
      </c>
      <c r="AIH21" s="50">
        <f t="shared" ca="1" si="1024"/>
        <v>64111.470161333375</v>
      </c>
      <c r="AII21" s="50">
        <f t="shared" ca="1" si="1025"/>
        <v>55460.940013477797</v>
      </c>
      <c r="AIJ21" s="50">
        <f t="shared" ca="1" si="1026"/>
        <v>58393.656326946788</v>
      </c>
      <c r="AIK21" s="50">
        <f t="shared" ca="1" si="1027"/>
        <v>56747.546362011679</v>
      </c>
      <c r="AIL21" s="50">
        <f t="shared" ca="1" si="1028"/>
        <v>61340.944962818838</v>
      </c>
      <c r="AIM21" s="50">
        <f t="shared" ca="1" si="1029"/>
        <v>60651.526186437717</v>
      </c>
      <c r="AIN21" s="50">
        <f t="shared" ca="1" si="1030"/>
        <v>59990.797642740283</v>
      </c>
      <c r="AIO21" s="50">
        <f t="shared" ca="1" si="1031"/>
        <v>56378.384467102827</v>
      </c>
      <c r="AIP21" s="50">
        <f t="shared" ca="1" si="1032"/>
        <v>61824.854051932925</v>
      </c>
      <c r="AIQ21" s="50">
        <f t="shared" ca="1" si="1033"/>
        <v>55393.592465084439</v>
      </c>
      <c r="AIR21" s="50">
        <f t="shared" ca="1" si="1034"/>
        <v>55747.802655435014</v>
      </c>
      <c r="AIS21" s="50">
        <f t="shared" ca="1" si="1035"/>
        <v>59870.533097070947</v>
      </c>
      <c r="AIT21" s="50">
        <f t="shared" ca="1" si="1036"/>
        <v>52508.061532289357</v>
      </c>
      <c r="AIU21" s="50">
        <f t="shared" ca="1" si="1037"/>
        <v>60068.685063108038</v>
      </c>
      <c r="AIV21" s="50">
        <f t="shared" ca="1" si="1038"/>
        <v>53564.184782950339</v>
      </c>
      <c r="AIW21" s="50">
        <f t="shared" ca="1" si="1039"/>
        <v>56733.729242055873</v>
      </c>
      <c r="AIX21" s="50">
        <f t="shared" ca="1" si="1040"/>
        <v>60300.917393419419</v>
      </c>
      <c r="AIY21" s="50">
        <f t="shared" ca="1" si="1041"/>
        <v>51985.261223208698</v>
      </c>
      <c r="AIZ21" s="50">
        <f t="shared" ca="1" si="1042"/>
        <v>62758.573692575941</v>
      </c>
      <c r="AJA21" s="50">
        <f t="shared" ca="1" si="1043"/>
        <v>62313.487581009809</v>
      </c>
      <c r="AJB21" s="50">
        <f t="shared" ca="1" si="1044"/>
        <v>61300.132477095336</v>
      </c>
      <c r="AJC21" s="50">
        <f t="shared" ca="1" si="1045"/>
        <v>57780.19930095732</v>
      </c>
      <c r="AJD21" s="50">
        <f t="shared" ca="1" si="1046"/>
        <v>55762.807175190072</v>
      </c>
      <c r="AJE21" s="50">
        <f t="shared" ca="1" si="1047"/>
        <v>61065.601501218436</v>
      </c>
      <c r="AJF21" s="50">
        <f t="shared" ca="1" si="1048"/>
        <v>64297.309492662185</v>
      </c>
      <c r="AJG21" s="50">
        <f t="shared" ca="1" si="1049"/>
        <v>64543.430189289444</v>
      </c>
      <c r="AJH21" s="50">
        <f t="shared" ca="1" si="1050"/>
        <v>59604.940114227356</v>
      </c>
      <c r="AJI21" s="50">
        <f t="shared" ca="1" si="1051"/>
        <v>55031.045635210729</v>
      </c>
      <c r="AJJ21" s="50">
        <f t="shared" ca="1" si="1052"/>
        <v>67523.330165727224</v>
      </c>
      <c r="AJK21" s="50">
        <f t="shared" ca="1" si="1053"/>
        <v>51049.003065104844</v>
      </c>
      <c r="AJL21" s="50">
        <f t="shared" ca="1" si="1054"/>
        <v>59452.238089197461</v>
      </c>
      <c r="AJM21" s="50">
        <f t="shared" ca="1" si="1055"/>
        <v>53049.90065332716</v>
      </c>
      <c r="AJN21" s="50">
        <f t="shared" ca="1" si="1056"/>
        <v>60077.388370352644</v>
      </c>
      <c r="AJO21" s="50">
        <f t="shared" ca="1" si="1057"/>
        <v>56222.833008158566</v>
      </c>
      <c r="AJP21" s="50">
        <f t="shared" ca="1" si="1058"/>
        <v>58841.930520507711</v>
      </c>
      <c r="AJQ21" s="50">
        <f t="shared" ca="1" si="1059"/>
        <v>61676.574497776048</v>
      </c>
      <c r="AJR21" s="50">
        <f t="shared" ca="1" si="1060"/>
        <v>59360.996406911989</v>
      </c>
      <c r="AJS21" s="50">
        <f t="shared" ca="1" si="1061"/>
        <v>57683.243059876419</v>
      </c>
      <c r="AJT21" s="50">
        <f t="shared" ca="1" si="1062"/>
        <v>55547.681181578337</v>
      </c>
      <c r="AJU21" s="50">
        <f t="shared" ca="1" si="1063"/>
        <v>58174.643256456198</v>
      </c>
      <c r="AJV21" s="50">
        <f t="shared" ca="1" si="1064"/>
        <v>55038.383683785847</v>
      </c>
      <c r="AJW21" s="50">
        <f t="shared" ca="1" si="1065"/>
        <v>54193.983438382114</v>
      </c>
      <c r="AJX21" s="50">
        <f t="shared" ca="1" si="1066"/>
        <v>56769.912231709939</v>
      </c>
      <c r="AJY21" s="50">
        <f t="shared" ca="1" si="1067"/>
        <v>55868.195683822931</v>
      </c>
      <c r="AJZ21" s="50">
        <f t="shared" ca="1" si="1068"/>
        <v>56052.973195834376</v>
      </c>
      <c r="AKA21" s="50">
        <f t="shared" ca="1" si="1069"/>
        <v>60606.834348848599</v>
      </c>
      <c r="AKB21" s="50">
        <f t="shared" ca="1" si="1070"/>
        <v>55320.738261485283</v>
      </c>
      <c r="AKC21" s="50">
        <f t="shared" ca="1" si="1071"/>
        <v>57652.383261489529</v>
      </c>
      <c r="AKD21" s="50">
        <f t="shared" ca="1" si="1072"/>
        <v>61968.337950703593</v>
      </c>
      <c r="AKE21" s="50">
        <f t="shared" ca="1" si="1073"/>
        <v>58116.38314200563</v>
      </c>
      <c r="AKF21" s="50">
        <f t="shared" ca="1" si="1074"/>
        <v>55462.900277906658</v>
      </c>
      <c r="AKG21" s="50">
        <f t="shared" ca="1" si="1075"/>
        <v>60798.682682640574</v>
      </c>
      <c r="AKH21" s="50">
        <f t="shared" ca="1" si="1076"/>
        <v>57482.153444256903</v>
      </c>
      <c r="AKI21" s="50">
        <f t="shared" ca="1" si="1077"/>
        <v>63451.04378538749</v>
      </c>
      <c r="AKJ21" s="50">
        <f t="shared" ca="1" si="1078"/>
        <v>63067.229757555426</v>
      </c>
      <c r="AKK21" s="50">
        <f t="shared" ca="1" si="1079"/>
        <v>57872.656245162791</v>
      </c>
      <c r="AKL21" s="50">
        <f t="shared" ca="1" si="1080"/>
        <v>58062.244245066162</v>
      </c>
      <c r="AKM21" s="50">
        <f t="shared" ca="1" si="1081"/>
        <v>58759.319356815882</v>
      </c>
      <c r="AKN21" s="50">
        <f t="shared" ca="1" si="1082"/>
        <v>57815.0088909314</v>
      </c>
      <c r="AKO21" s="50">
        <f t="shared" ca="1" si="1083"/>
        <v>56123.292777736002</v>
      </c>
      <c r="AKP21" s="50">
        <f t="shared" ca="1" si="1084"/>
        <v>64038.099920527529</v>
      </c>
      <c r="AKQ21" s="50">
        <f t="shared" ca="1" si="1085"/>
        <v>54680.536015442871</v>
      </c>
      <c r="AKR21" s="50">
        <f t="shared" ca="1" si="1086"/>
        <v>54637.297490526638</v>
      </c>
      <c r="AKS21" s="50">
        <f t="shared" ca="1" si="1087"/>
        <v>52777.506619774547</v>
      </c>
      <c r="AKT21" s="50">
        <f t="shared" ca="1" si="1088"/>
        <v>56878.915820003211</v>
      </c>
      <c r="AKU21" s="50">
        <f t="shared" ca="1" si="1089"/>
        <v>61226.76926728047</v>
      </c>
      <c r="AKV21" s="50">
        <f t="shared" ca="1" si="1090"/>
        <v>57059.359397883265</v>
      </c>
      <c r="AKW21" s="50">
        <f t="shared" ca="1" si="1091"/>
        <v>62845.825340780859</v>
      </c>
      <c r="AKX21" s="50">
        <f t="shared" ca="1" si="1092"/>
        <v>63821.025572461382</v>
      </c>
      <c r="AKY21" s="50">
        <f t="shared" ca="1" si="1093"/>
        <v>59883.659962010548</v>
      </c>
      <c r="AKZ21" s="50">
        <f t="shared" ca="1" si="1094"/>
        <v>57613.068861607739</v>
      </c>
      <c r="ALA21" s="50">
        <f t="shared" ca="1" si="1095"/>
        <v>56292.04587377725</v>
      </c>
      <c r="ALB21" s="50">
        <f t="shared" ca="1" si="1096"/>
        <v>58100.127817790097</v>
      </c>
      <c r="ALC21" s="50">
        <f t="shared" ca="1" si="1097"/>
        <v>59650.342873992093</v>
      </c>
      <c r="ALD21" s="50">
        <f t="shared" ca="1" si="1098"/>
        <v>57795.125200514885</v>
      </c>
      <c r="ALE21" s="50">
        <f t="shared" ca="1" si="1099"/>
        <v>53454.834987786875</v>
      </c>
      <c r="ALF21" s="50">
        <f t="shared" ca="1" si="1100"/>
        <v>55890.928035257632</v>
      </c>
      <c r="ALG21" s="50">
        <f t="shared" ca="1" si="1101"/>
        <v>55937.82980625506</v>
      </c>
      <c r="ALH21" s="50">
        <f t="shared" ca="1" si="1102"/>
        <v>54578.747082319627</v>
      </c>
      <c r="ALI21" s="50">
        <f t="shared" ca="1" si="1103"/>
        <v>56522.376637757072</v>
      </c>
      <c r="ALJ21" s="50">
        <f t="shared" ca="1" si="1104"/>
        <v>64654.505702889146</v>
      </c>
      <c r="ALK21" s="50">
        <f t="shared" ca="1" si="1105"/>
        <v>58742.711014245964</v>
      </c>
      <c r="ALL21" s="50">
        <f t="shared" ca="1" si="1106"/>
        <v>59273.304741160311</v>
      </c>
      <c r="ALM21" s="50">
        <f t="shared" ca="1" si="1107"/>
        <v>52964.310822194398</v>
      </c>
      <c r="ALN21" s="50">
        <f t="shared" ca="1" si="1108"/>
        <v>55572.897794583805</v>
      </c>
      <c r="ALO21" s="50">
        <f t="shared" ca="1" si="1109"/>
        <v>64898.29740857421</v>
      </c>
      <c r="ALP21" s="50">
        <f t="shared" ca="1" si="1110"/>
        <v>55222.416049918167</v>
      </c>
      <c r="ALQ21" s="50">
        <f t="shared" ca="1" si="1111"/>
        <v>53730.943210866273</v>
      </c>
      <c r="ALR21" s="50">
        <f t="shared" ca="1" si="1112"/>
        <v>60660.15353077733</v>
      </c>
    </row>
    <row r="22" spans="1:1006" s="35" customFormat="1" x14ac:dyDescent="0.2">
      <c r="D22" s="48"/>
      <c r="E22" s="49"/>
      <c r="F22" s="32">
        <f t="shared" ref="F22:F31" si="1114">F21+1</f>
        <v>3</v>
      </c>
      <c r="G22" s="50">
        <f t="shared" ref="G22:G30" ca="1" si="1115">EXP(G6)*G21</f>
        <v>57012.068862914282</v>
      </c>
      <c r="H22" s="50">
        <f t="shared" ca="1" si="1113"/>
        <v>53526.904249753148</v>
      </c>
      <c r="I22" s="50">
        <f t="shared" ca="1" si="1113"/>
        <v>55215.568829742486</v>
      </c>
      <c r="J22" s="50">
        <f t="shared" ca="1" si="1113"/>
        <v>57995.659861289278</v>
      </c>
      <c r="K22" s="50">
        <f t="shared" ca="1" si="1113"/>
        <v>65233.850019292106</v>
      </c>
      <c r="L22" s="50">
        <f t="shared" ca="1" si="118"/>
        <v>65790.114400140606</v>
      </c>
      <c r="M22" s="50">
        <f t="shared" ca="1" si="119"/>
        <v>55837.411254760205</v>
      </c>
      <c r="N22" s="50">
        <f t="shared" ca="1" si="120"/>
        <v>59894.38478769418</v>
      </c>
      <c r="O22" s="50">
        <f t="shared" ca="1" si="121"/>
        <v>57665.32081018656</v>
      </c>
      <c r="P22" s="50">
        <f t="shared" ca="1" si="122"/>
        <v>56543.445775423985</v>
      </c>
      <c r="Q22" s="50">
        <f t="shared" ca="1" si="123"/>
        <v>52370.725928015374</v>
      </c>
      <c r="R22" s="50">
        <f t="shared" ca="1" si="124"/>
        <v>62958.726026310724</v>
      </c>
      <c r="S22" s="50">
        <f t="shared" ca="1" si="125"/>
        <v>59434.741244008103</v>
      </c>
      <c r="T22" s="50">
        <f t="shared" ca="1" si="126"/>
        <v>64899.014398173167</v>
      </c>
      <c r="U22" s="50">
        <f t="shared" ca="1" si="127"/>
        <v>57523.348994229695</v>
      </c>
      <c r="V22" s="50">
        <f t="shared" ca="1" si="128"/>
        <v>65297.324269579774</v>
      </c>
      <c r="W22" s="50">
        <f t="shared" ca="1" si="129"/>
        <v>54194.17816674296</v>
      </c>
      <c r="X22" s="50">
        <f t="shared" ca="1" si="130"/>
        <v>66155.178987554376</v>
      </c>
      <c r="Y22" s="50">
        <f t="shared" ca="1" si="131"/>
        <v>57624.20055684806</v>
      </c>
      <c r="Z22" s="50">
        <f t="shared" ca="1" si="132"/>
        <v>56534.494686914535</v>
      </c>
      <c r="AA22" s="50">
        <f t="shared" ca="1" si="133"/>
        <v>58624.242470139114</v>
      </c>
      <c r="AB22" s="50">
        <f t="shared" ca="1" si="134"/>
        <v>57304.450769546806</v>
      </c>
      <c r="AC22" s="50">
        <f t="shared" ca="1" si="135"/>
        <v>56193.990643203098</v>
      </c>
      <c r="AD22" s="50">
        <f t="shared" ca="1" si="136"/>
        <v>59150.345453001748</v>
      </c>
      <c r="AE22" s="50">
        <f t="shared" ca="1" si="137"/>
        <v>59931.426149185936</v>
      </c>
      <c r="AF22" s="50">
        <f t="shared" ca="1" si="138"/>
        <v>54213.746949176952</v>
      </c>
      <c r="AG22" s="50">
        <f t="shared" ca="1" si="139"/>
        <v>57509.309447835709</v>
      </c>
      <c r="AH22" s="50">
        <f t="shared" ca="1" si="140"/>
        <v>55396.490426138706</v>
      </c>
      <c r="AI22" s="50">
        <f t="shared" ca="1" si="141"/>
        <v>63236.955295872693</v>
      </c>
      <c r="AJ22" s="50">
        <f t="shared" ca="1" si="142"/>
        <v>60498.759834284865</v>
      </c>
      <c r="AK22" s="50">
        <f t="shared" ca="1" si="143"/>
        <v>61678.584830287611</v>
      </c>
      <c r="AL22" s="50">
        <f t="shared" ca="1" si="144"/>
        <v>58937.173929563243</v>
      </c>
      <c r="AM22" s="50">
        <f t="shared" ca="1" si="145"/>
        <v>51439.704474283382</v>
      </c>
      <c r="AN22" s="50">
        <f t="shared" ca="1" si="146"/>
        <v>51391.423538572606</v>
      </c>
      <c r="AO22" s="50">
        <f t="shared" ca="1" si="147"/>
        <v>65147.335056895114</v>
      </c>
      <c r="AP22" s="50">
        <f t="shared" ca="1" si="148"/>
        <v>59772.933784644505</v>
      </c>
      <c r="AQ22" s="50">
        <f t="shared" ca="1" si="149"/>
        <v>61017.33110731683</v>
      </c>
      <c r="AR22" s="50">
        <f t="shared" ca="1" si="150"/>
        <v>65302.731459840899</v>
      </c>
      <c r="AS22" s="50">
        <f t="shared" ca="1" si="151"/>
        <v>56170.74118790697</v>
      </c>
      <c r="AT22" s="50">
        <f t="shared" ca="1" si="152"/>
        <v>54160.357964025447</v>
      </c>
      <c r="AU22" s="50">
        <f t="shared" ca="1" si="153"/>
        <v>60756.397456462641</v>
      </c>
      <c r="AV22" s="50">
        <f t="shared" ca="1" si="154"/>
        <v>55355.003527817513</v>
      </c>
      <c r="AW22" s="50">
        <f t="shared" ca="1" si="155"/>
        <v>58635.312676573885</v>
      </c>
      <c r="AX22" s="50">
        <f t="shared" ca="1" si="156"/>
        <v>56860.687420379174</v>
      </c>
      <c r="AY22" s="50">
        <f t="shared" ca="1" si="157"/>
        <v>58281.266511871232</v>
      </c>
      <c r="AZ22" s="50">
        <f t="shared" ca="1" si="158"/>
        <v>57679.949816400956</v>
      </c>
      <c r="BA22" s="50">
        <f t="shared" ca="1" si="159"/>
        <v>58816.040138556709</v>
      </c>
      <c r="BB22" s="50">
        <f t="shared" ca="1" si="160"/>
        <v>58800.080981217856</v>
      </c>
      <c r="BC22" s="50">
        <f t="shared" ca="1" si="161"/>
        <v>61938.085426296107</v>
      </c>
      <c r="BD22" s="50">
        <f t="shared" ca="1" si="162"/>
        <v>60746.875456154696</v>
      </c>
      <c r="BE22" s="50">
        <f t="shared" ca="1" si="163"/>
        <v>61606.562712756015</v>
      </c>
      <c r="BF22" s="50">
        <f t="shared" ca="1" si="164"/>
        <v>58462.348384966906</v>
      </c>
      <c r="BG22" s="50">
        <f t="shared" ca="1" si="165"/>
        <v>53910.868018537993</v>
      </c>
      <c r="BH22" s="50">
        <f t="shared" ca="1" si="166"/>
        <v>60038.897245582026</v>
      </c>
      <c r="BI22" s="50">
        <f t="shared" ca="1" si="167"/>
        <v>65201.880351722051</v>
      </c>
      <c r="BJ22" s="50">
        <f t="shared" ca="1" si="168"/>
        <v>61170.691149395381</v>
      </c>
      <c r="BK22" s="50">
        <f t="shared" ca="1" si="169"/>
        <v>54034.243397337952</v>
      </c>
      <c r="BL22" s="50">
        <f t="shared" ca="1" si="170"/>
        <v>55396.825059297</v>
      </c>
      <c r="BM22" s="50">
        <f t="shared" ca="1" si="171"/>
        <v>59586.9434481098</v>
      </c>
      <c r="BN22" s="50">
        <f t="shared" ca="1" si="172"/>
        <v>55236.004059942541</v>
      </c>
      <c r="BO22" s="50">
        <f t="shared" ca="1" si="173"/>
        <v>56290.162654694635</v>
      </c>
      <c r="BP22" s="50">
        <f t="shared" ca="1" si="174"/>
        <v>58414.964048966438</v>
      </c>
      <c r="BQ22" s="50">
        <f t="shared" ca="1" si="175"/>
        <v>51820.16139160996</v>
      </c>
      <c r="BR22" s="50">
        <f t="shared" ca="1" si="176"/>
        <v>54378.481488660487</v>
      </c>
      <c r="BS22" s="50">
        <f t="shared" ca="1" si="177"/>
        <v>54031.728318045767</v>
      </c>
      <c r="BT22" s="50">
        <f t="shared" ca="1" si="178"/>
        <v>57794.350617392825</v>
      </c>
      <c r="BU22" s="50">
        <f t="shared" ca="1" si="179"/>
        <v>56499.008945512789</v>
      </c>
      <c r="BV22" s="50">
        <f t="shared" ca="1" si="180"/>
        <v>50959.25033206588</v>
      </c>
      <c r="BW22" s="50">
        <f t="shared" ca="1" si="181"/>
        <v>57823.471342425073</v>
      </c>
      <c r="BX22" s="50">
        <f t="shared" ca="1" si="182"/>
        <v>60669.060947727565</v>
      </c>
      <c r="BY22" s="50">
        <f t="shared" ca="1" si="183"/>
        <v>63102.253215613484</v>
      </c>
      <c r="BZ22" s="50">
        <f t="shared" ca="1" si="184"/>
        <v>48921.514109224925</v>
      </c>
      <c r="CA22" s="50">
        <f t="shared" ca="1" si="185"/>
        <v>57953.651419285277</v>
      </c>
      <c r="CB22" s="50">
        <f t="shared" ca="1" si="186"/>
        <v>57353.30126816401</v>
      </c>
      <c r="CC22" s="50">
        <f t="shared" ca="1" si="187"/>
        <v>60054.661518051929</v>
      </c>
      <c r="CD22" s="50">
        <f t="shared" ca="1" si="188"/>
        <v>56190.310021885976</v>
      </c>
      <c r="CE22" s="50">
        <f t="shared" ca="1" si="189"/>
        <v>54438.233797106332</v>
      </c>
      <c r="CF22" s="50">
        <f t="shared" ca="1" si="190"/>
        <v>59635.620928899436</v>
      </c>
      <c r="CG22" s="50">
        <f t="shared" ca="1" si="191"/>
        <v>60583.149952910615</v>
      </c>
      <c r="CH22" s="50">
        <f t="shared" ca="1" si="192"/>
        <v>51180.723754442901</v>
      </c>
      <c r="CI22" s="50">
        <f t="shared" ca="1" si="193"/>
        <v>57599.816495921848</v>
      </c>
      <c r="CJ22" s="50">
        <f t="shared" ca="1" si="194"/>
        <v>56071.008554717671</v>
      </c>
      <c r="CK22" s="50">
        <f t="shared" ca="1" si="195"/>
        <v>57731.595338890271</v>
      </c>
      <c r="CL22" s="50">
        <f t="shared" ca="1" si="196"/>
        <v>59255.885781387267</v>
      </c>
      <c r="CM22" s="50">
        <f t="shared" ca="1" si="197"/>
        <v>56022.359306649894</v>
      </c>
      <c r="CN22" s="50">
        <f t="shared" ca="1" si="198"/>
        <v>56505.507523892862</v>
      </c>
      <c r="CO22" s="50">
        <f t="shared" ca="1" si="199"/>
        <v>59981.344570246925</v>
      </c>
      <c r="CP22" s="50">
        <f t="shared" ca="1" si="200"/>
        <v>52890.686649950294</v>
      </c>
      <c r="CQ22" s="50">
        <f t="shared" ca="1" si="201"/>
        <v>55809.310883038335</v>
      </c>
      <c r="CR22" s="50">
        <f t="shared" ca="1" si="202"/>
        <v>58076.890692280584</v>
      </c>
      <c r="CS22" s="50">
        <f t="shared" ca="1" si="203"/>
        <v>60308.890031465307</v>
      </c>
      <c r="CT22" s="50">
        <f t="shared" ca="1" si="204"/>
        <v>59536.475747941018</v>
      </c>
      <c r="CU22" s="50">
        <f t="shared" ca="1" si="205"/>
        <v>55537.160881011419</v>
      </c>
      <c r="CV22" s="50">
        <f t="shared" ca="1" si="206"/>
        <v>50739.480138510553</v>
      </c>
      <c r="CW22" s="50">
        <f t="shared" ca="1" si="207"/>
        <v>55300.178392295995</v>
      </c>
      <c r="CX22" s="50">
        <f t="shared" ca="1" si="208"/>
        <v>62105.952157219261</v>
      </c>
      <c r="CY22" s="50">
        <f t="shared" ca="1" si="209"/>
        <v>57568.340023891826</v>
      </c>
      <c r="CZ22" s="50">
        <f t="shared" ca="1" si="210"/>
        <v>64679.317771121758</v>
      </c>
      <c r="DA22" s="50">
        <f t="shared" ca="1" si="211"/>
        <v>54752.103216556308</v>
      </c>
      <c r="DB22" s="50">
        <f t="shared" ca="1" si="212"/>
        <v>62197.013763487863</v>
      </c>
      <c r="DC22" s="50">
        <f t="shared" ca="1" si="213"/>
        <v>61911.97120340955</v>
      </c>
      <c r="DD22" s="50">
        <f t="shared" ca="1" si="214"/>
        <v>52642.932987773507</v>
      </c>
      <c r="DE22" s="50">
        <f t="shared" ca="1" si="215"/>
        <v>59450.467433597987</v>
      </c>
      <c r="DF22" s="50">
        <f t="shared" ca="1" si="216"/>
        <v>63397.851249285421</v>
      </c>
      <c r="DG22" s="50">
        <f t="shared" ca="1" si="217"/>
        <v>56459.720336004291</v>
      </c>
      <c r="DH22" s="50">
        <f t="shared" ca="1" si="218"/>
        <v>61654.012366152041</v>
      </c>
      <c r="DI22" s="50">
        <f t="shared" ca="1" si="219"/>
        <v>54017.334878662019</v>
      </c>
      <c r="DJ22" s="50">
        <f t="shared" ca="1" si="220"/>
        <v>65131.305330718096</v>
      </c>
      <c r="DK22" s="50">
        <f t="shared" ca="1" si="221"/>
        <v>56455.203273241292</v>
      </c>
      <c r="DL22" s="50">
        <f t="shared" ca="1" si="222"/>
        <v>59837.921723339678</v>
      </c>
      <c r="DM22" s="50">
        <f t="shared" ca="1" si="223"/>
        <v>56913.637069662174</v>
      </c>
      <c r="DN22" s="50">
        <f t="shared" ca="1" si="224"/>
        <v>53558.05902971093</v>
      </c>
      <c r="DO22" s="50">
        <f t="shared" ca="1" si="225"/>
        <v>56328.095441931742</v>
      </c>
      <c r="DP22" s="50">
        <f t="shared" ca="1" si="226"/>
        <v>55296.206565393062</v>
      </c>
      <c r="DQ22" s="50">
        <f t="shared" ca="1" si="227"/>
        <v>55477.571551894187</v>
      </c>
      <c r="DR22" s="50">
        <f t="shared" ca="1" si="228"/>
        <v>54681.686422643295</v>
      </c>
      <c r="DS22" s="50">
        <f t="shared" ca="1" si="229"/>
        <v>53119.104611930408</v>
      </c>
      <c r="DT22" s="50">
        <f t="shared" ca="1" si="230"/>
        <v>64275.472773065121</v>
      </c>
      <c r="DU22" s="50">
        <f t="shared" ca="1" si="231"/>
        <v>63612.683048401668</v>
      </c>
      <c r="DV22" s="50">
        <f t="shared" ca="1" si="232"/>
        <v>49997.955261849987</v>
      </c>
      <c r="DW22" s="50">
        <f t="shared" ca="1" si="233"/>
        <v>56708.610295744351</v>
      </c>
      <c r="DX22" s="50">
        <f t="shared" ca="1" si="234"/>
        <v>54643.580651647972</v>
      </c>
      <c r="DY22" s="50">
        <f t="shared" ca="1" si="235"/>
        <v>58616.740423529511</v>
      </c>
      <c r="DZ22" s="50">
        <f t="shared" ca="1" si="236"/>
        <v>66519.501695727697</v>
      </c>
      <c r="EA22" s="50">
        <f t="shared" ca="1" si="237"/>
        <v>70013.402110450697</v>
      </c>
      <c r="EB22" s="50">
        <f t="shared" ca="1" si="238"/>
        <v>60934.495458477402</v>
      </c>
      <c r="EC22" s="50">
        <f t="shared" ca="1" si="239"/>
        <v>59433.943658536889</v>
      </c>
      <c r="ED22" s="50">
        <f t="shared" ca="1" si="240"/>
        <v>59331.186588050034</v>
      </c>
      <c r="EE22" s="50">
        <f t="shared" ca="1" si="241"/>
        <v>57333.112920605439</v>
      </c>
      <c r="EF22" s="50">
        <f t="shared" ca="1" si="242"/>
        <v>53981.486535054566</v>
      </c>
      <c r="EG22" s="50">
        <f t="shared" ca="1" si="243"/>
        <v>61155.019603203633</v>
      </c>
      <c r="EH22" s="50">
        <f t="shared" ca="1" si="244"/>
        <v>60101.590413518585</v>
      </c>
      <c r="EI22" s="50">
        <f t="shared" ca="1" si="245"/>
        <v>55962.582365833994</v>
      </c>
      <c r="EJ22" s="50">
        <f t="shared" ca="1" si="246"/>
        <v>55695.264629328136</v>
      </c>
      <c r="EK22" s="50">
        <f t="shared" ca="1" si="247"/>
        <v>58193.144201350697</v>
      </c>
      <c r="EL22" s="50">
        <f t="shared" ca="1" si="248"/>
        <v>56761.320280755252</v>
      </c>
      <c r="EM22" s="50">
        <f t="shared" ca="1" si="249"/>
        <v>55744.830588485194</v>
      </c>
      <c r="EN22" s="50">
        <f t="shared" ca="1" si="250"/>
        <v>62236.66144383583</v>
      </c>
      <c r="EO22" s="50">
        <f t="shared" ca="1" si="251"/>
        <v>60391.558488429364</v>
      </c>
      <c r="EP22" s="50">
        <f t="shared" ca="1" si="252"/>
        <v>58194.131110041468</v>
      </c>
      <c r="EQ22" s="50">
        <f t="shared" ca="1" si="253"/>
        <v>57638.013526766896</v>
      </c>
      <c r="ER22" s="50">
        <f t="shared" ca="1" si="254"/>
        <v>59460.780050753921</v>
      </c>
      <c r="ES22" s="50">
        <f t="shared" ca="1" si="255"/>
        <v>50231.772378941794</v>
      </c>
      <c r="ET22" s="50">
        <f t="shared" ca="1" si="256"/>
        <v>51857.767641148544</v>
      </c>
      <c r="EU22" s="50">
        <f t="shared" ca="1" si="257"/>
        <v>60156.18219664471</v>
      </c>
      <c r="EV22" s="50">
        <f t="shared" ca="1" si="258"/>
        <v>54359.581637864969</v>
      </c>
      <c r="EW22" s="50">
        <f t="shared" ca="1" si="259"/>
        <v>62225.741526145204</v>
      </c>
      <c r="EX22" s="50">
        <f t="shared" ca="1" si="260"/>
        <v>58205.769814726191</v>
      </c>
      <c r="EY22" s="50">
        <f t="shared" ca="1" si="261"/>
        <v>57431.191165171433</v>
      </c>
      <c r="EZ22" s="50">
        <f t="shared" ca="1" si="262"/>
        <v>57316.653515160338</v>
      </c>
      <c r="FA22" s="50">
        <f t="shared" ca="1" si="263"/>
        <v>57835.604374064722</v>
      </c>
      <c r="FB22" s="50">
        <f t="shared" ca="1" si="264"/>
        <v>61485.287426852396</v>
      </c>
      <c r="FC22" s="50">
        <f t="shared" ca="1" si="265"/>
        <v>56667.962650700843</v>
      </c>
      <c r="FD22" s="50">
        <f t="shared" ca="1" si="266"/>
        <v>59203.476113956043</v>
      </c>
      <c r="FE22" s="50">
        <f t="shared" ca="1" si="267"/>
        <v>59464.082733839583</v>
      </c>
      <c r="FF22" s="50">
        <f t="shared" ca="1" si="268"/>
        <v>57630.520257069133</v>
      </c>
      <c r="FG22" s="50">
        <f t="shared" ca="1" si="269"/>
        <v>57011.716137461532</v>
      </c>
      <c r="FH22" s="50">
        <f t="shared" ca="1" si="270"/>
        <v>54493.570800891379</v>
      </c>
      <c r="FI22" s="50">
        <f t="shared" ca="1" si="271"/>
        <v>64271.398434590556</v>
      </c>
      <c r="FJ22" s="50">
        <f t="shared" ca="1" si="272"/>
        <v>52908.708931525834</v>
      </c>
      <c r="FK22" s="50">
        <f t="shared" ca="1" si="273"/>
        <v>61563.870815034774</v>
      </c>
      <c r="FL22" s="50">
        <f t="shared" ca="1" si="274"/>
        <v>54586.35576215641</v>
      </c>
      <c r="FM22" s="50">
        <f t="shared" ca="1" si="275"/>
        <v>58356.900230356739</v>
      </c>
      <c r="FN22" s="50">
        <f t="shared" ca="1" si="276"/>
        <v>55874.168866569853</v>
      </c>
      <c r="FO22" s="50">
        <f t="shared" ca="1" si="277"/>
        <v>61453.357786513232</v>
      </c>
      <c r="FP22" s="50">
        <f t="shared" ca="1" si="278"/>
        <v>58600.472523851342</v>
      </c>
      <c r="FQ22" s="50">
        <f t="shared" ca="1" si="279"/>
        <v>59482.145796788725</v>
      </c>
      <c r="FR22" s="50">
        <f t="shared" ca="1" si="280"/>
        <v>58321.342234616997</v>
      </c>
      <c r="FS22" s="50">
        <f t="shared" ca="1" si="281"/>
        <v>62743.111845622101</v>
      </c>
      <c r="FT22" s="50">
        <f t="shared" ca="1" si="282"/>
        <v>58366.372436152116</v>
      </c>
      <c r="FU22" s="50">
        <f t="shared" ca="1" si="283"/>
        <v>58050.555574837068</v>
      </c>
      <c r="FV22" s="50">
        <f t="shared" ca="1" si="284"/>
        <v>50736.037146922317</v>
      </c>
      <c r="FW22" s="50">
        <f t="shared" ca="1" si="285"/>
        <v>60409.169716878067</v>
      </c>
      <c r="FX22" s="50">
        <f t="shared" ca="1" si="286"/>
        <v>63396.307332092576</v>
      </c>
      <c r="FY22" s="50">
        <f t="shared" ca="1" si="287"/>
        <v>65403.583468282508</v>
      </c>
      <c r="FZ22" s="50">
        <f t="shared" ca="1" si="288"/>
        <v>54531.857340167982</v>
      </c>
      <c r="GA22" s="50">
        <f t="shared" ca="1" si="289"/>
        <v>57930.318396749943</v>
      </c>
      <c r="GB22" s="50">
        <f t="shared" ca="1" si="290"/>
        <v>54218.446946751457</v>
      </c>
      <c r="GC22" s="50">
        <f t="shared" ca="1" si="291"/>
        <v>62022.631318185486</v>
      </c>
      <c r="GD22" s="50">
        <f t="shared" ca="1" si="292"/>
        <v>55955.737140792247</v>
      </c>
      <c r="GE22" s="50">
        <f t="shared" ca="1" si="293"/>
        <v>63186.009421535768</v>
      </c>
      <c r="GF22" s="50">
        <f t="shared" ca="1" si="294"/>
        <v>57553.512161729428</v>
      </c>
      <c r="GG22" s="50">
        <f t="shared" ca="1" si="295"/>
        <v>60028.193619177757</v>
      </c>
      <c r="GH22" s="50">
        <f t="shared" ca="1" si="296"/>
        <v>51953.337604608685</v>
      </c>
      <c r="GI22" s="50">
        <f t="shared" ca="1" si="297"/>
        <v>54126.557010729404</v>
      </c>
      <c r="GJ22" s="50">
        <f t="shared" ca="1" si="298"/>
        <v>55880.312369082414</v>
      </c>
      <c r="GK22" s="50">
        <f t="shared" ca="1" si="299"/>
        <v>52573.985267952499</v>
      </c>
      <c r="GL22" s="50">
        <f t="shared" ca="1" si="300"/>
        <v>58724.375975330651</v>
      </c>
      <c r="GM22" s="50">
        <f t="shared" ca="1" si="301"/>
        <v>51806.823142409579</v>
      </c>
      <c r="GN22" s="50">
        <f t="shared" ca="1" si="302"/>
        <v>55893.635128165675</v>
      </c>
      <c r="GO22" s="50">
        <f t="shared" ca="1" si="303"/>
        <v>58882.924147537407</v>
      </c>
      <c r="GP22" s="50">
        <f t="shared" ca="1" si="304"/>
        <v>64602.582462911101</v>
      </c>
      <c r="GQ22" s="50">
        <f t="shared" ca="1" si="305"/>
        <v>55086.90357242195</v>
      </c>
      <c r="GR22" s="50">
        <f t="shared" ca="1" si="306"/>
        <v>62919.85610006447</v>
      </c>
      <c r="GS22" s="50">
        <f t="shared" ca="1" si="307"/>
        <v>58190.300728302194</v>
      </c>
      <c r="GT22" s="50">
        <f t="shared" ca="1" si="308"/>
        <v>52187.264991605436</v>
      </c>
      <c r="GU22" s="50">
        <f t="shared" ca="1" si="309"/>
        <v>62363.063352603232</v>
      </c>
      <c r="GV22" s="50">
        <f t="shared" ca="1" si="310"/>
        <v>61581.094902684345</v>
      </c>
      <c r="GW22" s="50">
        <f t="shared" ca="1" si="311"/>
        <v>58712.587199627924</v>
      </c>
      <c r="GX22" s="50">
        <f t="shared" ca="1" si="312"/>
        <v>60653.960071469694</v>
      </c>
      <c r="GY22" s="50">
        <f t="shared" ca="1" si="313"/>
        <v>61134.157715053894</v>
      </c>
      <c r="GZ22" s="50">
        <f t="shared" ca="1" si="314"/>
        <v>64019.299092605514</v>
      </c>
      <c r="HA22" s="50">
        <f t="shared" ca="1" si="315"/>
        <v>53707.595997657088</v>
      </c>
      <c r="HB22" s="50">
        <f t="shared" ca="1" si="316"/>
        <v>50979.729358648881</v>
      </c>
      <c r="HC22" s="50">
        <f t="shared" ca="1" si="317"/>
        <v>60399.763570069787</v>
      </c>
      <c r="HD22" s="50">
        <f t="shared" ca="1" si="318"/>
        <v>52041.645603245437</v>
      </c>
      <c r="HE22" s="50">
        <f t="shared" ca="1" si="319"/>
        <v>58421.261954359426</v>
      </c>
      <c r="HF22" s="50">
        <f t="shared" ca="1" si="320"/>
        <v>57845.573832008391</v>
      </c>
      <c r="HG22" s="50">
        <f t="shared" ca="1" si="321"/>
        <v>64521.152931607146</v>
      </c>
      <c r="HH22" s="50">
        <f t="shared" ca="1" si="322"/>
        <v>65438.176055359741</v>
      </c>
      <c r="HI22" s="50">
        <f t="shared" ca="1" si="323"/>
        <v>57590.949421685953</v>
      </c>
      <c r="HJ22" s="50">
        <f t="shared" ca="1" si="324"/>
        <v>56047.064946344428</v>
      </c>
      <c r="HK22" s="50">
        <f t="shared" ca="1" si="325"/>
        <v>59977.021933417862</v>
      </c>
      <c r="HL22" s="50">
        <f t="shared" ca="1" si="326"/>
        <v>59341.935923667079</v>
      </c>
      <c r="HM22" s="50">
        <f t="shared" ca="1" si="327"/>
        <v>58005.057271130259</v>
      </c>
      <c r="HN22" s="50">
        <f t="shared" ca="1" si="328"/>
        <v>56810.422806407791</v>
      </c>
      <c r="HO22" s="50">
        <f t="shared" ca="1" si="329"/>
        <v>57774.838073229781</v>
      </c>
      <c r="HP22" s="50">
        <f t="shared" ca="1" si="330"/>
        <v>60653.155557558079</v>
      </c>
      <c r="HQ22" s="50">
        <f t="shared" ca="1" si="331"/>
        <v>57123.138135751113</v>
      </c>
      <c r="HR22" s="50">
        <f t="shared" ca="1" si="332"/>
        <v>58517.453011887446</v>
      </c>
      <c r="HS22" s="50">
        <f t="shared" ca="1" si="333"/>
        <v>60588.162789902395</v>
      </c>
      <c r="HT22" s="50">
        <f t="shared" ca="1" si="334"/>
        <v>50536.753111402984</v>
      </c>
      <c r="HU22" s="50">
        <f t="shared" ca="1" si="335"/>
        <v>57395.937699804374</v>
      </c>
      <c r="HV22" s="50">
        <f t="shared" ca="1" si="336"/>
        <v>55106.818125507882</v>
      </c>
      <c r="HW22" s="50">
        <f t="shared" ca="1" si="337"/>
        <v>57751.369992658903</v>
      </c>
      <c r="HX22" s="50">
        <f t="shared" ca="1" si="338"/>
        <v>65432.792636149235</v>
      </c>
      <c r="HY22" s="50">
        <f t="shared" ca="1" si="339"/>
        <v>54814.675148429007</v>
      </c>
      <c r="HZ22" s="50">
        <f t="shared" ca="1" si="340"/>
        <v>61843.863644267585</v>
      </c>
      <c r="IA22" s="50">
        <f t="shared" ca="1" si="341"/>
        <v>61729.483857167615</v>
      </c>
      <c r="IB22" s="50">
        <f t="shared" ca="1" si="342"/>
        <v>53102.757203026958</v>
      </c>
      <c r="IC22" s="50">
        <f t="shared" ca="1" si="343"/>
        <v>64200.033532705384</v>
      </c>
      <c r="ID22" s="50">
        <f t="shared" ca="1" si="344"/>
        <v>64780.113828396294</v>
      </c>
      <c r="IE22" s="50">
        <f t="shared" ca="1" si="345"/>
        <v>64130.769114413568</v>
      </c>
      <c r="IF22" s="50">
        <f t="shared" ca="1" si="346"/>
        <v>49205.943653863564</v>
      </c>
      <c r="IG22" s="50">
        <f t="shared" ca="1" si="347"/>
        <v>65212.317649012839</v>
      </c>
      <c r="IH22" s="50">
        <f t="shared" ca="1" si="348"/>
        <v>59346.708749099329</v>
      </c>
      <c r="II22" s="50">
        <f t="shared" ca="1" si="349"/>
        <v>58750.786989832377</v>
      </c>
      <c r="IJ22" s="50">
        <f t="shared" ca="1" si="350"/>
        <v>59636.10265076311</v>
      </c>
      <c r="IK22" s="50">
        <f t="shared" ca="1" si="351"/>
        <v>58491.040645700959</v>
      </c>
      <c r="IL22" s="50">
        <f t="shared" ca="1" si="352"/>
        <v>57209.156685991322</v>
      </c>
      <c r="IM22" s="50">
        <f t="shared" ca="1" si="353"/>
        <v>59123.66374519845</v>
      </c>
      <c r="IN22" s="50">
        <f t="shared" ca="1" si="354"/>
        <v>67514.40050598541</v>
      </c>
      <c r="IO22" s="50">
        <f t="shared" ca="1" si="355"/>
        <v>53211.249014750298</v>
      </c>
      <c r="IP22" s="50">
        <f t="shared" ca="1" si="356"/>
        <v>57164.375415987546</v>
      </c>
      <c r="IQ22" s="50">
        <f t="shared" ca="1" si="357"/>
        <v>56299.472110031005</v>
      </c>
      <c r="IR22" s="50">
        <f t="shared" ca="1" si="358"/>
        <v>54460.826188010557</v>
      </c>
      <c r="IS22" s="50">
        <f t="shared" ca="1" si="359"/>
        <v>62676.640293174227</v>
      </c>
      <c r="IT22" s="50">
        <f t="shared" ca="1" si="360"/>
        <v>54804.095354934099</v>
      </c>
      <c r="IU22" s="50">
        <f t="shared" ca="1" si="361"/>
        <v>53486.490385665878</v>
      </c>
      <c r="IV22" s="50">
        <f t="shared" ca="1" si="362"/>
        <v>54588.450965957636</v>
      </c>
      <c r="IW22" s="50">
        <f t="shared" ca="1" si="363"/>
        <v>51594.711057846282</v>
      </c>
      <c r="IX22" s="50">
        <f t="shared" ca="1" si="364"/>
        <v>58471.778694992921</v>
      </c>
      <c r="IY22" s="50">
        <f t="shared" ca="1" si="365"/>
        <v>58538.009250934883</v>
      </c>
      <c r="IZ22" s="50">
        <f t="shared" ca="1" si="366"/>
        <v>58455.881890849298</v>
      </c>
      <c r="JA22" s="50">
        <f t="shared" ca="1" si="367"/>
        <v>54377.175251509092</v>
      </c>
      <c r="JB22" s="50">
        <f t="shared" ca="1" si="368"/>
        <v>60447.657753155851</v>
      </c>
      <c r="JC22" s="50">
        <f t="shared" ca="1" si="369"/>
        <v>62512.066986483376</v>
      </c>
      <c r="JD22" s="50">
        <f t="shared" ca="1" si="370"/>
        <v>55721.863005316227</v>
      </c>
      <c r="JE22" s="50">
        <f t="shared" ca="1" si="371"/>
        <v>59610.840660876063</v>
      </c>
      <c r="JF22" s="50">
        <f t="shared" ca="1" si="372"/>
        <v>68164.94442691491</v>
      </c>
      <c r="JG22" s="50">
        <f t="shared" ca="1" si="373"/>
        <v>57961.561555292654</v>
      </c>
      <c r="JH22" s="50">
        <f t="shared" ca="1" si="374"/>
        <v>58688.059715870986</v>
      </c>
      <c r="JI22" s="50">
        <f t="shared" ca="1" si="375"/>
        <v>62431.327712624166</v>
      </c>
      <c r="JJ22" s="50">
        <f t="shared" ca="1" si="376"/>
        <v>57986.826353817822</v>
      </c>
      <c r="JK22" s="50">
        <f t="shared" ca="1" si="377"/>
        <v>55112.067329365673</v>
      </c>
      <c r="JL22" s="50">
        <f t="shared" ca="1" si="378"/>
        <v>53705.105289431187</v>
      </c>
      <c r="JM22" s="50">
        <f t="shared" ca="1" si="379"/>
        <v>58181.219880326375</v>
      </c>
      <c r="JN22" s="50">
        <f t="shared" ca="1" si="380"/>
        <v>60161.158957105115</v>
      </c>
      <c r="JO22" s="50">
        <f t="shared" ca="1" si="381"/>
        <v>58879.930433872272</v>
      </c>
      <c r="JP22" s="50">
        <f t="shared" ca="1" si="382"/>
        <v>56887.41974133953</v>
      </c>
      <c r="JQ22" s="50">
        <f t="shared" ca="1" si="383"/>
        <v>56543.051547906674</v>
      </c>
      <c r="JR22" s="50">
        <f t="shared" ca="1" si="384"/>
        <v>67332.837660677978</v>
      </c>
      <c r="JS22" s="50">
        <f t="shared" ca="1" si="385"/>
        <v>58804.905074732873</v>
      </c>
      <c r="JT22" s="50">
        <f t="shared" ca="1" si="386"/>
        <v>63129.337406043414</v>
      </c>
      <c r="JU22" s="50">
        <f t="shared" ca="1" si="387"/>
        <v>54423.849586414064</v>
      </c>
      <c r="JV22" s="50">
        <f t="shared" ca="1" si="388"/>
        <v>57117.695509551748</v>
      </c>
      <c r="JW22" s="50">
        <f t="shared" ca="1" si="389"/>
        <v>59063.053125350976</v>
      </c>
      <c r="JX22" s="50">
        <f t="shared" ca="1" si="390"/>
        <v>53895.32360442065</v>
      </c>
      <c r="JY22" s="50">
        <f t="shared" ca="1" si="391"/>
        <v>67333.278673194145</v>
      </c>
      <c r="JZ22" s="50">
        <f t="shared" ca="1" si="392"/>
        <v>53396.504500585943</v>
      </c>
      <c r="KA22" s="50">
        <f t="shared" ca="1" si="393"/>
        <v>58103.873609882125</v>
      </c>
      <c r="KB22" s="50">
        <f t="shared" ca="1" si="394"/>
        <v>59316.439613449431</v>
      </c>
      <c r="KC22" s="50">
        <f t="shared" ca="1" si="395"/>
        <v>59428.285360640439</v>
      </c>
      <c r="KD22" s="50">
        <f t="shared" ca="1" si="396"/>
        <v>56014.184349748371</v>
      </c>
      <c r="KE22" s="50">
        <f t="shared" ca="1" si="397"/>
        <v>57858.999133093108</v>
      </c>
      <c r="KF22" s="50">
        <f t="shared" ca="1" si="398"/>
        <v>60088.982897225796</v>
      </c>
      <c r="KG22" s="50">
        <f t="shared" ca="1" si="399"/>
        <v>56475.456632154368</v>
      </c>
      <c r="KH22" s="50">
        <f t="shared" ca="1" si="400"/>
        <v>58948.884393561566</v>
      </c>
      <c r="KI22" s="50">
        <f t="shared" ca="1" si="401"/>
        <v>54462.197012168617</v>
      </c>
      <c r="KJ22" s="50">
        <f t="shared" ca="1" si="402"/>
        <v>61933.110871643315</v>
      </c>
      <c r="KK22" s="50">
        <f t="shared" ca="1" si="403"/>
        <v>61182.266086119256</v>
      </c>
      <c r="KL22" s="50">
        <f t="shared" ca="1" si="404"/>
        <v>58383.373482093994</v>
      </c>
      <c r="KM22" s="50">
        <f t="shared" ca="1" si="405"/>
        <v>61671.537392730366</v>
      </c>
      <c r="KN22" s="50">
        <f t="shared" ca="1" si="406"/>
        <v>58287.022788827933</v>
      </c>
      <c r="KO22" s="50">
        <f t="shared" ca="1" si="407"/>
        <v>56479.874106623931</v>
      </c>
      <c r="KP22" s="50">
        <f t="shared" ca="1" si="408"/>
        <v>53891.502246185773</v>
      </c>
      <c r="KQ22" s="50">
        <f t="shared" ca="1" si="409"/>
        <v>63984.343478200681</v>
      </c>
      <c r="KR22" s="50">
        <f t="shared" ca="1" si="410"/>
        <v>54937.184780828364</v>
      </c>
      <c r="KS22" s="50">
        <f t="shared" ca="1" si="411"/>
        <v>50640.947378252728</v>
      </c>
      <c r="KT22" s="50">
        <f t="shared" ca="1" si="412"/>
        <v>53638.772654773362</v>
      </c>
      <c r="KU22" s="50">
        <f t="shared" ca="1" si="413"/>
        <v>55625.474508327214</v>
      </c>
      <c r="KV22" s="50">
        <f t="shared" ca="1" si="414"/>
        <v>60655.664434436032</v>
      </c>
      <c r="KW22" s="50">
        <f t="shared" ca="1" si="415"/>
        <v>56394.120567706697</v>
      </c>
      <c r="KX22" s="50">
        <f t="shared" ca="1" si="416"/>
        <v>59355.641157230268</v>
      </c>
      <c r="KY22" s="50">
        <f t="shared" ca="1" si="417"/>
        <v>62681.781977789484</v>
      </c>
      <c r="KZ22" s="50">
        <f t="shared" ca="1" si="418"/>
        <v>52789.647535313416</v>
      </c>
      <c r="LA22" s="50">
        <f t="shared" ca="1" si="419"/>
        <v>54494.09693341067</v>
      </c>
      <c r="LB22" s="50">
        <f t="shared" ca="1" si="420"/>
        <v>60207.766637007648</v>
      </c>
      <c r="LC22" s="50">
        <f t="shared" ca="1" si="421"/>
        <v>60662.895750312615</v>
      </c>
      <c r="LD22" s="50">
        <f t="shared" ca="1" si="422"/>
        <v>52547.71639890287</v>
      </c>
      <c r="LE22" s="50">
        <f t="shared" ca="1" si="423"/>
        <v>66350.813496992312</v>
      </c>
      <c r="LF22" s="50">
        <f t="shared" ca="1" si="424"/>
        <v>54199.139416946797</v>
      </c>
      <c r="LG22" s="50">
        <f t="shared" ca="1" si="425"/>
        <v>53903.24106421652</v>
      </c>
      <c r="LH22" s="50">
        <f t="shared" ca="1" si="426"/>
        <v>55987.02698377816</v>
      </c>
      <c r="LI22" s="50">
        <f t="shared" ca="1" si="427"/>
        <v>53910.337845492679</v>
      </c>
      <c r="LJ22" s="50">
        <f t="shared" ca="1" si="428"/>
        <v>53591.392011504518</v>
      </c>
      <c r="LK22" s="50">
        <f t="shared" ca="1" si="429"/>
        <v>58240.304576714982</v>
      </c>
      <c r="LL22" s="50">
        <f t="shared" ca="1" si="430"/>
        <v>57045.850960374133</v>
      </c>
      <c r="LM22" s="50">
        <f t="shared" ca="1" si="431"/>
        <v>58707.799208619792</v>
      </c>
      <c r="LN22" s="50">
        <f t="shared" ca="1" si="432"/>
        <v>63832.333151844367</v>
      </c>
      <c r="LO22" s="50">
        <f t="shared" ca="1" si="433"/>
        <v>59812.33251469447</v>
      </c>
      <c r="LP22" s="50">
        <f t="shared" ca="1" si="434"/>
        <v>50673.526498718988</v>
      </c>
      <c r="LQ22" s="50">
        <f t="shared" ca="1" si="435"/>
        <v>53826.767819676883</v>
      </c>
      <c r="LR22" s="50">
        <f t="shared" ca="1" si="436"/>
        <v>56550.66357007702</v>
      </c>
      <c r="LS22" s="50">
        <f t="shared" ca="1" si="437"/>
        <v>63272.738825508088</v>
      </c>
      <c r="LT22" s="50">
        <f t="shared" ca="1" si="438"/>
        <v>59126.114313944643</v>
      </c>
      <c r="LU22" s="50">
        <f t="shared" ca="1" si="439"/>
        <v>62368.381400554914</v>
      </c>
      <c r="LV22" s="50">
        <f t="shared" ca="1" si="440"/>
        <v>63040.874072789979</v>
      </c>
      <c r="LW22" s="50">
        <f t="shared" ca="1" si="441"/>
        <v>53899.827756970713</v>
      </c>
      <c r="LX22" s="50">
        <f t="shared" ca="1" si="442"/>
        <v>66617.999179109131</v>
      </c>
      <c r="LY22" s="50">
        <f t="shared" ca="1" si="443"/>
        <v>57726.620500386111</v>
      </c>
      <c r="LZ22" s="50">
        <f t="shared" ca="1" si="444"/>
        <v>62997.766065858799</v>
      </c>
      <c r="MA22" s="50">
        <f t="shared" ca="1" si="445"/>
        <v>55607.985140931931</v>
      </c>
      <c r="MB22" s="50">
        <f t="shared" ca="1" si="446"/>
        <v>66821.242319963567</v>
      </c>
      <c r="MC22" s="50">
        <f t="shared" ca="1" si="447"/>
        <v>60642.971135144267</v>
      </c>
      <c r="MD22" s="50">
        <f t="shared" ca="1" si="448"/>
        <v>54886.196543107326</v>
      </c>
      <c r="ME22" s="50">
        <f t="shared" ca="1" si="449"/>
        <v>54626.339359372585</v>
      </c>
      <c r="MF22" s="50">
        <f t="shared" ca="1" si="450"/>
        <v>64691.235016902276</v>
      </c>
      <c r="MG22" s="50">
        <f t="shared" ca="1" si="451"/>
        <v>59630.776738039698</v>
      </c>
      <c r="MH22" s="50">
        <f t="shared" ca="1" si="452"/>
        <v>51848.942391612218</v>
      </c>
      <c r="MI22" s="50">
        <f t="shared" ca="1" si="453"/>
        <v>54915.095221357129</v>
      </c>
      <c r="MJ22" s="50">
        <f t="shared" ca="1" si="454"/>
        <v>60152.966573863137</v>
      </c>
      <c r="MK22" s="50">
        <f t="shared" ca="1" si="455"/>
        <v>60527.667264743955</v>
      </c>
      <c r="ML22" s="50">
        <f t="shared" ca="1" si="456"/>
        <v>56981.109966346688</v>
      </c>
      <c r="MM22" s="50">
        <f t="shared" ca="1" si="457"/>
        <v>60404.707846027894</v>
      </c>
      <c r="MN22" s="50">
        <f t="shared" ca="1" si="458"/>
        <v>56556.210900124563</v>
      </c>
      <c r="MO22" s="50">
        <f t="shared" ca="1" si="459"/>
        <v>57361.344073350294</v>
      </c>
      <c r="MP22" s="50">
        <f t="shared" ca="1" si="460"/>
        <v>56491.418080220654</v>
      </c>
      <c r="MQ22" s="50">
        <f t="shared" ca="1" si="461"/>
        <v>52467.385669038042</v>
      </c>
      <c r="MR22" s="50">
        <f t="shared" ca="1" si="462"/>
        <v>50005.1532003557</v>
      </c>
      <c r="MS22" s="50">
        <f t="shared" ca="1" si="463"/>
        <v>57182.245634883409</v>
      </c>
      <c r="MT22" s="50">
        <f t="shared" ca="1" si="464"/>
        <v>53594.937952773369</v>
      </c>
      <c r="MU22" s="50">
        <f t="shared" ca="1" si="465"/>
        <v>66652.236584016689</v>
      </c>
      <c r="MV22" s="50">
        <f t="shared" ca="1" si="466"/>
        <v>59507.559149682871</v>
      </c>
      <c r="MW22" s="50">
        <f t="shared" ca="1" si="467"/>
        <v>57214.624253090056</v>
      </c>
      <c r="MX22" s="50">
        <f t="shared" ca="1" si="468"/>
        <v>61396.255488085961</v>
      </c>
      <c r="MY22" s="50">
        <f t="shared" ca="1" si="469"/>
        <v>62219.521243916577</v>
      </c>
      <c r="MZ22" s="50">
        <f t="shared" ca="1" si="470"/>
        <v>61080.933615237394</v>
      </c>
      <c r="NA22" s="50">
        <f t="shared" ca="1" si="471"/>
        <v>70249.682928648312</v>
      </c>
      <c r="NB22" s="50">
        <f t="shared" ca="1" si="472"/>
        <v>57375.545629357097</v>
      </c>
      <c r="NC22" s="50">
        <f t="shared" ca="1" si="473"/>
        <v>60985.046241056763</v>
      </c>
      <c r="ND22" s="50">
        <f t="shared" ca="1" si="474"/>
        <v>57902.10536463029</v>
      </c>
      <c r="NE22" s="50">
        <f t="shared" ca="1" si="475"/>
        <v>56332.70598398627</v>
      </c>
      <c r="NF22" s="50">
        <f t="shared" ca="1" si="476"/>
        <v>55142.838126942916</v>
      </c>
      <c r="NG22" s="50">
        <f t="shared" ca="1" si="477"/>
        <v>58775.529945085793</v>
      </c>
      <c r="NH22" s="50">
        <f t="shared" ca="1" si="478"/>
        <v>62845.686728433349</v>
      </c>
      <c r="NI22" s="50">
        <f t="shared" ca="1" si="479"/>
        <v>55959.417663771965</v>
      </c>
      <c r="NJ22" s="50">
        <f t="shared" ca="1" si="480"/>
        <v>64054.017465378638</v>
      </c>
      <c r="NK22" s="50">
        <f t="shared" ca="1" si="481"/>
        <v>58307.796478580422</v>
      </c>
      <c r="NL22" s="50">
        <f t="shared" ca="1" si="482"/>
        <v>49183.003022850913</v>
      </c>
      <c r="NM22" s="50">
        <f t="shared" ca="1" si="483"/>
        <v>59835.579387690901</v>
      </c>
      <c r="NN22" s="50">
        <f t="shared" ca="1" si="484"/>
        <v>57204.799536575039</v>
      </c>
      <c r="NO22" s="50">
        <f t="shared" ca="1" si="485"/>
        <v>56264.292221991149</v>
      </c>
      <c r="NP22" s="50">
        <f t="shared" ca="1" si="486"/>
        <v>52173.032294666365</v>
      </c>
      <c r="NQ22" s="50">
        <f t="shared" ca="1" si="487"/>
        <v>50838.50560158545</v>
      </c>
      <c r="NR22" s="50">
        <f t="shared" ca="1" si="488"/>
        <v>62132.385862520532</v>
      </c>
      <c r="NS22" s="50">
        <f t="shared" ca="1" si="489"/>
        <v>55782.125085487904</v>
      </c>
      <c r="NT22" s="50">
        <f t="shared" ca="1" si="490"/>
        <v>61068.121511732337</v>
      </c>
      <c r="NU22" s="50">
        <f t="shared" ca="1" si="491"/>
        <v>57952.071488520793</v>
      </c>
      <c r="NV22" s="50">
        <f t="shared" ca="1" si="492"/>
        <v>56682.94815816389</v>
      </c>
      <c r="NW22" s="50">
        <f t="shared" ca="1" si="493"/>
        <v>53078.788205519581</v>
      </c>
      <c r="NX22" s="50">
        <f t="shared" ca="1" si="494"/>
        <v>63285.379594852639</v>
      </c>
      <c r="NY22" s="50">
        <f t="shared" ca="1" si="495"/>
        <v>61888.074534420244</v>
      </c>
      <c r="NZ22" s="50">
        <f t="shared" ca="1" si="496"/>
        <v>51879.29313284083</v>
      </c>
      <c r="OA22" s="50">
        <f t="shared" ca="1" si="497"/>
        <v>55493.627887199182</v>
      </c>
      <c r="OB22" s="50">
        <f t="shared" ca="1" si="498"/>
        <v>61711.359149316449</v>
      </c>
      <c r="OC22" s="50">
        <f t="shared" ca="1" si="499"/>
        <v>54262.647334830894</v>
      </c>
      <c r="OD22" s="50">
        <f t="shared" ca="1" si="500"/>
        <v>57468.998621106941</v>
      </c>
      <c r="OE22" s="50">
        <f t="shared" ca="1" si="501"/>
        <v>68158.627320940577</v>
      </c>
      <c r="OF22" s="50">
        <f t="shared" ca="1" si="502"/>
        <v>61821.494899911799</v>
      </c>
      <c r="OG22" s="50">
        <f t="shared" ca="1" si="503"/>
        <v>67403.738115602842</v>
      </c>
      <c r="OH22" s="50">
        <f t="shared" ca="1" si="504"/>
        <v>62665.028285008288</v>
      </c>
      <c r="OI22" s="50">
        <f t="shared" ca="1" si="505"/>
        <v>61199.461287623097</v>
      </c>
      <c r="OJ22" s="50">
        <f t="shared" ca="1" si="506"/>
        <v>59721.980351898361</v>
      </c>
      <c r="OK22" s="50">
        <f t="shared" ca="1" si="507"/>
        <v>55394.66324170155</v>
      </c>
      <c r="OL22" s="50">
        <f t="shared" ca="1" si="508"/>
        <v>53474.105822045785</v>
      </c>
      <c r="OM22" s="50">
        <f t="shared" ca="1" si="509"/>
        <v>51288.724083141642</v>
      </c>
      <c r="ON22" s="50">
        <f t="shared" ca="1" si="510"/>
        <v>62527.411511933678</v>
      </c>
      <c r="OO22" s="50">
        <f t="shared" ca="1" si="511"/>
        <v>52975.272526244065</v>
      </c>
      <c r="OP22" s="50">
        <f t="shared" ca="1" si="512"/>
        <v>58012.948904780278</v>
      </c>
      <c r="OQ22" s="50">
        <f t="shared" ca="1" si="513"/>
        <v>58778.626393503306</v>
      </c>
      <c r="OR22" s="50">
        <f t="shared" ca="1" si="514"/>
        <v>63971.939832726937</v>
      </c>
      <c r="OS22" s="50">
        <f t="shared" ca="1" si="515"/>
        <v>58219.599159600446</v>
      </c>
      <c r="OT22" s="50">
        <f t="shared" ca="1" si="516"/>
        <v>62814.517322258769</v>
      </c>
      <c r="OU22" s="50">
        <f t="shared" ca="1" si="517"/>
        <v>53646.025650482312</v>
      </c>
      <c r="OV22" s="50">
        <f t="shared" ca="1" si="518"/>
        <v>59722.217189574178</v>
      </c>
      <c r="OW22" s="50">
        <f t="shared" ca="1" si="519"/>
        <v>50939.449256311811</v>
      </c>
      <c r="OX22" s="50">
        <f t="shared" ca="1" si="520"/>
        <v>60094.556199069571</v>
      </c>
      <c r="OY22" s="50">
        <f t="shared" ca="1" si="521"/>
        <v>58860.832231999157</v>
      </c>
      <c r="OZ22" s="50">
        <f t="shared" ca="1" si="522"/>
        <v>60663.019847628209</v>
      </c>
      <c r="PA22" s="50">
        <f t="shared" ca="1" si="523"/>
        <v>54972.189590274356</v>
      </c>
      <c r="PB22" s="50">
        <f t="shared" ca="1" si="524"/>
        <v>55566.332940391723</v>
      </c>
      <c r="PC22" s="50">
        <f t="shared" ca="1" si="525"/>
        <v>59600.053674329494</v>
      </c>
      <c r="PD22" s="50">
        <f t="shared" ca="1" si="526"/>
        <v>52351.677953841827</v>
      </c>
      <c r="PE22" s="50">
        <f t="shared" ca="1" si="527"/>
        <v>59369.355664006027</v>
      </c>
      <c r="PF22" s="50">
        <f t="shared" ca="1" si="528"/>
        <v>59270.036346845489</v>
      </c>
      <c r="PG22" s="50">
        <f t="shared" ca="1" si="529"/>
        <v>54247.749664275434</v>
      </c>
      <c r="PH22" s="50">
        <f t="shared" ca="1" si="530"/>
        <v>50827.482382262235</v>
      </c>
      <c r="PI22" s="50">
        <f t="shared" ca="1" si="531"/>
        <v>57076.587139284478</v>
      </c>
      <c r="PJ22" s="50">
        <f t="shared" ca="1" si="532"/>
        <v>63896.160622850482</v>
      </c>
      <c r="PK22" s="50">
        <f t="shared" ca="1" si="533"/>
        <v>55489.724792151581</v>
      </c>
      <c r="PL22" s="50">
        <f t="shared" ca="1" si="534"/>
        <v>62849.181101684713</v>
      </c>
      <c r="PM22" s="50">
        <f t="shared" ca="1" si="535"/>
        <v>51805.565888383513</v>
      </c>
      <c r="PN22" s="50">
        <f t="shared" ca="1" si="536"/>
        <v>55492.523303756592</v>
      </c>
      <c r="PO22" s="50">
        <f t="shared" ca="1" si="537"/>
        <v>66596.22662375294</v>
      </c>
      <c r="PP22" s="50">
        <f t="shared" ca="1" si="538"/>
        <v>60570.336996405676</v>
      </c>
      <c r="PQ22" s="50">
        <f t="shared" ca="1" si="539"/>
        <v>55051.806875592883</v>
      </c>
      <c r="PR22" s="50">
        <f t="shared" ca="1" si="540"/>
        <v>65039.355470866503</v>
      </c>
      <c r="PS22" s="50">
        <f t="shared" ca="1" si="541"/>
        <v>62034.827595241914</v>
      </c>
      <c r="PT22" s="50">
        <f t="shared" ca="1" si="542"/>
        <v>56534.329143107789</v>
      </c>
      <c r="PU22" s="50">
        <f t="shared" ca="1" si="543"/>
        <v>62914.213212162234</v>
      </c>
      <c r="PV22" s="50">
        <f t="shared" ca="1" si="544"/>
        <v>56713.892481747629</v>
      </c>
      <c r="PW22" s="50">
        <f t="shared" ca="1" si="545"/>
        <v>54016.26872202674</v>
      </c>
      <c r="PX22" s="50">
        <f t="shared" ca="1" si="546"/>
        <v>65163.318340002988</v>
      </c>
      <c r="PY22" s="50">
        <f t="shared" ca="1" si="547"/>
        <v>57771.3314714812</v>
      </c>
      <c r="PZ22" s="50">
        <f t="shared" ca="1" si="548"/>
        <v>58393.274900257733</v>
      </c>
      <c r="QA22" s="50">
        <f t="shared" ca="1" si="549"/>
        <v>54018.650820950053</v>
      </c>
      <c r="QB22" s="50">
        <f t="shared" ca="1" si="550"/>
        <v>57836.420825686575</v>
      </c>
      <c r="QC22" s="50">
        <f t="shared" ca="1" si="551"/>
        <v>63902.193040123821</v>
      </c>
      <c r="QD22" s="50">
        <f t="shared" ca="1" si="552"/>
        <v>59287.85179076028</v>
      </c>
      <c r="QE22" s="50">
        <f t="shared" ca="1" si="553"/>
        <v>64496.558398721354</v>
      </c>
      <c r="QF22" s="50">
        <f t="shared" ca="1" si="554"/>
        <v>63769.227245366943</v>
      </c>
      <c r="QG22" s="50">
        <f t="shared" ca="1" si="555"/>
        <v>54424.337397519455</v>
      </c>
      <c r="QH22" s="50">
        <f t="shared" ca="1" si="556"/>
        <v>59491.557787673824</v>
      </c>
      <c r="QI22" s="50">
        <f t="shared" ca="1" si="557"/>
        <v>55512.42164008072</v>
      </c>
      <c r="QJ22" s="50">
        <f t="shared" ca="1" si="558"/>
        <v>57375.949243900148</v>
      </c>
      <c r="QK22" s="50">
        <f t="shared" ca="1" si="559"/>
        <v>59761.342484574612</v>
      </c>
      <c r="QL22" s="50">
        <f t="shared" ca="1" si="560"/>
        <v>65850.261506775976</v>
      </c>
      <c r="QM22" s="50">
        <f t="shared" ca="1" si="561"/>
        <v>52982.822152530985</v>
      </c>
      <c r="QN22" s="50">
        <f t="shared" ca="1" si="562"/>
        <v>55301.360892064418</v>
      </c>
      <c r="QO22" s="50">
        <f t="shared" ca="1" si="563"/>
        <v>63254.477717189482</v>
      </c>
      <c r="QP22" s="50">
        <f t="shared" ca="1" si="564"/>
        <v>58579.646151200599</v>
      </c>
      <c r="QQ22" s="50">
        <f t="shared" ca="1" si="565"/>
        <v>60276.741081662658</v>
      </c>
      <c r="QR22" s="50">
        <f t="shared" ca="1" si="566"/>
        <v>53297.945568745992</v>
      </c>
      <c r="QS22" s="50">
        <f t="shared" ca="1" si="567"/>
        <v>56812.617253153097</v>
      </c>
      <c r="QT22" s="50">
        <f t="shared" ca="1" si="568"/>
        <v>50936.397785693065</v>
      </c>
      <c r="QU22" s="50">
        <f t="shared" ca="1" si="569"/>
        <v>52007.739267933313</v>
      </c>
      <c r="QV22" s="50">
        <f t="shared" ca="1" si="570"/>
        <v>56718.027962560278</v>
      </c>
      <c r="QW22" s="50">
        <f t="shared" ca="1" si="571"/>
        <v>53355.452377869486</v>
      </c>
      <c r="QX22" s="50">
        <f t="shared" ca="1" si="572"/>
        <v>56295.504020055851</v>
      </c>
      <c r="QY22" s="50">
        <f t="shared" ca="1" si="573"/>
        <v>57302.352646842694</v>
      </c>
      <c r="QZ22" s="50">
        <f t="shared" ca="1" si="574"/>
        <v>58147.329762886016</v>
      </c>
      <c r="RA22" s="50">
        <f t="shared" ca="1" si="575"/>
        <v>54402.584879744543</v>
      </c>
      <c r="RB22" s="50">
        <f t="shared" ca="1" si="576"/>
        <v>65840.754696477306</v>
      </c>
      <c r="RC22" s="50">
        <f t="shared" ca="1" si="577"/>
        <v>57739.95699082881</v>
      </c>
      <c r="RD22" s="50">
        <f t="shared" ca="1" si="578"/>
        <v>55394.974364312642</v>
      </c>
      <c r="RE22" s="50">
        <f t="shared" ca="1" si="579"/>
        <v>55983.975956143317</v>
      </c>
      <c r="RF22" s="50">
        <f t="shared" ca="1" si="580"/>
        <v>51885.711189657508</v>
      </c>
      <c r="RG22" s="50">
        <f t="shared" ca="1" si="581"/>
        <v>54411.101253196844</v>
      </c>
      <c r="RH22" s="50">
        <f t="shared" ca="1" si="582"/>
        <v>63060.271955036398</v>
      </c>
      <c r="RI22" s="50">
        <f t="shared" ca="1" si="583"/>
        <v>58618.469977534543</v>
      </c>
      <c r="RJ22" s="50">
        <f t="shared" ca="1" si="584"/>
        <v>60073.031575941954</v>
      </c>
      <c r="RK22" s="50">
        <f t="shared" ca="1" si="585"/>
        <v>58817.991860410453</v>
      </c>
      <c r="RL22" s="50">
        <f t="shared" ca="1" si="586"/>
        <v>54982.481579856314</v>
      </c>
      <c r="RM22" s="50">
        <f t="shared" ca="1" si="587"/>
        <v>62179.001216007411</v>
      </c>
      <c r="RN22" s="50">
        <f t="shared" ca="1" si="588"/>
        <v>54051.341296494356</v>
      </c>
      <c r="RO22" s="50">
        <f t="shared" ca="1" si="589"/>
        <v>53500.943940637058</v>
      </c>
      <c r="RP22" s="50">
        <f t="shared" ca="1" si="590"/>
        <v>60041.548069832366</v>
      </c>
      <c r="RQ22" s="50">
        <f t="shared" ca="1" si="591"/>
        <v>57782.773938258229</v>
      </c>
      <c r="RR22" s="50">
        <f t="shared" ca="1" si="592"/>
        <v>56253.689848085065</v>
      </c>
      <c r="RS22" s="50">
        <f t="shared" ca="1" si="593"/>
        <v>64347.2302162782</v>
      </c>
      <c r="RT22" s="50">
        <f t="shared" ca="1" si="594"/>
        <v>58049.396834454703</v>
      </c>
      <c r="RU22" s="50">
        <f t="shared" ca="1" si="595"/>
        <v>61477.191144175951</v>
      </c>
      <c r="RV22" s="50">
        <f t="shared" ca="1" si="596"/>
        <v>55538.064423890573</v>
      </c>
      <c r="RW22" s="50">
        <f t="shared" ca="1" si="597"/>
        <v>55274.220426679138</v>
      </c>
      <c r="RX22" s="50">
        <f t="shared" ca="1" si="598"/>
        <v>55607.171974329875</v>
      </c>
      <c r="RY22" s="50">
        <f t="shared" ca="1" si="599"/>
        <v>56945.089715458504</v>
      </c>
      <c r="RZ22" s="50">
        <f t="shared" ca="1" si="600"/>
        <v>55466.942506909276</v>
      </c>
      <c r="SA22" s="50">
        <f t="shared" ca="1" si="601"/>
        <v>56229.4547745339</v>
      </c>
      <c r="SB22" s="50">
        <f t="shared" ca="1" si="602"/>
        <v>55777.562830717514</v>
      </c>
      <c r="SC22" s="50">
        <f t="shared" ca="1" si="603"/>
        <v>55482.528269260103</v>
      </c>
      <c r="SD22" s="50">
        <f t="shared" ca="1" si="604"/>
        <v>52780.502606078902</v>
      </c>
      <c r="SE22" s="50">
        <f t="shared" ca="1" si="605"/>
        <v>63538.593100363949</v>
      </c>
      <c r="SF22" s="50">
        <f t="shared" ca="1" si="606"/>
        <v>57472.104367757514</v>
      </c>
      <c r="SG22" s="50">
        <f t="shared" ca="1" si="607"/>
        <v>51425.261010061498</v>
      </c>
      <c r="SH22" s="50">
        <f t="shared" ca="1" si="608"/>
        <v>58028.297872604737</v>
      </c>
      <c r="SI22" s="50">
        <f t="shared" ca="1" si="609"/>
        <v>57656.092814206349</v>
      </c>
      <c r="SJ22" s="50">
        <f t="shared" ca="1" si="610"/>
        <v>54962.432547218006</v>
      </c>
      <c r="SK22" s="50">
        <f t="shared" ca="1" si="611"/>
        <v>64201.842661493531</v>
      </c>
      <c r="SL22" s="50">
        <f t="shared" ca="1" si="612"/>
        <v>49807.796402552027</v>
      </c>
      <c r="SM22" s="50">
        <f t="shared" ca="1" si="613"/>
        <v>58454.21969494917</v>
      </c>
      <c r="SN22" s="50">
        <f t="shared" ca="1" si="614"/>
        <v>61663.492050740904</v>
      </c>
      <c r="SO22" s="50">
        <f t="shared" ca="1" si="615"/>
        <v>55729.267368737419</v>
      </c>
      <c r="SP22" s="50">
        <f t="shared" ca="1" si="616"/>
        <v>59656.13140120454</v>
      </c>
      <c r="SQ22" s="50">
        <f t="shared" ca="1" si="617"/>
        <v>54258.569130835727</v>
      </c>
      <c r="SR22" s="50">
        <f t="shared" ca="1" si="618"/>
        <v>58311.895815450604</v>
      </c>
      <c r="SS22" s="50">
        <f t="shared" ca="1" si="619"/>
        <v>56090.666128380304</v>
      </c>
      <c r="ST22" s="50">
        <f t="shared" ca="1" si="620"/>
        <v>56253.471746392126</v>
      </c>
      <c r="SU22" s="50">
        <f t="shared" ca="1" si="621"/>
        <v>57327.759669026709</v>
      </c>
      <c r="SV22" s="50">
        <f t="shared" ca="1" si="622"/>
        <v>64608.681935291723</v>
      </c>
      <c r="SW22" s="50">
        <f t="shared" ca="1" si="623"/>
        <v>51304.903511196891</v>
      </c>
      <c r="SX22" s="50">
        <f t="shared" ca="1" si="624"/>
        <v>55698.820170887258</v>
      </c>
      <c r="SY22" s="50">
        <f t="shared" ca="1" si="625"/>
        <v>56998.180296994673</v>
      </c>
      <c r="SZ22" s="50">
        <f t="shared" ca="1" si="626"/>
        <v>62485.238571074282</v>
      </c>
      <c r="TA22" s="50">
        <f t="shared" ca="1" si="627"/>
        <v>58521.132765091577</v>
      </c>
      <c r="TB22" s="50">
        <f t="shared" ca="1" si="628"/>
        <v>62200.107608130573</v>
      </c>
      <c r="TC22" s="50">
        <f t="shared" ca="1" si="629"/>
        <v>58299.802802264086</v>
      </c>
      <c r="TD22" s="50">
        <f t="shared" ca="1" si="630"/>
        <v>61430.553828150856</v>
      </c>
      <c r="TE22" s="50">
        <f t="shared" ca="1" si="631"/>
        <v>54139.785379912646</v>
      </c>
      <c r="TF22" s="50">
        <f t="shared" ca="1" si="632"/>
        <v>57834.393256996067</v>
      </c>
      <c r="TG22" s="50">
        <f t="shared" ca="1" si="633"/>
        <v>57606.866905248884</v>
      </c>
      <c r="TH22" s="50">
        <f t="shared" ca="1" si="634"/>
        <v>61646.933370334722</v>
      </c>
      <c r="TI22" s="50">
        <f t="shared" ca="1" si="635"/>
        <v>52453.789437898769</v>
      </c>
      <c r="TJ22" s="50">
        <f t="shared" ca="1" si="636"/>
        <v>65058.8544540363</v>
      </c>
      <c r="TK22" s="50">
        <f t="shared" ca="1" si="637"/>
        <v>57762.602305419539</v>
      </c>
      <c r="TL22" s="50">
        <f t="shared" ca="1" si="638"/>
        <v>58315.449660850412</v>
      </c>
      <c r="TM22" s="50">
        <f t="shared" ca="1" si="639"/>
        <v>57631.990091421001</v>
      </c>
      <c r="TN22" s="50">
        <f t="shared" ca="1" si="640"/>
        <v>56301.663720373523</v>
      </c>
      <c r="TO22" s="50">
        <f t="shared" ca="1" si="641"/>
        <v>58351.824164068938</v>
      </c>
      <c r="TP22" s="50">
        <f t="shared" ca="1" si="642"/>
        <v>54098.969317724921</v>
      </c>
      <c r="TQ22" s="50">
        <f t="shared" ca="1" si="643"/>
        <v>64161.78043555226</v>
      </c>
      <c r="TR22" s="50">
        <f t="shared" ca="1" si="644"/>
        <v>57182.378111298829</v>
      </c>
      <c r="TS22" s="50">
        <f t="shared" ca="1" si="645"/>
        <v>57781.388039983372</v>
      </c>
      <c r="TT22" s="50">
        <f t="shared" ca="1" si="646"/>
        <v>53778.50588752058</v>
      </c>
      <c r="TU22" s="50">
        <f t="shared" ca="1" si="647"/>
        <v>62592.141168982038</v>
      </c>
      <c r="TV22" s="50">
        <f t="shared" ca="1" si="648"/>
        <v>58573.702285725449</v>
      </c>
      <c r="TW22" s="50">
        <f t="shared" ca="1" si="649"/>
        <v>51277.386275548546</v>
      </c>
      <c r="TX22" s="50">
        <f t="shared" ca="1" si="650"/>
        <v>58991.832047169773</v>
      </c>
      <c r="TY22" s="50">
        <f t="shared" ca="1" si="651"/>
        <v>58589.308208985232</v>
      </c>
      <c r="TZ22" s="50">
        <f t="shared" ca="1" si="652"/>
        <v>60875.180830962709</v>
      </c>
      <c r="UA22" s="50">
        <f t="shared" ca="1" si="653"/>
        <v>56112.108947774541</v>
      </c>
      <c r="UB22" s="50">
        <f t="shared" ca="1" si="654"/>
        <v>56832.219039721167</v>
      </c>
      <c r="UC22" s="50">
        <f t="shared" ca="1" si="655"/>
        <v>66370.055374052914</v>
      </c>
      <c r="UD22" s="50">
        <f t="shared" ca="1" si="656"/>
        <v>61052.367980070914</v>
      </c>
      <c r="UE22" s="50">
        <f t="shared" ca="1" si="657"/>
        <v>56615.319042832612</v>
      </c>
      <c r="UF22" s="50">
        <f t="shared" ca="1" si="658"/>
        <v>56612.347758126358</v>
      </c>
      <c r="UG22" s="50">
        <f t="shared" ca="1" si="659"/>
        <v>52043.288499953203</v>
      </c>
      <c r="UH22" s="50">
        <f t="shared" ca="1" si="660"/>
        <v>52819.250189073478</v>
      </c>
      <c r="UI22" s="50">
        <f t="shared" ca="1" si="661"/>
        <v>58690.709324897347</v>
      </c>
      <c r="UJ22" s="50">
        <f t="shared" ca="1" si="662"/>
        <v>58636.850708719343</v>
      </c>
      <c r="UK22" s="50">
        <f t="shared" ca="1" si="663"/>
        <v>51373.686555270491</v>
      </c>
      <c r="UL22" s="50">
        <f t="shared" ca="1" si="664"/>
        <v>54659.987530758444</v>
      </c>
      <c r="UM22" s="50">
        <f t="shared" ca="1" si="665"/>
        <v>61467.734513878939</v>
      </c>
      <c r="UN22" s="50">
        <f t="shared" ca="1" si="666"/>
        <v>56592.01324988094</v>
      </c>
      <c r="UO22" s="50">
        <f t="shared" ca="1" si="667"/>
        <v>52900.514510332665</v>
      </c>
      <c r="UP22" s="50">
        <f t="shared" ca="1" si="668"/>
        <v>64824.718640117855</v>
      </c>
      <c r="UQ22" s="50">
        <f t="shared" ca="1" si="669"/>
        <v>56973.092051475927</v>
      </c>
      <c r="UR22" s="50">
        <f t="shared" ca="1" si="670"/>
        <v>57080.078053294215</v>
      </c>
      <c r="US22" s="50">
        <f t="shared" ca="1" si="671"/>
        <v>57525.389615681903</v>
      </c>
      <c r="UT22" s="50">
        <f t="shared" ca="1" si="672"/>
        <v>54629.552344199932</v>
      </c>
      <c r="UU22" s="50">
        <f t="shared" ca="1" si="673"/>
        <v>53651.243905653333</v>
      </c>
      <c r="UV22" s="50">
        <f t="shared" ca="1" si="674"/>
        <v>52246.898860725363</v>
      </c>
      <c r="UW22" s="50">
        <f t="shared" ca="1" si="675"/>
        <v>54752.013786798569</v>
      </c>
      <c r="UX22" s="50">
        <f t="shared" ca="1" si="676"/>
        <v>58059.118397493454</v>
      </c>
      <c r="UY22" s="50">
        <f t="shared" ca="1" si="677"/>
        <v>55836.031101428831</v>
      </c>
      <c r="UZ22" s="50">
        <f t="shared" ca="1" si="678"/>
        <v>62332.743632184793</v>
      </c>
      <c r="VA22" s="50">
        <f t="shared" ca="1" si="679"/>
        <v>68206.122389936645</v>
      </c>
      <c r="VB22" s="50">
        <f t="shared" ca="1" si="680"/>
        <v>55475.295084040612</v>
      </c>
      <c r="VC22" s="50">
        <f t="shared" ca="1" si="681"/>
        <v>56270.040206146143</v>
      </c>
      <c r="VD22" s="50">
        <f t="shared" ca="1" si="682"/>
        <v>57965.908927804507</v>
      </c>
      <c r="VE22" s="50">
        <f t="shared" ca="1" si="683"/>
        <v>52737.898192982022</v>
      </c>
      <c r="VF22" s="50">
        <f t="shared" ca="1" si="684"/>
        <v>57521.614205615777</v>
      </c>
      <c r="VG22" s="50">
        <f t="shared" ca="1" si="685"/>
        <v>57702.846149528617</v>
      </c>
      <c r="VH22" s="50">
        <f t="shared" ca="1" si="686"/>
        <v>56799.404856402842</v>
      </c>
      <c r="VI22" s="50">
        <f t="shared" ca="1" si="687"/>
        <v>62075.164389175501</v>
      </c>
      <c r="VJ22" s="50">
        <f t="shared" ca="1" si="688"/>
        <v>64519.001749131894</v>
      </c>
      <c r="VK22" s="50">
        <f t="shared" ca="1" si="689"/>
        <v>61951.214891320269</v>
      </c>
      <c r="VL22" s="50">
        <f t="shared" ca="1" si="690"/>
        <v>54513.044303350485</v>
      </c>
      <c r="VM22" s="50">
        <f t="shared" ca="1" si="691"/>
        <v>61763.719371323554</v>
      </c>
      <c r="VN22" s="50">
        <f t="shared" ca="1" si="692"/>
        <v>60195.708391803462</v>
      </c>
      <c r="VO22" s="50">
        <f t="shared" ca="1" si="693"/>
        <v>64118.285562987883</v>
      </c>
      <c r="VP22" s="50">
        <f t="shared" ca="1" si="694"/>
        <v>60045.112772291941</v>
      </c>
      <c r="VQ22" s="50">
        <f t="shared" ca="1" si="695"/>
        <v>59177.115074384092</v>
      </c>
      <c r="VR22" s="50">
        <f t="shared" ca="1" si="696"/>
        <v>64454.446034439796</v>
      </c>
      <c r="VS22" s="50">
        <f t="shared" ca="1" si="697"/>
        <v>74974.165465159778</v>
      </c>
      <c r="VT22" s="50">
        <f t="shared" ca="1" si="698"/>
        <v>55190.084071964353</v>
      </c>
      <c r="VU22" s="50">
        <f t="shared" ca="1" si="699"/>
        <v>54186.185355831134</v>
      </c>
      <c r="VV22" s="50">
        <f t="shared" ca="1" si="700"/>
        <v>54539.262058113585</v>
      </c>
      <c r="VW22" s="50">
        <f t="shared" ca="1" si="701"/>
        <v>53787.77704793727</v>
      </c>
      <c r="VX22" s="50">
        <f t="shared" ca="1" si="702"/>
        <v>55910.853469256828</v>
      </c>
      <c r="VY22" s="50">
        <f t="shared" ca="1" si="703"/>
        <v>54544.182833830739</v>
      </c>
      <c r="VZ22" s="50">
        <f t="shared" ca="1" si="704"/>
        <v>55988.582407496018</v>
      </c>
      <c r="WA22" s="50">
        <f t="shared" ca="1" si="705"/>
        <v>51008.169357531246</v>
      </c>
      <c r="WB22" s="50">
        <f t="shared" ca="1" si="706"/>
        <v>53864.375668769804</v>
      </c>
      <c r="WC22" s="50">
        <f t="shared" ca="1" si="707"/>
        <v>58943.794081091182</v>
      </c>
      <c r="WD22" s="50">
        <f t="shared" ca="1" si="708"/>
        <v>61597.126657450164</v>
      </c>
      <c r="WE22" s="50">
        <f t="shared" ca="1" si="709"/>
        <v>59437.950255413292</v>
      </c>
      <c r="WF22" s="50">
        <f t="shared" ca="1" si="710"/>
        <v>65039.268560958866</v>
      </c>
      <c r="WG22" s="50">
        <f t="shared" ca="1" si="711"/>
        <v>58323.732809171866</v>
      </c>
      <c r="WH22" s="50">
        <f t="shared" ca="1" si="712"/>
        <v>63457.346729690442</v>
      </c>
      <c r="WI22" s="50">
        <f t="shared" ca="1" si="713"/>
        <v>61317.07061922281</v>
      </c>
      <c r="WJ22" s="50">
        <f t="shared" ca="1" si="714"/>
        <v>53731.119101676173</v>
      </c>
      <c r="WK22" s="50">
        <f t="shared" ca="1" si="715"/>
        <v>63698.419026151758</v>
      </c>
      <c r="WL22" s="50">
        <f t="shared" ca="1" si="716"/>
        <v>60137.805712086119</v>
      </c>
      <c r="WM22" s="50">
        <f t="shared" ca="1" si="717"/>
        <v>58898.365433142062</v>
      </c>
      <c r="WN22" s="50">
        <f t="shared" ca="1" si="718"/>
        <v>55795.127810254926</v>
      </c>
      <c r="WO22" s="50">
        <f t="shared" ca="1" si="719"/>
        <v>59107.321396770996</v>
      </c>
      <c r="WP22" s="50">
        <f t="shared" ca="1" si="720"/>
        <v>56909.145397237204</v>
      </c>
      <c r="WQ22" s="50">
        <f t="shared" ca="1" si="721"/>
        <v>53455.451284316885</v>
      </c>
      <c r="WR22" s="50">
        <f t="shared" ca="1" si="722"/>
        <v>61859.660041212373</v>
      </c>
      <c r="WS22" s="50">
        <f t="shared" ca="1" si="723"/>
        <v>54066.294017316635</v>
      </c>
      <c r="WT22" s="50">
        <f t="shared" ca="1" si="724"/>
        <v>67017.639311415245</v>
      </c>
      <c r="WU22" s="50">
        <f t="shared" ca="1" si="725"/>
        <v>66185.137918427994</v>
      </c>
      <c r="WV22" s="50">
        <f t="shared" ca="1" si="726"/>
        <v>53789.574806234647</v>
      </c>
      <c r="WW22" s="50">
        <f t="shared" ca="1" si="727"/>
        <v>61339.845006357682</v>
      </c>
      <c r="WX22" s="50">
        <f t="shared" ca="1" si="728"/>
        <v>54087.657350636691</v>
      </c>
      <c r="WY22" s="50">
        <f t="shared" ca="1" si="729"/>
        <v>52646.209994420882</v>
      </c>
      <c r="WZ22" s="50">
        <f t="shared" ca="1" si="730"/>
        <v>59259.981615620323</v>
      </c>
      <c r="XA22" s="50">
        <f t="shared" ca="1" si="731"/>
        <v>59193.291262117455</v>
      </c>
      <c r="XB22" s="50">
        <f t="shared" ca="1" si="732"/>
        <v>59868.804913081498</v>
      </c>
      <c r="XC22" s="50">
        <f t="shared" ca="1" si="733"/>
        <v>65724.213740570995</v>
      </c>
      <c r="XD22" s="50">
        <f t="shared" ca="1" si="734"/>
        <v>56563.182768475861</v>
      </c>
      <c r="XE22" s="50">
        <f t="shared" ca="1" si="735"/>
        <v>60933.972248853897</v>
      </c>
      <c r="XF22" s="50">
        <f t="shared" ca="1" si="736"/>
        <v>62865.759723032366</v>
      </c>
      <c r="XG22" s="50">
        <f t="shared" ca="1" si="737"/>
        <v>53403.993438390302</v>
      </c>
      <c r="XH22" s="50">
        <f t="shared" ca="1" si="738"/>
        <v>57695.289895971393</v>
      </c>
      <c r="XI22" s="50">
        <f t="shared" ca="1" si="739"/>
        <v>56977.733682317375</v>
      </c>
      <c r="XJ22" s="50">
        <f t="shared" ca="1" si="740"/>
        <v>49719.655734225875</v>
      </c>
      <c r="XK22" s="50">
        <f t="shared" ca="1" si="741"/>
        <v>56470.361157366518</v>
      </c>
      <c r="XL22" s="50">
        <f t="shared" ca="1" si="742"/>
        <v>63113.195374063725</v>
      </c>
      <c r="XM22" s="50">
        <f t="shared" ca="1" si="743"/>
        <v>61746.073049965184</v>
      </c>
      <c r="XN22" s="50">
        <f t="shared" ca="1" si="744"/>
        <v>59182.230829107</v>
      </c>
      <c r="XO22" s="50">
        <f t="shared" ca="1" si="745"/>
        <v>58726.983966156637</v>
      </c>
      <c r="XP22" s="50">
        <f t="shared" ca="1" si="746"/>
        <v>57558.716654057418</v>
      </c>
      <c r="XQ22" s="50">
        <f t="shared" ca="1" si="747"/>
        <v>58361.123686003179</v>
      </c>
      <c r="XR22" s="50">
        <f t="shared" ca="1" si="748"/>
        <v>69136.755242503947</v>
      </c>
      <c r="XS22" s="50">
        <f t="shared" ca="1" si="749"/>
        <v>55042.802647673743</v>
      </c>
      <c r="XT22" s="50">
        <f t="shared" ca="1" si="750"/>
        <v>60871.614838517111</v>
      </c>
      <c r="XU22" s="50">
        <f t="shared" ca="1" si="751"/>
        <v>51383.002719364769</v>
      </c>
      <c r="XV22" s="50">
        <f t="shared" ca="1" si="752"/>
        <v>57156.266025925353</v>
      </c>
      <c r="XW22" s="50">
        <f t="shared" ca="1" si="753"/>
        <v>57088.037448805764</v>
      </c>
      <c r="XX22" s="50">
        <f t="shared" ca="1" si="754"/>
        <v>60858.250292888326</v>
      </c>
      <c r="XY22" s="50">
        <f t="shared" ca="1" si="755"/>
        <v>51149.170972607826</v>
      </c>
      <c r="XZ22" s="50">
        <f t="shared" ca="1" si="756"/>
        <v>65809.15671985528</v>
      </c>
      <c r="YA22" s="50">
        <f t="shared" ca="1" si="757"/>
        <v>63071.651211919379</v>
      </c>
      <c r="YB22" s="50">
        <f t="shared" ca="1" si="758"/>
        <v>59377.685230427771</v>
      </c>
      <c r="YC22" s="50">
        <f t="shared" ca="1" si="759"/>
        <v>59584.406946933559</v>
      </c>
      <c r="YD22" s="50">
        <f t="shared" ca="1" si="760"/>
        <v>60840.63874704812</v>
      </c>
      <c r="YE22" s="50">
        <f t="shared" ca="1" si="761"/>
        <v>56789.157886834088</v>
      </c>
      <c r="YF22" s="50">
        <f t="shared" ca="1" si="762"/>
        <v>65874.931942218551</v>
      </c>
      <c r="YG22" s="50">
        <f t="shared" ca="1" si="763"/>
        <v>58073.349552571832</v>
      </c>
      <c r="YH22" s="50">
        <f t="shared" ca="1" si="764"/>
        <v>59528.04557256931</v>
      </c>
      <c r="YI22" s="50">
        <f t="shared" ca="1" si="765"/>
        <v>58707.825368718441</v>
      </c>
      <c r="YJ22" s="50">
        <f t="shared" ca="1" si="766"/>
        <v>63581.829037698539</v>
      </c>
      <c r="YK22" s="50">
        <f t="shared" ca="1" si="767"/>
        <v>61352.074611776945</v>
      </c>
      <c r="YL22" s="50">
        <f t="shared" ca="1" si="768"/>
        <v>53705.103246227896</v>
      </c>
      <c r="YM22" s="50">
        <f t="shared" ca="1" si="769"/>
        <v>58758.303917891812</v>
      </c>
      <c r="YN22" s="50">
        <f t="shared" ca="1" si="770"/>
        <v>58624.209782966464</v>
      </c>
      <c r="YO22" s="50">
        <f t="shared" ca="1" si="771"/>
        <v>52616.074092662151</v>
      </c>
      <c r="YP22" s="50">
        <f t="shared" ca="1" si="772"/>
        <v>58437.492408095233</v>
      </c>
      <c r="YQ22" s="50">
        <f t="shared" ca="1" si="773"/>
        <v>57098.154326766344</v>
      </c>
      <c r="YR22" s="50">
        <f t="shared" ca="1" si="774"/>
        <v>51422.062258137652</v>
      </c>
      <c r="YS22" s="50">
        <f t="shared" ca="1" si="775"/>
        <v>67021.022847968212</v>
      </c>
      <c r="YT22" s="50">
        <f t="shared" ca="1" si="776"/>
        <v>53610.759209304095</v>
      </c>
      <c r="YU22" s="50">
        <f t="shared" ca="1" si="777"/>
        <v>65083.631776316106</v>
      </c>
      <c r="YV22" s="50">
        <f t="shared" ca="1" si="778"/>
        <v>54660.679979971828</v>
      </c>
      <c r="YW22" s="50">
        <f t="shared" ca="1" si="779"/>
        <v>52425.886495648287</v>
      </c>
      <c r="YX22" s="50">
        <f t="shared" ca="1" si="780"/>
        <v>58675.107267550302</v>
      </c>
      <c r="YY22" s="50">
        <f t="shared" ca="1" si="781"/>
        <v>53780.288082004045</v>
      </c>
      <c r="YZ22" s="50">
        <f t="shared" ca="1" si="782"/>
        <v>54763.81620668988</v>
      </c>
      <c r="ZA22" s="50">
        <f t="shared" ca="1" si="783"/>
        <v>57761.471108523852</v>
      </c>
      <c r="ZB22" s="50">
        <f t="shared" ca="1" si="784"/>
        <v>59202.168649827516</v>
      </c>
      <c r="ZC22" s="50">
        <f t="shared" ca="1" si="785"/>
        <v>52109.281136946323</v>
      </c>
      <c r="ZD22" s="50">
        <f t="shared" ca="1" si="786"/>
        <v>55427.275283930001</v>
      </c>
      <c r="ZE22" s="50">
        <f t="shared" ca="1" si="787"/>
        <v>55825.169220741685</v>
      </c>
      <c r="ZF22" s="50">
        <f t="shared" ca="1" si="788"/>
        <v>67885.897663256823</v>
      </c>
      <c r="ZG22" s="50">
        <f t="shared" ca="1" si="789"/>
        <v>56994.590641507755</v>
      </c>
      <c r="ZH22" s="50">
        <f t="shared" ca="1" si="790"/>
        <v>56281.039123938099</v>
      </c>
      <c r="ZI22" s="50">
        <f t="shared" ca="1" si="791"/>
        <v>60018.133259232956</v>
      </c>
      <c r="ZJ22" s="50">
        <f t="shared" ca="1" si="792"/>
        <v>56747.353598842987</v>
      </c>
      <c r="ZK22" s="50">
        <f t="shared" ca="1" si="793"/>
        <v>56692.555480232768</v>
      </c>
      <c r="ZL22" s="50">
        <f t="shared" ca="1" si="794"/>
        <v>55948.494018376769</v>
      </c>
      <c r="ZM22" s="50">
        <f t="shared" ca="1" si="795"/>
        <v>59024.091346013025</v>
      </c>
      <c r="ZN22" s="50">
        <f t="shared" ca="1" si="796"/>
        <v>55894.417416970231</v>
      </c>
      <c r="ZO22" s="50">
        <f t="shared" ca="1" si="797"/>
        <v>51927.888149873208</v>
      </c>
      <c r="ZP22" s="50">
        <f t="shared" ca="1" si="798"/>
        <v>61963.131158684315</v>
      </c>
      <c r="ZQ22" s="50">
        <f t="shared" ca="1" si="799"/>
        <v>62725.079632522487</v>
      </c>
      <c r="ZR22" s="50">
        <f t="shared" ca="1" si="800"/>
        <v>59321.7126100889</v>
      </c>
      <c r="ZS22" s="50">
        <f t="shared" ca="1" si="801"/>
        <v>66081.654625489376</v>
      </c>
      <c r="ZT22" s="50">
        <f t="shared" ca="1" si="802"/>
        <v>57627.277080875647</v>
      </c>
      <c r="ZU22" s="50">
        <f t="shared" ca="1" si="803"/>
        <v>56974.504238928959</v>
      </c>
      <c r="ZV22" s="50">
        <f t="shared" ca="1" si="804"/>
        <v>58890.319378198095</v>
      </c>
      <c r="ZW22" s="50">
        <f t="shared" ca="1" si="805"/>
        <v>52773.439375996903</v>
      </c>
      <c r="ZX22" s="50">
        <f t="shared" ca="1" si="806"/>
        <v>60928.940111468328</v>
      </c>
      <c r="ZY22" s="50">
        <f t="shared" ca="1" si="807"/>
        <v>49841.263724630029</v>
      </c>
      <c r="ZZ22" s="50">
        <f t="shared" ca="1" si="808"/>
        <v>68554.865926589802</v>
      </c>
      <c r="AAA22" s="50">
        <f t="shared" ca="1" si="809"/>
        <v>52897.041278439749</v>
      </c>
      <c r="AAB22" s="50">
        <f t="shared" ca="1" si="810"/>
        <v>56708.752512215724</v>
      </c>
      <c r="AAC22" s="50">
        <f t="shared" ca="1" si="811"/>
        <v>58129.829648154227</v>
      </c>
      <c r="AAD22" s="50">
        <f t="shared" ca="1" si="812"/>
        <v>60319.329178624241</v>
      </c>
      <c r="AAE22" s="50">
        <f t="shared" ca="1" si="813"/>
        <v>57097.444113190162</v>
      </c>
      <c r="AAF22" s="50">
        <f t="shared" ca="1" si="814"/>
        <v>52293.455464760387</v>
      </c>
      <c r="AAG22" s="50">
        <f t="shared" ca="1" si="815"/>
        <v>57889.977887378744</v>
      </c>
      <c r="AAH22" s="50">
        <f t="shared" ca="1" si="816"/>
        <v>58157.285956029154</v>
      </c>
      <c r="AAI22" s="50">
        <f t="shared" ca="1" si="817"/>
        <v>59133.423032062601</v>
      </c>
      <c r="AAJ22" s="50">
        <f t="shared" ca="1" si="818"/>
        <v>55348.137226852676</v>
      </c>
      <c r="AAK22" s="50">
        <f t="shared" ca="1" si="819"/>
        <v>58856.398100564234</v>
      </c>
      <c r="AAL22" s="50">
        <f t="shared" ca="1" si="820"/>
        <v>56197.922767620126</v>
      </c>
      <c r="AAM22" s="50">
        <f t="shared" ca="1" si="821"/>
        <v>56706.029575344743</v>
      </c>
      <c r="AAN22" s="50">
        <f t="shared" ca="1" si="822"/>
        <v>57884.022650583654</v>
      </c>
      <c r="AAO22" s="50">
        <f t="shared" ca="1" si="823"/>
        <v>56140.33128932058</v>
      </c>
      <c r="AAP22" s="50">
        <f t="shared" ca="1" si="824"/>
        <v>54393.795004108273</v>
      </c>
      <c r="AAQ22" s="50">
        <f t="shared" ca="1" si="825"/>
        <v>56267.205233488792</v>
      </c>
      <c r="AAR22" s="50">
        <f t="shared" ca="1" si="826"/>
        <v>56721.962397431424</v>
      </c>
      <c r="AAS22" s="50">
        <f t="shared" ca="1" si="827"/>
        <v>55130.986411070415</v>
      </c>
      <c r="AAT22" s="50">
        <f t="shared" ca="1" si="828"/>
        <v>53552.095929063369</v>
      </c>
      <c r="AAU22" s="50">
        <f t="shared" ca="1" si="829"/>
        <v>59961.523570331556</v>
      </c>
      <c r="AAV22" s="50">
        <f t="shared" ca="1" si="830"/>
        <v>55563.472039180342</v>
      </c>
      <c r="AAW22" s="50">
        <f t="shared" ca="1" si="831"/>
        <v>60646.132203329376</v>
      </c>
      <c r="AAX22" s="50">
        <f t="shared" ca="1" si="832"/>
        <v>61860.978993855249</v>
      </c>
      <c r="AAY22" s="50">
        <f t="shared" ca="1" si="833"/>
        <v>60545.983278946478</v>
      </c>
      <c r="AAZ22" s="50">
        <f t="shared" ca="1" si="834"/>
        <v>59860.372005369034</v>
      </c>
      <c r="ABA22" s="50">
        <f t="shared" ca="1" si="835"/>
        <v>54073.19140069314</v>
      </c>
      <c r="ABB22" s="50">
        <f t="shared" ca="1" si="836"/>
        <v>59287.817299434362</v>
      </c>
      <c r="ABC22" s="50">
        <f t="shared" ca="1" si="837"/>
        <v>55578.79010855325</v>
      </c>
      <c r="ABD22" s="50">
        <f t="shared" ca="1" si="838"/>
        <v>56215.320876359787</v>
      </c>
      <c r="ABE22" s="50">
        <f t="shared" ca="1" si="839"/>
        <v>59984.799557270373</v>
      </c>
      <c r="ABF22" s="50">
        <f t="shared" ca="1" si="840"/>
        <v>58616.209924206094</v>
      </c>
      <c r="ABG22" s="50">
        <f t="shared" ca="1" si="841"/>
        <v>61820.825613110697</v>
      </c>
      <c r="ABH22" s="50">
        <f t="shared" ca="1" si="842"/>
        <v>55421.565049392069</v>
      </c>
      <c r="ABI22" s="50">
        <f t="shared" ca="1" si="843"/>
        <v>54733.522579017859</v>
      </c>
      <c r="ABJ22" s="50">
        <f t="shared" ca="1" si="844"/>
        <v>56285.072073760115</v>
      </c>
      <c r="ABK22" s="50">
        <f t="shared" ca="1" si="845"/>
        <v>58601.689321044665</v>
      </c>
      <c r="ABL22" s="50">
        <f t="shared" ca="1" si="846"/>
        <v>60493.953999573758</v>
      </c>
      <c r="ABM22" s="50">
        <f t="shared" ca="1" si="847"/>
        <v>55322.375189694729</v>
      </c>
      <c r="ABN22" s="50">
        <f t="shared" ca="1" si="848"/>
        <v>57292.500387344757</v>
      </c>
      <c r="ABO22" s="50">
        <f t="shared" ca="1" si="849"/>
        <v>57404.299113020083</v>
      </c>
      <c r="ABP22" s="50">
        <f t="shared" ca="1" si="850"/>
        <v>55493.106878326471</v>
      </c>
      <c r="ABQ22" s="50">
        <f t="shared" ca="1" si="851"/>
        <v>56505.0885877646</v>
      </c>
      <c r="ABR22" s="50">
        <f t="shared" ca="1" si="852"/>
        <v>57724.929470754985</v>
      </c>
      <c r="ABS22" s="50">
        <f t="shared" ca="1" si="853"/>
        <v>61639.746104174294</v>
      </c>
      <c r="ABT22" s="50">
        <f t="shared" ca="1" si="854"/>
        <v>56562.276195979372</v>
      </c>
      <c r="ABU22" s="50">
        <f t="shared" ca="1" si="855"/>
        <v>56715.010865352386</v>
      </c>
      <c r="ABV22" s="50">
        <f t="shared" ca="1" si="856"/>
        <v>56166.561224769313</v>
      </c>
      <c r="ABW22" s="50">
        <f t="shared" ca="1" si="857"/>
        <v>52175.713154266465</v>
      </c>
      <c r="ABX22" s="50">
        <f t="shared" ca="1" si="858"/>
        <v>63610.555596859034</v>
      </c>
      <c r="ABY22" s="50">
        <f t="shared" ca="1" si="859"/>
        <v>59221.63089965262</v>
      </c>
      <c r="ABZ22" s="50">
        <f t="shared" ca="1" si="860"/>
        <v>53882.286037999496</v>
      </c>
      <c r="ACA22" s="50">
        <f t="shared" ca="1" si="861"/>
        <v>62604.412769598523</v>
      </c>
      <c r="ACB22" s="50">
        <f t="shared" ca="1" si="862"/>
        <v>64867.810286888758</v>
      </c>
      <c r="ACC22" s="50">
        <f t="shared" ca="1" si="863"/>
        <v>59252.881190094886</v>
      </c>
      <c r="ACD22" s="50">
        <f t="shared" ca="1" si="864"/>
        <v>56600.021483222692</v>
      </c>
      <c r="ACE22" s="50">
        <f t="shared" ca="1" si="865"/>
        <v>60622.990522768821</v>
      </c>
      <c r="ACF22" s="50">
        <f t="shared" ca="1" si="866"/>
        <v>61667.140188538586</v>
      </c>
      <c r="ACG22" s="50">
        <f t="shared" ca="1" si="867"/>
        <v>63077.898259632559</v>
      </c>
      <c r="ACH22" s="50">
        <f t="shared" ca="1" si="868"/>
        <v>63630.582157262936</v>
      </c>
      <c r="ACI22" s="50">
        <f t="shared" ca="1" si="869"/>
        <v>58367.353262504868</v>
      </c>
      <c r="ACJ22" s="50">
        <f t="shared" ca="1" si="870"/>
        <v>58152.024276490309</v>
      </c>
      <c r="ACK22" s="50">
        <f t="shared" ca="1" si="871"/>
        <v>60175.480167147471</v>
      </c>
      <c r="ACL22" s="50">
        <f t="shared" ca="1" si="872"/>
        <v>57429.988946836507</v>
      </c>
      <c r="ACM22" s="50">
        <f t="shared" ca="1" si="873"/>
        <v>54067.712048999419</v>
      </c>
      <c r="ACN22" s="50">
        <f t="shared" ca="1" si="874"/>
        <v>54360.138398264688</v>
      </c>
      <c r="ACO22" s="50">
        <f t="shared" ca="1" si="875"/>
        <v>56531.585725343859</v>
      </c>
      <c r="ACP22" s="50">
        <f t="shared" ca="1" si="876"/>
        <v>55137.396845576812</v>
      </c>
      <c r="ACQ22" s="50">
        <f t="shared" ca="1" si="877"/>
        <v>50594.288311246033</v>
      </c>
      <c r="ACR22" s="50">
        <f t="shared" ca="1" si="878"/>
        <v>53184.800926854696</v>
      </c>
      <c r="ACS22" s="50">
        <f t="shared" ca="1" si="879"/>
        <v>53137.193155868808</v>
      </c>
      <c r="ACT22" s="50">
        <f t="shared" ca="1" si="880"/>
        <v>57047.832875398351</v>
      </c>
      <c r="ACU22" s="50">
        <f t="shared" ca="1" si="881"/>
        <v>53770.196961675807</v>
      </c>
      <c r="ACV22" s="50">
        <f t="shared" ca="1" si="882"/>
        <v>57840.19761879203</v>
      </c>
      <c r="ACW22" s="50">
        <f t="shared" ca="1" si="883"/>
        <v>61081.748049820817</v>
      </c>
      <c r="ACX22" s="50">
        <f t="shared" ca="1" si="884"/>
        <v>62724.652183229417</v>
      </c>
      <c r="ACY22" s="50">
        <f t="shared" ca="1" si="885"/>
        <v>55544.885023993913</v>
      </c>
      <c r="ACZ22" s="50">
        <f t="shared" ca="1" si="886"/>
        <v>58255.990336337782</v>
      </c>
      <c r="ADA22" s="50">
        <f t="shared" ca="1" si="887"/>
        <v>64487.384685916135</v>
      </c>
      <c r="ADB22" s="50">
        <f t="shared" ca="1" si="888"/>
        <v>62182.691748804893</v>
      </c>
      <c r="ADC22" s="50">
        <f t="shared" ca="1" si="889"/>
        <v>63596.905922863116</v>
      </c>
      <c r="ADD22" s="50">
        <f t="shared" ca="1" si="890"/>
        <v>52609.041870472029</v>
      </c>
      <c r="ADE22" s="50">
        <f t="shared" ca="1" si="891"/>
        <v>55970.271251054539</v>
      </c>
      <c r="ADF22" s="50">
        <f t="shared" ca="1" si="892"/>
        <v>56783.838409226184</v>
      </c>
      <c r="ADG22" s="50">
        <f t="shared" ca="1" si="893"/>
        <v>61174.922169754784</v>
      </c>
      <c r="ADH22" s="50">
        <f t="shared" ca="1" si="894"/>
        <v>53332.398925040376</v>
      </c>
      <c r="ADI22" s="50">
        <f t="shared" ca="1" si="895"/>
        <v>48768.118930099066</v>
      </c>
      <c r="ADJ22" s="50">
        <f t="shared" ca="1" si="896"/>
        <v>57180.531379061438</v>
      </c>
      <c r="ADK22" s="50">
        <f t="shared" ca="1" si="897"/>
        <v>58170.097288775549</v>
      </c>
      <c r="ADL22" s="50">
        <f t="shared" ca="1" si="898"/>
        <v>60661.511948681036</v>
      </c>
      <c r="ADM22" s="50">
        <f t="shared" ca="1" si="899"/>
        <v>60290.845527390462</v>
      </c>
      <c r="ADN22" s="50">
        <f t="shared" ca="1" si="900"/>
        <v>59692.580207037077</v>
      </c>
      <c r="ADO22" s="50">
        <f t="shared" ca="1" si="901"/>
        <v>49598.785902605159</v>
      </c>
      <c r="ADP22" s="50">
        <f t="shared" ca="1" si="902"/>
        <v>56290.166160483946</v>
      </c>
      <c r="ADQ22" s="50">
        <f t="shared" ca="1" si="903"/>
        <v>52819.432066596273</v>
      </c>
      <c r="ADR22" s="50">
        <f t="shared" ca="1" si="904"/>
        <v>53844.198169470023</v>
      </c>
      <c r="ADS22" s="50">
        <f t="shared" ca="1" si="905"/>
        <v>58334.855046876233</v>
      </c>
      <c r="ADT22" s="50">
        <f t="shared" ca="1" si="906"/>
        <v>57634.075375505767</v>
      </c>
      <c r="ADU22" s="50">
        <f t="shared" ca="1" si="907"/>
        <v>54565.716378209807</v>
      </c>
      <c r="ADV22" s="50">
        <f t="shared" ca="1" si="908"/>
        <v>61948.255245562919</v>
      </c>
      <c r="ADW22" s="50">
        <f t="shared" ca="1" si="909"/>
        <v>57678.670277997466</v>
      </c>
      <c r="ADX22" s="50">
        <f t="shared" ca="1" si="910"/>
        <v>65365.438434679672</v>
      </c>
      <c r="ADY22" s="50">
        <f t="shared" ca="1" si="911"/>
        <v>56870.222129632522</v>
      </c>
      <c r="ADZ22" s="50">
        <f t="shared" ca="1" si="912"/>
        <v>56559.970234749831</v>
      </c>
      <c r="AEA22" s="50">
        <f t="shared" ca="1" si="913"/>
        <v>58160.277449072775</v>
      </c>
      <c r="AEB22" s="50">
        <f t="shared" ca="1" si="914"/>
        <v>64150.328853997373</v>
      </c>
      <c r="AEC22" s="50">
        <f t="shared" ca="1" si="915"/>
        <v>65439.977101949946</v>
      </c>
      <c r="AED22" s="50">
        <f t="shared" ca="1" si="916"/>
        <v>62298.604384283703</v>
      </c>
      <c r="AEE22" s="50">
        <f t="shared" ca="1" si="917"/>
        <v>55859.783355037704</v>
      </c>
      <c r="AEF22" s="50">
        <f t="shared" ca="1" si="918"/>
        <v>56300.145842399113</v>
      </c>
      <c r="AEG22" s="50">
        <f t="shared" ca="1" si="919"/>
        <v>53540.708641544086</v>
      </c>
      <c r="AEH22" s="50">
        <f t="shared" ca="1" si="920"/>
        <v>63428.047953649533</v>
      </c>
      <c r="AEI22" s="50">
        <f t="shared" ca="1" si="921"/>
        <v>61429.471390733779</v>
      </c>
      <c r="AEJ22" s="50">
        <f t="shared" ca="1" si="922"/>
        <v>58133.170714626671</v>
      </c>
      <c r="AEK22" s="50">
        <f t="shared" ca="1" si="923"/>
        <v>55685.792125511412</v>
      </c>
      <c r="AEL22" s="50">
        <f t="shared" ca="1" si="924"/>
        <v>61549.22727619145</v>
      </c>
      <c r="AEM22" s="50">
        <f t="shared" ca="1" si="925"/>
        <v>65081.671695241916</v>
      </c>
      <c r="AEN22" s="50">
        <f t="shared" ca="1" si="926"/>
        <v>65442.085732602951</v>
      </c>
      <c r="AEO22" s="50">
        <f t="shared" ca="1" si="927"/>
        <v>60561.686317721389</v>
      </c>
      <c r="AEP22" s="50">
        <f t="shared" ca="1" si="928"/>
        <v>54517.906562429438</v>
      </c>
      <c r="AEQ22" s="50">
        <f t="shared" ca="1" si="929"/>
        <v>58929.023893187477</v>
      </c>
      <c r="AER22" s="50">
        <f t="shared" ca="1" si="930"/>
        <v>56142.016866622718</v>
      </c>
      <c r="AES22" s="50">
        <f t="shared" ca="1" si="931"/>
        <v>54419.105369096316</v>
      </c>
      <c r="AET22" s="50">
        <f t="shared" ca="1" si="932"/>
        <v>61736.348398402719</v>
      </c>
      <c r="AEU22" s="50">
        <f t="shared" ca="1" si="933"/>
        <v>61133.082869816222</v>
      </c>
      <c r="AEV22" s="50">
        <f t="shared" ca="1" si="934"/>
        <v>62034.065092656121</v>
      </c>
      <c r="AEW22" s="50">
        <f t="shared" ca="1" si="935"/>
        <v>60430.979506904681</v>
      </c>
      <c r="AEX22" s="50">
        <f t="shared" ca="1" si="936"/>
        <v>56615.980755817727</v>
      </c>
      <c r="AEY22" s="50">
        <f t="shared" ca="1" si="937"/>
        <v>61501.113595156676</v>
      </c>
      <c r="AEZ22" s="50">
        <f t="shared" ca="1" si="938"/>
        <v>53057.377351075396</v>
      </c>
      <c r="AFA22" s="50">
        <f t="shared" ca="1" si="939"/>
        <v>55783.997771869574</v>
      </c>
      <c r="AFB22" s="50">
        <f t="shared" ca="1" si="940"/>
        <v>56274.546511414759</v>
      </c>
      <c r="AFC22" s="50">
        <f t="shared" ca="1" si="941"/>
        <v>61169.674012944182</v>
      </c>
      <c r="AFD22" s="50">
        <f t="shared" ca="1" si="942"/>
        <v>58647.853437982274</v>
      </c>
      <c r="AFE22" s="50">
        <f t="shared" ca="1" si="943"/>
        <v>53063.337095560666</v>
      </c>
      <c r="AFF22" s="50">
        <f t="shared" ca="1" si="944"/>
        <v>59672.117774537342</v>
      </c>
      <c r="AFG22" s="50">
        <f t="shared" ca="1" si="945"/>
        <v>52809.876385329793</v>
      </c>
      <c r="AFH22" s="50">
        <f t="shared" ca="1" si="946"/>
        <v>52570.280622405262</v>
      </c>
      <c r="AFI22" s="50">
        <f t="shared" ca="1" si="947"/>
        <v>57404.583329327317</v>
      </c>
      <c r="AFJ22" s="50">
        <f t="shared" ca="1" si="948"/>
        <v>53502.927557095223</v>
      </c>
      <c r="AFK22" s="50">
        <f t="shared" ca="1" si="949"/>
        <v>52081.476191576068</v>
      </c>
      <c r="AFL22" s="50">
        <f t="shared" ca="1" si="950"/>
        <v>56425.5399324315</v>
      </c>
      <c r="AFM22" s="50">
        <f t="shared" ca="1" si="951"/>
        <v>60360.512892321807</v>
      </c>
      <c r="AFN22" s="50">
        <f t="shared" ca="1" si="952"/>
        <v>58723.197905924593</v>
      </c>
      <c r="AFO22" s="50">
        <f t="shared" ca="1" si="953"/>
        <v>61649.123068333065</v>
      </c>
      <c r="AFP22" s="50">
        <f t="shared" ca="1" si="954"/>
        <v>60502.606693537324</v>
      </c>
      <c r="AFQ22" s="50">
        <f t="shared" ca="1" si="955"/>
        <v>62410.98662130809</v>
      </c>
      <c r="AFR22" s="50">
        <f t="shared" ca="1" si="956"/>
        <v>53477.266781178587</v>
      </c>
      <c r="AFS22" s="50">
        <f t="shared" ca="1" si="957"/>
        <v>53755.498441287396</v>
      </c>
      <c r="AFT22" s="50">
        <f t="shared" ca="1" si="958"/>
        <v>59218.756504775665</v>
      </c>
      <c r="AFU22" s="50">
        <f t="shared" ca="1" si="959"/>
        <v>55762.463088552715</v>
      </c>
      <c r="AFV22" s="50">
        <f t="shared" ca="1" si="960"/>
        <v>58624.333585752509</v>
      </c>
      <c r="AFW22" s="50">
        <f t="shared" ca="1" si="961"/>
        <v>61268.916492765711</v>
      </c>
      <c r="AFX22" s="50">
        <f t="shared" ca="1" si="962"/>
        <v>60485.196923630647</v>
      </c>
      <c r="AFY22" s="50">
        <f t="shared" ca="1" si="963"/>
        <v>61357.351086891314</v>
      </c>
      <c r="AFZ22" s="50">
        <f t="shared" ca="1" si="964"/>
        <v>61696.463584655714</v>
      </c>
      <c r="AGA22" s="50">
        <f t="shared" ca="1" si="965"/>
        <v>60951.877158018353</v>
      </c>
      <c r="AGB22" s="50">
        <f t="shared" ca="1" si="966"/>
        <v>65041.729272741031</v>
      </c>
      <c r="AGC22" s="50">
        <f t="shared" ca="1" si="967"/>
        <v>59870.138059229088</v>
      </c>
      <c r="AGD22" s="50">
        <f t="shared" ca="1" si="968"/>
        <v>60350.977000914492</v>
      </c>
      <c r="AGE22" s="50">
        <f t="shared" ca="1" si="969"/>
        <v>58878.797539671279</v>
      </c>
      <c r="AGF22" s="50">
        <f t="shared" ca="1" si="970"/>
        <v>50878.620085371564</v>
      </c>
      <c r="AGG22" s="50">
        <f t="shared" ca="1" si="971"/>
        <v>54983.783209247857</v>
      </c>
      <c r="AGH22" s="50">
        <f t="shared" ca="1" si="972"/>
        <v>60129.743208969121</v>
      </c>
      <c r="AGI22" s="50">
        <f t="shared" ca="1" si="973"/>
        <v>54613.728135888319</v>
      </c>
      <c r="AGJ22" s="50">
        <f t="shared" ca="1" si="974"/>
        <v>61137.922491054465</v>
      </c>
      <c r="AGK22" s="50">
        <f t="shared" ca="1" si="975"/>
        <v>66609.345494627007</v>
      </c>
      <c r="AGL22" s="50">
        <f t="shared" ca="1" si="976"/>
        <v>51826.838840302698</v>
      </c>
      <c r="AGM22" s="50">
        <f t="shared" ca="1" si="977"/>
        <v>55150.027914749066</v>
      </c>
      <c r="AGN22" s="50">
        <f t="shared" ca="1" si="978"/>
        <v>60652.286886541144</v>
      </c>
      <c r="AGO22" s="50">
        <f t="shared" ca="1" si="979"/>
        <v>53425.659887548223</v>
      </c>
      <c r="AGP22" s="50">
        <f t="shared" ca="1" si="980"/>
        <v>56903.009515416561</v>
      </c>
      <c r="AGQ22" s="50">
        <f t="shared" ca="1" si="981"/>
        <v>59419.316071544585</v>
      </c>
      <c r="AGR22" s="50">
        <f t="shared" ca="1" si="982"/>
        <v>58111.857443320194</v>
      </c>
      <c r="AGS22" s="50">
        <f t="shared" ca="1" si="983"/>
        <v>59537.726585974029</v>
      </c>
      <c r="AGT22" s="50">
        <f t="shared" ca="1" si="984"/>
        <v>59174.09958374202</v>
      </c>
      <c r="AGU22" s="50">
        <f t="shared" ca="1" si="985"/>
        <v>58745.917241240539</v>
      </c>
      <c r="AGV22" s="50">
        <f t="shared" ca="1" si="986"/>
        <v>59622.93397759481</v>
      </c>
      <c r="AGW22" s="50">
        <f t="shared" ca="1" si="987"/>
        <v>60123.068565128182</v>
      </c>
      <c r="AGX22" s="50">
        <f t="shared" ca="1" si="988"/>
        <v>56787.287197418613</v>
      </c>
      <c r="AGY22" s="50">
        <f t="shared" ca="1" si="989"/>
        <v>64495.551412419627</v>
      </c>
      <c r="AGZ22" s="50">
        <f t="shared" ca="1" si="990"/>
        <v>57337.164487932394</v>
      </c>
      <c r="AHA22" s="50">
        <f t="shared" ca="1" si="991"/>
        <v>66578.901615796567</v>
      </c>
      <c r="AHB22" s="50">
        <f t="shared" ca="1" si="992"/>
        <v>58292.936460861427</v>
      </c>
      <c r="AHC22" s="50">
        <f t="shared" ca="1" si="993"/>
        <v>65224.731892624899</v>
      </c>
      <c r="AHD22" s="50">
        <f t="shared" ca="1" si="994"/>
        <v>49579.213488082489</v>
      </c>
      <c r="AHE22" s="50">
        <f t="shared" ca="1" si="995"/>
        <v>60546.881833062187</v>
      </c>
      <c r="AHF22" s="50">
        <f t="shared" ca="1" si="996"/>
        <v>61874.613000853889</v>
      </c>
      <c r="AHG22" s="50">
        <f t="shared" ca="1" si="997"/>
        <v>55640.765316960656</v>
      </c>
      <c r="AHH22" s="50">
        <f t="shared" ca="1" si="998"/>
        <v>62722.161721266835</v>
      </c>
      <c r="AHI22" s="50">
        <f t="shared" ca="1" si="999"/>
        <v>53475.312161832626</v>
      </c>
      <c r="AHJ22" s="50">
        <f t="shared" ca="1" si="1000"/>
        <v>63523.092518448539</v>
      </c>
      <c r="AHK22" s="50">
        <f t="shared" ca="1" si="1001"/>
        <v>57293.551584908542</v>
      </c>
      <c r="AHL22" s="50">
        <f t="shared" ca="1" si="1002"/>
        <v>57884.221794815807</v>
      </c>
      <c r="AHM22" s="50">
        <f t="shared" ca="1" si="1003"/>
        <v>58699.713688613476</v>
      </c>
      <c r="AHN22" s="50">
        <f t="shared" ca="1" si="1004"/>
        <v>69497.394656475415</v>
      </c>
      <c r="AHO22" s="50">
        <f t="shared" ca="1" si="1005"/>
        <v>55321.29982191079</v>
      </c>
      <c r="AHP22" s="50">
        <f t="shared" ca="1" si="1006"/>
        <v>52613.411713632289</v>
      </c>
      <c r="AHQ22" s="50">
        <f t="shared" ca="1" si="1007"/>
        <v>59011.874068782206</v>
      </c>
      <c r="AHR22" s="50">
        <f t="shared" ca="1" si="1008"/>
        <v>58857.138903270716</v>
      </c>
      <c r="AHS22" s="50">
        <f t="shared" ca="1" si="1009"/>
        <v>56347.682934503078</v>
      </c>
      <c r="AHT22" s="50">
        <f t="shared" ca="1" si="1010"/>
        <v>57864.026197462816</v>
      </c>
      <c r="AHU22" s="50">
        <f t="shared" ca="1" si="1011"/>
        <v>53191.759277219302</v>
      </c>
      <c r="AHV22" s="50">
        <f t="shared" ca="1" si="1012"/>
        <v>56974.253876323528</v>
      </c>
      <c r="AHW22" s="50">
        <f t="shared" ca="1" si="1013"/>
        <v>50749.112778919174</v>
      </c>
      <c r="AHX22" s="50">
        <f t="shared" ca="1" si="1014"/>
        <v>59712.021775183937</v>
      </c>
      <c r="AHY22" s="50">
        <f t="shared" ca="1" si="1015"/>
        <v>67301.277945717971</v>
      </c>
      <c r="AHZ22" s="50">
        <f t="shared" ca="1" si="1016"/>
        <v>57767.63438334618</v>
      </c>
      <c r="AIA22" s="50">
        <f t="shared" ca="1" si="1017"/>
        <v>52693.629958988007</v>
      </c>
      <c r="AIB22" s="50">
        <f t="shared" ca="1" si="1018"/>
        <v>59400.145697771128</v>
      </c>
      <c r="AIC22" s="50">
        <f t="shared" ca="1" si="1019"/>
        <v>52141.351148187372</v>
      </c>
      <c r="AID22" s="50">
        <f t="shared" ca="1" si="1020"/>
        <v>66231.467082952382</v>
      </c>
      <c r="AIE22" s="50">
        <f t="shared" ca="1" si="1021"/>
        <v>60807.705947661831</v>
      </c>
      <c r="AIF22" s="50">
        <f t="shared" ca="1" si="1022"/>
        <v>55723.807101084392</v>
      </c>
      <c r="AIG22" s="50">
        <f t="shared" ca="1" si="1023"/>
        <v>54190.696033772467</v>
      </c>
      <c r="AIH22" s="50">
        <f t="shared" ca="1" si="1024"/>
        <v>62403.496884926361</v>
      </c>
      <c r="AII22" s="50">
        <f t="shared" ca="1" si="1025"/>
        <v>55390.733200602052</v>
      </c>
      <c r="AIJ22" s="50">
        <f t="shared" ca="1" si="1026"/>
        <v>61215.681883246238</v>
      </c>
      <c r="AIK22" s="50">
        <f t="shared" ca="1" si="1027"/>
        <v>58905.670370198757</v>
      </c>
      <c r="AIL22" s="50">
        <f t="shared" ca="1" si="1028"/>
        <v>60364.896833644321</v>
      </c>
      <c r="AIM22" s="50">
        <f t="shared" ca="1" si="1029"/>
        <v>59385.327906749699</v>
      </c>
      <c r="AIN22" s="50">
        <f t="shared" ca="1" si="1030"/>
        <v>61074.308819042708</v>
      </c>
      <c r="AIO22" s="50">
        <f t="shared" ca="1" si="1031"/>
        <v>57458.633431802249</v>
      </c>
      <c r="AIP22" s="50">
        <f t="shared" ca="1" si="1032"/>
        <v>62918.816343487415</v>
      </c>
      <c r="AIQ22" s="50">
        <f t="shared" ca="1" si="1033"/>
        <v>54982.017682694757</v>
      </c>
      <c r="AIR22" s="50">
        <f t="shared" ca="1" si="1034"/>
        <v>53349.879006024101</v>
      </c>
      <c r="AIS22" s="50">
        <f t="shared" ca="1" si="1035"/>
        <v>59218.756267612174</v>
      </c>
      <c r="AIT22" s="50">
        <f t="shared" ca="1" si="1036"/>
        <v>49091.293851520924</v>
      </c>
      <c r="AIU22" s="50">
        <f t="shared" ca="1" si="1037"/>
        <v>58139.002381166691</v>
      </c>
      <c r="AIV22" s="50">
        <f t="shared" ca="1" si="1038"/>
        <v>57450.386074685426</v>
      </c>
      <c r="AIW22" s="50">
        <f t="shared" ca="1" si="1039"/>
        <v>57308.881524548116</v>
      </c>
      <c r="AIX22" s="50">
        <f t="shared" ca="1" si="1040"/>
        <v>61649.17449103947</v>
      </c>
      <c r="AIY22" s="50">
        <f t="shared" ca="1" si="1041"/>
        <v>48026.760374479833</v>
      </c>
      <c r="AIZ22" s="50">
        <f t="shared" ca="1" si="1042"/>
        <v>65454.421550523664</v>
      </c>
      <c r="AJA22" s="50">
        <f t="shared" ca="1" si="1043"/>
        <v>63384.706981384603</v>
      </c>
      <c r="AJB22" s="50">
        <f t="shared" ca="1" si="1044"/>
        <v>63488.668341637371</v>
      </c>
      <c r="AJC22" s="50">
        <f t="shared" ca="1" si="1045"/>
        <v>58044.503389131605</v>
      </c>
      <c r="AJD22" s="50">
        <f t="shared" ca="1" si="1046"/>
        <v>58251.057987151442</v>
      </c>
      <c r="AJE22" s="50">
        <f t="shared" ca="1" si="1047"/>
        <v>61810.424746257871</v>
      </c>
      <c r="AJF22" s="50">
        <f t="shared" ca="1" si="1048"/>
        <v>67280.054294684145</v>
      </c>
      <c r="AJG22" s="50">
        <f t="shared" ca="1" si="1049"/>
        <v>61801.227176013388</v>
      </c>
      <c r="AJH22" s="50">
        <f t="shared" ca="1" si="1050"/>
        <v>59975.051679467651</v>
      </c>
      <c r="AJI22" s="50">
        <f t="shared" ca="1" si="1051"/>
        <v>56806.195314449862</v>
      </c>
      <c r="AJJ22" s="50">
        <f t="shared" ca="1" si="1052"/>
        <v>70339.337693458991</v>
      </c>
      <c r="AJK22" s="50">
        <f t="shared" ca="1" si="1053"/>
        <v>50662.912678285364</v>
      </c>
      <c r="AJL22" s="50">
        <f t="shared" ca="1" si="1054"/>
        <v>60566.337563707799</v>
      </c>
      <c r="AJM22" s="50">
        <f t="shared" ca="1" si="1055"/>
        <v>53088.12168360634</v>
      </c>
      <c r="AJN22" s="50">
        <f t="shared" ca="1" si="1056"/>
        <v>65702.199769056708</v>
      </c>
      <c r="AJO22" s="50">
        <f t="shared" ca="1" si="1057"/>
        <v>54027.486126155462</v>
      </c>
      <c r="AJP22" s="50">
        <f t="shared" ca="1" si="1058"/>
        <v>59345.52240995469</v>
      </c>
      <c r="AJQ22" s="50">
        <f t="shared" ca="1" si="1059"/>
        <v>62110.149437303538</v>
      </c>
      <c r="AJR22" s="50">
        <f t="shared" ca="1" si="1060"/>
        <v>57160.290184932172</v>
      </c>
      <c r="AJS22" s="50">
        <f t="shared" ca="1" si="1061"/>
        <v>55494.811558707843</v>
      </c>
      <c r="AJT22" s="50">
        <f t="shared" ca="1" si="1062"/>
        <v>53407.377350037452</v>
      </c>
      <c r="AJU22" s="50">
        <f t="shared" ca="1" si="1063"/>
        <v>59825.475131417406</v>
      </c>
      <c r="AJV22" s="50">
        <f t="shared" ca="1" si="1064"/>
        <v>56120.426505462674</v>
      </c>
      <c r="AJW22" s="50">
        <f t="shared" ca="1" si="1065"/>
        <v>56287.914972278777</v>
      </c>
      <c r="AJX22" s="50">
        <f t="shared" ca="1" si="1066"/>
        <v>54819.490098237613</v>
      </c>
      <c r="AJY22" s="50">
        <f t="shared" ca="1" si="1067"/>
        <v>53926.631483908888</v>
      </c>
      <c r="AJZ22" s="50">
        <f t="shared" ca="1" si="1068"/>
        <v>57247.247827747618</v>
      </c>
      <c r="AKA22" s="50">
        <f t="shared" ca="1" si="1069"/>
        <v>61754.783710841642</v>
      </c>
      <c r="AKB22" s="50">
        <f t="shared" ca="1" si="1070"/>
        <v>52836.821617899055</v>
      </c>
      <c r="AKC22" s="50">
        <f t="shared" ca="1" si="1071"/>
        <v>61899.96845918613</v>
      </c>
      <c r="AKD22" s="50">
        <f t="shared" ca="1" si="1072"/>
        <v>59451.162546502164</v>
      </c>
      <c r="AKE22" s="50">
        <f t="shared" ca="1" si="1073"/>
        <v>56403.714968170061</v>
      </c>
      <c r="AKF22" s="50">
        <f t="shared" ca="1" si="1074"/>
        <v>53819.294126954199</v>
      </c>
      <c r="AKG22" s="50">
        <f t="shared" ca="1" si="1075"/>
        <v>56378.249426411181</v>
      </c>
      <c r="AKH22" s="50">
        <f t="shared" ca="1" si="1076"/>
        <v>61144.800273614695</v>
      </c>
      <c r="AKI22" s="50">
        <f t="shared" ca="1" si="1077"/>
        <v>60769.749831000801</v>
      </c>
      <c r="AKJ22" s="50">
        <f t="shared" ca="1" si="1078"/>
        <v>65767.548173403295</v>
      </c>
      <c r="AKK22" s="50">
        <f t="shared" ca="1" si="1079"/>
        <v>58375.282403242811</v>
      </c>
      <c r="AKL22" s="50">
        <f t="shared" ca="1" si="1080"/>
        <v>59007.373280243148</v>
      </c>
      <c r="AKM22" s="50">
        <f t="shared" ca="1" si="1081"/>
        <v>57895.772786041314</v>
      </c>
      <c r="AKN22" s="50">
        <f t="shared" ca="1" si="1082"/>
        <v>58131.484586228631</v>
      </c>
      <c r="AKO22" s="50">
        <f t="shared" ca="1" si="1083"/>
        <v>55463.644659957332</v>
      </c>
      <c r="AKP22" s="50">
        <f t="shared" ca="1" si="1084"/>
        <v>65107.724523155703</v>
      </c>
      <c r="AKQ22" s="50">
        <f t="shared" ca="1" si="1085"/>
        <v>54014.95474923138</v>
      </c>
      <c r="AKR22" s="50">
        <f t="shared" ca="1" si="1086"/>
        <v>51860.32437440283</v>
      </c>
      <c r="AKS22" s="50">
        <f t="shared" ca="1" si="1087"/>
        <v>53529.779768320055</v>
      </c>
      <c r="AKT22" s="50">
        <f t="shared" ca="1" si="1088"/>
        <v>55350.479312292096</v>
      </c>
      <c r="AKU22" s="50">
        <f t="shared" ca="1" si="1089"/>
        <v>59831.055973157425</v>
      </c>
      <c r="AKV22" s="50">
        <f t="shared" ca="1" si="1090"/>
        <v>57818.751737893544</v>
      </c>
      <c r="AKW22" s="50">
        <f t="shared" ca="1" si="1091"/>
        <v>65854.075282140824</v>
      </c>
      <c r="AKX22" s="50">
        <f t="shared" ca="1" si="1092"/>
        <v>63561.631226764614</v>
      </c>
      <c r="AKY22" s="50">
        <f t="shared" ca="1" si="1093"/>
        <v>56480.968760641968</v>
      </c>
      <c r="AKZ22" s="50">
        <f t="shared" ca="1" si="1094"/>
        <v>54409.112351256605</v>
      </c>
      <c r="ALA22" s="50">
        <f t="shared" ca="1" si="1095"/>
        <v>58157.020289496286</v>
      </c>
      <c r="ALB22" s="50">
        <f t="shared" ca="1" si="1096"/>
        <v>56763.574207531128</v>
      </c>
      <c r="ALC22" s="50">
        <f t="shared" ca="1" si="1097"/>
        <v>58607.583754348801</v>
      </c>
      <c r="ALD22" s="50">
        <f t="shared" ca="1" si="1098"/>
        <v>59042.548293205633</v>
      </c>
      <c r="ALE22" s="50">
        <f t="shared" ca="1" si="1099"/>
        <v>57428.128689325851</v>
      </c>
      <c r="ALF22" s="50">
        <f t="shared" ca="1" si="1100"/>
        <v>52640.980044518721</v>
      </c>
      <c r="ALG22" s="50">
        <f t="shared" ca="1" si="1101"/>
        <v>55611.124801904487</v>
      </c>
      <c r="ALH22" s="50">
        <f t="shared" ca="1" si="1102"/>
        <v>51461.478831786939</v>
      </c>
      <c r="ALI22" s="50">
        <f t="shared" ca="1" si="1103"/>
        <v>52275.963135441838</v>
      </c>
      <c r="ALJ22" s="50">
        <f t="shared" ca="1" si="1104"/>
        <v>63844.152404721397</v>
      </c>
      <c r="ALK22" s="50">
        <f t="shared" ca="1" si="1105"/>
        <v>63669.006232307009</v>
      </c>
      <c r="ALL22" s="50">
        <f t="shared" ca="1" si="1106"/>
        <v>60596.546447690038</v>
      </c>
      <c r="ALM22" s="50">
        <f t="shared" ca="1" si="1107"/>
        <v>53547.044670769166</v>
      </c>
      <c r="ALN22" s="50">
        <f t="shared" ca="1" si="1108"/>
        <v>54413.309675081749</v>
      </c>
      <c r="ALO22" s="50">
        <f t="shared" ca="1" si="1109"/>
        <v>70879.975561407438</v>
      </c>
      <c r="ALP22" s="50">
        <f t="shared" ca="1" si="1110"/>
        <v>53832.999871067914</v>
      </c>
      <c r="ALQ22" s="50">
        <f t="shared" ca="1" si="1111"/>
        <v>55426.916501721993</v>
      </c>
      <c r="ALR22" s="50">
        <f t="shared" ca="1" si="1112"/>
        <v>60956.606653565221</v>
      </c>
    </row>
    <row r="23" spans="1:1006" s="35" customFormat="1" x14ac:dyDescent="0.2">
      <c r="D23" s="49"/>
      <c r="E23" s="49"/>
      <c r="F23" s="32">
        <f t="shared" si="1114"/>
        <v>4</v>
      </c>
      <c r="G23" s="50">
        <f t="shared" ca="1" si="1115"/>
        <v>55696.485273534381</v>
      </c>
      <c r="H23" s="50">
        <f t="shared" ca="1" si="1113"/>
        <v>51623.988187139155</v>
      </c>
      <c r="I23" s="50">
        <f t="shared" ca="1" si="1113"/>
        <v>53537.413022415843</v>
      </c>
      <c r="J23" s="50">
        <f t="shared" ca="1" si="1113"/>
        <v>57086.193483032548</v>
      </c>
      <c r="K23" s="50">
        <f t="shared" ca="1" si="1113"/>
        <v>65400.872807858635</v>
      </c>
      <c r="L23" s="50">
        <f t="shared" ca="1" si="118"/>
        <v>66455.662970627222</v>
      </c>
      <c r="M23" s="50">
        <f t="shared" ca="1" si="119"/>
        <v>58266.673163260428</v>
      </c>
      <c r="N23" s="50">
        <f t="shared" ca="1" si="120"/>
        <v>61097.795013287774</v>
      </c>
      <c r="O23" s="50">
        <f t="shared" ca="1" si="121"/>
        <v>55442.29461589361</v>
      </c>
      <c r="P23" s="50">
        <f t="shared" ca="1" si="122"/>
        <v>65591.449264108393</v>
      </c>
      <c r="Q23" s="50">
        <f t="shared" ca="1" si="123"/>
        <v>52502.67419934331</v>
      </c>
      <c r="R23" s="50">
        <f t="shared" ca="1" si="124"/>
        <v>64175.729143282515</v>
      </c>
      <c r="S23" s="50">
        <f t="shared" ca="1" si="125"/>
        <v>59866.904236261718</v>
      </c>
      <c r="T23" s="50">
        <f t="shared" ca="1" si="126"/>
        <v>63401.933855171956</v>
      </c>
      <c r="U23" s="50">
        <f t="shared" ca="1" si="127"/>
        <v>56611.935889230313</v>
      </c>
      <c r="V23" s="50">
        <f t="shared" ca="1" si="128"/>
        <v>63723.550901915987</v>
      </c>
      <c r="W23" s="50">
        <f t="shared" ca="1" si="129"/>
        <v>57457.97252216022</v>
      </c>
      <c r="X23" s="50">
        <f t="shared" ca="1" si="130"/>
        <v>66251.80060025389</v>
      </c>
      <c r="Y23" s="50">
        <f t="shared" ca="1" si="131"/>
        <v>54996.88780431357</v>
      </c>
      <c r="Z23" s="50">
        <f t="shared" ca="1" si="132"/>
        <v>57016.311260084294</v>
      </c>
      <c r="AA23" s="50">
        <f t="shared" ca="1" si="133"/>
        <v>60778.164644105775</v>
      </c>
      <c r="AB23" s="50">
        <f t="shared" ca="1" si="134"/>
        <v>56469.926847781375</v>
      </c>
      <c r="AC23" s="50">
        <f t="shared" ca="1" si="135"/>
        <v>53850.246739443268</v>
      </c>
      <c r="AD23" s="50">
        <f t="shared" ca="1" si="136"/>
        <v>57284.043002286868</v>
      </c>
      <c r="AE23" s="50">
        <f t="shared" ca="1" si="137"/>
        <v>65621.623079321522</v>
      </c>
      <c r="AF23" s="50">
        <f t="shared" ca="1" si="138"/>
        <v>55924.798823036996</v>
      </c>
      <c r="AG23" s="50">
        <f t="shared" ca="1" si="139"/>
        <v>61946.991404294051</v>
      </c>
      <c r="AH23" s="50">
        <f t="shared" ca="1" si="140"/>
        <v>56175.977549766634</v>
      </c>
      <c r="AI23" s="50">
        <f t="shared" ca="1" si="141"/>
        <v>63066.619441480456</v>
      </c>
      <c r="AJ23" s="50">
        <f t="shared" ca="1" si="142"/>
        <v>59186.322328760398</v>
      </c>
      <c r="AK23" s="50">
        <f t="shared" ca="1" si="143"/>
        <v>59299.131541136827</v>
      </c>
      <c r="AL23" s="50">
        <f t="shared" ca="1" si="144"/>
        <v>58197.953298646578</v>
      </c>
      <c r="AM23" s="50">
        <f t="shared" ca="1" si="145"/>
        <v>53814.053435333175</v>
      </c>
      <c r="AN23" s="50">
        <f t="shared" ca="1" si="146"/>
        <v>51962.104147517166</v>
      </c>
      <c r="AO23" s="50">
        <f t="shared" ca="1" si="147"/>
        <v>63698.526282644183</v>
      </c>
      <c r="AP23" s="50">
        <f t="shared" ca="1" si="148"/>
        <v>56833.683323416823</v>
      </c>
      <c r="AQ23" s="50">
        <f t="shared" ca="1" si="149"/>
        <v>58310.162276033552</v>
      </c>
      <c r="AR23" s="50">
        <f t="shared" ca="1" si="150"/>
        <v>64394.279831688851</v>
      </c>
      <c r="AS23" s="50">
        <f t="shared" ca="1" si="151"/>
        <v>53704.94100522314</v>
      </c>
      <c r="AT23" s="50">
        <f t="shared" ca="1" si="152"/>
        <v>54323.858922318046</v>
      </c>
      <c r="AU23" s="50">
        <f t="shared" ca="1" si="153"/>
        <v>59613.733880914326</v>
      </c>
      <c r="AV23" s="50">
        <f t="shared" ca="1" si="154"/>
        <v>61933.314801924404</v>
      </c>
      <c r="AW23" s="50">
        <f t="shared" ca="1" si="155"/>
        <v>60718.463850289612</v>
      </c>
      <c r="AX23" s="50">
        <f t="shared" ca="1" si="156"/>
        <v>60972.621490468402</v>
      </c>
      <c r="AY23" s="50">
        <f t="shared" ca="1" si="157"/>
        <v>53835.187193110622</v>
      </c>
      <c r="AZ23" s="50">
        <f t="shared" ca="1" si="158"/>
        <v>54345.957370871387</v>
      </c>
      <c r="BA23" s="50">
        <f t="shared" ca="1" si="159"/>
        <v>60581.56438088492</v>
      </c>
      <c r="BB23" s="50">
        <f t="shared" ca="1" si="160"/>
        <v>60588.239989212438</v>
      </c>
      <c r="BC23" s="50">
        <f t="shared" ca="1" si="161"/>
        <v>56269.806267536522</v>
      </c>
      <c r="BD23" s="50">
        <f t="shared" ca="1" si="162"/>
        <v>59290.129178004725</v>
      </c>
      <c r="BE23" s="50">
        <f t="shared" ca="1" si="163"/>
        <v>58204.762685920912</v>
      </c>
      <c r="BF23" s="50">
        <f t="shared" ca="1" si="164"/>
        <v>61121.65575491052</v>
      </c>
      <c r="BG23" s="50">
        <f t="shared" ca="1" si="165"/>
        <v>51036.838513681774</v>
      </c>
      <c r="BH23" s="50">
        <f t="shared" ca="1" si="166"/>
        <v>59485.479306690402</v>
      </c>
      <c r="BI23" s="50">
        <f t="shared" ca="1" si="167"/>
        <v>64264.190150162671</v>
      </c>
      <c r="BJ23" s="50">
        <f t="shared" ca="1" si="168"/>
        <v>59669.321594847293</v>
      </c>
      <c r="BK23" s="50">
        <f t="shared" ca="1" si="169"/>
        <v>52012.469002787104</v>
      </c>
      <c r="BL23" s="50">
        <f t="shared" ca="1" si="170"/>
        <v>56191.07641070008</v>
      </c>
      <c r="BM23" s="50">
        <f t="shared" ca="1" si="171"/>
        <v>63620.139115871127</v>
      </c>
      <c r="BN23" s="50">
        <f t="shared" ca="1" si="172"/>
        <v>56979.001129235257</v>
      </c>
      <c r="BO23" s="50">
        <f t="shared" ca="1" si="173"/>
        <v>57969.15194086761</v>
      </c>
      <c r="BP23" s="50">
        <f t="shared" ca="1" si="174"/>
        <v>59655.492468009914</v>
      </c>
      <c r="BQ23" s="50">
        <f t="shared" ca="1" si="175"/>
        <v>49906.262450795482</v>
      </c>
      <c r="BR23" s="50">
        <f t="shared" ca="1" si="176"/>
        <v>54583.823680795213</v>
      </c>
      <c r="BS23" s="50">
        <f t="shared" ca="1" si="177"/>
        <v>51968.916936126494</v>
      </c>
      <c r="BT23" s="50">
        <f t="shared" ca="1" si="178"/>
        <v>56753.354659011988</v>
      </c>
      <c r="BU23" s="50">
        <f t="shared" ca="1" si="179"/>
        <v>58043.37251359639</v>
      </c>
      <c r="BV23" s="50">
        <f t="shared" ca="1" si="180"/>
        <v>53822.453955971614</v>
      </c>
      <c r="BW23" s="50">
        <f t="shared" ca="1" si="181"/>
        <v>54719.738403808995</v>
      </c>
      <c r="BX23" s="50">
        <f t="shared" ca="1" si="182"/>
        <v>59585.018721237895</v>
      </c>
      <c r="BY23" s="50">
        <f t="shared" ca="1" si="183"/>
        <v>62167.422229711061</v>
      </c>
      <c r="BZ23" s="50">
        <f t="shared" ca="1" si="184"/>
        <v>54324.138338072065</v>
      </c>
      <c r="CA23" s="50">
        <f t="shared" ca="1" si="185"/>
        <v>59273.302628215264</v>
      </c>
      <c r="CB23" s="50">
        <f t="shared" ca="1" si="186"/>
        <v>59193.717788029069</v>
      </c>
      <c r="CC23" s="50">
        <f t="shared" ca="1" si="187"/>
        <v>57421.837482579758</v>
      </c>
      <c r="CD23" s="50">
        <f t="shared" ca="1" si="188"/>
        <v>58983.348447701545</v>
      </c>
      <c r="CE23" s="50">
        <f t="shared" ca="1" si="189"/>
        <v>50526.635248378545</v>
      </c>
      <c r="CF23" s="50">
        <f t="shared" ca="1" si="190"/>
        <v>62182.561270897852</v>
      </c>
      <c r="CG23" s="50">
        <f t="shared" ca="1" si="191"/>
        <v>57334.848211077813</v>
      </c>
      <c r="CH23" s="50">
        <f t="shared" ca="1" si="192"/>
        <v>49610.674437048074</v>
      </c>
      <c r="CI23" s="50">
        <f t="shared" ca="1" si="193"/>
        <v>55297.175819541932</v>
      </c>
      <c r="CJ23" s="50">
        <f t="shared" ca="1" si="194"/>
        <v>58290.993033908897</v>
      </c>
      <c r="CK23" s="50">
        <f t="shared" ca="1" si="195"/>
        <v>61601.109408959783</v>
      </c>
      <c r="CL23" s="50">
        <f t="shared" ca="1" si="196"/>
        <v>64933.09869903441</v>
      </c>
      <c r="CM23" s="50">
        <f t="shared" ca="1" si="197"/>
        <v>57093.129566559262</v>
      </c>
      <c r="CN23" s="50">
        <f t="shared" ca="1" si="198"/>
        <v>54152.738673626955</v>
      </c>
      <c r="CO23" s="50">
        <f t="shared" ca="1" si="199"/>
        <v>58884.943022830426</v>
      </c>
      <c r="CP23" s="50">
        <f t="shared" ca="1" si="200"/>
        <v>54717.368868367754</v>
      </c>
      <c r="CQ23" s="50">
        <f t="shared" ca="1" si="201"/>
        <v>57384.779743159161</v>
      </c>
      <c r="CR23" s="50">
        <f t="shared" ca="1" si="202"/>
        <v>59053.565819347532</v>
      </c>
      <c r="CS23" s="50">
        <f t="shared" ca="1" si="203"/>
        <v>60515.239327266485</v>
      </c>
      <c r="CT23" s="50">
        <f t="shared" ca="1" si="204"/>
        <v>62794.360177425195</v>
      </c>
      <c r="CU23" s="50">
        <f t="shared" ca="1" si="205"/>
        <v>58447.170635071292</v>
      </c>
      <c r="CV23" s="50">
        <f t="shared" ca="1" si="206"/>
        <v>46586.91035155244</v>
      </c>
      <c r="CW23" s="50">
        <f t="shared" ca="1" si="207"/>
        <v>54988.35164170646</v>
      </c>
      <c r="CX23" s="50">
        <f t="shared" ca="1" si="208"/>
        <v>63331.577537845376</v>
      </c>
      <c r="CY23" s="50">
        <f t="shared" ca="1" si="209"/>
        <v>58640.006207964492</v>
      </c>
      <c r="CZ23" s="50">
        <f t="shared" ca="1" si="210"/>
        <v>63574.910880048134</v>
      </c>
      <c r="DA23" s="50">
        <f t="shared" ca="1" si="211"/>
        <v>55086.776292028022</v>
      </c>
      <c r="DB23" s="50">
        <f t="shared" ca="1" si="212"/>
        <v>62522.232404972769</v>
      </c>
      <c r="DC23" s="50">
        <f t="shared" ca="1" si="213"/>
        <v>58446.351522687903</v>
      </c>
      <c r="DD23" s="50">
        <f t="shared" ca="1" si="214"/>
        <v>50573.34154544615</v>
      </c>
      <c r="DE23" s="50">
        <f t="shared" ca="1" si="215"/>
        <v>59717.340916944704</v>
      </c>
      <c r="DF23" s="50">
        <f t="shared" ca="1" si="216"/>
        <v>62557.842245451975</v>
      </c>
      <c r="DG23" s="50">
        <f t="shared" ca="1" si="217"/>
        <v>52932.051983131234</v>
      </c>
      <c r="DH23" s="50">
        <f t="shared" ca="1" si="218"/>
        <v>64164.110541873837</v>
      </c>
      <c r="DI23" s="50">
        <f t="shared" ca="1" si="219"/>
        <v>52729.742648153144</v>
      </c>
      <c r="DJ23" s="50">
        <f t="shared" ca="1" si="220"/>
        <v>62646.666242195111</v>
      </c>
      <c r="DK23" s="50">
        <f t="shared" ca="1" si="221"/>
        <v>56106.870067858777</v>
      </c>
      <c r="DL23" s="50">
        <f t="shared" ca="1" si="222"/>
        <v>60158.828620424887</v>
      </c>
      <c r="DM23" s="50">
        <f t="shared" ca="1" si="223"/>
        <v>58959.164082103431</v>
      </c>
      <c r="DN23" s="50">
        <f t="shared" ca="1" si="224"/>
        <v>52438.281387249437</v>
      </c>
      <c r="DO23" s="50">
        <f t="shared" ca="1" si="225"/>
        <v>58955.057021117413</v>
      </c>
      <c r="DP23" s="50">
        <f t="shared" ca="1" si="226"/>
        <v>57206.604992209301</v>
      </c>
      <c r="DQ23" s="50">
        <f t="shared" ca="1" si="227"/>
        <v>53915.155654555143</v>
      </c>
      <c r="DR23" s="50">
        <f t="shared" ca="1" si="228"/>
        <v>52481.71515936128</v>
      </c>
      <c r="DS23" s="50">
        <f t="shared" ca="1" si="229"/>
        <v>55511.595801497308</v>
      </c>
      <c r="DT23" s="50">
        <f t="shared" ca="1" si="230"/>
        <v>65521.748988988518</v>
      </c>
      <c r="DU23" s="50">
        <f t="shared" ca="1" si="231"/>
        <v>61699.72128453615</v>
      </c>
      <c r="DV23" s="50">
        <f t="shared" ca="1" si="232"/>
        <v>51361.904215527851</v>
      </c>
      <c r="DW23" s="50">
        <f t="shared" ca="1" si="233"/>
        <v>55360.194578314506</v>
      </c>
      <c r="DX23" s="50">
        <f t="shared" ca="1" si="234"/>
        <v>52767.178371467016</v>
      </c>
      <c r="DY23" s="50">
        <f t="shared" ca="1" si="235"/>
        <v>61394.332326174328</v>
      </c>
      <c r="DZ23" s="50">
        <f t="shared" ca="1" si="236"/>
        <v>64750.745365110917</v>
      </c>
      <c r="EA23" s="50">
        <f t="shared" ca="1" si="237"/>
        <v>71927.668125751341</v>
      </c>
      <c r="EB23" s="50">
        <f t="shared" ca="1" si="238"/>
        <v>65655.477348023051</v>
      </c>
      <c r="EC23" s="50">
        <f t="shared" ca="1" si="239"/>
        <v>58047.430673775416</v>
      </c>
      <c r="ED23" s="50">
        <f t="shared" ca="1" si="240"/>
        <v>63435.173759517937</v>
      </c>
      <c r="EE23" s="50">
        <f t="shared" ca="1" si="241"/>
        <v>55863.366005569711</v>
      </c>
      <c r="EF23" s="50">
        <f t="shared" ca="1" si="242"/>
        <v>52808.108500590286</v>
      </c>
      <c r="EG23" s="50">
        <f t="shared" ca="1" si="243"/>
        <v>60613.0212627644</v>
      </c>
      <c r="EH23" s="50">
        <f t="shared" ca="1" si="244"/>
        <v>60728.08711074078</v>
      </c>
      <c r="EI23" s="50">
        <f t="shared" ca="1" si="245"/>
        <v>57117.107939713816</v>
      </c>
      <c r="EJ23" s="50">
        <f t="shared" ca="1" si="246"/>
        <v>58285.049990112202</v>
      </c>
      <c r="EK23" s="50">
        <f t="shared" ca="1" si="247"/>
        <v>58868.961880981755</v>
      </c>
      <c r="EL23" s="50">
        <f t="shared" ca="1" si="248"/>
        <v>59097.210641474339</v>
      </c>
      <c r="EM23" s="50">
        <f t="shared" ca="1" si="249"/>
        <v>54380.535365152231</v>
      </c>
      <c r="EN23" s="50">
        <f t="shared" ca="1" si="250"/>
        <v>65045.121571809192</v>
      </c>
      <c r="EO23" s="50">
        <f t="shared" ca="1" si="251"/>
        <v>59285.635373601217</v>
      </c>
      <c r="EP23" s="50">
        <f t="shared" ca="1" si="252"/>
        <v>59768.619342139318</v>
      </c>
      <c r="EQ23" s="50">
        <f t="shared" ca="1" si="253"/>
        <v>59572.338974630591</v>
      </c>
      <c r="ER23" s="50">
        <f t="shared" ca="1" si="254"/>
        <v>61237.750969027307</v>
      </c>
      <c r="ES23" s="50">
        <f t="shared" ca="1" si="255"/>
        <v>50342.246222302398</v>
      </c>
      <c r="ET23" s="50">
        <f t="shared" ca="1" si="256"/>
        <v>51969.012984741312</v>
      </c>
      <c r="EU23" s="50">
        <f t="shared" ca="1" si="257"/>
        <v>61458.987389253343</v>
      </c>
      <c r="EV23" s="50">
        <f t="shared" ca="1" si="258"/>
        <v>52700.167478996897</v>
      </c>
      <c r="EW23" s="50">
        <f t="shared" ca="1" si="259"/>
        <v>61927.029450699367</v>
      </c>
      <c r="EX23" s="50">
        <f t="shared" ca="1" si="260"/>
        <v>60387.233790638442</v>
      </c>
      <c r="EY23" s="50">
        <f t="shared" ca="1" si="261"/>
        <v>57478.73288663938</v>
      </c>
      <c r="EZ23" s="50">
        <f t="shared" ca="1" si="262"/>
        <v>56942.248232494385</v>
      </c>
      <c r="FA23" s="50">
        <f t="shared" ca="1" si="263"/>
        <v>55110.821165109191</v>
      </c>
      <c r="FB23" s="50">
        <f t="shared" ca="1" si="264"/>
        <v>60105.315055776555</v>
      </c>
      <c r="FC23" s="50">
        <f t="shared" ca="1" si="265"/>
        <v>55587.2524594512</v>
      </c>
      <c r="FD23" s="50">
        <f t="shared" ca="1" si="266"/>
        <v>58833.517324597917</v>
      </c>
      <c r="FE23" s="50">
        <f t="shared" ca="1" si="267"/>
        <v>59252.660679896115</v>
      </c>
      <c r="FF23" s="50">
        <f t="shared" ca="1" si="268"/>
        <v>56365.987657993355</v>
      </c>
      <c r="FG23" s="50">
        <f t="shared" ca="1" si="269"/>
        <v>53147.298963892827</v>
      </c>
      <c r="FH23" s="50">
        <f t="shared" ca="1" si="270"/>
        <v>55049.211949931669</v>
      </c>
      <c r="FI23" s="50">
        <f t="shared" ca="1" si="271"/>
        <v>67421.598349989799</v>
      </c>
      <c r="FJ23" s="50">
        <f t="shared" ca="1" si="272"/>
        <v>55399.586424227411</v>
      </c>
      <c r="FK23" s="50">
        <f t="shared" ca="1" si="273"/>
        <v>62135.303423479796</v>
      </c>
      <c r="FL23" s="50">
        <f t="shared" ca="1" si="274"/>
        <v>52669.302275963841</v>
      </c>
      <c r="FM23" s="50">
        <f t="shared" ca="1" si="275"/>
        <v>57610.687176224877</v>
      </c>
      <c r="FN23" s="50">
        <f t="shared" ca="1" si="276"/>
        <v>55672.331483331123</v>
      </c>
      <c r="FO23" s="50">
        <f t="shared" ca="1" si="277"/>
        <v>63601.460771856058</v>
      </c>
      <c r="FP23" s="50">
        <f t="shared" ca="1" si="278"/>
        <v>60585.188267845922</v>
      </c>
      <c r="FQ23" s="50">
        <f t="shared" ca="1" si="279"/>
        <v>67789.739667859743</v>
      </c>
      <c r="FR23" s="50">
        <f t="shared" ca="1" si="280"/>
        <v>55574.611318447794</v>
      </c>
      <c r="FS23" s="50">
        <f t="shared" ca="1" si="281"/>
        <v>60199.435848235014</v>
      </c>
      <c r="FT23" s="50">
        <f t="shared" ca="1" si="282"/>
        <v>55653.113372623688</v>
      </c>
      <c r="FU23" s="50">
        <f t="shared" ca="1" si="283"/>
        <v>57548.508218587558</v>
      </c>
      <c r="FV23" s="50">
        <f t="shared" ca="1" si="284"/>
        <v>48957.90023059964</v>
      </c>
      <c r="FW23" s="50">
        <f t="shared" ca="1" si="285"/>
        <v>61824.340796151046</v>
      </c>
      <c r="FX23" s="50">
        <f t="shared" ca="1" si="286"/>
        <v>64465.04854227529</v>
      </c>
      <c r="FY23" s="50">
        <f t="shared" ca="1" si="287"/>
        <v>66394.670139815222</v>
      </c>
      <c r="FZ23" s="50">
        <f t="shared" ca="1" si="288"/>
        <v>58272.58438645659</v>
      </c>
      <c r="GA23" s="50">
        <f t="shared" ca="1" si="289"/>
        <v>58660.306413450635</v>
      </c>
      <c r="GB23" s="50">
        <f t="shared" ca="1" si="290"/>
        <v>53833.067370097691</v>
      </c>
      <c r="GC23" s="50">
        <f t="shared" ca="1" si="291"/>
        <v>64423.933545702414</v>
      </c>
      <c r="GD23" s="50">
        <f t="shared" ca="1" si="292"/>
        <v>54379.96603957691</v>
      </c>
      <c r="GE23" s="50">
        <f t="shared" ca="1" si="293"/>
        <v>65277.553248432356</v>
      </c>
      <c r="GF23" s="50">
        <f t="shared" ca="1" si="294"/>
        <v>56142.027579825131</v>
      </c>
      <c r="GG23" s="50">
        <f t="shared" ca="1" si="295"/>
        <v>59149.253720003886</v>
      </c>
      <c r="GH23" s="50">
        <f t="shared" ca="1" si="296"/>
        <v>52346.51068189957</v>
      </c>
      <c r="GI23" s="50">
        <f t="shared" ca="1" si="297"/>
        <v>53149.162997050327</v>
      </c>
      <c r="GJ23" s="50">
        <f t="shared" ca="1" si="298"/>
        <v>57242.140599387829</v>
      </c>
      <c r="GK23" s="50">
        <f t="shared" ca="1" si="299"/>
        <v>49880.888220359971</v>
      </c>
      <c r="GL23" s="50">
        <f t="shared" ca="1" si="300"/>
        <v>54296.627590714379</v>
      </c>
      <c r="GM23" s="50">
        <f t="shared" ca="1" si="301"/>
        <v>45641.933584241044</v>
      </c>
      <c r="GN23" s="50">
        <f t="shared" ca="1" si="302"/>
        <v>57586.998013969554</v>
      </c>
      <c r="GO23" s="50">
        <f t="shared" ca="1" si="303"/>
        <v>65939.02403808599</v>
      </c>
      <c r="GP23" s="50">
        <f t="shared" ca="1" si="304"/>
        <v>58433.848540671417</v>
      </c>
      <c r="GQ23" s="50">
        <f t="shared" ca="1" si="305"/>
        <v>55543.134801449138</v>
      </c>
      <c r="GR23" s="50">
        <f t="shared" ca="1" si="306"/>
        <v>58777.993128736111</v>
      </c>
      <c r="GS23" s="50">
        <f t="shared" ca="1" si="307"/>
        <v>56515.747537527663</v>
      </c>
      <c r="GT23" s="50">
        <f t="shared" ca="1" si="308"/>
        <v>50146.45437167948</v>
      </c>
      <c r="GU23" s="50">
        <f t="shared" ca="1" si="309"/>
        <v>60886.674078658914</v>
      </c>
      <c r="GV23" s="50">
        <f t="shared" ca="1" si="310"/>
        <v>63250.323280272481</v>
      </c>
      <c r="GW23" s="50">
        <f t="shared" ca="1" si="311"/>
        <v>58720.368879046066</v>
      </c>
      <c r="GX23" s="50">
        <f t="shared" ca="1" si="312"/>
        <v>57966.068362493541</v>
      </c>
      <c r="GY23" s="50">
        <f t="shared" ca="1" si="313"/>
        <v>61736.931103996329</v>
      </c>
      <c r="GZ23" s="50">
        <f t="shared" ca="1" si="314"/>
        <v>62803.817051885191</v>
      </c>
      <c r="HA23" s="50">
        <f t="shared" ca="1" si="315"/>
        <v>56423.681130903424</v>
      </c>
      <c r="HB23" s="50">
        <f t="shared" ca="1" si="316"/>
        <v>51893.303512011727</v>
      </c>
      <c r="HC23" s="50">
        <f t="shared" ca="1" si="317"/>
        <v>61422.303289787618</v>
      </c>
      <c r="HD23" s="50">
        <f t="shared" ca="1" si="318"/>
        <v>48589.348299113459</v>
      </c>
      <c r="HE23" s="50">
        <f t="shared" ca="1" si="319"/>
        <v>52501.535249558066</v>
      </c>
      <c r="HF23" s="50">
        <f t="shared" ca="1" si="320"/>
        <v>57857.881556683453</v>
      </c>
      <c r="HG23" s="50">
        <f t="shared" ca="1" si="321"/>
        <v>59452.223606891843</v>
      </c>
      <c r="HH23" s="50">
        <f t="shared" ca="1" si="322"/>
        <v>66228.610833990853</v>
      </c>
      <c r="HI23" s="50">
        <f t="shared" ca="1" si="323"/>
        <v>57608.568510646954</v>
      </c>
      <c r="HJ23" s="50">
        <f t="shared" ca="1" si="324"/>
        <v>59481.738647258033</v>
      </c>
      <c r="HK23" s="50">
        <f t="shared" ca="1" si="325"/>
        <v>60905.292404465894</v>
      </c>
      <c r="HL23" s="50">
        <f t="shared" ca="1" si="326"/>
        <v>59853.64182143064</v>
      </c>
      <c r="HM23" s="50">
        <f t="shared" ca="1" si="327"/>
        <v>58247.271523736446</v>
      </c>
      <c r="HN23" s="50">
        <f t="shared" ca="1" si="328"/>
        <v>57746.080416415556</v>
      </c>
      <c r="HO23" s="50">
        <f t="shared" ca="1" si="329"/>
        <v>64376.925393825943</v>
      </c>
      <c r="HP23" s="50">
        <f t="shared" ca="1" si="330"/>
        <v>61824.559488601546</v>
      </c>
      <c r="HQ23" s="50">
        <f t="shared" ca="1" si="331"/>
        <v>59022.629194360867</v>
      </c>
      <c r="HR23" s="50">
        <f t="shared" ca="1" si="332"/>
        <v>61488.035030277904</v>
      </c>
      <c r="HS23" s="50">
        <f t="shared" ca="1" si="333"/>
        <v>62516.863730653495</v>
      </c>
      <c r="HT23" s="50">
        <f t="shared" ca="1" si="334"/>
        <v>51640.736331941451</v>
      </c>
      <c r="HU23" s="50">
        <f t="shared" ca="1" si="335"/>
        <v>59012.033975017395</v>
      </c>
      <c r="HV23" s="50">
        <f t="shared" ca="1" si="336"/>
        <v>55066.147051801599</v>
      </c>
      <c r="HW23" s="50">
        <f t="shared" ca="1" si="337"/>
        <v>55398.474215879149</v>
      </c>
      <c r="HX23" s="50">
        <f t="shared" ca="1" si="338"/>
        <v>64689.237958252343</v>
      </c>
      <c r="HY23" s="50">
        <f t="shared" ca="1" si="339"/>
        <v>54291.329015205709</v>
      </c>
      <c r="HZ23" s="50">
        <f t="shared" ca="1" si="340"/>
        <v>59458.153316717304</v>
      </c>
      <c r="IA23" s="50">
        <f t="shared" ca="1" si="341"/>
        <v>57880.999682679605</v>
      </c>
      <c r="IB23" s="50">
        <f t="shared" ca="1" si="342"/>
        <v>54819.40099767327</v>
      </c>
      <c r="IC23" s="50">
        <f t="shared" ca="1" si="343"/>
        <v>67691.503324125471</v>
      </c>
      <c r="ID23" s="50">
        <f t="shared" ca="1" si="344"/>
        <v>68458.117974681503</v>
      </c>
      <c r="IE23" s="50">
        <f t="shared" ca="1" si="345"/>
        <v>63447.14861190119</v>
      </c>
      <c r="IF23" s="50">
        <f t="shared" ca="1" si="346"/>
        <v>48025.34660374387</v>
      </c>
      <c r="IG23" s="50">
        <f t="shared" ca="1" si="347"/>
        <v>67467.442062432354</v>
      </c>
      <c r="IH23" s="50">
        <f t="shared" ca="1" si="348"/>
        <v>59361.210306441237</v>
      </c>
      <c r="II23" s="50">
        <f t="shared" ca="1" si="349"/>
        <v>61181.545973493397</v>
      </c>
      <c r="IJ23" s="50">
        <f t="shared" ca="1" si="350"/>
        <v>60233.678490733466</v>
      </c>
      <c r="IK23" s="50">
        <f t="shared" ca="1" si="351"/>
        <v>61288.14786532813</v>
      </c>
      <c r="IL23" s="50">
        <f t="shared" ca="1" si="352"/>
        <v>63745.275374566947</v>
      </c>
      <c r="IM23" s="50">
        <f t="shared" ca="1" si="353"/>
        <v>56275.342003206701</v>
      </c>
      <c r="IN23" s="50">
        <f t="shared" ca="1" si="354"/>
        <v>68358.142255770726</v>
      </c>
      <c r="IO23" s="50">
        <f t="shared" ca="1" si="355"/>
        <v>53727.218548351302</v>
      </c>
      <c r="IP23" s="50">
        <f t="shared" ca="1" si="356"/>
        <v>59392.629917626487</v>
      </c>
      <c r="IQ23" s="50">
        <f t="shared" ca="1" si="357"/>
        <v>54737.235110259004</v>
      </c>
      <c r="IR23" s="50">
        <f t="shared" ca="1" si="358"/>
        <v>56562.864980616941</v>
      </c>
      <c r="IS23" s="50">
        <f t="shared" ca="1" si="359"/>
        <v>59231.483178033348</v>
      </c>
      <c r="IT23" s="50">
        <f t="shared" ca="1" si="360"/>
        <v>56136.24736657329</v>
      </c>
      <c r="IU23" s="50">
        <f t="shared" ca="1" si="361"/>
        <v>57862.024246940404</v>
      </c>
      <c r="IV23" s="50">
        <f t="shared" ca="1" si="362"/>
        <v>54410.031365705938</v>
      </c>
      <c r="IW23" s="50">
        <f t="shared" ca="1" si="363"/>
        <v>50128.656705858521</v>
      </c>
      <c r="IX23" s="50">
        <f t="shared" ca="1" si="364"/>
        <v>59695.671740416328</v>
      </c>
      <c r="IY23" s="50">
        <f t="shared" ca="1" si="365"/>
        <v>58566.701513274646</v>
      </c>
      <c r="IZ23" s="50">
        <f t="shared" ca="1" si="366"/>
        <v>62887.644139467622</v>
      </c>
      <c r="JA23" s="50">
        <f t="shared" ca="1" si="367"/>
        <v>55284.253864196929</v>
      </c>
      <c r="JB23" s="50">
        <f t="shared" ca="1" si="368"/>
        <v>60875.939781579276</v>
      </c>
      <c r="JC23" s="50">
        <f t="shared" ca="1" si="369"/>
        <v>64654.295034240946</v>
      </c>
      <c r="JD23" s="50">
        <f t="shared" ca="1" si="370"/>
        <v>57420.564394751564</v>
      </c>
      <c r="JE23" s="50">
        <f t="shared" ca="1" si="371"/>
        <v>60196.523031848788</v>
      </c>
      <c r="JF23" s="50">
        <f t="shared" ca="1" si="372"/>
        <v>65405.294415916156</v>
      </c>
      <c r="JG23" s="50">
        <f t="shared" ca="1" si="373"/>
        <v>58186.803691034394</v>
      </c>
      <c r="JH23" s="50">
        <f t="shared" ca="1" si="374"/>
        <v>58403.674719520903</v>
      </c>
      <c r="JI23" s="50">
        <f t="shared" ca="1" si="375"/>
        <v>62867.855195338409</v>
      </c>
      <c r="JJ23" s="50">
        <f t="shared" ca="1" si="376"/>
        <v>55507.739079107901</v>
      </c>
      <c r="JK23" s="50">
        <f t="shared" ca="1" si="377"/>
        <v>58183.206722154384</v>
      </c>
      <c r="JL23" s="50">
        <f t="shared" ca="1" si="378"/>
        <v>53345.465993453479</v>
      </c>
      <c r="JM23" s="50">
        <f t="shared" ca="1" si="379"/>
        <v>56547.604854847268</v>
      </c>
      <c r="JN23" s="50">
        <f t="shared" ca="1" si="380"/>
        <v>56670.53815173317</v>
      </c>
      <c r="JO23" s="50">
        <f t="shared" ca="1" si="381"/>
        <v>57624.866353959049</v>
      </c>
      <c r="JP23" s="50">
        <f t="shared" ca="1" si="382"/>
        <v>53829.385976400299</v>
      </c>
      <c r="JQ23" s="50">
        <f t="shared" ca="1" si="383"/>
        <v>58275.216149165841</v>
      </c>
      <c r="JR23" s="50">
        <f t="shared" ca="1" si="384"/>
        <v>65469.906065275616</v>
      </c>
      <c r="JS23" s="50">
        <f t="shared" ca="1" si="385"/>
        <v>59471.924618205237</v>
      </c>
      <c r="JT23" s="50">
        <f t="shared" ca="1" si="386"/>
        <v>61952.847281997107</v>
      </c>
      <c r="JU23" s="50">
        <f t="shared" ca="1" si="387"/>
        <v>56005.408517230913</v>
      </c>
      <c r="JV23" s="50">
        <f t="shared" ca="1" si="388"/>
        <v>56314.770546867025</v>
      </c>
      <c r="JW23" s="50">
        <f t="shared" ca="1" si="389"/>
        <v>64473.570217712149</v>
      </c>
      <c r="JX23" s="50">
        <f t="shared" ca="1" si="390"/>
        <v>55993.67457090447</v>
      </c>
      <c r="JY23" s="50">
        <f t="shared" ca="1" si="391"/>
        <v>71622.334137487574</v>
      </c>
      <c r="JZ23" s="50">
        <f t="shared" ca="1" si="392"/>
        <v>53208.200330040352</v>
      </c>
      <c r="KA23" s="50">
        <f t="shared" ca="1" si="393"/>
        <v>56848.137108512652</v>
      </c>
      <c r="KB23" s="50">
        <f t="shared" ca="1" si="394"/>
        <v>57617.114303264701</v>
      </c>
      <c r="KC23" s="50">
        <f t="shared" ca="1" si="395"/>
        <v>58251.051108891908</v>
      </c>
      <c r="KD23" s="50">
        <f t="shared" ca="1" si="396"/>
        <v>53510.214963500432</v>
      </c>
      <c r="KE23" s="50">
        <f t="shared" ca="1" si="397"/>
        <v>56221.277567989513</v>
      </c>
      <c r="KF23" s="50">
        <f t="shared" ca="1" si="398"/>
        <v>62072.944601358889</v>
      </c>
      <c r="KG23" s="50">
        <f t="shared" ca="1" si="399"/>
        <v>57590.973833495824</v>
      </c>
      <c r="KH23" s="50">
        <f t="shared" ca="1" si="400"/>
        <v>58319.96308272532</v>
      </c>
      <c r="KI23" s="50">
        <f t="shared" ca="1" si="401"/>
        <v>54890.410206230947</v>
      </c>
      <c r="KJ23" s="50">
        <f t="shared" ca="1" si="402"/>
        <v>58596.001212293624</v>
      </c>
      <c r="KK23" s="50">
        <f t="shared" ca="1" si="403"/>
        <v>64870.604589899085</v>
      </c>
      <c r="KL23" s="50">
        <f t="shared" ca="1" si="404"/>
        <v>54536.551331662886</v>
      </c>
      <c r="KM23" s="50">
        <f t="shared" ca="1" si="405"/>
        <v>58557.018094048086</v>
      </c>
      <c r="KN23" s="50">
        <f t="shared" ca="1" si="406"/>
        <v>57513.534971625028</v>
      </c>
      <c r="KO23" s="50">
        <f t="shared" ca="1" si="407"/>
        <v>58776.970915172256</v>
      </c>
      <c r="KP23" s="50">
        <f t="shared" ca="1" si="408"/>
        <v>50276.501457557584</v>
      </c>
      <c r="KQ23" s="50">
        <f t="shared" ca="1" si="409"/>
        <v>67353.375566521587</v>
      </c>
      <c r="KR23" s="50">
        <f t="shared" ca="1" si="410"/>
        <v>54268.197801753216</v>
      </c>
      <c r="KS23" s="50">
        <f t="shared" ca="1" si="411"/>
        <v>49814.078482531579</v>
      </c>
      <c r="KT23" s="50">
        <f t="shared" ca="1" si="412"/>
        <v>55189.286446844766</v>
      </c>
      <c r="KU23" s="50">
        <f t="shared" ca="1" si="413"/>
        <v>56983.956480088302</v>
      </c>
      <c r="KV23" s="50">
        <f t="shared" ca="1" si="414"/>
        <v>61768.786581297696</v>
      </c>
      <c r="KW23" s="50">
        <f t="shared" ca="1" si="415"/>
        <v>52245.859557184514</v>
      </c>
      <c r="KX23" s="50">
        <f t="shared" ca="1" si="416"/>
        <v>63000.689426705008</v>
      </c>
      <c r="KY23" s="50">
        <f t="shared" ca="1" si="417"/>
        <v>56960.282292460746</v>
      </c>
      <c r="KZ23" s="50">
        <f t="shared" ca="1" si="418"/>
        <v>57449.547676354465</v>
      </c>
      <c r="LA23" s="50">
        <f t="shared" ca="1" si="419"/>
        <v>58744.954367547987</v>
      </c>
      <c r="LB23" s="50">
        <f t="shared" ca="1" si="420"/>
        <v>54577.328001738402</v>
      </c>
      <c r="LC23" s="50">
        <f t="shared" ca="1" si="421"/>
        <v>57840.8340057737</v>
      </c>
      <c r="LD23" s="50">
        <f t="shared" ca="1" si="422"/>
        <v>50051.185064133831</v>
      </c>
      <c r="LE23" s="50">
        <f t="shared" ca="1" si="423"/>
        <v>71144.043809649811</v>
      </c>
      <c r="LF23" s="50">
        <f t="shared" ca="1" si="424"/>
        <v>54849.521838327288</v>
      </c>
      <c r="LG23" s="50">
        <f t="shared" ca="1" si="425"/>
        <v>57272.705549985687</v>
      </c>
      <c r="LH23" s="50">
        <f t="shared" ca="1" si="426"/>
        <v>56147.809977393517</v>
      </c>
      <c r="LI23" s="50">
        <f t="shared" ca="1" si="427"/>
        <v>54307.262327937482</v>
      </c>
      <c r="LJ23" s="50">
        <f t="shared" ca="1" si="428"/>
        <v>53043.127423902843</v>
      </c>
      <c r="LK23" s="50">
        <f t="shared" ca="1" si="429"/>
        <v>58510.642069868336</v>
      </c>
      <c r="LL23" s="50">
        <f t="shared" ca="1" si="430"/>
        <v>53034.234361335104</v>
      </c>
      <c r="LM23" s="50">
        <f t="shared" ca="1" si="431"/>
        <v>62622.278196785897</v>
      </c>
      <c r="LN23" s="50">
        <f t="shared" ca="1" si="432"/>
        <v>65663.413402961232</v>
      </c>
      <c r="LO23" s="50">
        <f t="shared" ca="1" si="433"/>
        <v>57758.29447966814</v>
      </c>
      <c r="LP23" s="50">
        <f t="shared" ca="1" si="434"/>
        <v>50631.891558571733</v>
      </c>
      <c r="LQ23" s="50">
        <f t="shared" ca="1" si="435"/>
        <v>49716.335081884972</v>
      </c>
      <c r="LR23" s="50">
        <f t="shared" ca="1" si="436"/>
        <v>57847.865068287188</v>
      </c>
      <c r="LS23" s="50">
        <f t="shared" ca="1" si="437"/>
        <v>58995.542075005083</v>
      </c>
      <c r="LT23" s="50">
        <f t="shared" ca="1" si="438"/>
        <v>58255.346144954128</v>
      </c>
      <c r="LU23" s="50">
        <f t="shared" ca="1" si="439"/>
        <v>64977.449804126569</v>
      </c>
      <c r="LV23" s="50">
        <f t="shared" ca="1" si="440"/>
        <v>64843.412604133999</v>
      </c>
      <c r="LW23" s="50">
        <f t="shared" ca="1" si="441"/>
        <v>52070.088113537786</v>
      </c>
      <c r="LX23" s="50">
        <f t="shared" ca="1" si="442"/>
        <v>66790.507925666519</v>
      </c>
      <c r="LY23" s="50">
        <f t="shared" ca="1" si="443"/>
        <v>59041.217846452346</v>
      </c>
      <c r="LZ23" s="50">
        <f t="shared" ca="1" si="444"/>
        <v>66140.833190268604</v>
      </c>
      <c r="MA23" s="50">
        <f t="shared" ca="1" si="445"/>
        <v>53953.703627311414</v>
      </c>
      <c r="MB23" s="50">
        <f t="shared" ca="1" si="446"/>
        <v>69457.050727050344</v>
      </c>
      <c r="MC23" s="50">
        <f t="shared" ca="1" si="447"/>
        <v>57858.956362643155</v>
      </c>
      <c r="MD23" s="50">
        <f t="shared" ca="1" si="448"/>
        <v>55760.960404788617</v>
      </c>
      <c r="ME23" s="50">
        <f t="shared" ca="1" si="449"/>
        <v>55139.070236860643</v>
      </c>
      <c r="MF23" s="50">
        <f t="shared" ca="1" si="450"/>
        <v>63031.483410341032</v>
      </c>
      <c r="MG23" s="50">
        <f t="shared" ca="1" si="451"/>
        <v>57614.17454140573</v>
      </c>
      <c r="MH23" s="50">
        <f t="shared" ca="1" si="452"/>
        <v>54480.976492053749</v>
      </c>
      <c r="MI23" s="50">
        <f t="shared" ca="1" si="453"/>
        <v>53248.622448797949</v>
      </c>
      <c r="MJ23" s="50">
        <f t="shared" ca="1" si="454"/>
        <v>56401.374584252968</v>
      </c>
      <c r="MK23" s="50">
        <f t="shared" ca="1" si="455"/>
        <v>59038.644327368966</v>
      </c>
      <c r="ML23" s="50">
        <f t="shared" ca="1" si="456"/>
        <v>57526.878751091492</v>
      </c>
      <c r="MM23" s="50">
        <f t="shared" ca="1" si="457"/>
        <v>58729.336514276991</v>
      </c>
      <c r="MN23" s="50">
        <f t="shared" ca="1" si="458"/>
        <v>55298.70287043033</v>
      </c>
      <c r="MO23" s="50">
        <f t="shared" ca="1" si="459"/>
        <v>55247.906334822379</v>
      </c>
      <c r="MP23" s="50">
        <f t="shared" ca="1" si="460"/>
        <v>53900.088403012938</v>
      </c>
      <c r="MQ23" s="50">
        <f t="shared" ca="1" si="461"/>
        <v>51821.648097471938</v>
      </c>
      <c r="MR23" s="50">
        <f t="shared" ca="1" si="462"/>
        <v>48653.026222189939</v>
      </c>
      <c r="MS23" s="50">
        <f t="shared" ca="1" si="463"/>
        <v>54656.028545956935</v>
      </c>
      <c r="MT23" s="50">
        <f t="shared" ca="1" si="464"/>
        <v>54354.679612477936</v>
      </c>
      <c r="MU23" s="50">
        <f t="shared" ca="1" si="465"/>
        <v>73867.246575194251</v>
      </c>
      <c r="MV23" s="50">
        <f t="shared" ca="1" si="466"/>
        <v>55781.941596349672</v>
      </c>
      <c r="MW23" s="50">
        <f t="shared" ca="1" si="467"/>
        <v>58313.754160319499</v>
      </c>
      <c r="MX23" s="50">
        <f t="shared" ca="1" si="468"/>
        <v>65073.956382602206</v>
      </c>
      <c r="MY23" s="50">
        <f t="shared" ca="1" si="469"/>
        <v>56804.320115093935</v>
      </c>
      <c r="MZ23" s="50">
        <f t="shared" ca="1" si="470"/>
        <v>59596.437298690122</v>
      </c>
      <c r="NA23" s="50">
        <f t="shared" ca="1" si="471"/>
        <v>69939.139243884245</v>
      </c>
      <c r="NB23" s="50">
        <f t="shared" ca="1" si="472"/>
        <v>57791.877820639929</v>
      </c>
      <c r="NC23" s="50">
        <f t="shared" ca="1" si="473"/>
        <v>59513.77145529964</v>
      </c>
      <c r="ND23" s="50">
        <f t="shared" ca="1" si="474"/>
        <v>56916.001885840415</v>
      </c>
      <c r="NE23" s="50">
        <f t="shared" ca="1" si="475"/>
        <v>55858.809122015853</v>
      </c>
      <c r="NF23" s="50">
        <f t="shared" ca="1" si="476"/>
        <v>56207.489416441938</v>
      </c>
      <c r="NG23" s="50">
        <f t="shared" ca="1" si="477"/>
        <v>58503.225674606394</v>
      </c>
      <c r="NH23" s="50">
        <f t="shared" ca="1" si="478"/>
        <v>61662.575762179971</v>
      </c>
      <c r="NI23" s="50">
        <f t="shared" ca="1" si="479"/>
        <v>58735.750312840646</v>
      </c>
      <c r="NJ23" s="50">
        <f t="shared" ca="1" si="480"/>
        <v>61528.816534387108</v>
      </c>
      <c r="NK23" s="50">
        <f t="shared" ca="1" si="481"/>
        <v>57757.76010002532</v>
      </c>
      <c r="NL23" s="50">
        <f t="shared" ca="1" si="482"/>
        <v>49518.523183322184</v>
      </c>
      <c r="NM23" s="50">
        <f t="shared" ca="1" si="483"/>
        <v>60801.488834531017</v>
      </c>
      <c r="NN23" s="50">
        <f t="shared" ca="1" si="484"/>
        <v>53982.485515582739</v>
      </c>
      <c r="NO23" s="50">
        <f t="shared" ca="1" si="485"/>
        <v>57674.511904163061</v>
      </c>
      <c r="NP23" s="50">
        <f t="shared" ca="1" si="486"/>
        <v>49802.834525626211</v>
      </c>
      <c r="NQ23" s="50">
        <f t="shared" ca="1" si="487"/>
        <v>51706.529167488872</v>
      </c>
      <c r="NR23" s="50">
        <f t="shared" ca="1" si="488"/>
        <v>64086.916280158301</v>
      </c>
      <c r="NS23" s="50">
        <f t="shared" ca="1" si="489"/>
        <v>53464.996945877327</v>
      </c>
      <c r="NT23" s="50">
        <f t="shared" ca="1" si="490"/>
        <v>62397.580557638408</v>
      </c>
      <c r="NU23" s="50">
        <f t="shared" ca="1" si="491"/>
        <v>57772.134371409527</v>
      </c>
      <c r="NV23" s="50">
        <f t="shared" ca="1" si="492"/>
        <v>56028.709190384106</v>
      </c>
      <c r="NW23" s="50">
        <f t="shared" ca="1" si="493"/>
        <v>52521.333298609454</v>
      </c>
      <c r="NX23" s="50">
        <f t="shared" ca="1" si="494"/>
        <v>64545.932101837709</v>
      </c>
      <c r="NY23" s="50">
        <f t="shared" ca="1" si="495"/>
        <v>67974.318555011967</v>
      </c>
      <c r="NZ23" s="50">
        <f t="shared" ca="1" si="496"/>
        <v>54865.947620991101</v>
      </c>
      <c r="OA23" s="50">
        <f t="shared" ca="1" si="497"/>
        <v>50619.082612482089</v>
      </c>
      <c r="OB23" s="50">
        <f t="shared" ca="1" si="498"/>
        <v>64100.344742112007</v>
      </c>
      <c r="OC23" s="50">
        <f t="shared" ca="1" si="499"/>
        <v>53820.852621748985</v>
      </c>
      <c r="OD23" s="50">
        <f t="shared" ca="1" si="500"/>
        <v>54607.58974745201</v>
      </c>
      <c r="OE23" s="50">
        <f t="shared" ca="1" si="501"/>
        <v>70053.11674016084</v>
      </c>
      <c r="OF23" s="50">
        <f t="shared" ca="1" si="502"/>
        <v>66707.117307726949</v>
      </c>
      <c r="OG23" s="50">
        <f t="shared" ca="1" si="503"/>
        <v>69204.994518495398</v>
      </c>
      <c r="OH23" s="50">
        <f t="shared" ca="1" si="504"/>
        <v>62047.703982185943</v>
      </c>
      <c r="OI23" s="50">
        <f t="shared" ca="1" si="505"/>
        <v>62495.789681334623</v>
      </c>
      <c r="OJ23" s="50">
        <f t="shared" ca="1" si="506"/>
        <v>61453.492234920835</v>
      </c>
      <c r="OK23" s="50">
        <f t="shared" ca="1" si="507"/>
        <v>58563.533477630677</v>
      </c>
      <c r="OL23" s="50">
        <f t="shared" ca="1" si="508"/>
        <v>57067.764997410581</v>
      </c>
      <c r="OM23" s="50">
        <f t="shared" ca="1" si="509"/>
        <v>51289.385937774168</v>
      </c>
      <c r="ON23" s="50">
        <f t="shared" ca="1" si="510"/>
        <v>64418.711345886084</v>
      </c>
      <c r="OO23" s="50">
        <f t="shared" ca="1" si="511"/>
        <v>53087.254601448672</v>
      </c>
      <c r="OP23" s="50">
        <f t="shared" ca="1" si="512"/>
        <v>58592.043432500017</v>
      </c>
      <c r="OQ23" s="50">
        <f t="shared" ca="1" si="513"/>
        <v>56981.414666501572</v>
      </c>
      <c r="OR23" s="50">
        <f t="shared" ca="1" si="514"/>
        <v>60842.506718292912</v>
      </c>
      <c r="OS23" s="50">
        <f t="shared" ca="1" si="515"/>
        <v>58594.703830275146</v>
      </c>
      <c r="OT23" s="50">
        <f t="shared" ca="1" si="516"/>
        <v>58747.725657535746</v>
      </c>
      <c r="OU23" s="50">
        <f t="shared" ca="1" si="517"/>
        <v>53703.14948508724</v>
      </c>
      <c r="OV23" s="50">
        <f t="shared" ca="1" si="518"/>
        <v>58481.237279262357</v>
      </c>
      <c r="OW23" s="50">
        <f t="shared" ca="1" si="519"/>
        <v>48341.71220673027</v>
      </c>
      <c r="OX23" s="50">
        <f t="shared" ca="1" si="520"/>
        <v>61955.483288308242</v>
      </c>
      <c r="OY23" s="50">
        <f t="shared" ca="1" si="521"/>
        <v>57529.518009998254</v>
      </c>
      <c r="OZ23" s="50">
        <f t="shared" ca="1" si="522"/>
        <v>59813.64056378536</v>
      </c>
      <c r="PA23" s="50">
        <f t="shared" ca="1" si="523"/>
        <v>55679.508939814805</v>
      </c>
      <c r="PB23" s="50">
        <f t="shared" ca="1" si="524"/>
        <v>57750.588880461408</v>
      </c>
      <c r="PC23" s="50">
        <f t="shared" ca="1" si="525"/>
        <v>57575.829539982078</v>
      </c>
      <c r="PD23" s="50">
        <f t="shared" ca="1" si="526"/>
        <v>50968.355381828231</v>
      </c>
      <c r="PE23" s="50">
        <f t="shared" ca="1" si="527"/>
        <v>57493.782098571493</v>
      </c>
      <c r="PF23" s="50">
        <f t="shared" ca="1" si="528"/>
        <v>60576.556010183485</v>
      </c>
      <c r="PG23" s="50">
        <f t="shared" ca="1" si="529"/>
        <v>57529.404333817052</v>
      </c>
      <c r="PH23" s="50">
        <f t="shared" ca="1" si="530"/>
        <v>49941.211466079367</v>
      </c>
      <c r="PI23" s="50">
        <f t="shared" ca="1" si="531"/>
        <v>58254.185131563849</v>
      </c>
      <c r="PJ23" s="50">
        <f t="shared" ca="1" si="532"/>
        <v>64728.818604230335</v>
      </c>
      <c r="PK23" s="50">
        <f t="shared" ca="1" si="533"/>
        <v>56572.881149573011</v>
      </c>
      <c r="PL23" s="50">
        <f t="shared" ca="1" si="534"/>
        <v>62108.989135086798</v>
      </c>
      <c r="PM23" s="50">
        <f t="shared" ca="1" si="535"/>
        <v>55963.885151509654</v>
      </c>
      <c r="PN23" s="50">
        <f t="shared" ca="1" si="536"/>
        <v>57919.893027243743</v>
      </c>
      <c r="PO23" s="50">
        <f t="shared" ca="1" si="537"/>
        <v>64460.963735879755</v>
      </c>
      <c r="PP23" s="50">
        <f t="shared" ca="1" si="538"/>
        <v>61254.684553640305</v>
      </c>
      <c r="PQ23" s="50">
        <f t="shared" ca="1" si="539"/>
        <v>54401.379079403756</v>
      </c>
      <c r="PR23" s="50">
        <f t="shared" ca="1" si="540"/>
        <v>62005.365953528897</v>
      </c>
      <c r="PS23" s="50">
        <f t="shared" ca="1" si="541"/>
        <v>62076.323865421909</v>
      </c>
      <c r="PT23" s="50">
        <f t="shared" ca="1" si="542"/>
        <v>56324.552359413123</v>
      </c>
      <c r="PU23" s="50">
        <f t="shared" ca="1" si="543"/>
        <v>63825.381917433719</v>
      </c>
      <c r="PV23" s="50">
        <f t="shared" ca="1" si="544"/>
        <v>59011.113255917036</v>
      </c>
      <c r="PW23" s="50">
        <f t="shared" ca="1" si="545"/>
        <v>52328.26105723701</v>
      </c>
      <c r="PX23" s="50">
        <f t="shared" ca="1" si="546"/>
        <v>68636.488912263041</v>
      </c>
      <c r="PY23" s="50">
        <f t="shared" ca="1" si="547"/>
        <v>58379.45480551284</v>
      </c>
      <c r="PZ23" s="50">
        <f t="shared" ca="1" si="548"/>
        <v>58410.440238849587</v>
      </c>
      <c r="QA23" s="50">
        <f t="shared" ca="1" si="549"/>
        <v>54225.59845839777</v>
      </c>
      <c r="QB23" s="50">
        <f t="shared" ca="1" si="550"/>
        <v>53502.88316852686</v>
      </c>
      <c r="QC23" s="50">
        <f t="shared" ca="1" si="551"/>
        <v>65827.293499532578</v>
      </c>
      <c r="QD23" s="50">
        <f t="shared" ca="1" si="552"/>
        <v>55039.144774403816</v>
      </c>
      <c r="QE23" s="50">
        <f t="shared" ca="1" si="553"/>
        <v>63449.213178463979</v>
      </c>
      <c r="QF23" s="50">
        <f t="shared" ca="1" si="554"/>
        <v>57489.908289937302</v>
      </c>
      <c r="QG23" s="50">
        <f t="shared" ca="1" si="555"/>
        <v>52664.865461698362</v>
      </c>
      <c r="QH23" s="50">
        <f t="shared" ca="1" si="556"/>
        <v>58080.124962536451</v>
      </c>
      <c r="QI23" s="50">
        <f t="shared" ca="1" si="557"/>
        <v>54881.86367863429</v>
      </c>
      <c r="QJ23" s="50">
        <f t="shared" ca="1" si="558"/>
        <v>56493.075620766889</v>
      </c>
      <c r="QK23" s="50">
        <f t="shared" ca="1" si="559"/>
        <v>59992.126075146691</v>
      </c>
      <c r="QL23" s="50">
        <f t="shared" ca="1" si="560"/>
        <v>64747.549291596159</v>
      </c>
      <c r="QM23" s="50">
        <f t="shared" ca="1" si="561"/>
        <v>51960.421442133411</v>
      </c>
      <c r="QN23" s="50">
        <f t="shared" ca="1" si="562"/>
        <v>54264.912787841808</v>
      </c>
      <c r="QO23" s="50">
        <f t="shared" ca="1" si="563"/>
        <v>65306.899001620754</v>
      </c>
      <c r="QP23" s="50">
        <f t="shared" ca="1" si="564"/>
        <v>58337.410388651013</v>
      </c>
      <c r="QQ23" s="50">
        <f t="shared" ca="1" si="565"/>
        <v>57779.397935157955</v>
      </c>
      <c r="QR23" s="50">
        <f t="shared" ca="1" si="566"/>
        <v>55034.733067706315</v>
      </c>
      <c r="QS23" s="50">
        <f t="shared" ca="1" si="567"/>
        <v>59505.135002248331</v>
      </c>
      <c r="QT23" s="50">
        <f t="shared" ca="1" si="568"/>
        <v>52302.901323929946</v>
      </c>
      <c r="QU23" s="50">
        <f t="shared" ca="1" si="569"/>
        <v>55355.537314811256</v>
      </c>
      <c r="QV23" s="50">
        <f t="shared" ca="1" si="570"/>
        <v>58461.903139548165</v>
      </c>
      <c r="QW23" s="50">
        <f t="shared" ca="1" si="571"/>
        <v>53024.708048151231</v>
      </c>
      <c r="QX23" s="50">
        <f t="shared" ca="1" si="572"/>
        <v>59664.281032647552</v>
      </c>
      <c r="QY23" s="50">
        <f t="shared" ca="1" si="573"/>
        <v>57609.009655716072</v>
      </c>
      <c r="QZ23" s="50">
        <f t="shared" ca="1" si="574"/>
        <v>61906.003931763851</v>
      </c>
      <c r="RA23" s="50">
        <f t="shared" ca="1" si="575"/>
        <v>50564.251447229566</v>
      </c>
      <c r="RB23" s="50">
        <f t="shared" ca="1" si="576"/>
        <v>70784.72109041136</v>
      </c>
      <c r="RC23" s="50">
        <f t="shared" ca="1" si="577"/>
        <v>62972.623615548982</v>
      </c>
      <c r="RD23" s="50">
        <f t="shared" ca="1" si="578"/>
        <v>57505.905187409917</v>
      </c>
      <c r="RE23" s="50">
        <f t="shared" ca="1" si="579"/>
        <v>55922.525891894133</v>
      </c>
      <c r="RF23" s="50">
        <f t="shared" ca="1" si="580"/>
        <v>54457.405391482171</v>
      </c>
      <c r="RG23" s="50">
        <f t="shared" ca="1" si="581"/>
        <v>53399.656075511179</v>
      </c>
      <c r="RH23" s="50">
        <f t="shared" ca="1" si="582"/>
        <v>58476.266322915362</v>
      </c>
      <c r="RI23" s="50">
        <f t="shared" ca="1" si="583"/>
        <v>63785.298430758965</v>
      </c>
      <c r="RJ23" s="50">
        <f t="shared" ca="1" si="584"/>
        <v>59584.130144782896</v>
      </c>
      <c r="RK23" s="50">
        <f t="shared" ca="1" si="585"/>
        <v>63380.188632332101</v>
      </c>
      <c r="RL23" s="50">
        <f t="shared" ca="1" si="586"/>
        <v>59230.380991831065</v>
      </c>
      <c r="RM23" s="50">
        <f t="shared" ca="1" si="587"/>
        <v>58107.768300457377</v>
      </c>
      <c r="RN23" s="50">
        <f t="shared" ca="1" si="588"/>
        <v>52540.681818331468</v>
      </c>
      <c r="RO23" s="50">
        <f t="shared" ca="1" si="589"/>
        <v>50644.557434218557</v>
      </c>
      <c r="RP23" s="50">
        <f t="shared" ca="1" si="590"/>
        <v>65424.257948435727</v>
      </c>
      <c r="RQ23" s="50">
        <f t="shared" ca="1" si="591"/>
        <v>56689.882321023921</v>
      </c>
      <c r="RR23" s="50">
        <f t="shared" ca="1" si="592"/>
        <v>55190.456397361719</v>
      </c>
      <c r="RS23" s="50">
        <f t="shared" ca="1" si="593"/>
        <v>70419.353256699367</v>
      </c>
      <c r="RT23" s="50">
        <f t="shared" ca="1" si="594"/>
        <v>58155.78073963835</v>
      </c>
      <c r="RU23" s="50">
        <f t="shared" ca="1" si="595"/>
        <v>60929.171863747644</v>
      </c>
      <c r="RV23" s="50">
        <f t="shared" ca="1" si="596"/>
        <v>55077.704465373288</v>
      </c>
      <c r="RW23" s="50">
        <f t="shared" ca="1" si="597"/>
        <v>58214.603174527321</v>
      </c>
      <c r="RX23" s="50">
        <f t="shared" ca="1" si="598"/>
        <v>58966.05363385591</v>
      </c>
      <c r="RY23" s="50">
        <f t="shared" ca="1" si="599"/>
        <v>59084.659190683647</v>
      </c>
      <c r="RZ23" s="50">
        <f t="shared" ca="1" si="600"/>
        <v>57252.260163549865</v>
      </c>
      <c r="SA23" s="50">
        <f t="shared" ca="1" si="601"/>
        <v>55902.968530129525</v>
      </c>
      <c r="SB23" s="50">
        <f t="shared" ca="1" si="602"/>
        <v>60061.096564107531</v>
      </c>
      <c r="SC23" s="50">
        <f t="shared" ca="1" si="603"/>
        <v>54623.133558255387</v>
      </c>
      <c r="SD23" s="50">
        <f t="shared" ca="1" si="604"/>
        <v>50285.671442735911</v>
      </c>
      <c r="SE23" s="50">
        <f t="shared" ca="1" si="605"/>
        <v>61836.430604444933</v>
      </c>
      <c r="SF23" s="50">
        <f t="shared" ca="1" si="606"/>
        <v>60395.631608871779</v>
      </c>
      <c r="SG23" s="50">
        <f t="shared" ca="1" si="607"/>
        <v>52513.592021712255</v>
      </c>
      <c r="SH23" s="50">
        <f t="shared" ca="1" si="608"/>
        <v>56167.269373104493</v>
      </c>
      <c r="SI23" s="50">
        <f t="shared" ca="1" si="609"/>
        <v>59463.340376362183</v>
      </c>
      <c r="SJ23" s="50">
        <f t="shared" ca="1" si="610"/>
        <v>53830.332292954256</v>
      </c>
      <c r="SK23" s="50">
        <f t="shared" ca="1" si="611"/>
        <v>65427.598884381194</v>
      </c>
      <c r="SL23" s="50">
        <f t="shared" ca="1" si="612"/>
        <v>48189.470941786029</v>
      </c>
      <c r="SM23" s="50">
        <f t="shared" ca="1" si="613"/>
        <v>56447.739450814443</v>
      </c>
      <c r="SN23" s="50">
        <f t="shared" ca="1" si="614"/>
        <v>61491.851072238591</v>
      </c>
      <c r="SO23" s="50">
        <f t="shared" ca="1" si="615"/>
        <v>57840.951877772997</v>
      </c>
      <c r="SP23" s="50">
        <f t="shared" ca="1" si="616"/>
        <v>61319.54173649678</v>
      </c>
      <c r="SQ23" s="50">
        <f t="shared" ca="1" si="617"/>
        <v>53568.566972654458</v>
      </c>
      <c r="SR23" s="50">
        <f t="shared" ca="1" si="618"/>
        <v>58866.055063475207</v>
      </c>
      <c r="SS23" s="50">
        <f t="shared" ca="1" si="619"/>
        <v>56573.110948302128</v>
      </c>
      <c r="ST23" s="50">
        <f t="shared" ca="1" si="620"/>
        <v>58053.981372793445</v>
      </c>
      <c r="SU23" s="50">
        <f t="shared" ca="1" si="621"/>
        <v>58860.897147851945</v>
      </c>
      <c r="SV23" s="50">
        <f t="shared" ca="1" si="622"/>
        <v>62956.443432852953</v>
      </c>
      <c r="SW23" s="50">
        <f t="shared" ca="1" si="623"/>
        <v>50043.84579461821</v>
      </c>
      <c r="SX23" s="50">
        <f t="shared" ca="1" si="624"/>
        <v>53231.415850744779</v>
      </c>
      <c r="SY23" s="50">
        <f t="shared" ca="1" si="625"/>
        <v>59671.855628264151</v>
      </c>
      <c r="SZ23" s="50">
        <f t="shared" ca="1" si="626"/>
        <v>63661.950618011302</v>
      </c>
      <c r="TA23" s="50">
        <f t="shared" ca="1" si="627"/>
        <v>56723.566557372251</v>
      </c>
      <c r="TB23" s="50">
        <f t="shared" ca="1" si="628"/>
        <v>61959.269763344942</v>
      </c>
      <c r="TC23" s="50">
        <f t="shared" ca="1" si="629"/>
        <v>63544.05244331342</v>
      </c>
      <c r="TD23" s="50">
        <f t="shared" ca="1" si="630"/>
        <v>60334.308933186854</v>
      </c>
      <c r="TE23" s="50">
        <f t="shared" ca="1" si="631"/>
        <v>54634.886630469482</v>
      </c>
      <c r="TF23" s="50">
        <f t="shared" ca="1" si="632"/>
        <v>61030.509573207462</v>
      </c>
      <c r="TG23" s="50">
        <f t="shared" ca="1" si="633"/>
        <v>55917.357833127993</v>
      </c>
      <c r="TH23" s="50">
        <f t="shared" ca="1" si="634"/>
        <v>57201.054697987078</v>
      </c>
      <c r="TI23" s="50">
        <f t="shared" ca="1" si="635"/>
        <v>49805.697762911484</v>
      </c>
      <c r="TJ23" s="50">
        <f t="shared" ca="1" si="636"/>
        <v>62562.844749252799</v>
      </c>
      <c r="TK23" s="50">
        <f t="shared" ca="1" si="637"/>
        <v>56866.828612950012</v>
      </c>
      <c r="TL23" s="50">
        <f t="shared" ca="1" si="638"/>
        <v>59003.970880262415</v>
      </c>
      <c r="TM23" s="50">
        <f t="shared" ca="1" si="639"/>
        <v>59114.125018241546</v>
      </c>
      <c r="TN23" s="50">
        <f t="shared" ca="1" si="640"/>
        <v>52143.911457090057</v>
      </c>
      <c r="TO23" s="50">
        <f t="shared" ca="1" si="641"/>
        <v>57531.251298924268</v>
      </c>
      <c r="TP23" s="50">
        <f t="shared" ca="1" si="642"/>
        <v>50348.730749866438</v>
      </c>
      <c r="TQ23" s="50">
        <f t="shared" ca="1" si="643"/>
        <v>66242.137693641198</v>
      </c>
      <c r="TR23" s="50">
        <f t="shared" ca="1" si="644"/>
        <v>56745.707548831713</v>
      </c>
      <c r="TS23" s="50">
        <f t="shared" ca="1" si="645"/>
        <v>54420.187010817142</v>
      </c>
      <c r="TT23" s="50">
        <f t="shared" ca="1" si="646"/>
        <v>53381.271943522777</v>
      </c>
      <c r="TU23" s="50">
        <f t="shared" ca="1" si="647"/>
        <v>65149.135317234395</v>
      </c>
      <c r="TV23" s="50">
        <f t="shared" ca="1" si="648"/>
        <v>59289.463556532624</v>
      </c>
      <c r="TW23" s="50">
        <f t="shared" ca="1" si="649"/>
        <v>48692.335527196432</v>
      </c>
      <c r="TX23" s="50">
        <f t="shared" ca="1" si="650"/>
        <v>61990.741649368247</v>
      </c>
      <c r="TY23" s="50">
        <f t="shared" ca="1" si="651"/>
        <v>58101.431930122868</v>
      </c>
      <c r="TZ23" s="50">
        <f t="shared" ca="1" si="652"/>
        <v>59951.771199412091</v>
      </c>
      <c r="UA23" s="50">
        <f t="shared" ca="1" si="653"/>
        <v>55826.924361598241</v>
      </c>
      <c r="UB23" s="50">
        <f t="shared" ca="1" si="654"/>
        <v>60013.336944069437</v>
      </c>
      <c r="UC23" s="50">
        <f t="shared" ca="1" si="655"/>
        <v>69890.413058296253</v>
      </c>
      <c r="UD23" s="50">
        <f t="shared" ca="1" si="656"/>
        <v>61536.866011813763</v>
      </c>
      <c r="UE23" s="50">
        <f t="shared" ca="1" si="657"/>
        <v>57545.385231044755</v>
      </c>
      <c r="UF23" s="50">
        <f t="shared" ca="1" si="658"/>
        <v>62984.641665821655</v>
      </c>
      <c r="UG23" s="50">
        <f t="shared" ca="1" si="659"/>
        <v>53640.358051202791</v>
      </c>
      <c r="UH23" s="50">
        <f t="shared" ca="1" si="660"/>
        <v>53508.1740621149</v>
      </c>
      <c r="UI23" s="50">
        <f t="shared" ca="1" si="661"/>
        <v>59687.228490587586</v>
      </c>
      <c r="UJ23" s="50">
        <f t="shared" ca="1" si="662"/>
        <v>58706.54292210826</v>
      </c>
      <c r="UK23" s="50">
        <f t="shared" ca="1" si="663"/>
        <v>52625.787713585443</v>
      </c>
      <c r="UL23" s="50">
        <f t="shared" ca="1" si="664"/>
        <v>53693.952992306498</v>
      </c>
      <c r="UM23" s="50">
        <f t="shared" ca="1" si="665"/>
        <v>63603.596855566648</v>
      </c>
      <c r="UN23" s="50">
        <f t="shared" ca="1" si="666"/>
        <v>53693.978152917363</v>
      </c>
      <c r="UO23" s="50">
        <f t="shared" ca="1" si="667"/>
        <v>52445.773236464418</v>
      </c>
      <c r="UP23" s="50">
        <f t="shared" ca="1" si="668"/>
        <v>63213.361020507269</v>
      </c>
      <c r="UQ23" s="50">
        <f t="shared" ca="1" si="669"/>
        <v>55629.696630014121</v>
      </c>
      <c r="UR23" s="50">
        <f t="shared" ca="1" si="670"/>
        <v>62527.349708935508</v>
      </c>
      <c r="US23" s="50">
        <f t="shared" ca="1" si="671"/>
        <v>55971.086835269947</v>
      </c>
      <c r="UT23" s="50">
        <f t="shared" ca="1" si="672"/>
        <v>52368.167177826617</v>
      </c>
      <c r="UU23" s="50">
        <f t="shared" ca="1" si="673"/>
        <v>54738.959020637187</v>
      </c>
      <c r="UV23" s="50">
        <f t="shared" ca="1" si="674"/>
        <v>55406.115731237391</v>
      </c>
      <c r="UW23" s="50">
        <f t="shared" ca="1" si="675"/>
        <v>53548.307825498312</v>
      </c>
      <c r="UX23" s="50">
        <f t="shared" ca="1" si="676"/>
        <v>59251.798842664866</v>
      </c>
      <c r="UY23" s="50">
        <f t="shared" ca="1" si="677"/>
        <v>54538.170234634628</v>
      </c>
      <c r="UZ23" s="50">
        <f t="shared" ca="1" si="678"/>
        <v>63753.991484564031</v>
      </c>
      <c r="VA23" s="50">
        <f t="shared" ca="1" si="679"/>
        <v>75158.7009402845</v>
      </c>
      <c r="VB23" s="50">
        <f t="shared" ca="1" si="680"/>
        <v>58199.874090257232</v>
      </c>
      <c r="VC23" s="50">
        <f t="shared" ca="1" si="681"/>
        <v>56767.538590833727</v>
      </c>
      <c r="VD23" s="50">
        <f t="shared" ca="1" si="682"/>
        <v>60655.951199454292</v>
      </c>
      <c r="VE23" s="50">
        <f t="shared" ca="1" si="683"/>
        <v>50698.941644943356</v>
      </c>
      <c r="VF23" s="50">
        <f t="shared" ca="1" si="684"/>
        <v>57361.622500827209</v>
      </c>
      <c r="VG23" s="50">
        <f t="shared" ca="1" si="685"/>
        <v>59320.036514179308</v>
      </c>
      <c r="VH23" s="50">
        <f t="shared" ca="1" si="686"/>
        <v>55377.856244949675</v>
      </c>
      <c r="VI23" s="50">
        <f t="shared" ca="1" si="687"/>
        <v>62384.070134228823</v>
      </c>
      <c r="VJ23" s="50">
        <f t="shared" ca="1" si="688"/>
        <v>68208.997050141697</v>
      </c>
      <c r="VK23" s="50">
        <f t="shared" ca="1" si="689"/>
        <v>61729.925018078233</v>
      </c>
      <c r="VL23" s="50">
        <f t="shared" ca="1" si="690"/>
        <v>54039.717627250779</v>
      </c>
      <c r="VM23" s="50">
        <f t="shared" ca="1" si="691"/>
        <v>65189.595487392748</v>
      </c>
      <c r="VN23" s="50">
        <f t="shared" ca="1" si="692"/>
        <v>62212.265441042029</v>
      </c>
      <c r="VO23" s="50">
        <f t="shared" ca="1" si="693"/>
        <v>63239.876872874782</v>
      </c>
      <c r="VP23" s="50">
        <f t="shared" ca="1" si="694"/>
        <v>59629.455917816282</v>
      </c>
      <c r="VQ23" s="50">
        <f t="shared" ca="1" si="695"/>
        <v>56166.853008754151</v>
      </c>
      <c r="VR23" s="50">
        <f t="shared" ca="1" si="696"/>
        <v>64739.920045369974</v>
      </c>
      <c r="VS23" s="50">
        <f t="shared" ca="1" si="697"/>
        <v>73743.367732696759</v>
      </c>
      <c r="VT23" s="50">
        <f t="shared" ca="1" si="698"/>
        <v>53240.181210003364</v>
      </c>
      <c r="VU23" s="50">
        <f t="shared" ca="1" si="699"/>
        <v>53450.944330018763</v>
      </c>
      <c r="VV23" s="50">
        <f t="shared" ca="1" si="700"/>
        <v>56470.26668668168</v>
      </c>
      <c r="VW23" s="50">
        <f t="shared" ca="1" si="701"/>
        <v>54279.215042282056</v>
      </c>
      <c r="VX23" s="50">
        <f t="shared" ca="1" si="702"/>
        <v>56382.472863480289</v>
      </c>
      <c r="VY23" s="50">
        <f t="shared" ca="1" si="703"/>
        <v>55557.559068139359</v>
      </c>
      <c r="VZ23" s="50">
        <f t="shared" ca="1" si="704"/>
        <v>58025.986113925544</v>
      </c>
      <c r="WA23" s="50">
        <f t="shared" ca="1" si="705"/>
        <v>51489.213124487003</v>
      </c>
      <c r="WB23" s="50">
        <f t="shared" ca="1" si="706"/>
        <v>53694.130599689874</v>
      </c>
      <c r="WC23" s="50">
        <f t="shared" ca="1" si="707"/>
        <v>57005.845304196904</v>
      </c>
      <c r="WD23" s="50">
        <f t="shared" ca="1" si="708"/>
        <v>61277.460825147755</v>
      </c>
      <c r="WE23" s="50">
        <f t="shared" ca="1" si="709"/>
        <v>60029.60057350096</v>
      </c>
      <c r="WF23" s="50">
        <f t="shared" ca="1" si="710"/>
        <v>64543.039820122045</v>
      </c>
      <c r="WG23" s="50">
        <f t="shared" ca="1" si="711"/>
        <v>59757.908098125597</v>
      </c>
      <c r="WH23" s="50">
        <f t="shared" ca="1" si="712"/>
        <v>64082.742209941192</v>
      </c>
      <c r="WI23" s="50">
        <f t="shared" ca="1" si="713"/>
        <v>59131.89544198873</v>
      </c>
      <c r="WJ23" s="50">
        <f t="shared" ca="1" si="714"/>
        <v>49512.237743992409</v>
      </c>
      <c r="WK23" s="50">
        <f t="shared" ca="1" si="715"/>
        <v>60934.053655679119</v>
      </c>
      <c r="WL23" s="50">
        <f t="shared" ca="1" si="716"/>
        <v>63086.847310165998</v>
      </c>
      <c r="WM23" s="50">
        <f t="shared" ca="1" si="717"/>
        <v>55920.552010855419</v>
      </c>
      <c r="WN23" s="50">
        <f t="shared" ca="1" si="718"/>
        <v>54087.921567675345</v>
      </c>
      <c r="WO23" s="50">
        <f t="shared" ca="1" si="719"/>
        <v>57621.916984495336</v>
      </c>
      <c r="WP23" s="50">
        <f t="shared" ca="1" si="720"/>
        <v>57857.692458521255</v>
      </c>
      <c r="WQ23" s="50">
        <f t="shared" ca="1" si="721"/>
        <v>52177.466285813396</v>
      </c>
      <c r="WR23" s="50">
        <f t="shared" ca="1" si="722"/>
        <v>57138.723802413966</v>
      </c>
      <c r="WS23" s="50">
        <f t="shared" ca="1" si="723"/>
        <v>55028.305807450975</v>
      </c>
      <c r="WT23" s="50">
        <f t="shared" ca="1" si="724"/>
        <v>67300.747418643339</v>
      </c>
      <c r="WU23" s="50">
        <f t="shared" ca="1" si="725"/>
        <v>65261.033355532127</v>
      </c>
      <c r="WV23" s="50">
        <f t="shared" ca="1" si="726"/>
        <v>51847.100303181964</v>
      </c>
      <c r="WW23" s="50">
        <f t="shared" ca="1" si="727"/>
        <v>63058.63160769386</v>
      </c>
      <c r="WX23" s="50">
        <f t="shared" ca="1" si="728"/>
        <v>54130.986148575066</v>
      </c>
      <c r="WY23" s="50">
        <f t="shared" ca="1" si="729"/>
        <v>55956.310133713654</v>
      </c>
      <c r="WZ23" s="50">
        <f t="shared" ca="1" si="730"/>
        <v>62248.976238173076</v>
      </c>
      <c r="XA23" s="50">
        <f t="shared" ca="1" si="731"/>
        <v>60636.258791471781</v>
      </c>
      <c r="XB23" s="50">
        <f t="shared" ca="1" si="732"/>
        <v>57168.194950917983</v>
      </c>
      <c r="XC23" s="50">
        <f t="shared" ca="1" si="733"/>
        <v>67650.055884829766</v>
      </c>
      <c r="XD23" s="50">
        <f t="shared" ca="1" si="734"/>
        <v>57385.431640982519</v>
      </c>
      <c r="XE23" s="50">
        <f t="shared" ca="1" si="735"/>
        <v>63310.705248290695</v>
      </c>
      <c r="XF23" s="50">
        <f t="shared" ca="1" si="736"/>
        <v>62837.062707768448</v>
      </c>
      <c r="XG23" s="50">
        <f t="shared" ca="1" si="737"/>
        <v>52504.154731864626</v>
      </c>
      <c r="XH23" s="50">
        <f t="shared" ca="1" si="738"/>
        <v>61041.344115497886</v>
      </c>
      <c r="XI23" s="50">
        <f t="shared" ca="1" si="739"/>
        <v>53850.80899744678</v>
      </c>
      <c r="XJ23" s="50">
        <f t="shared" ca="1" si="740"/>
        <v>50318.583156313274</v>
      </c>
      <c r="XK23" s="50">
        <f t="shared" ca="1" si="741"/>
        <v>54183.34125072576</v>
      </c>
      <c r="XL23" s="50">
        <f t="shared" ca="1" si="742"/>
        <v>59770.172400115393</v>
      </c>
      <c r="XM23" s="50">
        <f t="shared" ca="1" si="743"/>
        <v>61017.833906734108</v>
      </c>
      <c r="XN23" s="50">
        <f t="shared" ca="1" si="744"/>
        <v>55898.742636138988</v>
      </c>
      <c r="XO23" s="50">
        <f t="shared" ca="1" si="745"/>
        <v>57550.502797366069</v>
      </c>
      <c r="XP23" s="50">
        <f t="shared" ca="1" si="746"/>
        <v>59610.468804611846</v>
      </c>
      <c r="XQ23" s="50">
        <f t="shared" ca="1" si="747"/>
        <v>57329.303982187368</v>
      </c>
      <c r="XR23" s="50">
        <f t="shared" ca="1" si="748"/>
        <v>68725.88424420754</v>
      </c>
      <c r="XS23" s="50">
        <f t="shared" ca="1" si="749"/>
        <v>53763.537769953393</v>
      </c>
      <c r="XT23" s="50">
        <f t="shared" ca="1" si="750"/>
        <v>62996.435642110082</v>
      </c>
      <c r="XU23" s="50">
        <f t="shared" ca="1" si="751"/>
        <v>51457.745382617439</v>
      </c>
      <c r="XV23" s="50">
        <f t="shared" ca="1" si="752"/>
        <v>54463.561280765382</v>
      </c>
      <c r="XW23" s="50">
        <f t="shared" ca="1" si="753"/>
        <v>51409.835797612068</v>
      </c>
      <c r="XX23" s="50">
        <f t="shared" ca="1" si="754"/>
        <v>60271.38327044365</v>
      </c>
      <c r="XY23" s="50">
        <f t="shared" ca="1" si="755"/>
        <v>48015.25729132472</v>
      </c>
      <c r="XZ23" s="50">
        <f t="shared" ca="1" si="756"/>
        <v>63172.356653579896</v>
      </c>
      <c r="YA23" s="50">
        <f t="shared" ca="1" si="757"/>
        <v>66356.194752154581</v>
      </c>
      <c r="YB23" s="50">
        <f t="shared" ca="1" si="758"/>
        <v>58988.723139025358</v>
      </c>
      <c r="YC23" s="50">
        <f t="shared" ca="1" si="759"/>
        <v>63760.57543319463</v>
      </c>
      <c r="YD23" s="50">
        <f t="shared" ca="1" si="760"/>
        <v>60821.763310470211</v>
      </c>
      <c r="YE23" s="50">
        <f t="shared" ca="1" si="761"/>
        <v>54005.430598331535</v>
      </c>
      <c r="YF23" s="50">
        <f t="shared" ca="1" si="762"/>
        <v>65914.469374585242</v>
      </c>
      <c r="YG23" s="50">
        <f t="shared" ca="1" si="763"/>
        <v>60346.959079395456</v>
      </c>
      <c r="YH23" s="50">
        <f t="shared" ca="1" si="764"/>
        <v>65885.289655782748</v>
      </c>
      <c r="YI23" s="50">
        <f t="shared" ca="1" si="765"/>
        <v>60069.486022087331</v>
      </c>
      <c r="YJ23" s="50">
        <f t="shared" ca="1" si="766"/>
        <v>59823.72813446998</v>
      </c>
      <c r="YK23" s="50">
        <f t="shared" ca="1" si="767"/>
        <v>59465.904948895572</v>
      </c>
      <c r="YL23" s="50">
        <f t="shared" ca="1" si="768"/>
        <v>53001.407854209087</v>
      </c>
      <c r="YM23" s="50">
        <f t="shared" ca="1" si="769"/>
        <v>56260.158686688876</v>
      </c>
      <c r="YN23" s="50">
        <f t="shared" ca="1" si="770"/>
        <v>58047.519143365229</v>
      </c>
      <c r="YO23" s="50">
        <f t="shared" ca="1" si="771"/>
        <v>52966.281589792714</v>
      </c>
      <c r="YP23" s="50">
        <f t="shared" ca="1" si="772"/>
        <v>60457.957866655735</v>
      </c>
      <c r="YQ23" s="50">
        <f t="shared" ca="1" si="773"/>
        <v>57561.594838368059</v>
      </c>
      <c r="YR23" s="50">
        <f t="shared" ca="1" si="774"/>
        <v>50542.405630315523</v>
      </c>
      <c r="YS23" s="50">
        <f t="shared" ca="1" si="775"/>
        <v>63656.095304629504</v>
      </c>
      <c r="YT23" s="50">
        <f t="shared" ca="1" si="776"/>
        <v>54422.367715494751</v>
      </c>
      <c r="YU23" s="50">
        <f t="shared" ca="1" si="777"/>
        <v>67062.885839565963</v>
      </c>
      <c r="YV23" s="50">
        <f t="shared" ca="1" si="778"/>
        <v>53937.136728818296</v>
      </c>
      <c r="YW23" s="50">
        <f t="shared" ca="1" si="779"/>
        <v>51760.194388584096</v>
      </c>
      <c r="YX23" s="50">
        <f t="shared" ca="1" si="780"/>
        <v>60795.658521345729</v>
      </c>
      <c r="YY23" s="50">
        <f t="shared" ca="1" si="781"/>
        <v>52138.67322025379</v>
      </c>
      <c r="YZ23" s="50">
        <f t="shared" ca="1" si="782"/>
        <v>53777.100930461027</v>
      </c>
      <c r="ZA23" s="50">
        <f t="shared" ca="1" si="783"/>
        <v>56507.026436413413</v>
      </c>
      <c r="ZB23" s="50">
        <f t="shared" ca="1" si="784"/>
        <v>59942.116618301268</v>
      </c>
      <c r="ZC23" s="50">
        <f t="shared" ca="1" si="785"/>
        <v>50949.222672396689</v>
      </c>
      <c r="ZD23" s="50">
        <f t="shared" ca="1" si="786"/>
        <v>55560.377627844136</v>
      </c>
      <c r="ZE23" s="50">
        <f t="shared" ca="1" si="787"/>
        <v>56006.616292947241</v>
      </c>
      <c r="ZF23" s="50">
        <f t="shared" ca="1" si="788"/>
        <v>66925.986139789966</v>
      </c>
      <c r="ZG23" s="50">
        <f t="shared" ca="1" si="789"/>
        <v>53431.628812672032</v>
      </c>
      <c r="ZH23" s="50">
        <f t="shared" ca="1" si="790"/>
        <v>50533.14361423946</v>
      </c>
      <c r="ZI23" s="50">
        <f t="shared" ca="1" si="791"/>
        <v>60636.616536790258</v>
      </c>
      <c r="ZJ23" s="50">
        <f t="shared" ca="1" si="792"/>
        <v>56650.460856906087</v>
      </c>
      <c r="ZK23" s="50">
        <f t="shared" ca="1" si="793"/>
        <v>53428.66334362801</v>
      </c>
      <c r="ZL23" s="50">
        <f t="shared" ca="1" si="794"/>
        <v>56368.20871041021</v>
      </c>
      <c r="ZM23" s="50">
        <f t="shared" ca="1" si="795"/>
        <v>62043.428305766662</v>
      </c>
      <c r="ZN23" s="50">
        <f t="shared" ca="1" si="796"/>
        <v>51097.072435781309</v>
      </c>
      <c r="ZO23" s="50">
        <f t="shared" ca="1" si="797"/>
        <v>52627.563723930827</v>
      </c>
      <c r="ZP23" s="50">
        <f t="shared" ca="1" si="798"/>
        <v>66643.496913834402</v>
      </c>
      <c r="ZQ23" s="50">
        <f t="shared" ca="1" si="799"/>
        <v>63823.100097849099</v>
      </c>
      <c r="ZR23" s="50">
        <f t="shared" ca="1" si="800"/>
        <v>56469.995107711991</v>
      </c>
      <c r="ZS23" s="50">
        <f t="shared" ca="1" si="801"/>
        <v>70542.856043576161</v>
      </c>
      <c r="ZT23" s="50">
        <f t="shared" ca="1" si="802"/>
        <v>55253.532776990469</v>
      </c>
      <c r="ZU23" s="50">
        <f t="shared" ca="1" si="803"/>
        <v>59764.715197011581</v>
      </c>
      <c r="ZV23" s="50">
        <f t="shared" ca="1" si="804"/>
        <v>59507.163640644081</v>
      </c>
      <c r="ZW23" s="50">
        <f t="shared" ca="1" si="805"/>
        <v>53530.102863021428</v>
      </c>
      <c r="ZX23" s="50">
        <f t="shared" ca="1" si="806"/>
        <v>60333.941190278929</v>
      </c>
      <c r="ZY23" s="50">
        <f t="shared" ca="1" si="807"/>
        <v>50916.428777314904</v>
      </c>
      <c r="ZZ23" s="50">
        <f t="shared" ca="1" si="808"/>
        <v>66770.681835808718</v>
      </c>
      <c r="AAA23" s="50">
        <f t="shared" ca="1" si="809"/>
        <v>52588.027902010617</v>
      </c>
      <c r="AAB23" s="50">
        <f t="shared" ca="1" si="810"/>
        <v>57900.475098227369</v>
      </c>
      <c r="AAC23" s="50">
        <f t="shared" ca="1" si="811"/>
        <v>61299.089011434793</v>
      </c>
      <c r="AAD23" s="50">
        <f t="shared" ca="1" si="812"/>
        <v>57209.815814172354</v>
      </c>
      <c r="AAE23" s="50">
        <f t="shared" ca="1" si="813"/>
        <v>57717.913930479292</v>
      </c>
      <c r="AAF23" s="50">
        <f t="shared" ca="1" si="814"/>
        <v>50374.114475562259</v>
      </c>
      <c r="AAG23" s="50">
        <f t="shared" ca="1" si="815"/>
        <v>59184.216121269477</v>
      </c>
      <c r="AAH23" s="50">
        <f t="shared" ca="1" si="816"/>
        <v>59274.735983692073</v>
      </c>
      <c r="AAI23" s="50">
        <f t="shared" ca="1" si="817"/>
        <v>58999.089324591245</v>
      </c>
      <c r="AAJ23" s="50">
        <f t="shared" ca="1" si="818"/>
        <v>56628.829528403257</v>
      </c>
      <c r="AAK23" s="50">
        <f t="shared" ca="1" si="819"/>
        <v>60476.485918551924</v>
      </c>
      <c r="AAL23" s="50">
        <f t="shared" ca="1" si="820"/>
        <v>55813.714736773356</v>
      </c>
      <c r="AAM23" s="50">
        <f t="shared" ca="1" si="821"/>
        <v>55699.084799200478</v>
      </c>
      <c r="AAN23" s="50">
        <f t="shared" ca="1" si="822"/>
        <v>59015.371792359845</v>
      </c>
      <c r="AAO23" s="50">
        <f t="shared" ca="1" si="823"/>
        <v>57677.539763760993</v>
      </c>
      <c r="AAP23" s="50">
        <f t="shared" ca="1" si="824"/>
        <v>53815.388809428652</v>
      </c>
      <c r="AAQ23" s="50">
        <f t="shared" ca="1" si="825"/>
        <v>54632.010926529212</v>
      </c>
      <c r="AAR23" s="50">
        <f t="shared" ca="1" si="826"/>
        <v>58025.131916713748</v>
      </c>
      <c r="AAS23" s="50">
        <f t="shared" ca="1" si="827"/>
        <v>59045.628695620035</v>
      </c>
      <c r="AAT23" s="50">
        <f t="shared" ca="1" si="828"/>
        <v>51986.178441586053</v>
      </c>
      <c r="AAU23" s="50">
        <f t="shared" ca="1" si="829"/>
        <v>60986.515798135944</v>
      </c>
      <c r="AAV23" s="50">
        <f t="shared" ca="1" si="830"/>
        <v>55543.545292883289</v>
      </c>
      <c r="AAW23" s="50">
        <f t="shared" ca="1" si="831"/>
        <v>63353.185527842797</v>
      </c>
      <c r="AAX23" s="50">
        <f t="shared" ca="1" si="832"/>
        <v>61978.243477919605</v>
      </c>
      <c r="AAY23" s="50">
        <f t="shared" ca="1" si="833"/>
        <v>63882.430483710021</v>
      </c>
      <c r="AAZ23" s="50">
        <f t="shared" ca="1" si="834"/>
        <v>57866.471329592474</v>
      </c>
      <c r="ABA23" s="50">
        <f t="shared" ca="1" si="835"/>
        <v>55229.933423610826</v>
      </c>
      <c r="ABB23" s="50">
        <f t="shared" ca="1" si="836"/>
        <v>59088.973957750059</v>
      </c>
      <c r="ABC23" s="50">
        <f t="shared" ca="1" si="837"/>
        <v>57162.446145395246</v>
      </c>
      <c r="ABD23" s="50">
        <f t="shared" ca="1" si="838"/>
        <v>55162.684380592575</v>
      </c>
      <c r="ABE23" s="50">
        <f t="shared" ca="1" si="839"/>
        <v>61298.443714367226</v>
      </c>
      <c r="ABF23" s="50">
        <f t="shared" ca="1" si="840"/>
        <v>57126.777445035768</v>
      </c>
      <c r="ABG23" s="50">
        <f t="shared" ca="1" si="841"/>
        <v>62787.795726633412</v>
      </c>
      <c r="ABH23" s="50">
        <f t="shared" ca="1" si="842"/>
        <v>56742.711512572198</v>
      </c>
      <c r="ABI23" s="50">
        <f t="shared" ca="1" si="843"/>
        <v>56425.306152325968</v>
      </c>
      <c r="ABJ23" s="50">
        <f t="shared" ca="1" si="844"/>
        <v>55698.933062113443</v>
      </c>
      <c r="ABK23" s="50">
        <f t="shared" ca="1" si="845"/>
        <v>56114.026550175251</v>
      </c>
      <c r="ABL23" s="50">
        <f t="shared" ca="1" si="846"/>
        <v>66472.072339337814</v>
      </c>
      <c r="ABM23" s="50">
        <f t="shared" ca="1" si="847"/>
        <v>55656.547298955084</v>
      </c>
      <c r="ABN23" s="50">
        <f t="shared" ca="1" si="848"/>
        <v>59217.466391501519</v>
      </c>
      <c r="ABO23" s="50">
        <f t="shared" ca="1" si="849"/>
        <v>56085.146173688321</v>
      </c>
      <c r="ABP23" s="50">
        <f t="shared" ca="1" si="850"/>
        <v>55401.51094929914</v>
      </c>
      <c r="ABQ23" s="50">
        <f t="shared" ca="1" si="851"/>
        <v>53901.007079513074</v>
      </c>
      <c r="ABR23" s="50">
        <f t="shared" ca="1" si="852"/>
        <v>55892.70446721762</v>
      </c>
      <c r="ABS23" s="50">
        <f t="shared" ca="1" si="853"/>
        <v>65890.104510102901</v>
      </c>
      <c r="ABT23" s="50">
        <f t="shared" ca="1" si="854"/>
        <v>55834.973400728442</v>
      </c>
      <c r="ABU23" s="50">
        <f t="shared" ca="1" si="855"/>
        <v>56915.512767229171</v>
      </c>
      <c r="ABV23" s="50">
        <f t="shared" ca="1" si="856"/>
        <v>52497.271534746476</v>
      </c>
      <c r="ABW23" s="50">
        <f t="shared" ca="1" si="857"/>
        <v>51599.54498918396</v>
      </c>
      <c r="ABX23" s="50">
        <f t="shared" ca="1" si="858"/>
        <v>63833.709291604267</v>
      </c>
      <c r="ABY23" s="50">
        <f t="shared" ca="1" si="859"/>
        <v>56990.850225530994</v>
      </c>
      <c r="ABZ23" s="50">
        <f t="shared" ca="1" si="860"/>
        <v>54685.142278486732</v>
      </c>
      <c r="ACA23" s="50">
        <f t="shared" ca="1" si="861"/>
        <v>61361.892692977708</v>
      </c>
      <c r="ACB23" s="50">
        <f t="shared" ca="1" si="862"/>
        <v>63253.822263238806</v>
      </c>
      <c r="ACC23" s="50">
        <f t="shared" ca="1" si="863"/>
        <v>61663.770025090307</v>
      </c>
      <c r="ACD23" s="50">
        <f t="shared" ca="1" si="864"/>
        <v>53644.644882772431</v>
      </c>
      <c r="ACE23" s="50">
        <f t="shared" ca="1" si="865"/>
        <v>62814.811198953845</v>
      </c>
      <c r="ACF23" s="50">
        <f t="shared" ca="1" si="866"/>
        <v>56042.718443655875</v>
      </c>
      <c r="ACG23" s="50">
        <f t="shared" ca="1" si="867"/>
        <v>64850.494768991361</v>
      </c>
      <c r="ACH23" s="50">
        <f t="shared" ca="1" si="868"/>
        <v>60358.801921358878</v>
      </c>
      <c r="ACI23" s="50">
        <f t="shared" ca="1" si="869"/>
        <v>55994.251028890205</v>
      </c>
      <c r="ACJ23" s="50">
        <f t="shared" ca="1" si="870"/>
        <v>67468.300471628419</v>
      </c>
      <c r="ACK23" s="50">
        <f t="shared" ca="1" si="871"/>
        <v>59741.902009130965</v>
      </c>
      <c r="ACL23" s="50">
        <f t="shared" ca="1" si="872"/>
        <v>52870.456585143402</v>
      </c>
      <c r="ACM23" s="50">
        <f t="shared" ca="1" si="873"/>
        <v>54818.459080691988</v>
      </c>
      <c r="ACN23" s="50">
        <f t="shared" ca="1" si="874"/>
        <v>55908.419362502202</v>
      </c>
      <c r="ACO23" s="50">
        <f t="shared" ca="1" si="875"/>
        <v>52049.512861915297</v>
      </c>
      <c r="ACP23" s="50">
        <f t="shared" ca="1" si="876"/>
        <v>53213.705475684365</v>
      </c>
      <c r="ACQ23" s="50">
        <f t="shared" ca="1" si="877"/>
        <v>49446.509285246313</v>
      </c>
      <c r="ACR23" s="50">
        <f t="shared" ca="1" si="878"/>
        <v>50853.221965761892</v>
      </c>
      <c r="ACS23" s="50">
        <f t="shared" ca="1" si="879"/>
        <v>51928.431441378794</v>
      </c>
      <c r="ACT23" s="50">
        <f t="shared" ca="1" si="880"/>
        <v>56509.405119552299</v>
      </c>
      <c r="ACU23" s="50">
        <f t="shared" ca="1" si="881"/>
        <v>56004.104541399909</v>
      </c>
      <c r="ACV23" s="50">
        <f t="shared" ca="1" si="882"/>
        <v>54809.661490123493</v>
      </c>
      <c r="ACW23" s="50">
        <f t="shared" ca="1" si="883"/>
        <v>61346.186319762623</v>
      </c>
      <c r="ACX23" s="50">
        <f t="shared" ca="1" si="884"/>
        <v>57519.04051261906</v>
      </c>
      <c r="ACY23" s="50">
        <f t="shared" ca="1" si="885"/>
        <v>54125.921467389751</v>
      </c>
      <c r="ACZ23" s="50">
        <f t="shared" ca="1" si="886"/>
        <v>57572.959875045046</v>
      </c>
      <c r="ADA23" s="50">
        <f t="shared" ca="1" si="887"/>
        <v>68316.08091465605</v>
      </c>
      <c r="ADB23" s="50">
        <f t="shared" ca="1" si="888"/>
        <v>60306.911139055228</v>
      </c>
      <c r="ADC23" s="50">
        <f t="shared" ca="1" si="889"/>
        <v>64275.489548700702</v>
      </c>
      <c r="ADD23" s="50">
        <f t="shared" ca="1" si="890"/>
        <v>50310.810456866042</v>
      </c>
      <c r="ADE23" s="50">
        <f t="shared" ca="1" si="891"/>
        <v>58276.066589634713</v>
      </c>
      <c r="ADF23" s="50">
        <f t="shared" ca="1" si="892"/>
        <v>60266.432505900033</v>
      </c>
      <c r="ADG23" s="50">
        <f t="shared" ca="1" si="893"/>
        <v>61178.362253263338</v>
      </c>
      <c r="ADH23" s="50">
        <f t="shared" ca="1" si="894"/>
        <v>56418.42042721044</v>
      </c>
      <c r="ADI23" s="50">
        <f t="shared" ca="1" si="895"/>
        <v>47135.477256600658</v>
      </c>
      <c r="ADJ23" s="50">
        <f t="shared" ca="1" si="896"/>
        <v>60215.823525034568</v>
      </c>
      <c r="ADK23" s="50">
        <f t="shared" ca="1" si="897"/>
        <v>58701.374903065131</v>
      </c>
      <c r="ADL23" s="50">
        <f t="shared" ca="1" si="898"/>
        <v>59745.341234426713</v>
      </c>
      <c r="ADM23" s="50">
        <f t="shared" ca="1" si="899"/>
        <v>59321.053219741021</v>
      </c>
      <c r="ADN23" s="50">
        <f t="shared" ca="1" si="900"/>
        <v>61474.255607710795</v>
      </c>
      <c r="ADO23" s="50">
        <f t="shared" ca="1" si="901"/>
        <v>50147.283547612875</v>
      </c>
      <c r="ADP23" s="50">
        <f t="shared" ca="1" si="902"/>
        <v>57184.105280502452</v>
      </c>
      <c r="ADQ23" s="50">
        <f t="shared" ca="1" si="903"/>
        <v>51868.794612771824</v>
      </c>
      <c r="ADR23" s="50">
        <f t="shared" ca="1" si="904"/>
        <v>54079.123207043282</v>
      </c>
      <c r="ADS23" s="50">
        <f t="shared" ca="1" si="905"/>
        <v>59454.134345342485</v>
      </c>
      <c r="ADT23" s="50">
        <f t="shared" ca="1" si="906"/>
        <v>58016.274161955822</v>
      </c>
      <c r="ADU23" s="50">
        <f t="shared" ca="1" si="907"/>
        <v>57051.303769705031</v>
      </c>
      <c r="ADV23" s="50">
        <f t="shared" ca="1" si="908"/>
        <v>63300.995074215243</v>
      </c>
      <c r="ADW23" s="50">
        <f t="shared" ca="1" si="909"/>
        <v>55889.27590258525</v>
      </c>
      <c r="ADX23" s="50">
        <f t="shared" ca="1" si="910"/>
        <v>62270.83825835248</v>
      </c>
      <c r="ADY23" s="50">
        <f t="shared" ca="1" si="911"/>
        <v>57164.238991136888</v>
      </c>
      <c r="ADZ23" s="50">
        <f t="shared" ca="1" si="912"/>
        <v>53217.598261523075</v>
      </c>
      <c r="AEA23" s="50">
        <f t="shared" ca="1" si="913"/>
        <v>58691.592540620404</v>
      </c>
      <c r="AEB23" s="50">
        <f t="shared" ca="1" si="914"/>
        <v>62978.542995878772</v>
      </c>
      <c r="AEC23" s="50">
        <f t="shared" ca="1" si="915"/>
        <v>65509.135854706932</v>
      </c>
      <c r="AED23" s="50">
        <f t="shared" ca="1" si="916"/>
        <v>62121.200669716723</v>
      </c>
      <c r="AEE23" s="50">
        <f t="shared" ca="1" si="917"/>
        <v>57277.379166836829</v>
      </c>
      <c r="AEF23" s="50">
        <f t="shared" ca="1" si="918"/>
        <v>58238.076036621234</v>
      </c>
      <c r="AEG23" s="50">
        <f t="shared" ca="1" si="919"/>
        <v>55375.614971002527</v>
      </c>
      <c r="AEH23" s="50">
        <f t="shared" ca="1" si="920"/>
        <v>67133.334679978245</v>
      </c>
      <c r="AEI23" s="50">
        <f t="shared" ca="1" si="921"/>
        <v>61949.032523953123</v>
      </c>
      <c r="AEJ23" s="50">
        <f t="shared" ca="1" si="922"/>
        <v>57173.94805169048</v>
      </c>
      <c r="AEK23" s="50">
        <f t="shared" ca="1" si="923"/>
        <v>56875.00616012633</v>
      </c>
      <c r="AEL23" s="50">
        <f t="shared" ca="1" si="924"/>
        <v>60647.548960490894</v>
      </c>
      <c r="AEM23" s="50">
        <f t="shared" ca="1" si="925"/>
        <v>70645.80129445935</v>
      </c>
      <c r="AEN23" s="50">
        <f t="shared" ca="1" si="926"/>
        <v>67906.099636950181</v>
      </c>
      <c r="AEO23" s="50">
        <f t="shared" ca="1" si="927"/>
        <v>65276.835260925698</v>
      </c>
      <c r="AEP23" s="50">
        <f t="shared" ca="1" si="928"/>
        <v>53926.167345064845</v>
      </c>
      <c r="AEQ23" s="50">
        <f t="shared" ca="1" si="929"/>
        <v>60718.338083881557</v>
      </c>
      <c r="AER23" s="50">
        <f t="shared" ca="1" si="930"/>
        <v>53778.559197444411</v>
      </c>
      <c r="AES23" s="50">
        <f t="shared" ca="1" si="931"/>
        <v>54063.804527763474</v>
      </c>
      <c r="AET23" s="50">
        <f t="shared" ca="1" si="932"/>
        <v>65232.79219582356</v>
      </c>
      <c r="AEU23" s="50">
        <f t="shared" ca="1" si="933"/>
        <v>62130.716424120874</v>
      </c>
      <c r="AEV23" s="50">
        <f t="shared" ca="1" si="934"/>
        <v>64793.33710502195</v>
      </c>
      <c r="AEW23" s="50">
        <f t="shared" ca="1" si="935"/>
        <v>62887.394823287912</v>
      </c>
      <c r="AEX23" s="50">
        <f t="shared" ca="1" si="936"/>
        <v>55116.532826307863</v>
      </c>
      <c r="AEY23" s="50">
        <f t="shared" ca="1" si="937"/>
        <v>60858.905141565388</v>
      </c>
      <c r="AEZ23" s="50">
        <f t="shared" ca="1" si="938"/>
        <v>55296.312513448232</v>
      </c>
      <c r="AFA23" s="50">
        <f t="shared" ca="1" si="939"/>
        <v>55018.283631419334</v>
      </c>
      <c r="AFB23" s="50">
        <f t="shared" ca="1" si="940"/>
        <v>55040.830576647844</v>
      </c>
      <c r="AFC23" s="50">
        <f t="shared" ca="1" si="941"/>
        <v>60674.198404817325</v>
      </c>
      <c r="AFD23" s="50">
        <f t="shared" ca="1" si="942"/>
        <v>59064.443359164587</v>
      </c>
      <c r="AFE23" s="50">
        <f t="shared" ca="1" si="943"/>
        <v>51520.865423178831</v>
      </c>
      <c r="AFF23" s="50">
        <f t="shared" ca="1" si="944"/>
        <v>59510.048890897007</v>
      </c>
      <c r="AFG23" s="50">
        <f t="shared" ca="1" si="945"/>
        <v>54095.079885244108</v>
      </c>
      <c r="AFH23" s="50">
        <f t="shared" ca="1" si="946"/>
        <v>49163.533508166984</v>
      </c>
      <c r="AFI23" s="50">
        <f t="shared" ca="1" si="947"/>
        <v>51960.108936061552</v>
      </c>
      <c r="AFJ23" s="50">
        <f t="shared" ca="1" si="948"/>
        <v>52387.11292287636</v>
      </c>
      <c r="AFK23" s="50">
        <f t="shared" ca="1" si="949"/>
        <v>53778.13413744959</v>
      </c>
      <c r="AFL23" s="50">
        <f t="shared" ca="1" si="950"/>
        <v>57030.528132664469</v>
      </c>
      <c r="AFM23" s="50">
        <f t="shared" ca="1" si="951"/>
        <v>56408.201919151084</v>
      </c>
      <c r="AFN23" s="50">
        <f t="shared" ca="1" si="952"/>
        <v>53570.048373768361</v>
      </c>
      <c r="AFO23" s="50">
        <f t="shared" ca="1" si="953"/>
        <v>65456.393002755336</v>
      </c>
      <c r="AFP23" s="50">
        <f t="shared" ca="1" si="954"/>
        <v>61292.196251754234</v>
      </c>
      <c r="AFQ23" s="50">
        <f t="shared" ca="1" si="955"/>
        <v>62091.252760608928</v>
      </c>
      <c r="AFR23" s="50">
        <f t="shared" ca="1" si="956"/>
        <v>52375.135349769487</v>
      </c>
      <c r="AFS23" s="50">
        <f t="shared" ca="1" si="957"/>
        <v>52469.878544783191</v>
      </c>
      <c r="AFT23" s="50">
        <f t="shared" ca="1" si="958"/>
        <v>59387.54987533197</v>
      </c>
      <c r="AFU23" s="50">
        <f t="shared" ca="1" si="959"/>
        <v>57243.097703495143</v>
      </c>
      <c r="AFV23" s="50">
        <f t="shared" ca="1" si="960"/>
        <v>57898.237399190577</v>
      </c>
      <c r="AFW23" s="50">
        <f t="shared" ca="1" si="961"/>
        <v>60037.422376440343</v>
      </c>
      <c r="AFX23" s="50">
        <f t="shared" ca="1" si="962"/>
        <v>61426.618842481694</v>
      </c>
      <c r="AFY23" s="50">
        <f t="shared" ca="1" si="963"/>
        <v>59563.119241127715</v>
      </c>
      <c r="AFZ23" s="50">
        <f t="shared" ca="1" si="964"/>
        <v>61913.730434620622</v>
      </c>
      <c r="AGA23" s="50">
        <f t="shared" ca="1" si="965"/>
        <v>62033.994229198339</v>
      </c>
      <c r="AGB23" s="50">
        <f t="shared" ca="1" si="966"/>
        <v>61122.728453794465</v>
      </c>
      <c r="AGC23" s="50">
        <f t="shared" ca="1" si="967"/>
        <v>59537.750442969438</v>
      </c>
      <c r="AGD23" s="50">
        <f t="shared" ca="1" si="968"/>
        <v>57380.000171323278</v>
      </c>
      <c r="AGE23" s="50">
        <f t="shared" ca="1" si="969"/>
        <v>57871.434327747971</v>
      </c>
      <c r="AGF23" s="50">
        <f t="shared" ca="1" si="970"/>
        <v>52718.597918518251</v>
      </c>
      <c r="AGG23" s="50">
        <f t="shared" ca="1" si="971"/>
        <v>55696.746477105102</v>
      </c>
      <c r="AGH23" s="50">
        <f t="shared" ca="1" si="972"/>
        <v>63793.00637859042</v>
      </c>
      <c r="AGI23" s="50">
        <f t="shared" ca="1" si="973"/>
        <v>51754.486762518645</v>
      </c>
      <c r="AGJ23" s="50">
        <f t="shared" ca="1" si="974"/>
        <v>61776.69563928491</v>
      </c>
      <c r="AGK23" s="50">
        <f t="shared" ca="1" si="975"/>
        <v>68593.530718396709</v>
      </c>
      <c r="AGL23" s="50">
        <f t="shared" ca="1" si="976"/>
        <v>50500.979745568104</v>
      </c>
      <c r="AGM23" s="50">
        <f t="shared" ca="1" si="977"/>
        <v>54082.967568146247</v>
      </c>
      <c r="AGN23" s="50">
        <f t="shared" ca="1" si="978"/>
        <v>64548.262763234292</v>
      </c>
      <c r="AGO23" s="50">
        <f t="shared" ca="1" si="979"/>
        <v>48399.137096689679</v>
      </c>
      <c r="AGP23" s="50">
        <f t="shared" ca="1" si="980"/>
        <v>55230.933030160035</v>
      </c>
      <c r="AGQ23" s="50">
        <f t="shared" ca="1" si="981"/>
        <v>59040.27229717205</v>
      </c>
      <c r="AGR23" s="50">
        <f t="shared" ca="1" si="982"/>
        <v>58962.115262118074</v>
      </c>
      <c r="AGS23" s="50">
        <f t="shared" ca="1" si="983"/>
        <v>58228.086062469381</v>
      </c>
      <c r="AGT23" s="50">
        <f t="shared" ca="1" si="984"/>
        <v>62266.08131312277</v>
      </c>
      <c r="AGU23" s="50">
        <f t="shared" ca="1" si="985"/>
        <v>60850.385140586834</v>
      </c>
      <c r="AGV23" s="50">
        <f t="shared" ca="1" si="986"/>
        <v>61744.533079503082</v>
      </c>
      <c r="AGW23" s="50">
        <f t="shared" ca="1" si="987"/>
        <v>55777.722457825956</v>
      </c>
      <c r="AGX23" s="50">
        <f t="shared" ca="1" si="988"/>
        <v>55599.587974954455</v>
      </c>
      <c r="AGY23" s="50">
        <f t="shared" ca="1" si="989"/>
        <v>65931.833311472554</v>
      </c>
      <c r="AGZ23" s="50">
        <f t="shared" ca="1" si="990"/>
        <v>56395.42693891019</v>
      </c>
      <c r="AHA23" s="50">
        <f t="shared" ca="1" si="991"/>
        <v>65922.172313930569</v>
      </c>
      <c r="AHB23" s="50">
        <f t="shared" ca="1" si="992"/>
        <v>56384.863584655635</v>
      </c>
      <c r="AHC23" s="50">
        <f t="shared" ca="1" si="993"/>
        <v>63334.951088458729</v>
      </c>
      <c r="AHD23" s="50">
        <f t="shared" ca="1" si="994"/>
        <v>47167.9840545158</v>
      </c>
      <c r="AHE23" s="50">
        <f t="shared" ca="1" si="995"/>
        <v>64166.114410724193</v>
      </c>
      <c r="AHF23" s="50">
        <f t="shared" ca="1" si="996"/>
        <v>59831.303256677311</v>
      </c>
      <c r="AHG23" s="50">
        <f t="shared" ca="1" si="997"/>
        <v>54223.86679047472</v>
      </c>
      <c r="AHH23" s="50">
        <f t="shared" ca="1" si="998"/>
        <v>64285.596656364112</v>
      </c>
      <c r="AHI23" s="50">
        <f t="shared" ca="1" si="999"/>
        <v>54958.908284089768</v>
      </c>
      <c r="AHJ23" s="50">
        <f t="shared" ca="1" si="1000"/>
        <v>69236.373334981501</v>
      </c>
      <c r="AHK23" s="50">
        <f t="shared" ca="1" si="1001"/>
        <v>56152.004891250916</v>
      </c>
      <c r="AHL23" s="50">
        <f t="shared" ca="1" si="1002"/>
        <v>55727.635146592824</v>
      </c>
      <c r="AHM23" s="50">
        <f t="shared" ca="1" si="1003"/>
        <v>59807.731678060416</v>
      </c>
      <c r="AHN23" s="50">
        <f t="shared" ca="1" si="1004"/>
        <v>67578.188160479331</v>
      </c>
      <c r="AHO23" s="50">
        <f t="shared" ca="1" si="1005"/>
        <v>55173.894636688834</v>
      </c>
      <c r="AHP23" s="50">
        <f t="shared" ca="1" si="1006"/>
        <v>50292.660565146332</v>
      </c>
      <c r="AHQ23" s="50">
        <f t="shared" ca="1" si="1007"/>
        <v>58540.147838711971</v>
      </c>
      <c r="AHR23" s="50">
        <f t="shared" ca="1" si="1008"/>
        <v>61841.798956010316</v>
      </c>
      <c r="AHS23" s="50">
        <f t="shared" ca="1" si="1009"/>
        <v>52508.938076047671</v>
      </c>
      <c r="AHT23" s="50">
        <f t="shared" ca="1" si="1010"/>
        <v>59717.263214093582</v>
      </c>
      <c r="AHU23" s="50">
        <f t="shared" ca="1" si="1011"/>
        <v>52445.108143110338</v>
      </c>
      <c r="AHV23" s="50">
        <f t="shared" ca="1" si="1012"/>
        <v>57192.941777155575</v>
      </c>
      <c r="AHW23" s="50">
        <f t="shared" ca="1" si="1013"/>
        <v>51603.548508720007</v>
      </c>
      <c r="AHX23" s="50">
        <f t="shared" ca="1" si="1014"/>
        <v>62305.096645854013</v>
      </c>
      <c r="AHY23" s="50">
        <f t="shared" ca="1" si="1015"/>
        <v>67603.194160071871</v>
      </c>
      <c r="AHZ23" s="50">
        <f t="shared" ca="1" si="1016"/>
        <v>58856.721547793211</v>
      </c>
      <c r="AIA23" s="50">
        <f t="shared" ca="1" si="1017"/>
        <v>50447.180038374318</v>
      </c>
      <c r="AIB23" s="50">
        <f t="shared" ca="1" si="1018"/>
        <v>55824.637070749333</v>
      </c>
      <c r="AIC23" s="50">
        <f t="shared" ca="1" si="1019"/>
        <v>53437.50759042961</v>
      </c>
      <c r="AID23" s="50">
        <f t="shared" ca="1" si="1020"/>
        <v>65476.484843332117</v>
      </c>
      <c r="AIE23" s="50">
        <f t="shared" ca="1" si="1021"/>
        <v>56454.53897354698</v>
      </c>
      <c r="AIF23" s="50">
        <f t="shared" ca="1" si="1022"/>
        <v>53275.614394877644</v>
      </c>
      <c r="AIG23" s="50">
        <f t="shared" ca="1" si="1023"/>
        <v>53410.280731720224</v>
      </c>
      <c r="AIH23" s="50">
        <f t="shared" ca="1" si="1024"/>
        <v>61298.529196779506</v>
      </c>
      <c r="AII23" s="50">
        <f t="shared" ca="1" si="1025"/>
        <v>57447.565696190271</v>
      </c>
      <c r="AIJ23" s="50">
        <f t="shared" ca="1" si="1026"/>
        <v>63493.380364244076</v>
      </c>
      <c r="AIK23" s="50">
        <f t="shared" ca="1" si="1027"/>
        <v>61071.473042371137</v>
      </c>
      <c r="AIL23" s="50">
        <f t="shared" ca="1" si="1028"/>
        <v>62290.88531439982</v>
      </c>
      <c r="AIM23" s="50">
        <f t="shared" ca="1" si="1029"/>
        <v>57270.439785649156</v>
      </c>
      <c r="AIN23" s="50">
        <f t="shared" ca="1" si="1030"/>
        <v>61400.203191132503</v>
      </c>
      <c r="AIO23" s="50">
        <f t="shared" ca="1" si="1031"/>
        <v>56703.794666065711</v>
      </c>
      <c r="AIP23" s="50">
        <f t="shared" ca="1" si="1032"/>
        <v>61961.314777349595</v>
      </c>
      <c r="AIQ23" s="50">
        <f t="shared" ca="1" si="1033"/>
        <v>56341.847107929971</v>
      </c>
      <c r="AIR23" s="50">
        <f t="shared" ca="1" si="1034"/>
        <v>56259.881004717594</v>
      </c>
      <c r="AIS23" s="50">
        <f t="shared" ca="1" si="1035"/>
        <v>54425.160304580153</v>
      </c>
      <c r="AIT23" s="50">
        <f t="shared" ca="1" si="1036"/>
        <v>45250.346848994988</v>
      </c>
      <c r="AIU23" s="50">
        <f t="shared" ca="1" si="1037"/>
        <v>57089.569771697577</v>
      </c>
      <c r="AIV23" s="50">
        <f t="shared" ca="1" si="1038"/>
        <v>57966.555508972866</v>
      </c>
      <c r="AIW23" s="50">
        <f t="shared" ca="1" si="1039"/>
        <v>60609.699401800528</v>
      </c>
      <c r="AIX23" s="50">
        <f t="shared" ca="1" si="1040"/>
        <v>57199.213038769376</v>
      </c>
      <c r="AIY23" s="50">
        <f t="shared" ca="1" si="1041"/>
        <v>46914.447534051149</v>
      </c>
      <c r="AIZ23" s="50">
        <f t="shared" ca="1" si="1042"/>
        <v>68256.268113579616</v>
      </c>
      <c r="AJA23" s="50">
        <f t="shared" ca="1" si="1043"/>
        <v>61981.461774420059</v>
      </c>
      <c r="AJB23" s="50">
        <f t="shared" ca="1" si="1044"/>
        <v>63807.922090863394</v>
      </c>
      <c r="AJC23" s="50">
        <f t="shared" ca="1" si="1045"/>
        <v>56712.72301355884</v>
      </c>
      <c r="AJD23" s="50">
        <f t="shared" ca="1" si="1046"/>
        <v>58550.821660626905</v>
      </c>
      <c r="AJE23" s="50">
        <f t="shared" ca="1" si="1047"/>
        <v>64437.050737343554</v>
      </c>
      <c r="AJF23" s="50">
        <f t="shared" ca="1" si="1048"/>
        <v>65311.036348013826</v>
      </c>
      <c r="AJG23" s="50">
        <f t="shared" ca="1" si="1049"/>
        <v>62229.076941862208</v>
      </c>
      <c r="AJH23" s="50">
        <f t="shared" ca="1" si="1050"/>
        <v>58952.233580400178</v>
      </c>
      <c r="AJI23" s="50">
        <f t="shared" ca="1" si="1051"/>
        <v>56294.813691708063</v>
      </c>
      <c r="AJJ23" s="50">
        <f t="shared" ca="1" si="1052"/>
        <v>72795.621822575355</v>
      </c>
      <c r="AJK23" s="50">
        <f t="shared" ca="1" si="1053"/>
        <v>48717.682857706823</v>
      </c>
      <c r="AJL23" s="50">
        <f t="shared" ca="1" si="1054"/>
        <v>61067.920740818314</v>
      </c>
      <c r="AJM23" s="50">
        <f t="shared" ca="1" si="1055"/>
        <v>52328.16473117366</v>
      </c>
      <c r="AJN23" s="50">
        <f t="shared" ca="1" si="1056"/>
        <v>65725.467069121893</v>
      </c>
      <c r="AJO23" s="50">
        <f t="shared" ca="1" si="1057"/>
        <v>52171.292417733799</v>
      </c>
      <c r="AJP23" s="50">
        <f t="shared" ca="1" si="1058"/>
        <v>61705.620101686196</v>
      </c>
      <c r="AJQ23" s="50">
        <f t="shared" ca="1" si="1059"/>
        <v>64989.654330938261</v>
      </c>
      <c r="AJR23" s="50">
        <f t="shared" ca="1" si="1060"/>
        <v>58897.964129602959</v>
      </c>
      <c r="AJS23" s="50">
        <f t="shared" ca="1" si="1061"/>
        <v>55636.775151858586</v>
      </c>
      <c r="AJT23" s="50">
        <f t="shared" ca="1" si="1062"/>
        <v>55339.065363658279</v>
      </c>
      <c r="AJU23" s="50">
        <f t="shared" ca="1" si="1063"/>
        <v>60217.900886374846</v>
      </c>
      <c r="AJV23" s="50">
        <f t="shared" ca="1" si="1064"/>
        <v>56778.556007301122</v>
      </c>
      <c r="AJW23" s="50">
        <f t="shared" ca="1" si="1065"/>
        <v>52549.315109398209</v>
      </c>
      <c r="AJX23" s="50">
        <f t="shared" ca="1" si="1066"/>
        <v>54841.06627149351</v>
      </c>
      <c r="AJY23" s="50">
        <f t="shared" ca="1" si="1067"/>
        <v>61281.919823380071</v>
      </c>
      <c r="AJZ23" s="50">
        <f t="shared" ca="1" si="1068"/>
        <v>62366.024763577843</v>
      </c>
      <c r="AKA23" s="50">
        <f t="shared" ca="1" si="1069"/>
        <v>61997.990209969474</v>
      </c>
      <c r="AKB23" s="50">
        <f t="shared" ca="1" si="1070"/>
        <v>57411.731292970973</v>
      </c>
      <c r="AKC23" s="50">
        <f t="shared" ca="1" si="1071"/>
        <v>59472.009574717151</v>
      </c>
      <c r="AKD23" s="50">
        <f t="shared" ca="1" si="1072"/>
        <v>57797.068867358052</v>
      </c>
      <c r="AKE23" s="50">
        <f t="shared" ca="1" si="1073"/>
        <v>54010.284297479149</v>
      </c>
      <c r="AKF23" s="50">
        <f t="shared" ca="1" si="1074"/>
        <v>55299.254260215137</v>
      </c>
      <c r="AKG23" s="50">
        <f t="shared" ca="1" si="1075"/>
        <v>57898.694710373798</v>
      </c>
      <c r="AKH23" s="50">
        <f t="shared" ca="1" si="1076"/>
        <v>59399.690178734098</v>
      </c>
      <c r="AKI23" s="50">
        <f t="shared" ca="1" si="1077"/>
        <v>59240.095963954256</v>
      </c>
      <c r="AKJ23" s="50">
        <f t="shared" ca="1" si="1078"/>
        <v>64929.181596135539</v>
      </c>
      <c r="AKK23" s="50">
        <f t="shared" ca="1" si="1079"/>
        <v>59208.490028727771</v>
      </c>
      <c r="AKL23" s="50">
        <f t="shared" ca="1" si="1080"/>
        <v>61894.654107222792</v>
      </c>
      <c r="AKM23" s="50">
        <f t="shared" ca="1" si="1081"/>
        <v>57151.646995534189</v>
      </c>
      <c r="AKN23" s="50">
        <f t="shared" ca="1" si="1082"/>
        <v>59612.254279659093</v>
      </c>
      <c r="AKO23" s="50">
        <f t="shared" ca="1" si="1083"/>
        <v>57821.459339781548</v>
      </c>
      <c r="AKP23" s="50">
        <f t="shared" ca="1" si="1084"/>
        <v>63127.765744838092</v>
      </c>
      <c r="AKQ23" s="50">
        <f t="shared" ca="1" si="1085"/>
        <v>51176.227065432045</v>
      </c>
      <c r="AKR23" s="50">
        <f t="shared" ca="1" si="1086"/>
        <v>49238.236543298503</v>
      </c>
      <c r="AKS23" s="50">
        <f t="shared" ca="1" si="1087"/>
        <v>54563.21883074208</v>
      </c>
      <c r="AKT23" s="50">
        <f t="shared" ca="1" si="1088"/>
        <v>54407.95562541276</v>
      </c>
      <c r="AKU23" s="50">
        <f t="shared" ca="1" si="1089"/>
        <v>55690.82662511606</v>
      </c>
      <c r="AKV23" s="50">
        <f t="shared" ca="1" si="1090"/>
        <v>53896.884690745595</v>
      </c>
      <c r="AKW23" s="50">
        <f t="shared" ca="1" si="1091"/>
        <v>64671.962714789595</v>
      </c>
      <c r="AKX23" s="50">
        <f t="shared" ca="1" si="1092"/>
        <v>68947.143382814058</v>
      </c>
      <c r="AKY23" s="50">
        <f t="shared" ca="1" si="1093"/>
        <v>54617.607979902547</v>
      </c>
      <c r="AKZ23" s="50">
        <f t="shared" ca="1" si="1094"/>
        <v>57882.910141491426</v>
      </c>
      <c r="ALA23" s="50">
        <f t="shared" ca="1" si="1095"/>
        <v>59814.188581039612</v>
      </c>
      <c r="ALB23" s="50">
        <f t="shared" ca="1" si="1096"/>
        <v>58645.833407199141</v>
      </c>
      <c r="ALC23" s="50">
        <f t="shared" ca="1" si="1097"/>
        <v>58324.815557007358</v>
      </c>
      <c r="ALD23" s="50">
        <f t="shared" ca="1" si="1098"/>
        <v>62396.978358267494</v>
      </c>
      <c r="ALE23" s="50">
        <f t="shared" ca="1" si="1099"/>
        <v>53480.545272150499</v>
      </c>
      <c r="ALF23" s="50">
        <f t="shared" ca="1" si="1100"/>
        <v>53416.668816176105</v>
      </c>
      <c r="ALG23" s="50">
        <f t="shared" ca="1" si="1101"/>
        <v>54708.442946353636</v>
      </c>
      <c r="ALH23" s="50">
        <f t="shared" ca="1" si="1102"/>
        <v>51655.692170256065</v>
      </c>
      <c r="ALI23" s="50">
        <f t="shared" ca="1" si="1103"/>
        <v>52703.36005668524</v>
      </c>
      <c r="ALJ23" s="50">
        <f t="shared" ca="1" si="1104"/>
        <v>62859.202821708444</v>
      </c>
      <c r="ALK23" s="50">
        <f t="shared" ca="1" si="1105"/>
        <v>67484.771775235393</v>
      </c>
      <c r="ALL23" s="50">
        <f t="shared" ca="1" si="1106"/>
        <v>60088.814159182184</v>
      </c>
      <c r="ALM23" s="50">
        <f t="shared" ca="1" si="1107"/>
        <v>52075.952003653103</v>
      </c>
      <c r="ALN23" s="50">
        <f t="shared" ca="1" si="1108"/>
        <v>56068.357374038103</v>
      </c>
      <c r="ALO23" s="50">
        <f t="shared" ca="1" si="1109"/>
        <v>73210.886988022277</v>
      </c>
      <c r="ALP23" s="50">
        <f t="shared" ca="1" si="1110"/>
        <v>49857.444882206793</v>
      </c>
      <c r="ALQ23" s="50">
        <f t="shared" ca="1" si="1111"/>
        <v>53663.874380904046</v>
      </c>
      <c r="ALR23" s="50">
        <f t="shared" ca="1" si="1112"/>
        <v>57893.631512889348</v>
      </c>
    </row>
    <row r="24" spans="1:1006" s="35" customFormat="1" x14ac:dyDescent="0.2">
      <c r="F24" s="32">
        <f t="shared" si="1114"/>
        <v>5</v>
      </c>
      <c r="G24" s="50">
        <f t="shared" ca="1" si="1115"/>
        <v>54632.387508946937</v>
      </c>
      <c r="H24" s="50">
        <f t="shared" ca="1" si="1113"/>
        <v>51635.655119730138</v>
      </c>
      <c r="I24" s="50">
        <f t="shared" ca="1" si="1113"/>
        <v>54502.816921139507</v>
      </c>
      <c r="J24" s="50">
        <f t="shared" ca="1" si="1113"/>
        <v>56819.938988902904</v>
      </c>
      <c r="K24" s="50">
        <f t="shared" ca="1" si="1113"/>
        <v>67412.572633640273</v>
      </c>
      <c r="L24" s="50">
        <f t="shared" ca="1" si="118"/>
        <v>65112.728428110524</v>
      </c>
      <c r="M24" s="50">
        <f t="shared" ca="1" si="119"/>
        <v>58119.155245946233</v>
      </c>
      <c r="N24" s="50">
        <f t="shared" ca="1" si="120"/>
        <v>62687.813392326461</v>
      </c>
      <c r="O24" s="50">
        <f t="shared" ca="1" si="121"/>
        <v>54952.33063233232</v>
      </c>
      <c r="P24" s="50">
        <f t="shared" ca="1" si="122"/>
        <v>66865.12496899406</v>
      </c>
      <c r="Q24" s="50">
        <f t="shared" ca="1" si="123"/>
        <v>55252.014396182109</v>
      </c>
      <c r="R24" s="50">
        <f t="shared" ca="1" si="124"/>
        <v>66262.139883053096</v>
      </c>
      <c r="S24" s="50">
        <f t="shared" ca="1" si="125"/>
        <v>61242.213901993215</v>
      </c>
      <c r="T24" s="50">
        <f t="shared" ca="1" si="126"/>
        <v>64186.122119688873</v>
      </c>
      <c r="U24" s="50">
        <f t="shared" ca="1" si="127"/>
        <v>54176.61634083448</v>
      </c>
      <c r="V24" s="50">
        <f t="shared" ca="1" si="128"/>
        <v>65489.743542441654</v>
      </c>
      <c r="W24" s="50">
        <f t="shared" ca="1" si="129"/>
        <v>54529.105393511774</v>
      </c>
      <c r="X24" s="50">
        <f t="shared" ca="1" si="130"/>
        <v>66050.044466727253</v>
      </c>
      <c r="Y24" s="50">
        <f t="shared" ca="1" si="131"/>
        <v>51478.880923396027</v>
      </c>
      <c r="Z24" s="50">
        <f t="shared" ca="1" si="132"/>
        <v>59323.322610504954</v>
      </c>
      <c r="AA24" s="50">
        <f t="shared" ca="1" si="133"/>
        <v>61227.050400637949</v>
      </c>
      <c r="AB24" s="50">
        <f t="shared" ca="1" si="134"/>
        <v>54787.081916197851</v>
      </c>
      <c r="AC24" s="50">
        <f t="shared" ca="1" si="135"/>
        <v>53805.892895291661</v>
      </c>
      <c r="AD24" s="50">
        <f t="shared" ca="1" si="136"/>
        <v>60364.004534501706</v>
      </c>
      <c r="AE24" s="50">
        <f t="shared" ca="1" si="137"/>
        <v>62786.528446931901</v>
      </c>
      <c r="AF24" s="50">
        <f t="shared" ca="1" si="138"/>
        <v>51828.280026612512</v>
      </c>
      <c r="AG24" s="50">
        <f t="shared" ca="1" si="139"/>
        <v>61312.90274797412</v>
      </c>
      <c r="AH24" s="50">
        <f t="shared" ca="1" si="140"/>
        <v>56600.256376270081</v>
      </c>
      <c r="AI24" s="50">
        <f t="shared" ca="1" si="141"/>
        <v>61769.416726901844</v>
      </c>
      <c r="AJ24" s="50">
        <f t="shared" ca="1" si="142"/>
        <v>59624.768700819252</v>
      </c>
      <c r="AK24" s="50">
        <f t="shared" ca="1" si="143"/>
        <v>59791.423932509955</v>
      </c>
      <c r="AL24" s="50">
        <f t="shared" ca="1" si="144"/>
        <v>58421.725816949445</v>
      </c>
      <c r="AM24" s="50">
        <f t="shared" ca="1" si="145"/>
        <v>54876.478995694837</v>
      </c>
      <c r="AN24" s="50">
        <f t="shared" ca="1" si="146"/>
        <v>50659.781771586066</v>
      </c>
      <c r="AO24" s="50">
        <f t="shared" ca="1" si="147"/>
        <v>62081.144522306982</v>
      </c>
      <c r="AP24" s="50">
        <f t="shared" ca="1" si="148"/>
        <v>60356.064863399959</v>
      </c>
      <c r="AQ24" s="50">
        <f t="shared" ca="1" si="149"/>
        <v>56617.319081212394</v>
      </c>
      <c r="AR24" s="50">
        <f t="shared" ca="1" si="150"/>
        <v>65717.597348517942</v>
      </c>
      <c r="AS24" s="50">
        <f t="shared" ca="1" si="151"/>
        <v>58354.22094359839</v>
      </c>
      <c r="AT24" s="50">
        <f t="shared" ca="1" si="152"/>
        <v>56664.319894729662</v>
      </c>
      <c r="AU24" s="50">
        <f t="shared" ca="1" si="153"/>
        <v>59695.087095240531</v>
      </c>
      <c r="AV24" s="50">
        <f t="shared" ca="1" si="154"/>
        <v>65642.594689821577</v>
      </c>
      <c r="AW24" s="50">
        <f t="shared" ca="1" si="155"/>
        <v>60174.187303984618</v>
      </c>
      <c r="AX24" s="50">
        <f t="shared" ca="1" si="156"/>
        <v>65697.019908069633</v>
      </c>
      <c r="AY24" s="50">
        <f t="shared" ca="1" si="157"/>
        <v>54622.861049249019</v>
      </c>
      <c r="AZ24" s="50">
        <f t="shared" ca="1" si="158"/>
        <v>53028.311969713272</v>
      </c>
      <c r="BA24" s="50">
        <f t="shared" ca="1" si="159"/>
        <v>61977.968073115706</v>
      </c>
      <c r="BB24" s="50">
        <f t="shared" ca="1" si="160"/>
        <v>60880.145648203754</v>
      </c>
      <c r="BC24" s="50">
        <f t="shared" ca="1" si="161"/>
        <v>57957.519503584779</v>
      </c>
      <c r="BD24" s="50">
        <f t="shared" ca="1" si="162"/>
        <v>61743.913254341234</v>
      </c>
      <c r="BE24" s="50">
        <f t="shared" ca="1" si="163"/>
        <v>57386.425783148901</v>
      </c>
      <c r="BF24" s="50">
        <f t="shared" ca="1" si="164"/>
        <v>60711.210630446782</v>
      </c>
      <c r="BG24" s="50">
        <f t="shared" ca="1" si="165"/>
        <v>52080.45090114131</v>
      </c>
      <c r="BH24" s="50">
        <f t="shared" ca="1" si="166"/>
        <v>59610.829789328949</v>
      </c>
      <c r="BI24" s="50">
        <f t="shared" ca="1" si="167"/>
        <v>67069.602705346144</v>
      </c>
      <c r="BJ24" s="50">
        <f t="shared" ca="1" si="168"/>
        <v>64211.476433945354</v>
      </c>
      <c r="BK24" s="50">
        <f t="shared" ca="1" si="169"/>
        <v>53695.817317096087</v>
      </c>
      <c r="BL24" s="50">
        <f t="shared" ca="1" si="170"/>
        <v>56600.082513735644</v>
      </c>
      <c r="BM24" s="50">
        <f t="shared" ca="1" si="171"/>
        <v>65120.996921726051</v>
      </c>
      <c r="BN24" s="50">
        <f t="shared" ca="1" si="172"/>
        <v>58606.707217310868</v>
      </c>
      <c r="BO24" s="50">
        <f t="shared" ca="1" si="173"/>
        <v>59264.585384811362</v>
      </c>
      <c r="BP24" s="50">
        <f t="shared" ca="1" si="174"/>
        <v>61945.687523660315</v>
      </c>
      <c r="BQ24" s="50">
        <f t="shared" ca="1" si="175"/>
        <v>50812.079361599775</v>
      </c>
      <c r="BR24" s="50">
        <f t="shared" ca="1" si="176"/>
        <v>53715.822856483624</v>
      </c>
      <c r="BS24" s="50">
        <f t="shared" ca="1" si="177"/>
        <v>48577.013902302686</v>
      </c>
      <c r="BT24" s="50">
        <f t="shared" ca="1" si="178"/>
        <v>58034.490051819819</v>
      </c>
      <c r="BU24" s="50">
        <f t="shared" ca="1" si="179"/>
        <v>59539.411713092806</v>
      </c>
      <c r="BV24" s="50">
        <f t="shared" ca="1" si="180"/>
        <v>52703.970231055748</v>
      </c>
      <c r="BW24" s="50">
        <f t="shared" ca="1" si="181"/>
        <v>55015.855579837167</v>
      </c>
      <c r="BX24" s="50">
        <f t="shared" ca="1" si="182"/>
        <v>60533.479506891912</v>
      </c>
      <c r="BY24" s="50">
        <f t="shared" ca="1" si="183"/>
        <v>60316.157660728735</v>
      </c>
      <c r="BZ24" s="50">
        <f t="shared" ca="1" si="184"/>
        <v>53563.604252469893</v>
      </c>
      <c r="CA24" s="50">
        <f t="shared" ca="1" si="185"/>
        <v>56563.17093508126</v>
      </c>
      <c r="CB24" s="50">
        <f t="shared" ca="1" si="186"/>
        <v>57236.241306404052</v>
      </c>
      <c r="CC24" s="50">
        <f t="shared" ca="1" si="187"/>
        <v>60790.847874471998</v>
      </c>
      <c r="CD24" s="50">
        <f t="shared" ca="1" si="188"/>
        <v>56090.580792426212</v>
      </c>
      <c r="CE24" s="50">
        <f t="shared" ca="1" si="189"/>
        <v>46921.142626004308</v>
      </c>
      <c r="CF24" s="50">
        <f t="shared" ca="1" si="190"/>
        <v>65600.333643575315</v>
      </c>
      <c r="CG24" s="50">
        <f t="shared" ca="1" si="191"/>
        <v>61496.866232259141</v>
      </c>
      <c r="CH24" s="50">
        <f t="shared" ca="1" si="192"/>
        <v>46085.765520120993</v>
      </c>
      <c r="CI24" s="50">
        <f t="shared" ca="1" si="193"/>
        <v>57662.897132632352</v>
      </c>
      <c r="CJ24" s="50">
        <f t="shared" ca="1" si="194"/>
        <v>54307.408012048028</v>
      </c>
      <c r="CK24" s="50">
        <f t="shared" ca="1" si="195"/>
        <v>61255.698783931461</v>
      </c>
      <c r="CL24" s="50">
        <f t="shared" ca="1" si="196"/>
        <v>65741.602497222411</v>
      </c>
      <c r="CM24" s="50">
        <f t="shared" ca="1" si="197"/>
        <v>61611.509817810074</v>
      </c>
      <c r="CN24" s="50">
        <f t="shared" ca="1" si="198"/>
        <v>56192.744941477424</v>
      </c>
      <c r="CO24" s="50">
        <f t="shared" ca="1" si="199"/>
        <v>60361.460368730324</v>
      </c>
      <c r="CP24" s="50">
        <f t="shared" ca="1" si="200"/>
        <v>53409.171740168407</v>
      </c>
      <c r="CQ24" s="50">
        <f t="shared" ca="1" si="201"/>
        <v>56307.283888578371</v>
      </c>
      <c r="CR24" s="50">
        <f t="shared" ca="1" si="202"/>
        <v>60285.838408389696</v>
      </c>
      <c r="CS24" s="50">
        <f t="shared" ca="1" si="203"/>
        <v>61998.798855935493</v>
      </c>
      <c r="CT24" s="50">
        <f t="shared" ca="1" si="204"/>
        <v>60112.899193135672</v>
      </c>
      <c r="CU24" s="50">
        <f t="shared" ca="1" si="205"/>
        <v>59761.423296042245</v>
      </c>
      <c r="CV24" s="50">
        <f t="shared" ca="1" si="206"/>
        <v>45671.062489317243</v>
      </c>
      <c r="CW24" s="50">
        <f t="shared" ca="1" si="207"/>
        <v>51963.168885724997</v>
      </c>
      <c r="CX24" s="50">
        <f t="shared" ca="1" si="208"/>
        <v>69132.644138414107</v>
      </c>
      <c r="CY24" s="50">
        <f t="shared" ca="1" si="209"/>
        <v>59469.838634030413</v>
      </c>
      <c r="CZ24" s="50">
        <f t="shared" ca="1" si="210"/>
        <v>65218.46690350971</v>
      </c>
      <c r="DA24" s="50">
        <f t="shared" ca="1" si="211"/>
        <v>56090.063349111726</v>
      </c>
      <c r="DB24" s="50">
        <f t="shared" ca="1" si="212"/>
        <v>65850.938916218453</v>
      </c>
      <c r="DC24" s="50">
        <f t="shared" ca="1" si="213"/>
        <v>59244.417685546105</v>
      </c>
      <c r="DD24" s="50">
        <f t="shared" ca="1" si="214"/>
        <v>51681.895160677937</v>
      </c>
      <c r="DE24" s="50">
        <f t="shared" ca="1" si="215"/>
        <v>59705.173475247248</v>
      </c>
      <c r="DF24" s="50">
        <f t="shared" ca="1" si="216"/>
        <v>61655.370138317849</v>
      </c>
      <c r="DG24" s="50">
        <f t="shared" ca="1" si="217"/>
        <v>53227.887330051148</v>
      </c>
      <c r="DH24" s="50">
        <f t="shared" ca="1" si="218"/>
        <v>64376.226413331024</v>
      </c>
      <c r="DI24" s="50">
        <f t="shared" ca="1" si="219"/>
        <v>49558.318287317765</v>
      </c>
      <c r="DJ24" s="50">
        <f t="shared" ca="1" si="220"/>
        <v>66304.059435224466</v>
      </c>
      <c r="DK24" s="50">
        <f t="shared" ca="1" si="221"/>
        <v>52370.632900467885</v>
      </c>
      <c r="DL24" s="50">
        <f t="shared" ca="1" si="222"/>
        <v>57119.985926487607</v>
      </c>
      <c r="DM24" s="50">
        <f t="shared" ca="1" si="223"/>
        <v>65215.614387085021</v>
      </c>
      <c r="DN24" s="50">
        <f t="shared" ca="1" si="224"/>
        <v>53161.52084707738</v>
      </c>
      <c r="DO24" s="50">
        <f t="shared" ca="1" si="225"/>
        <v>60176.817176647557</v>
      </c>
      <c r="DP24" s="50">
        <f t="shared" ca="1" si="226"/>
        <v>59554.121103423262</v>
      </c>
      <c r="DQ24" s="50">
        <f t="shared" ca="1" si="227"/>
        <v>55173.314155545508</v>
      </c>
      <c r="DR24" s="50">
        <f t="shared" ca="1" si="228"/>
        <v>49105.22784715765</v>
      </c>
      <c r="DS24" s="50">
        <f t="shared" ca="1" si="229"/>
        <v>56350.388766218384</v>
      </c>
      <c r="DT24" s="50">
        <f t="shared" ca="1" si="230"/>
        <v>65812.460647101107</v>
      </c>
      <c r="DU24" s="50">
        <f t="shared" ca="1" si="231"/>
        <v>61730.934251709565</v>
      </c>
      <c r="DV24" s="50">
        <f t="shared" ca="1" si="232"/>
        <v>52362.17429812099</v>
      </c>
      <c r="DW24" s="50">
        <f t="shared" ca="1" si="233"/>
        <v>54118.604427575818</v>
      </c>
      <c r="DX24" s="50">
        <f t="shared" ca="1" si="234"/>
        <v>56798.385983846085</v>
      </c>
      <c r="DY24" s="50">
        <f t="shared" ca="1" si="235"/>
        <v>59093.591519525224</v>
      </c>
      <c r="DZ24" s="50">
        <f t="shared" ca="1" si="236"/>
        <v>64223.447091744893</v>
      </c>
      <c r="EA24" s="50">
        <f t="shared" ca="1" si="237"/>
        <v>74893.121060429039</v>
      </c>
      <c r="EB24" s="50">
        <f t="shared" ca="1" si="238"/>
        <v>64721.179747164919</v>
      </c>
      <c r="EC24" s="50">
        <f t="shared" ca="1" si="239"/>
        <v>58669.251866774393</v>
      </c>
      <c r="ED24" s="50">
        <f t="shared" ca="1" si="240"/>
        <v>62590.334097218634</v>
      </c>
      <c r="EE24" s="50">
        <f t="shared" ca="1" si="241"/>
        <v>55865.177100678688</v>
      </c>
      <c r="EF24" s="50">
        <f t="shared" ca="1" si="242"/>
        <v>51612.424061571117</v>
      </c>
      <c r="EG24" s="50">
        <f t="shared" ca="1" si="243"/>
        <v>62511.507083197583</v>
      </c>
      <c r="EH24" s="50">
        <f t="shared" ca="1" si="244"/>
        <v>56205.049413825203</v>
      </c>
      <c r="EI24" s="50">
        <f t="shared" ca="1" si="245"/>
        <v>56465.945202613613</v>
      </c>
      <c r="EJ24" s="50">
        <f t="shared" ca="1" si="246"/>
        <v>56528.305407692678</v>
      </c>
      <c r="EK24" s="50">
        <f t="shared" ca="1" si="247"/>
        <v>57082.221707720732</v>
      </c>
      <c r="EL24" s="50">
        <f t="shared" ca="1" si="248"/>
        <v>63141.391785015148</v>
      </c>
      <c r="EM24" s="50">
        <f t="shared" ca="1" si="249"/>
        <v>53701.91574618224</v>
      </c>
      <c r="EN24" s="50">
        <f t="shared" ca="1" si="250"/>
        <v>63435.367739818423</v>
      </c>
      <c r="EO24" s="50">
        <f t="shared" ca="1" si="251"/>
        <v>59132.238401153823</v>
      </c>
      <c r="EP24" s="50">
        <f t="shared" ca="1" si="252"/>
        <v>59207.40912867798</v>
      </c>
      <c r="EQ24" s="50">
        <f t="shared" ca="1" si="253"/>
        <v>56600.627595287624</v>
      </c>
      <c r="ER24" s="50">
        <f t="shared" ca="1" si="254"/>
        <v>63574.803455806796</v>
      </c>
      <c r="ES24" s="50">
        <f t="shared" ca="1" si="255"/>
        <v>51940.003163028014</v>
      </c>
      <c r="ET24" s="50">
        <f t="shared" ca="1" si="256"/>
        <v>54572.983061955769</v>
      </c>
      <c r="EU24" s="50">
        <f t="shared" ca="1" si="257"/>
        <v>62610.246253596189</v>
      </c>
      <c r="EV24" s="50">
        <f t="shared" ca="1" si="258"/>
        <v>56550.873524448565</v>
      </c>
      <c r="EW24" s="50">
        <f t="shared" ca="1" si="259"/>
        <v>61514.189473967584</v>
      </c>
      <c r="EX24" s="50">
        <f t="shared" ca="1" si="260"/>
        <v>61388.306416963576</v>
      </c>
      <c r="EY24" s="50">
        <f t="shared" ca="1" si="261"/>
        <v>58614.055793178741</v>
      </c>
      <c r="EZ24" s="50">
        <f t="shared" ca="1" si="262"/>
        <v>55887.706525371177</v>
      </c>
      <c r="FA24" s="50">
        <f t="shared" ca="1" si="263"/>
        <v>51335.465759723789</v>
      </c>
      <c r="FB24" s="50">
        <f t="shared" ca="1" si="264"/>
        <v>60085.372408030409</v>
      </c>
      <c r="FC24" s="50">
        <f t="shared" ca="1" si="265"/>
        <v>56895.496871137591</v>
      </c>
      <c r="FD24" s="50">
        <f t="shared" ca="1" si="266"/>
        <v>57286.301186284036</v>
      </c>
      <c r="FE24" s="50">
        <f t="shared" ca="1" si="267"/>
        <v>62561.308683058764</v>
      </c>
      <c r="FF24" s="50">
        <f t="shared" ca="1" si="268"/>
        <v>53801.317424096807</v>
      </c>
      <c r="FG24" s="50">
        <f t="shared" ca="1" si="269"/>
        <v>51169.653526463742</v>
      </c>
      <c r="FH24" s="50">
        <f t="shared" ca="1" si="270"/>
        <v>58702.151629648906</v>
      </c>
      <c r="FI24" s="50">
        <f t="shared" ca="1" si="271"/>
        <v>72314.778857523546</v>
      </c>
      <c r="FJ24" s="50">
        <f t="shared" ca="1" si="272"/>
        <v>54708.308125629177</v>
      </c>
      <c r="FK24" s="50">
        <f t="shared" ca="1" si="273"/>
        <v>64418.405184621239</v>
      </c>
      <c r="FL24" s="50">
        <f t="shared" ca="1" si="274"/>
        <v>52260.499962813483</v>
      </c>
      <c r="FM24" s="50">
        <f t="shared" ca="1" si="275"/>
        <v>59900.272364239056</v>
      </c>
      <c r="FN24" s="50">
        <f t="shared" ca="1" si="276"/>
        <v>52462.081564709173</v>
      </c>
      <c r="FO24" s="50">
        <f t="shared" ca="1" si="277"/>
        <v>67369.260275490858</v>
      </c>
      <c r="FP24" s="50">
        <f t="shared" ca="1" si="278"/>
        <v>66000.135545343641</v>
      </c>
      <c r="FQ24" s="50">
        <f t="shared" ca="1" si="279"/>
        <v>62317.529516686533</v>
      </c>
      <c r="FR24" s="50">
        <f t="shared" ca="1" si="280"/>
        <v>56990.846386581907</v>
      </c>
      <c r="FS24" s="50">
        <f t="shared" ca="1" si="281"/>
        <v>58611.94907683714</v>
      </c>
      <c r="FT24" s="50">
        <f t="shared" ca="1" si="282"/>
        <v>52608.662763503045</v>
      </c>
      <c r="FU24" s="50">
        <f t="shared" ca="1" si="283"/>
        <v>58138.906102071604</v>
      </c>
      <c r="FV24" s="50">
        <f t="shared" ca="1" si="284"/>
        <v>48837.277425215187</v>
      </c>
      <c r="FW24" s="50">
        <f t="shared" ca="1" si="285"/>
        <v>68699.746674098875</v>
      </c>
      <c r="FX24" s="50">
        <f t="shared" ca="1" si="286"/>
        <v>64478.405902273691</v>
      </c>
      <c r="FY24" s="50">
        <f t="shared" ca="1" si="287"/>
        <v>65211.581319241697</v>
      </c>
      <c r="FZ24" s="50">
        <f t="shared" ca="1" si="288"/>
        <v>63213.202288842847</v>
      </c>
      <c r="GA24" s="50">
        <f t="shared" ca="1" si="289"/>
        <v>58424.041714721272</v>
      </c>
      <c r="GB24" s="50">
        <f t="shared" ca="1" si="290"/>
        <v>55265.573995559556</v>
      </c>
      <c r="GC24" s="50">
        <f t="shared" ca="1" si="291"/>
        <v>64081.701009371536</v>
      </c>
      <c r="GD24" s="50">
        <f t="shared" ca="1" si="292"/>
        <v>52065.778366425649</v>
      </c>
      <c r="GE24" s="50">
        <f t="shared" ca="1" si="293"/>
        <v>65545.498191562059</v>
      </c>
      <c r="GF24" s="50">
        <f t="shared" ca="1" si="294"/>
        <v>57801.513292712239</v>
      </c>
      <c r="GG24" s="50">
        <f t="shared" ca="1" si="295"/>
        <v>53393.795269770337</v>
      </c>
      <c r="GH24" s="50">
        <f t="shared" ca="1" si="296"/>
        <v>52000.755424138144</v>
      </c>
      <c r="GI24" s="50">
        <f t="shared" ca="1" si="297"/>
        <v>52038.611606394246</v>
      </c>
      <c r="GJ24" s="50">
        <f t="shared" ca="1" si="298"/>
        <v>56473.561232602471</v>
      </c>
      <c r="GK24" s="50">
        <f t="shared" ca="1" si="299"/>
        <v>50782.804034009641</v>
      </c>
      <c r="GL24" s="50">
        <f t="shared" ca="1" si="300"/>
        <v>53426.846765979681</v>
      </c>
      <c r="GM24" s="50">
        <f t="shared" ca="1" si="301"/>
        <v>43411.51665242383</v>
      </c>
      <c r="GN24" s="50">
        <f t="shared" ca="1" si="302"/>
        <v>58253.842973136183</v>
      </c>
      <c r="GO24" s="50">
        <f t="shared" ca="1" si="303"/>
        <v>69400.398359291416</v>
      </c>
      <c r="GP24" s="50">
        <f t="shared" ca="1" si="304"/>
        <v>58569.965529356574</v>
      </c>
      <c r="GQ24" s="50">
        <f t="shared" ca="1" si="305"/>
        <v>63539.025097300648</v>
      </c>
      <c r="GR24" s="50">
        <f t="shared" ca="1" si="306"/>
        <v>62891.717221780847</v>
      </c>
      <c r="GS24" s="50">
        <f t="shared" ca="1" si="307"/>
        <v>55007.200732962301</v>
      </c>
      <c r="GT24" s="50">
        <f t="shared" ca="1" si="308"/>
        <v>50768.598788392919</v>
      </c>
      <c r="GU24" s="50">
        <f t="shared" ca="1" si="309"/>
        <v>63122.479420569041</v>
      </c>
      <c r="GV24" s="50">
        <f t="shared" ca="1" si="310"/>
        <v>62695.917875504325</v>
      </c>
      <c r="GW24" s="50">
        <f t="shared" ca="1" si="311"/>
        <v>60659.319233935421</v>
      </c>
      <c r="GX24" s="50">
        <f t="shared" ca="1" si="312"/>
        <v>57143.433623801546</v>
      </c>
      <c r="GY24" s="50">
        <f t="shared" ca="1" si="313"/>
        <v>59606.973369063613</v>
      </c>
      <c r="GZ24" s="50">
        <f t="shared" ca="1" si="314"/>
        <v>64373.241013468069</v>
      </c>
      <c r="HA24" s="50">
        <f t="shared" ca="1" si="315"/>
        <v>57479.385839069357</v>
      </c>
      <c r="HB24" s="50">
        <f t="shared" ca="1" si="316"/>
        <v>49808.607173536591</v>
      </c>
      <c r="HC24" s="50">
        <f t="shared" ca="1" si="317"/>
        <v>64209.162392804479</v>
      </c>
      <c r="HD24" s="50">
        <f t="shared" ca="1" si="318"/>
        <v>46891.551112676621</v>
      </c>
      <c r="HE24" s="50">
        <f t="shared" ca="1" si="319"/>
        <v>49771.931404319716</v>
      </c>
      <c r="HF24" s="50">
        <f t="shared" ca="1" si="320"/>
        <v>52558.385630059129</v>
      </c>
      <c r="HG24" s="50">
        <f t="shared" ca="1" si="321"/>
        <v>61275.409574595673</v>
      </c>
      <c r="HH24" s="50">
        <f t="shared" ca="1" si="322"/>
        <v>70915.186136520875</v>
      </c>
      <c r="HI24" s="50">
        <f t="shared" ca="1" si="323"/>
        <v>59040.086389686643</v>
      </c>
      <c r="HJ24" s="50">
        <f t="shared" ca="1" si="324"/>
        <v>55923.645042223798</v>
      </c>
      <c r="HK24" s="50">
        <f t="shared" ca="1" si="325"/>
        <v>63156.583983030294</v>
      </c>
      <c r="HL24" s="50">
        <f t="shared" ca="1" si="326"/>
        <v>61066.840443569599</v>
      </c>
      <c r="HM24" s="50">
        <f t="shared" ca="1" si="327"/>
        <v>61958.130082164156</v>
      </c>
      <c r="HN24" s="50">
        <f t="shared" ca="1" si="328"/>
        <v>58388.932542253446</v>
      </c>
      <c r="HO24" s="50">
        <f t="shared" ca="1" si="329"/>
        <v>68176.54964978926</v>
      </c>
      <c r="HP24" s="50">
        <f t="shared" ca="1" si="330"/>
        <v>62365.77286842731</v>
      </c>
      <c r="HQ24" s="50">
        <f t="shared" ca="1" si="331"/>
        <v>58787.5798038629</v>
      </c>
      <c r="HR24" s="50">
        <f t="shared" ca="1" si="332"/>
        <v>65057.731289147712</v>
      </c>
      <c r="HS24" s="50">
        <f t="shared" ca="1" si="333"/>
        <v>60617.339435699236</v>
      </c>
      <c r="HT24" s="50">
        <f t="shared" ca="1" si="334"/>
        <v>51626.27398256537</v>
      </c>
      <c r="HU24" s="50">
        <f t="shared" ca="1" si="335"/>
        <v>59372.279076859588</v>
      </c>
      <c r="HV24" s="50">
        <f t="shared" ca="1" si="336"/>
        <v>53025.486973356827</v>
      </c>
      <c r="HW24" s="50">
        <f t="shared" ca="1" si="337"/>
        <v>56045.274327692678</v>
      </c>
      <c r="HX24" s="50">
        <f t="shared" ca="1" si="338"/>
        <v>64876.311130382863</v>
      </c>
      <c r="HY24" s="50">
        <f t="shared" ca="1" si="339"/>
        <v>52435.06655268446</v>
      </c>
      <c r="HZ24" s="50">
        <f t="shared" ca="1" si="340"/>
        <v>65048.6972476316</v>
      </c>
      <c r="IA24" s="50">
        <f t="shared" ca="1" si="341"/>
        <v>57043.397000331817</v>
      </c>
      <c r="IB24" s="50">
        <f t="shared" ca="1" si="342"/>
        <v>50916.28916806155</v>
      </c>
      <c r="IC24" s="50">
        <f t="shared" ca="1" si="343"/>
        <v>69035.294118274629</v>
      </c>
      <c r="ID24" s="50">
        <f t="shared" ca="1" si="344"/>
        <v>67618.832753469353</v>
      </c>
      <c r="IE24" s="50">
        <f t="shared" ca="1" si="345"/>
        <v>62525.343075544966</v>
      </c>
      <c r="IF24" s="50">
        <f t="shared" ca="1" si="346"/>
        <v>50218.136711441817</v>
      </c>
      <c r="IG24" s="50">
        <f t="shared" ca="1" si="347"/>
        <v>64527.680934776799</v>
      </c>
      <c r="IH24" s="50">
        <f t="shared" ca="1" si="348"/>
        <v>59406.393514110488</v>
      </c>
      <c r="II24" s="50">
        <f t="shared" ca="1" si="349"/>
        <v>60908.932990097841</v>
      </c>
      <c r="IJ24" s="50">
        <f t="shared" ca="1" si="350"/>
        <v>64154.254024834561</v>
      </c>
      <c r="IK24" s="50">
        <f t="shared" ca="1" si="351"/>
        <v>59064.71432988991</v>
      </c>
      <c r="IL24" s="50">
        <f t="shared" ca="1" si="352"/>
        <v>64851.212495446496</v>
      </c>
      <c r="IM24" s="50">
        <f t="shared" ca="1" si="353"/>
        <v>60019.2135394129</v>
      </c>
      <c r="IN24" s="50">
        <f t="shared" ca="1" si="354"/>
        <v>65422.486422217749</v>
      </c>
      <c r="IO24" s="50">
        <f t="shared" ca="1" si="355"/>
        <v>55633.255618586518</v>
      </c>
      <c r="IP24" s="50">
        <f t="shared" ca="1" si="356"/>
        <v>61861.257665958154</v>
      </c>
      <c r="IQ24" s="50">
        <f t="shared" ca="1" si="357"/>
        <v>54877.999888465056</v>
      </c>
      <c r="IR24" s="50">
        <f t="shared" ca="1" si="358"/>
        <v>53214.5833439497</v>
      </c>
      <c r="IS24" s="50">
        <f t="shared" ca="1" si="359"/>
        <v>61645.365823770226</v>
      </c>
      <c r="IT24" s="50">
        <f t="shared" ca="1" si="360"/>
        <v>55135.326236675835</v>
      </c>
      <c r="IU24" s="50">
        <f t="shared" ca="1" si="361"/>
        <v>57751.065540420168</v>
      </c>
      <c r="IV24" s="50">
        <f t="shared" ca="1" si="362"/>
        <v>57325.152256350746</v>
      </c>
      <c r="IW24" s="50">
        <f t="shared" ca="1" si="363"/>
        <v>47358.457289474711</v>
      </c>
      <c r="IX24" s="50">
        <f t="shared" ca="1" si="364"/>
        <v>62618.544611517362</v>
      </c>
      <c r="IY24" s="50">
        <f t="shared" ca="1" si="365"/>
        <v>57705.858319885425</v>
      </c>
      <c r="IZ24" s="50">
        <f t="shared" ca="1" si="366"/>
        <v>65605.636463979085</v>
      </c>
      <c r="JA24" s="50">
        <f t="shared" ca="1" si="367"/>
        <v>56604.186883451606</v>
      </c>
      <c r="JB24" s="50">
        <f t="shared" ca="1" si="368"/>
        <v>60280.845855826286</v>
      </c>
      <c r="JC24" s="50">
        <f t="shared" ca="1" si="369"/>
        <v>63566.454987179059</v>
      </c>
      <c r="JD24" s="50">
        <f t="shared" ca="1" si="370"/>
        <v>54205.788539264693</v>
      </c>
      <c r="JE24" s="50">
        <f t="shared" ca="1" si="371"/>
        <v>58948.5716699244</v>
      </c>
      <c r="JF24" s="50">
        <f t="shared" ca="1" si="372"/>
        <v>65424.39876159899</v>
      </c>
      <c r="JG24" s="50">
        <f t="shared" ca="1" si="373"/>
        <v>59358.229796051019</v>
      </c>
      <c r="JH24" s="50">
        <f t="shared" ca="1" si="374"/>
        <v>58954.124370866077</v>
      </c>
      <c r="JI24" s="50">
        <f t="shared" ca="1" si="375"/>
        <v>63894.180539391469</v>
      </c>
      <c r="JJ24" s="50">
        <f t="shared" ca="1" si="376"/>
        <v>57276.950393855157</v>
      </c>
      <c r="JK24" s="50">
        <f t="shared" ca="1" si="377"/>
        <v>54616.303294821148</v>
      </c>
      <c r="JL24" s="50">
        <f t="shared" ca="1" si="378"/>
        <v>56366.361558808399</v>
      </c>
      <c r="JM24" s="50">
        <f t="shared" ca="1" si="379"/>
        <v>49624.524673239204</v>
      </c>
      <c r="JN24" s="50">
        <f t="shared" ca="1" si="380"/>
        <v>60497.617638417294</v>
      </c>
      <c r="JO24" s="50">
        <f t="shared" ca="1" si="381"/>
        <v>57658.138602606145</v>
      </c>
      <c r="JP24" s="50">
        <f t="shared" ca="1" si="382"/>
        <v>52827.076542621231</v>
      </c>
      <c r="JQ24" s="50">
        <f t="shared" ca="1" si="383"/>
        <v>60743.882628568746</v>
      </c>
      <c r="JR24" s="50">
        <f t="shared" ca="1" si="384"/>
        <v>63790.035665136362</v>
      </c>
      <c r="JS24" s="50">
        <f t="shared" ca="1" si="385"/>
        <v>56861.914102712559</v>
      </c>
      <c r="JT24" s="50">
        <f t="shared" ca="1" si="386"/>
        <v>64083.401635890252</v>
      </c>
      <c r="JU24" s="50">
        <f t="shared" ca="1" si="387"/>
        <v>54163.647308166706</v>
      </c>
      <c r="JV24" s="50">
        <f t="shared" ca="1" si="388"/>
        <v>53204.762784329119</v>
      </c>
      <c r="JW24" s="50">
        <f t="shared" ca="1" si="389"/>
        <v>62970.623373175309</v>
      </c>
      <c r="JX24" s="50">
        <f t="shared" ca="1" si="390"/>
        <v>56308.923013281455</v>
      </c>
      <c r="JY24" s="50">
        <f t="shared" ca="1" si="391"/>
        <v>69448.543500056112</v>
      </c>
      <c r="JZ24" s="50">
        <f t="shared" ca="1" si="392"/>
        <v>52437.430540244124</v>
      </c>
      <c r="KA24" s="50">
        <f t="shared" ca="1" si="393"/>
        <v>60407.167549217542</v>
      </c>
      <c r="KB24" s="50">
        <f t="shared" ca="1" si="394"/>
        <v>57028.644831808633</v>
      </c>
      <c r="KC24" s="50">
        <f t="shared" ca="1" si="395"/>
        <v>59414.833984593221</v>
      </c>
      <c r="KD24" s="50">
        <f t="shared" ca="1" si="396"/>
        <v>52412.973786234594</v>
      </c>
      <c r="KE24" s="50">
        <f t="shared" ca="1" si="397"/>
        <v>54755.539469776311</v>
      </c>
      <c r="KF24" s="50">
        <f t="shared" ca="1" si="398"/>
        <v>59492.861181401582</v>
      </c>
      <c r="KG24" s="50">
        <f t="shared" ca="1" si="399"/>
        <v>59734.263992091481</v>
      </c>
      <c r="KH24" s="50">
        <f t="shared" ca="1" si="400"/>
        <v>62786.795934980961</v>
      </c>
      <c r="KI24" s="50">
        <f t="shared" ca="1" si="401"/>
        <v>58115.229263854264</v>
      </c>
      <c r="KJ24" s="50">
        <f t="shared" ca="1" si="402"/>
        <v>59843.818452975611</v>
      </c>
      <c r="KK24" s="50">
        <f t="shared" ca="1" si="403"/>
        <v>61855.833004498978</v>
      </c>
      <c r="KL24" s="50">
        <f t="shared" ca="1" si="404"/>
        <v>52985.15668114955</v>
      </c>
      <c r="KM24" s="50">
        <f t="shared" ca="1" si="405"/>
        <v>61940.061710157723</v>
      </c>
      <c r="KN24" s="50">
        <f t="shared" ca="1" si="406"/>
        <v>55572.095538628921</v>
      </c>
      <c r="KO24" s="50">
        <f t="shared" ca="1" si="407"/>
        <v>55008.274140723683</v>
      </c>
      <c r="KP24" s="50">
        <f t="shared" ca="1" si="408"/>
        <v>50958.51067433905</v>
      </c>
      <c r="KQ24" s="50">
        <f t="shared" ca="1" si="409"/>
        <v>66760.921173761075</v>
      </c>
      <c r="KR24" s="50">
        <f t="shared" ca="1" si="410"/>
        <v>55806.046067907781</v>
      </c>
      <c r="KS24" s="50">
        <f t="shared" ca="1" si="411"/>
        <v>47417.333375518545</v>
      </c>
      <c r="KT24" s="50">
        <f t="shared" ca="1" si="412"/>
        <v>55612.497126711918</v>
      </c>
      <c r="KU24" s="50">
        <f t="shared" ca="1" si="413"/>
        <v>58929.546229750151</v>
      </c>
      <c r="KV24" s="50">
        <f t="shared" ca="1" si="414"/>
        <v>61335.942544725469</v>
      </c>
      <c r="KW24" s="50">
        <f t="shared" ca="1" si="415"/>
        <v>52708.059197459297</v>
      </c>
      <c r="KX24" s="50">
        <f t="shared" ca="1" si="416"/>
        <v>61556.929718062347</v>
      </c>
      <c r="KY24" s="50">
        <f t="shared" ca="1" si="417"/>
        <v>58441.756523155964</v>
      </c>
      <c r="KZ24" s="50">
        <f t="shared" ca="1" si="418"/>
        <v>56174.939120683128</v>
      </c>
      <c r="LA24" s="50">
        <f t="shared" ca="1" si="419"/>
        <v>54268.004775717985</v>
      </c>
      <c r="LB24" s="50">
        <f t="shared" ca="1" si="420"/>
        <v>53759.9389961938</v>
      </c>
      <c r="LC24" s="50">
        <f t="shared" ca="1" si="421"/>
        <v>58515.477681837488</v>
      </c>
      <c r="LD24" s="50">
        <f t="shared" ca="1" si="422"/>
        <v>53831.723182187699</v>
      </c>
      <c r="LE24" s="50">
        <f t="shared" ca="1" si="423"/>
        <v>75202.969242258681</v>
      </c>
      <c r="LF24" s="50">
        <f t="shared" ca="1" si="424"/>
        <v>54120.5330039767</v>
      </c>
      <c r="LG24" s="50">
        <f t="shared" ca="1" si="425"/>
        <v>59058.440535927679</v>
      </c>
      <c r="LH24" s="50">
        <f t="shared" ca="1" si="426"/>
        <v>55468.794917669657</v>
      </c>
      <c r="LI24" s="50">
        <f t="shared" ca="1" si="427"/>
        <v>59016.070222994938</v>
      </c>
      <c r="LJ24" s="50">
        <f t="shared" ca="1" si="428"/>
        <v>52953.718910278854</v>
      </c>
      <c r="LK24" s="50">
        <f t="shared" ca="1" si="429"/>
        <v>61337.251598188239</v>
      </c>
      <c r="LL24" s="50">
        <f t="shared" ca="1" si="430"/>
        <v>51773.141099541863</v>
      </c>
      <c r="LM24" s="50">
        <f t="shared" ca="1" si="431"/>
        <v>66708.292184553851</v>
      </c>
      <c r="LN24" s="50">
        <f t="shared" ca="1" si="432"/>
        <v>61503.761376071518</v>
      </c>
      <c r="LO24" s="50">
        <f t="shared" ca="1" si="433"/>
        <v>57009.691744007381</v>
      </c>
      <c r="LP24" s="50">
        <f t="shared" ca="1" si="434"/>
        <v>48107.908012202919</v>
      </c>
      <c r="LQ24" s="50">
        <f t="shared" ca="1" si="435"/>
        <v>46800.771582908601</v>
      </c>
      <c r="LR24" s="50">
        <f t="shared" ca="1" si="436"/>
        <v>54336.85129597046</v>
      </c>
      <c r="LS24" s="50">
        <f t="shared" ca="1" si="437"/>
        <v>61776.882909232016</v>
      </c>
      <c r="LT24" s="50">
        <f t="shared" ca="1" si="438"/>
        <v>57572.732314175177</v>
      </c>
      <c r="LU24" s="50">
        <f t="shared" ca="1" si="439"/>
        <v>65032.108013459423</v>
      </c>
      <c r="LV24" s="50">
        <f t="shared" ca="1" si="440"/>
        <v>63502.244347857995</v>
      </c>
      <c r="LW24" s="50">
        <f t="shared" ca="1" si="441"/>
        <v>47404.940134900884</v>
      </c>
      <c r="LX24" s="50">
        <f t="shared" ca="1" si="442"/>
        <v>69104.387603664596</v>
      </c>
      <c r="LY24" s="50">
        <f t="shared" ca="1" si="443"/>
        <v>63988.197737519433</v>
      </c>
      <c r="LZ24" s="50">
        <f t="shared" ca="1" si="444"/>
        <v>68674.315837716422</v>
      </c>
      <c r="MA24" s="50">
        <f t="shared" ca="1" si="445"/>
        <v>49808.715239965451</v>
      </c>
      <c r="MB24" s="50">
        <f t="shared" ca="1" si="446"/>
        <v>67044.848140124886</v>
      </c>
      <c r="MC24" s="50">
        <f t="shared" ca="1" si="447"/>
        <v>57200.284684501457</v>
      </c>
      <c r="MD24" s="50">
        <f t="shared" ca="1" si="448"/>
        <v>51766.961632006307</v>
      </c>
      <c r="ME24" s="50">
        <f t="shared" ca="1" si="449"/>
        <v>56080.700764301611</v>
      </c>
      <c r="MF24" s="50">
        <f t="shared" ca="1" si="450"/>
        <v>62274.019375617281</v>
      </c>
      <c r="MG24" s="50">
        <f t="shared" ca="1" si="451"/>
        <v>56033.110891762248</v>
      </c>
      <c r="MH24" s="50">
        <f t="shared" ca="1" si="452"/>
        <v>56156.385030495432</v>
      </c>
      <c r="MI24" s="50">
        <f t="shared" ca="1" si="453"/>
        <v>54697.36221421932</v>
      </c>
      <c r="MJ24" s="50">
        <f t="shared" ca="1" si="454"/>
        <v>55082.28932618539</v>
      </c>
      <c r="MK24" s="50">
        <f t="shared" ca="1" si="455"/>
        <v>62332.368480512043</v>
      </c>
      <c r="ML24" s="50">
        <f t="shared" ca="1" si="456"/>
        <v>61296.085659458084</v>
      </c>
      <c r="MM24" s="50">
        <f t="shared" ca="1" si="457"/>
        <v>61136.902886243159</v>
      </c>
      <c r="MN24" s="50">
        <f t="shared" ca="1" si="458"/>
        <v>57727.395741609034</v>
      </c>
      <c r="MO24" s="50">
        <f t="shared" ca="1" si="459"/>
        <v>54606.024635077243</v>
      </c>
      <c r="MP24" s="50">
        <f t="shared" ca="1" si="460"/>
        <v>58442.802797039163</v>
      </c>
      <c r="MQ24" s="50">
        <f t="shared" ca="1" si="461"/>
        <v>54763.449822712864</v>
      </c>
      <c r="MR24" s="50">
        <f t="shared" ca="1" si="462"/>
        <v>49959.015694394024</v>
      </c>
      <c r="MS24" s="50">
        <f t="shared" ca="1" si="463"/>
        <v>55805.077406955803</v>
      </c>
      <c r="MT24" s="50">
        <f t="shared" ca="1" si="464"/>
        <v>57943.098413041247</v>
      </c>
      <c r="MU24" s="50">
        <f t="shared" ca="1" si="465"/>
        <v>72566.867814561178</v>
      </c>
      <c r="MV24" s="50">
        <f t="shared" ca="1" si="466"/>
        <v>56572.363142463575</v>
      </c>
      <c r="MW24" s="50">
        <f t="shared" ca="1" si="467"/>
        <v>57113.299890559487</v>
      </c>
      <c r="MX24" s="50">
        <f t="shared" ca="1" si="468"/>
        <v>61540.367654432455</v>
      </c>
      <c r="MY24" s="50">
        <f t="shared" ca="1" si="469"/>
        <v>60006.004265662392</v>
      </c>
      <c r="MZ24" s="50">
        <f t="shared" ca="1" si="470"/>
        <v>63566.770389916892</v>
      </c>
      <c r="NA24" s="50">
        <f t="shared" ca="1" si="471"/>
        <v>71525.404588623918</v>
      </c>
      <c r="NB24" s="50">
        <f t="shared" ca="1" si="472"/>
        <v>57526.922774202831</v>
      </c>
      <c r="NC24" s="50">
        <f t="shared" ca="1" si="473"/>
        <v>57798.914248071735</v>
      </c>
      <c r="ND24" s="50">
        <f t="shared" ca="1" si="474"/>
        <v>57238.506012802318</v>
      </c>
      <c r="NE24" s="50">
        <f t="shared" ca="1" si="475"/>
        <v>54840.916287730433</v>
      </c>
      <c r="NF24" s="50">
        <f t="shared" ca="1" si="476"/>
        <v>61225.982733964796</v>
      </c>
      <c r="NG24" s="50">
        <f t="shared" ca="1" si="477"/>
        <v>63004.544154428018</v>
      </c>
      <c r="NH24" s="50">
        <f t="shared" ca="1" si="478"/>
        <v>65033.380827717403</v>
      </c>
      <c r="NI24" s="50">
        <f t="shared" ca="1" si="479"/>
        <v>60208.227105132704</v>
      </c>
      <c r="NJ24" s="50">
        <f t="shared" ca="1" si="480"/>
        <v>63967.313229267784</v>
      </c>
      <c r="NK24" s="50">
        <f t="shared" ca="1" si="481"/>
        <v>58848.749572251392</v>
      </c>
      <c r="NL24" s="50">
        <f t="shared" ca="1" si="482"/>
        <v>49610.289454748337</v>
      </c>
      <c r="NM24" s="50">
        <f t="shared" ca="1" si="483"/>
        <v>64319.239529623082</v>
      </c>
      <c r="NN24" s="50">
        <f t="shared" ca="1" si="484"/>
        <v>57090.62050095747</v>
      </c>
      <c r="NO24" s="50">
        <f t="shared" ca="1" si="485"/>
        <v>57080.925683249501</v>
      </c>
      <c r="NP24" s="50">
        <f t="shared" ca="1" si="486"/>
        <v>52623.120740033686</v>
      </c>
      <c r="NQ24" s="50">
        <f t="shared" ca="1" si="487"/>
        <v>49940.977358975564</v>
      </c>
      <c r="NR24" s="50">
        <f t="shared" ca="1" si="488"/>
        <v>58979.950238225167</v>
      </c>
      <c r="NS24" s="50">
        <f t="shared" ca="1" si="489"/>
        <v>52517.897463740366</v>
      </c>
      <c r="NT24" s="50">
        <f t="shared" ca="1" si="490"/>
        <v>66222.83238721457</v>
      </c>
      <c r="NU24" s="50">
        <f t="shared" ca="1" si="491"/>
        <v>59873.972428798632</v>
      </c>
      <c r="NV24" s="50">
        <f t="shared" ca="1" si="492"/>
        <v>56146.296484790051</v>
      </c>
      <c r="NW24" s="50">
        <f t="shared" ca="1" si="493"/>
        <v>49477.402415153083</v>
      </c>
      <c r="NX24" s="50">
        <f t="shared" ca="1" si="494"/>
        <v>64841.852563640205</v>
      </c>
      <c r="NY24" s="50">
        <f t="shared" ca="1" si="495"/>
        <v>67517.035458318554</v>
      </c>
      <c r="NZ24" s="50">
        <f t="shared" ca="1" si="496"/>
        <v>55036.142427507286</v>
      </c>
      <c r="OA24" s="50">
        <f t="shared" ca="1" si="497"/>
        <v>53219.584424420893</v>
      </c>
      <c r="OB24" s="50">
        <f t="shared" ca="1" si="498"/>
        <v>64979.660812732356</v>
      </c>
      <c r="OC24" s="50">
        <f t="shared" ca="1" si="499"/>
        <v>51494.983964751547</v>
      </c>
      <c r="OD24" s="50">
        <f t="shared" ca="1" si="500"/>
        <v>52853.858595594764</v>
      </c>
      <c r="OE24" s="50">
        <f t="shared" ca="1" si="501"/>
        <v>68819.067050306927</v>
      </c>
      <c r="OF24" s="50">
        <f t="shared" ca="1" si="502"/>
        <v>66180.158338801193</v>
      </c>
      <c r="OG24" s="50">
        <f t="shared" ca="1" si="503"/>
        <v>65588.907262731547</v>
      </c>
      <c r="OH24" s="50">
        <f t="shared" ca="1" si="504"/>
        <v>62865.275184761347</v>
      </c>
      <c r="OI24" s="50">
        <f t="shared" ca="1" si="505"/>
        <v>60747.417227506827</v>
      </c>
      <c r="OJ24" s="50">
        <f t="shared" ca="1" si="506"/>
        <v>63812.085815045983</v>
      </c>
      <c r="OK24" s="50">
        <f t="shared" ca="1" si="507"/>
        <v>58700.635822711723</v>
      </c>
      <c r="OL24" s="50">
        <f t="shared" ca="1" si="508"/>
        <v>57903.113542152962</v>
      </c>
      <c r="OM24" s="50">
        <f t="shared" ca="1" si="509"/>
        <v>54316.897613433895</v>
      </c>
      <c r="ON24" s="50">
        <f t="shared" ca="1" si="510"/>
        <v>61328.739167929001</v>
      </c>
      <c r="OO24" s="50">
        <f t="shared" ca="1" si="511"/>
        <v>55159.054079137437</v>
      </c>
      <c r="OP24" s="50">
        <f t="shared" ca="1" si="512"/>
        <v>57325.97258417472</v>
      </c>
      <c r="OQ24" s="50">
        <f t="shared" ca="1" si="513"/>
        <v>56532.629377623831</v>
      </c>
      <c r="OR24" s="50">
        <f t="shared" ca="1" si="514"/>
        <v>61978.121291948155</v>
      </c>
      <c r="OS24" s="50">
        <f t="shared" ca="1" si="515"/>
        <v>57936.419445592335</v>
      </c>
      <c r="OT24" s="50">
        <f t="shared" ca="1" si="516"/>
        <v>55990.754894004269</v>
      </c>
      <c r="OU24" s="50">
        <f t="shared" ca="1" si="517"/>
        <v>51227.717042304626</v>
      </c>
      <c r="OV24" s="50">
        <f t="shared" ca="1" si="518"/>
        <v>56976.530378937437</v>
      </c>
      <c r="OW24" s="50">
        <f t="shared" ca="1" si="519"/>
        <v>50514.061355775113</v>
      </c>
      <c r="OX24" s="50">
        <f t="shared" ca="1" si="520"/>
        <v>62929.593329998854</v>
      </c>
      <c r="OY24" s="50">
        <f t="shared" ca="1" si="521"/>
        <v>55254.797343031896</v>
      </c>
      <c r="OZ24" s="50">
        <f t="shared" ca="1" si="522"/>
        <v>61546.087808500888</v>
      </c>
      <c r="PA24" s="50">
        <f t="shared" ca="1" si="523"/>
        <v>57466.855015108245</v>
      </c>
      <c r="PB24" s="50">
        <f t="shared" ca="1" si="524"/>
        <v>57863.011702329968</v>
      </c>
      <c r="PC24" s="50">
        <f t="shared" ca="1" si="525"/>
        <v>58783.864981617226</v>
      </c>
      <c r="PD24" s="50">
        <f t="shared" ca="1" si="526"/>
        <v>50756.108346111127</v>
      </c>
      <c r="PE24" s="50">
        <f t="shared" ca="1" si="527"/>
        <v>55768.006578291715</v>
      </c>
      <c r="PF24" s="50">
        <f t="shared" ca="1" si="528"/>
        <v>60375.283746561778</v>
      </c>
      <c r="PG24" s="50">
        <f t="shared" ca="1" si="529"/>
        <v>55827.534491649742</v>
      </c>
      <c r="PH24" s="50">
        <f t="shared" ca="1" si="530"/>
        <v>52737.656605245837</v>
      </c>
      <c r="PI24" s="50">
        <f t="shared" ca="1" si="531"/>
        <v>54286.138030212176</v>
      </c>
      <c r="PJ24" s="50">
        <f t="shared" ca="1" si="532"/>
        <v>66305.303640852828</v>
      </c>
      <c r="PK24" s="50">
        <f t="shared" ca="1" si="533"/>
        <v>55132.771343601278</v>
      </c>
      <c r="PL24" s="50">
        <f t="shared" ca="1" si="534"/>
        <v>67426.37065961519</v>
      </c>
      <c r="PM24" s="50">
        <f t="shared" ca="1" si="535"/>
        <v>60382.995080635475</v>
      </c>
      <c r="PN24" s="50">
        <f t="shared" ca="1" si="536"/>
        <v>58657.199704229955</v>
      </c>
      <c r="PO24" s="50">
        <f t="shared" ca="1" si="537"/>
        <v>61532.455018630601</v>
      </c>
      <c r="PP24" s="50">
        <f t="shared" ca="1" si="538"/>
        <v>62150.271110995105</v>
      </c>
      <c r="PQ24" s="50">
        <f t="shared" ca="1" si="539"/>
        <v>53578.878040137919</v>
      </c>
      <c r="PR24" s="50">
        <f t="shared" ca="1" si="540"/>
        <v>59811.741877857115</v>
      </c>
      <c r="PS24" s="50">
        <f t="shared" ca="1" si="541"/>
        <v>69183.595915371756</v>
      </c>
      <c r="PT24" s="50">
        <f t="shared" ca="1" si="542"/>
        <v>55481.212541647939</v>
      </c>
      <c r="PU24" s="50">
        <f t="shared" ca="1" si="543"/>
        <v>62644.540778799746</v>
      </c>
      <c r="PV24" s="50">
        <f t="shared" ca="1" si="544"/>
        <v>54727.350627832733</v>
      </c>
      <c r="PW24" s="50">
        <f t="shared" ca="1" si="545"/>
        <v>50158.086044934193</v>
      </c>
      <c r="PX24" s="50">
        <f t="shared" ca="1" si="546"/>
        <v>68548.108804519259</v>
      </c>
      <c r="PY24" s="50">
        <f t="shared" ca="1" si="547"/>
        <v>59271.074123391867</v>
      </c>
      <c r="PZ24" s="50">
        <f t="shared" ca="1" si="548"/>
        <v>58913.549050288275</v>
      </c>
      <c r="QA24" s="50">
        <f t="shared" ca="1" si="549"/>
        <v>53672.967265284555</v>
      </c>
      <c r="QB24" s="50">
        <f t="shared" ca="1" si="550"/>
        <v>51247.919184239676</v>
      </c>
      <c r="QC24" s="50">
        <f t="shared" ca="1" si="551"/>
        <v>66524.46727363237</v>
      </c>
      <c r="QD24" s="50">
        <f t="shared" ca="1" si="552"/>
        <v>51394.232348973615</v>
      </c>
      <c r="QE24" s="50">
        <f t="shared" ca="1" si="553"/>
        <v>56415.040044117246</v>
      </c>
      <c r="QF24" s="50">
        <f t="shared" ca="1" si="554"/>
        <v>52941.375452125016</v>
      </c>
      <c r="QG24" s="50">
        <f t="shared" ca="1" si="555"/>
        <v>53380.752781337578</v>
      </c>
      <c r="QH24" s="50">
        <f t="shared" ca="1" si="556"/>
        <v>55203.10860559906</v>
      </c>
      <c r="QI24" s="50">
        <f t="shared" ca="1" si="557"/>
        <v>50787.440319256173</v>
      </c>
      <c r="QJ24" s="50">
        <f t="shared" ca="1" si="558"/>
        <v>56881.446573693873</v>
      </c>
      <c r="QK24" s="50">
        <f t="shared" ca="1" si="559"/>
        <v>63537.83375643428</v>
      </c>
      <c r="QL24" s="50">
        <f t="shared" ca="1" si="560"/>
        <v>66361.873120593533</v>
      </c>
      <c r="QM24" s="50">
        <f t="shared" ca="1" si="561"/>
        <v>50791.658026918594</v>
      </c>
      <c r="QN24" s="50">
        <f t="shared" ca="1" si="562"/>
        <v>57212.751847212254</v>
      </c>
      <c r="QO24" s="50">
        <f t="shared" ca="1" si="563"/>
        <v>65778.487927745155</v>
      </c>
      <c r="QP24" s="50">
        <f t="shared" ca="1" si="564"/>
        <v>55936.5764966633</v>
      </c>
      <c r="QQ24" s="50">
        <f t="shared" ca="1" si="565"/>
        <v>57306.667161184538</v>
      </c>
      <c r="QR24" s="50">
        <f t="shared" ca="1" si="566"/>
        <v>57931.652201697165</v>
      </c>
      <c r="QS24" s="50">
        <f t="shared" ca="1" si="567"/>
        <v>54791.877770607942</v>
      </c>
      <c r="QT24" s="50">
        <f t="shared" ca="1" si="568"/>
        <v>53600.163137480959</v>
      </c>
      <c r="QU24" s="50">
        <f t="shared" ca="1" si="569"/>
        <v>57498.843661635423</v>
      </c>
      <c r="QV24" s="50">
        <f t="shared" ca="1" si="570"/>
        <v>61682.801270412936</v>
      </c>
      <c r="QW24" s="50">
        <f t="shared" ca="1" si="571"/>
        <v>57797.833075995535</v>
      </c>
      <c r="QX24" s="50">
        <f t="shared" ca="1" si="572"/>
        <v>60218.830699911843</v>
      </c>
      <c r="QY24" s="50">
        <f t="shared" ca="1" si="573"/>
        <v>57862.282556149854</v>
      </c>
      <c r="QZ24" s="50">
        <f t="shared" ca="1" si="574"/>
        <v>60073.429519659876</v>
      </c>
      <c r="RA24" s="50">
        <f t="shared" ca="1" si="575"/>
        <v>49754.869461018272</v>
      </c>
      <c r="RB24" s="50">
        <f t="shared" ca="1" si="576"/>
        <v>70642.247331118153</v>
      </c>
      <c r="RC24" s="50">
        <f t="shared" ca="1" si="577"/>
        <v>65999.627873937119</v>
      </c>
      <c r="RD24" s="50">
        <f t="shared" ca="1" si="578"/>
        <v>57518.927250649511</v>
      </c>
      <c r="RE24" s="50">
        <f t="shared" ca="1" si="579"/>
        <v>57903.342986846343</v>
      </c>
      <c r="RF24" s="50">
        <f t="shared" ca="1" si="580"/>
        <v>54449.21120309049</v>
      </c>
      <c r="RG24" s="50">
        <f t="shared" ca="1" si="581"/>
        <v>52142.093702962709</v>
      </c>
      <c r="RH24" s="50">
        <f t="shared" ca="1" si="582"/>
        <v>62569.838196653815</v>
      </c>
      <c r="RI24" s="50">
        <f t="shared" ca="1" si="583"/>
        <v>64377.814150205006</v>
      </c>
      <c r="RJ24" s="50">
        <f t="shared" ca="1" si="584"/>
        <v>57370.070462036805</v>
      </c>
      <c r="RK24" s="50">
        <f t="shared" ca="1" si="585"/>
        <v>61619.766348490804</v>
      </c>
      <c r="RL24" s="50">
        <f t="shared" ca="1" si="586"/>
        <v>56309.92962391107</v>
      </c>
      <c r="RM24" s="50">
        <f t="shared" ca="1" si="587"/>
        <v>58170.053731303298</v>
      </c>
      <c r="RN24" s="50">
        <f t="shared" ca="1" si="588"/>
        <v>57959.802786340624</v>
      </c>
      <c r="RO24" s="50">
        <f t="shared" ca="1" si="589"/>
        <v>49502.772120581547</v>
      </c>
      <c r="RP24" s="50">
        <f t="shared" ca="1" si="590"/>
        <v>66881.048482572223</v>
      </c>
      <c r="RQ24" s="50">
        <f t="shared" ca="1" si="591"/>
        <v>56890.55680694928</v>
      </c>
      <c r="RR24" s="50">
        <f t="shared" ca="1" si="592"/>
        <v>52988.250636752338</v>
      </c>
      <c r="RS24" s="50">
        <f t="shared" ca="1" si="593"/>
        <v>74270.085276304686</v>
      </c>
      <c r="RT24" s="50">
        <f t="shared" ca="1" si="594"/>
        <v>58196.475012728304</v>
      </c>
      <c r="RU24" s="50">
        <f t="shared" ca="1" si="595"/>
        <v>60012.217875240895</v>
      </c>
      <c r="RV24" s="50">
        <f t="shared" ca="1" si="596"/>
        <v>55428.720701394312</v>
      </c>
      <c r="RW24" s="50">
        <f t="shared" ca="1" si="597"/>
        <v>63446.796273655309</v>
      </c>
      <c r="RX24" s="50">
        <f t="shared" ca="1" si="598"/>
        <v>57450.264664558825</v>
      </c>
      <c r="RY24" s="50">
        <f t="shared" ca="1" si="599"/>
        <v>59021.434409438691</v>
      </c>
      <c r="RZ24" s="50">
        <f t="shared" ca="1" si="600"/>
        <v>59958.338209242516</v>
      </c>
      <c r="SA24" s="50">
        <f t="shared" ca="1" si="601"/>
        <v>57557.218953627264</v>
      </c>
      <c r="SB24" s="50">
        <f t="shared" ca="1" si="602"/>
        <v>63049.610234611006</v>
      </c>
      <c r="SC24" s="50">
        <f t="shared" ca="1" si="603"/>
        <v>52225.256413007213</v>
      </c>
      <c r="SD24" s="50">
        <f t="shared" ca="1" si="604"/>
        <v>52807.107318967443</v>
      </c>
      <c r="SE24" s="50">
        <f t="shared" ca="1" si="605"/>
        <v>63897.029193911534</v>
      </c>
      <c r="SF24" s="50">
        <f t="shared" ca="1" si="606"/>
        <v>58453.082700445811</v>
      </c>
      <c r="SG24" s="50">
        <f t="shared" ca="1" si="607"/>
        <v>51658.228342805785</v>
      </c>
      <c r="SH24" s="50">
        <f t="shared" ca="1" si="608"/>
        <v>55230.923087864394</v>
      </c>
      <c r="SI24" s="50">
        <f t="shared" ca="1" si="609"/>
        <v>63150.312388900515</v>
      </c>
      <c r="SJ24" s="50">
        <f t="shared" ca="1" si="610"/>
        <v>54526.023672445212</v>
      </c>
      <c r="SK24" s="50">
        <f t="shared" ca="1" si="611"/>
        <v>68459.904088592739</v>
      </c>
      <c r="SL24" s="50">
        <f t="shared" ca="1" si="612"/>
        <v>46234.10232003672</v>
      </c>
      <c r="SM24" s="50">
        <f t="shared" ca="1" si="613"/>
        <v>54489.553744851866</v>
      </c>
      <c r="SN24" s="50">
        <f t="shared" ca="1" si="614"/>
        <v>61260.011539673411</v>
      </c>
      <c r="SO24" s="50">
        <f t="shared" ca="1" si="615"/>
        <v>59452.868801949917</v>
      </c>
      <c r="SP24" s="50">
        <f t="shared" ca="1" si="616"/>
        <v>65494.706462499737</v>
      </c>
      <c r="SQ24" s="50">
        <f t="shared" ca="1" si="617"/>
        <v>53795.653457828994</v>
      </c>
      <c r="SR24" s="50">
        <f t="shared" ca="1" si="618"/>
        <v>59907.813362874112</v>
      </c>
      <c r="SS24" s="50">
        <f t="shared" ca="1" si="619"/>
        <v>55750.484321901022</v>
      </c>
      <c r="ST24" s="50">
        <f t="shared" ca="1" si="620"/>
        <v>65029.959273898436</v>
      </c>
      <c r="SU24" s="50">
        <f t="shared" ca="1" si="621"/>
        <v>57146.25296616945</v>
      </c>
      <c r="SV24" s="50">
        <f t="shared" ca="1" si="622"/>
        <v>63461.355190263545</v>
      </c>
      <c r="SW24" s="50">
        <f t="shared" ca="1" si="623"/>
        <v>49986.633423378567</v>
      </c>
      <c r="SX24" s="50">
        <f t="shared" ca="1" si="624"/>
        <v>54825.042953518983</v>
      </c>
      <c r="SY24" s="50">
        <f t="shared" ca="1" si="625"/>
        <v>60533.304603975841</v>
      </c>
      <c r="SZ24" s="50">
        <f t="shared" ca="1" si="626"/>
        <v>63388.110963298066</v>
      </c>
      <c r="TA24" s="50">
        <f t="shared" ca="1" si="627"/>
        <v>55920.249554677386</v>
      </c>
      <c r="TB24" s="50">
        <f t="shared" ca="1" si="628"/>
        <v>58649.095523737415</v>
      </c>
      <c r="TC24" s="50">
        <f t="shared" ca="1" si="629"/>
        <v>67075.868112223092</v>
      </c>
      <c r="TD24" s="50">
        <f t="shared" ca="1" si="630"/>
        <v>57265.53652090711</v>
      </c>
      <c r="TE24" s="50">
        <f t="shared" ca="1" si="631"/>
        <v>54679.05213085805</v>
      </c>
      <c r="TF24" s="50">
        <f t="shared" ca="1" si="632"/>
        <v>65932.946210616094</v>
      </c>
      <c r="TG24" s="50">
        <f t="shared" ca="1" si="633"/>
        <v>56593.980687715673</v>
      </c>
      <c r="TH24" s="50">
        <f t="shared" ca="1" si="634"/>
        <v>56626.259275431272</v>
      </c>
      <c r="TI24" s="50">
        <f t="shared" ca="1" si="635"/>
        <v>49031.55988404886</v>
      </c>
      <c r="TJ24" s="50">
        <f t="shared" ca="1" si="636"/>
        <v>67249.314374043432</v>
      </c>
      <c r="TK24" s="50">
        <f t="shared" ca="1" si="637"/>
        <v>56087.04713103285</v>
      </c>
      <c r="TL24" s="50">
        <f t="shared" ca="1" si="638"/>
        <v>59845.800350944904</v>
      </c>
      <c r="TM24" s="50">
        <f t="shared" ca="1" si="639"/>
        <v>59818.845186590552</v>
      </c>
      <c r="TN24" s="50">
        <f t="shared" ca="1" si="640"/>
        <v>51054.392734463705</v>
      </c>
      <c r="TO24" s="50">
        <f t="shared" ca="1" si="641"/>
        <v>56321.291508346774</v>
      </c>
      <c r="TP24" s="50">
        <f t="shared" ca="1" si="642"/>
        <v>49809.673939918976</v>
      </c>
      <c r="TQ24" s="50">
        <f t="shared" ca="1" si="643"/>
        <v>63319.885097865517</v>
      </c>
      <c r="TR24" s="50">
        <f t="shared" ca="1" si="644"/>
        <v>59547.385396998019</v>
      </c>
      <c r="TS24" s="50">
        <f t="shared" ca="1" si="645"/>
        <v>52465.873336583805</v>
      </c>
      <c r="TT24" s="50">
        <f t="shared" ca="1" si="646"/>
        <v>50731.984212220807</v>
      </c>
      <c r="TU24" s="50">
        <f t="shared" ca="1" si="647"/>
        <v>60270.882293656439</v>
      </c>
      <c r="TV24" s="50">
        <f t="shared" ca="1" si="648"/>
        <v>60066.280245045098</v>
      </c>
      <c r="TW24" s="50">
        <f t="shared" ca="1" si="649"/>
        <v>47717.61872038406</v>
      </c>
      <c r="TX24" s="50">
        <f t="shared" ca="1" si="650"/>
        <v>63139.001152186938</v>
      </c>
      <c r="TY24" s="50">
        <f t="shared" ca="1" si="651"/>
        <v>58387.381148404143</v>
      </c>
      <c r="TZ24" s="50">
        <f t="shared" ca="1" si="652"/>
        <v>61713.392286813345</v>
      </c>
      <c r="UA24" s="50">
        <f t="shared" ca="1" si="653"/>
        <v>51301.081070972577</v>
      </c>
      <c r="UB24" s="50">
        <f t="shared" ca="1" si="654"/>
        <v>59428.550239036922</v>
      </c>
      <c r="UC24" s="50">
        <f t="shared" ca="1" si="655"/>
        <v>63707.227611474722</v>
      </c>
      <c r="UD24" s="50">
        <f t="shared" ca="1" si="656"/>
        <v>59494.940692630102</v>
      </c>
      <c r="UE24" s="50">
        <f t="shared" ca="1" si="657"/>
        <v>56525.697218041038</v>
      </c>
      <c r="UF24" s="50">
        <f t="shared" ca="1" si="658"/>
        <v>59728.087123891957</v>
      </c>
      <c r="UG24" s="50">
        <f t="shared" ca="1" si="659"/>
        <v>54795.954851419257</v>
      </c>
      <c r="UH24" s="50">
        <f t="shared" ca="1" si="660"/>
        <v>54992.194318958158</v>
      </c>
      <c r="UI24" s="50">
        <f t="shared" ca="1" si="661"/>
        <v>59774.098921997444</v>
      </c>
      <c r="UJ24" s="50">
        <f t="shared" ca="1" si="662"/>
        <v>57721.046550550178</v>
      </c>
      <c r="UK24" s="50">
        <f t="shared" ca="1" si="663"/>
        <v>53052.641860120748</v>
      </c>
      <c r="UL24" s="50">
        <f t="shared" ca="1" si="664"/>
        <v>52638.137126836547</v>
      </c>
      <c r="UM24" s="50">
        <f t="shared" ca="1" si="665"/>
        <v>62319.793205228758</v>
      </c>
      <c r="UN24" s="50">
        <f t="shared" ca="1" si="666"/>
        <v>49959.316212736325</v>
      </c>
      <c r="UO24" s="50">
        <f t="shared" ca="1" si="667"/>
        <v>52870.774116903289</v>
      </c>
      <c r="UP24" s="50">
        <f t="shared" ca="1" si="668"/>
        <v>60243.763128588151</v>
      </c>
      <c r="UQ24" s="50">
        <f t="shared" ca="1" si="669"/>
        <v>57313.835804785071</v>
      </c>
      <c r="UR24" s="50">
        <f t="shared" ca="1" si="670"/>
        <v>63303.722963686181</v>
      </c>
      <c r="US24" s="50">
        <f t="shared" ca="1" si="671"/>
        <v>57049.29174763718</v>
      </c>
      <c r="UT24" s="50">
        <f t="shared" ca="1" si="672"/>
        <v>52609.207856577683</v>
      </c>
      <c r="UU24" s="50">
        <f t="shared" ca="1" si="673"/>
        <v>54403.127644634937</v>
      </c>
      <c r="UV24" s="50">
        <f t="shared" ca="1" si="674"/>
        <v>55437.454432007522</v>
      </c>
      <c r="UW24" s="50">
        <f t="shared" ca="1" si="675"/>
        <v>52881.122014388893</v>
      </c>
      <c r="UX24" s="50">
        <f t="shared" ca="1" si="676"/>
        <v>59238.409204450036</v>
      </c>
      <c r="UY24" s="50">
        <f t="shared" ca="1" si="677"/>
        <v>54480.723039018783</v>
      </c>
      <c r="UZ24" s="50">
        <f t="shared" ca="1" si="678"/>
        <v>65073.051487922938</v>
      </c>
      <c r="VA24" s="50">
        <f t="shared" ca="1" si="679"/>
        <v>75467.626592985631</v>
      </c>
      <c r="VB24" s="50">
        <f t="shared" ca="1" si="680"/>
        <v>57476.461236384617</v>
      </c>
      <c r="VC24" s="50">
        <f t="shared" ca="1" si="681"/>
        <v>52646.187777751613</v>
      </c>
      <c r="VD24" s="50">
        <f t="shared" ca="1" si="682"/>
        <v>59968.90308662485</v>
      </c>
      <c r="VE24" s="50">
        <f t="shared" ca="1" si="683"/>
        <v>48919.191167119629</v>
      </c>
      <c r="VF24" s="50">
        <f t="shared" ca="1" si="684"/>
        <v>57886.555105274041</v>
      </c>
      <c r="VG24" s="50">
        <f t="shared" ca="1" si="685"/>
        <v>57385.603544841593</v>
      </c>
      <c r="VH24" s="50">
        <f t="shared" ca="1" si="686"/>
        <v>53129.693548403171</v>
      </c>
      <c r="VI24" s="50">
        <f t="shared" ca="1" si="687"/>
        <v>64460.60998612905</v>
      </c>
      <c r="VJ24" s="50">
        <f t="shared" ca="1" si="688"/>
        <v>63936.951483685109</v>
      </c>
      <c r="VK24" s="50">
        <f t="shared" ca="1" si="689"/>
        <v>64350.571522582133</v>
      </c>
      <c r="VL24" s="50">
        <f t="shared" ca="1" si="690"/>
        <v>55808.624113384067</v>
      </c>
      <c r="VM24" s="50">
        <f t="shared" ca="1" si="691"/>
        <v>63675.979602256768</v>
      </c>
      <c r="VN24" s="50">
        <f t="shared" ca="1" si="692"/>
        <v>61959.203407612382</v>
      </c>
      <c r="VO24" s="50">
        <f t="shared" ca="1" si="693"/>
        <v>63088.946990698758</v>
      </c>
      <c r="VP24" s="50">
        <f t="shared" ca="1" si="694"/>
        <v>57162.036425390586</v>
      </c>
      <c r="VQ24" s="50">
        <f t="shared" ca="1" si="695"/>
        <v>57276.58902768969</v>
      </c>
      <c r="VR24" s="50">
        <f t="shared" ca="1" si="696"/>
        <v>67828.41032053424</v>
      </c>
      <c r="VS24" s="50">
        <f t="shared" ca="1" si="697"/>
        <v>75116.407760661416</v>
      </c>
      <c r="VT24" s="50">
        <f t="shared" ca="1" si="698"/>
        <v>51642.477858742561</v>
      </c>
      <c r="VU24" s="50">
        <f t="shared" ca="1" si="699"/>
        <v>54089.267853615696</v>
      </c>
      <c r="VV24" s="50">
        <f t="shared" ca="1" si="700"/>
        <v>57269.239097591497</v>
      </c>
      <c r="VW24" s="50">
        <f t="shared" ca="1" si="701"/>
        <v>56085.207815843307</v>
      </c>
      <c r="VX24" s="50">
        <f t="shared" ca="1" si="702"/>
        <v>63375.450914953602</v>
      </c>
      <c r="VY24" s="50">
        <f t="shared" ca="1" si="703"/>
        <v>51278.427821970974</v>
      </c>
      <c r="VZ24" s="50">
        <f t="shared" ca="1" si="704"/>
        <v>55297.391269409381</v>
      </c>
      <c r="WA24" s="50">
        <f t="shared" ca="1" si="705"/>
        <v>52873.412576565279</v>
      </c>
      <c r="WB24" s="50">
        <f t="shared" ca="1" si="706"/>
        <v>52209.883055782731</v>
      </c>
      <c r="WC24" s="50">
        <f t="shared" ca="1" si="707"/>
        <v>59237.404719535181</v>
      </c>
      <c r="WD24" s="50">
        <f t="shared" ca="1" si="708"/>
        <v>60997.829286237516</v>
      </c>
      <c r="WE24" s="50">
        <f t="shared" ca="1" si="709"/>
        <v>59996.848815863406</v>
      </c>
      <c r="WF24" s="50">
        <f t="shared" ca="1" si="710"/>
        <v>64960.252993238915</v>
      </c>
      <c r="WG24" s="50">
        <f t="shared" ca="1" si="711"/>
        <v>59782.152976323996</v>
      </c>
      <c r="WH24" s="50">
        <f t="shared" ca="1" si="712"/>
        <v>62196.930475027424</v>
      </c>
      <c r="WI24" s="50">
        <f t="shared" ca="1" si="713"/>
        <v>58105.634664312965</v>
      </c>
      <c r="WJ24" s="50">
        <f t="shared" ca="1" si="714"/>
        <v>49391.209759203317</v>
      </c>
      <c r="WK24" s="50">
        <f t="shared" ca="1" si="715"/>
        <v>60673.880472448509</v>
      </c>
      <c r="WL24" s="50">
        <f t="shared" ca="1" si="716"/>
        <v>62461.715068436693</v>
      </c>
      <c r="WM24" s="50">
        <f t="shared" ca="1" si="717"/>
        <v>54974.845533433494</v>
      </c>
      <c r="WN24" s="50">
        <f t="shared" ca="1" si="718"/>
        <v>54949.185204372021</v>
      </c>
      <c r="WO24" s="50">
        <f t="shared" ca="1" si="719"/>
        <v>55292.207352963756</v>
      </c>
      <c r="WP24" s="50">
        <f t="shared" ca="1" si="720"/>
        <v>57449.24635607301</v>
      </c>
      <c r="WQ24" s="50">
        <f t="shared" ca="1" si="721"/>
        <v>53973.284859176209</v>
      </c>
      <c r="WR24" s="50">
        <f t="shared" ca="1" si="722"/>
        <v>56043.914691199214</v>
      </c>
      <c r="WS24" s="50">
        <f t="shared" ca="1" si="723"/>
        <v>52169.591827480552</v>
      </c>
      <c r="WT24" s="50">
        <f t="shared" ca="1" si="724"/>
        <v>64954.790121397717</v>
      </c>
      <c r="WU24" s="50">
        <f t="shared" ca="1" si="725"/>
        <v>65267.838411367688</v>
      </c>
      <c r="WV24" s="50">
        <f t="shared" ca="1" si="726"/>
        <v>52026.020179624415</v>
      </c>
      <c r="WW24" s="50">
        <f t="shared" ca="1" si="727"/>
        <v>60321.547179407484</v>
      </c>
      <c r="WX24" s="50">
        <f t="shared" ca="1" si="728"/>
        <v>55251.71386164437</v>
      </c>
      <c r="WY24" s="50">
        <f t="shared" ca="1" si="729"/>
        <v>58896.395793070173</v>
      </c>
      <c r="WZ24" s="50">
        <f t="shared" ca="1" si="730"/>
        <v>63120.707586763092</v>
      </c>
      <c r="XA24" s="50">
        <f t="shared" ca="1" si="731"/>
        <v>60097.878083865711</v>
      </c>
      <c r="XB24" s="50">
        <f t="shared" ca="1" si="732"/>
        <v>57837.450603411547</v>
      </c>
      <c r="XC24" s="50">
        <f t="shared" ca="1" si="733"/>
        <v>71085.675785389132</v>
      </c>
      <c r="XD24" s="50">
        <f t="shared" ca="1" si="734"/>
        <v>59447.877748757295</v>
      </c>
      <c r="XE24" s="50">
        <f t="shared" ca="1" si="735"/>
        <v>65183.804131552417</v>
      </c>
      <c r="XF24" s="50">
        <f t="shared" ca="1" si="736"/>
        <v>62099.957631014637</v>
      </c>
      <c r="XG24" s="50">
        <f t="shared" ca="1" si="737"/>
        <v>55455.167994165022</v>
      </c>
      <c r="XH24" s="50">
        <f t="shared" ca="1" si="738"/>
        <v>60098.3808181321</v>
      </c>
      <c r="XI24" s="50">
        <f t="shared" ca="1" si="739"/>
        <v>54102.985363680637</v>
      </c>
      <c r="XJ24" s="50">
        <f t="shared" ca="1" si="740"/>
        <v>47670.071354303414</v>
      </c>
      <c r="XK24" s="50">
        <f t="shared" ca="1" si="741"/>
        <v>53426.740581433456</v>
      </c>
      <c r="XL24" s="50">
        <f t="shared" ca="1" si="742"/>
        <v>60461.759332614965</v>
      </c>
      <c r="XM24" s="50">
        <f t="shared" ca="1" si="743"/>
        <v>60303.518847573432</v>
      </c>
      <c r="XN24" s="50">
        <f t="shared" ca="1" si="744"/>
        <v>57172.313611793856</v>
      </c>
      <c r="XO24" s="50">
        <f t="shared" ca="1" si="745"/>
        <v>56154.515684336926</v>
      </c>
      <c r="XP24" s="50">
        <f t="shared" ca="1" si="746"/>
        <v>62147.007045321727</v>
      </c>
      <c r="XQ24" s="50">
        <f t="shared" ca="1" si="747"/>
        <v>57062.873169171609</v>
      </c>
      <c r="XR24" s="50">
        <f t="shared" ca="1" si="748"/>
        <v>62413.711639222704</v>
      </c>
      <c r="XS24" s="50">
        <f t="shared" ca="1" si="749"/>
        <v>51700.219818438411</v>
      </c>
      <c r="XT24" s="50">
        <f t="shared" ca="1" si="750"/>
        <v>60573.248162885495</v>
      </c>
      <c r="XU24" s="50">
        <f t="shared" ca="1" si="751"/>
        <v>50790.986915958922</v>
      </c>
      <c r="XV24" s="50">
        <f t="shared" ca="1" si="752"/>
        <v>57126.33723631483</v>
      </c>
      <c r="XW24" s="50">
        <f t="shared" ca="1" si="753"/>
        <v>49342.521114583884</v>
      </c>
      <c r="XX24" s="50">
        <f t="shared" ca="1" si="754"/>
        <v>63013.826257593944</v>
      </c>
      <c r="XY24" s="50">
        <f t="shared" ca="1" si="755"/>
        <v>44576.236771123615</v>
      </c>
      <c r="XZ24" s="50">
        <f t="shared" ca="1" si="756"/>
        <v>63558.772462100504</v>
      </c>
      <c r="YA24" s="50">
        <f t="shared" ca="1" si="757"/>
        <v>66289.10742306149</v>
      </c>
      <c r="YB24" s="50">
        <f t="shared" ca="1" si="758"/>
        <v>61449.301542008936</v>
      </c>
      <c r="YC24" s="50">
        <f t="shared" ca="1" si="759"/>
        <v>66471.862816997309</v>
      </c>
      <c r="YD24" s="50">
        <f t="shared" ca="1" si="760"/>
        <v>65396.855583366581</v>
      </c>
      <c r="YE24" s="50">
        <f t="shared" ca="1" si="761"/>
        <v>57100.442102689631</v>
      </c>
      <c r="YF24" s="50">
        <f t="shared" ca="1" si="762"/>
        <v>62215.243044506649</v>
      </c>
      <c r="YG24" s="50">
        <f t="shared" ca="1" si="763"/>
        <v>56993.212133174238</v>
      </c>
      <c r="YH24" s="50">
        <f t="shared" ca="1" si="764"/>
        <v>66635.31287996273</v>
      </c>
      <c r="YI24" s="50">
        <f t="shared" ca="1" si="765"/>
        <v>57252.650939452215</v>
      </c>
      <c r="YJ24" s="50">
        <f t="shared" ca="1" si="766"/>
        <v>56726.296177390876</v>
      </c>
      <c r="YK24" s="50">
        <f t="shared" ca="1" si="767"/>
        <v>58482.117296170341</v>
      </c>
      <c r="YL24" s="50">
        <f t="shared" ca="1" si="768"/>
        <v>54974.747880146118</v>
      </c>
      <c r="YM24" s="50">
        <f t="shared" ca="1" si="769"/>
        <v>54444.153667931663</v>
      </c>
      <c r="YN24" s="50">
        <f t="shared" ca="1" si="770"/>
        <v>55225.988205094567</v>
      </c>
      <c r="YO24" s="50">
        <f t="shared" ca="1" si="771"/>
        <v>48777.808817291399</v>
      </c>
      <c r="YP24" s="50">
        <f t="shared" ca="1" si="772"/>
        <v>58518.090606475467</v>
      </c>
      <c r="YQ24" s="50">
        <f t="shared" ca="1" si="773"/>
        <v>60757.491728779532</v>
      </c>
      <c r="YR24" s="50">
        <f t="shared" ca="1" si="774"/>
        <v>53330.904699464525</v>
      </c>
      <c r="YS24" s="50">
        <f t="shared" ca="1" si="775"/>
        <v>60591.449384072388</v>
      </c>
      <c r="YT24" s="50">
        <f t="shared" ca="1" si="776"/>
        <v>59037.048662455905</v>
      </c>
      <c r="YU24" s="50">
        <f t="shared" ca="1" si="777"/>
        <v>65057.982096353102</v>
      </c>
      <c r="YV24" s="50">
        <f t="shared" ca="1" si="778"/>
        <v>52037.059033882462</v>
      </c>
      <c r="YW24" s="50">
        <f t="shared" ca="1" si="779"/>
        <v>49288.500966975516</v>
      </c>
      <c r="YX24" s="50">
        <f t="shared" ca="1" si="780"/>
        <v>61460.758393866199</v>
      </c>
      <c r="YY24" s="50">
        <f t="shared" ca="1" si="781"/>
        <v>54464.417135414726</v>
      </c>
      <c r="YZ24" s="50">
        <f t="shared" ca="1" si="782"/>
        <v>56265.837293054814</v>
      </c>
      <c r="ZA24" s="50">
        <f t="shared" ca="1" si="783"/>
        <v>58104.623932648174</v>
      </c>
      <c r="ZB24" s="50">
        <f t="shared" ca="1" si="784"/>
        <v>58281.309410211921</v>
      </c>
      <c r="ZC24" s="50">
        <f t="shared" ca="1" si="785"/>
        <v>51767.084180289145</v>
      </c>
      <c r="ZD24" s="50">
        <f t="shared" ca="1" si="786"/>
        <v>54164.978145996778</v>
      </c>
      <c r="ZE24" s="50">
        <f t="shared" ca="1" si="787"/>
        <v>54603.764207081244</v>
      </c>
      <c r="ZF24" s="50">
        <f t="shared" ca="1" si="788"/>
        <v>67621.754191546395</v>
      </c>
      <c r="ZG24" s="50">
        <f t="shared" ca="1" si="789"/>
        <v>54246.40131849207</v>
      </c>
      <c r="ZH24" s="50">
        <f t="shared" ca="1" si="790"/>
        <v>51842.03207172262</v>
      </c>
      <c r="ZI24" s="50">
        <f t="shared" ca="1" si="791"/>
        <v>56613.681698233049</v>
      </c>
      <c r="ZJ24" s="50">
        <f t="shared" ca="1" si="792"/>
        <v>56726.612519277456</v>
      </c>
      <c r="ZK24" s="50">
        <f t="shared" ca="1" si="793"/>
        <v>56096.699347819922</v>
      </c>
      <c r="ZL24" s="50">
        <f t="shared" ca="1" si="794"/>
        <v>56922.90374407568</v>
      </c>
      <c r="ZM24" s="50">
        <f t="shared" ca="1" si="795"/>
        <v>61143.836816345814</v>
      </c>
      <c r="ZN24" s="50">
        <f t="shared" ca="1" si="796"/>
        <v>51020.224686156631</v>
      </c>
      <c r="ZO24" s="50">
        <f t="shared" ca="1" si="797"/>
        <v>52673.109586676124</v>
      </c>
      <c r="ZP24" s="50">
        <f t="shared" ca="1" si="798"/>
        <v>67987.098898659809</v>
      </c>
      <c r="ZQ24" s="50">
        <f t="shared" ca="1" si="799"/>
        <v>61911.880023595266</v>
      </c>
      <c r="ZR24" s="50">
        <f t="shared" ca="1" si="800"/>
        <v>53147.176183421441</v>
      </c>
      <c r="ZS24" s="50">
        <f t="shared" ca="1" si="801"/>
        <v>66950.070298148479</v>
      </c>
      <c r="ZT24" s="50">
        <f t="shared" ca="1" si="802"/>
        <v>57974.096420079084</v>
      </c>
      <c r="ZU24" s="50">
        <f t="shared" ca="1" si="803"/>
        <v>58245.616007792931</v>
      </c>
      <c r="ZV24" s="50">
        <f t="shared" ca="1" si="804"/>
        <v>59468.890261641995</v>
      </c>
      <c r="ZW24" s="50">
        <f t="shared" ca="1" si="805"/>
        <v>59379.52587669756</v>
      </c>
      <c r="ZX24" s="50">
        <f t="shared" ca="1" si="806"/>
        <v>63557.74826822037</v>
      </c>
      <c r="ZY24" s="50">
        <f t="shared" ca="1" si="807"/>
        <v>49586.2884565481</v>
      </c>
      <c r="ZZ24" s="50">
        <f t="shared" ca="1" si="808"/>
        <v>69934.320200150876</v>
      </c>
      <c r="AAA24" s="50">
        <f t="shared" ca="1" si="809"/>
        <v>52742.793996437773</v>
      </c>
      <c r="AAB24" s="50">
        <f t="shared" ca="1" si="810"/>
        <v>59480.560831430565</v>
      </c>
      <c r="AAC24" s="50">
        <f t="shared" ca="1" si="811"/>
        <v>63597.439832417229</v>
      </c>
      <c r="AAD24" s="50">
        <f t="shared" ca="1" si="812"/>
        <v>54911.62283463627</v>
      </c>
      <c r="AAE24" s="50">
        <f t="shared" ca="1" si="813"/>
        <v>56383.081530451338</v>
      </c>
      <c r="AAF24" s="50">
        <f t="shared" ca="1" si="814"/>
        <v>46738.452464230868</v>
      </c>
      <c r="AAG24" s="50">
        <f t="shared" ca="1" si="815"/>
        <v>60392.386562756197</v>
      </c>
      <c r="AAH24" s="50">
        <f t="shared" ca="1" si="816"/>
        <v>61647.747400182197</v>
      </c>
      <c r="AAI24" s="50">
        <f t="shared" ca="1" si="817"/>
        <v>63535.977025973101</v>
      </c>
      <c r="AAJ24" s="50">
        <f t="shared" ca="1" si="818"/>
        <v>57501.910914111621</v>
      </c>
      <c r="AAK24" s="50">
        <f t="shared" ca="1" si="819"/>
        <v>64088.051642204773</v>
      </c>
      <c r="AAL24" s="50">
        <f t="shared" ca="1" si="820"/>
        <v>56492.516610067272</v>
      </c>
      <c r="AAM24" s="50">
        <f t="shared" ca="1" si="821"/>
        <v>55740.081582395425</v>
      </c>
      <c r="AAN24" s="50">
        <f t="shared" ca="1" si="822"/>
        <v>55886.617577645055</v>
      </c>
      <c r="AAO24" s="50">
        <f t="shared" ca="1" si="823"/>
        <v>55360.532970088396</v>
      </c>
      <c r="AAP24" s="50">
        <f t="shared" ca="1" si="824"/>
        <v>53272.894861902816</v>
      </c>
      <c r="AAQ24" s="50">
        <f t="shared" ca="1" si="825"/>
        <v>57736.098579929261</v>
      </c>
      <c r="AAR24" s="50">
        <f t="shared" ca="1" si="826"/>
        <v>56938.4757102562</v>
      </c>
      <c r="AAS24" s="50">
        <f t="shared" ca="1" si="827"/>
        <v>62867.333276241246</v>
      </c>
      <c r="AAT24" s="50">
        <f t="shared" ca="1" si="828"/>
        <v>54215.748679359313</v>
      </c>
      <c r="AAU24" s="50">
        <f t="shared" ca="1" si="829"/>
        <v>59156.596551590395</v>
      </c>
      <c r="AAV24" s="50">
        <f t="shared" ca="1" si="830"/>
        <v>53939.513437811183</v>
      </c>
      <c r="AAW24" s="50">
        <f t="shared" ca="1" si="831"/>
        <v>62389.206358954274</v>
      </c>
      <c r="AAX24" s="50">
        <f t="shared" ca="1" si="832"/>
        <v>61019.017130383436</v>
      </c>
      <c r="AAY24" s="50">
        <f t="shared" ca="1" si="833"/>
        <v>62085.354438300848</v>
      </c>
      <c r="AAZ24" s="50">
        <f t="shared" ca="1" si="834"/>
        <v>61045.416198173007</v>
      </c>
      <c r="ABA24" s="50">
        <f t="shared" ca="1" si="835"/>
        <v>54519.622438803999</v>
      </c>
      <c r="ABB24" s="50">
        <f t="shared" ca="1" si="836"/>
        <v>60035.917867197924</v>
      </c>
      <c r="ABC24" s="50">
        <f t="shared" ca="1" si="837"/>
        <v>57696.617287421461</v>
      </c>
      <c r="ABD24" s="50">
        <f t="shared" ca="1" si="838"/>
        <v>49939.217991817459</v>
      </c>
      <c r="ABE24" s="50">
        <f t="shared" ca="1" si="839"/>
        <v>61576.416914216672</v>
      </c>
      <c r="ABF24" s="50">
        <f t="shared" ca="1" si="840"/>
        <v>57245.775091345524</v>
      </c>
      <c r="ABG24" s="50">
        <f t="shared" ca="1" si="841"/>
        <v>61252.301088626475</v>
      </c>
      <c r="ABH24" s="50">
        <f t="shared" ca="1" si="842"/>
        <v>56997.016895503853</v>
      </c>
      <c r="ABI24" s="50">
        <f t="shared" ca="1" si="843"/>
        <v>55250.920092809662</v>
      </c>
      <c r="ABJ24" s="50">
        <f t="shared" ca="1" si="844"/>
        <v>59787.880952720137</v>
      </c>
      <c r="ABK24" s="50">
        <f t="shared" ca="1" si="845"/>
        <v>59425.184343695633</v>
      </c>
      <c r="ABL24" s="50">
        <f t="shared" ca="1" si="846"/>
        <v>65132.584200828765</v>
      </c>
      <c r="ABM24" s="50">
        <f t="shared" ca="1" si="847"/>
        <v>56956.23196254998</v>
      </c>
      <c r="ABN24" s="50">
        <f t="shared" ca="1" si="848"/>
        <v>59098.803792906263</v>
      </c>
      <c r="ABO24" s="50">
        <f t="shared" ca="1" si="849"/>
        <v>52335.625288501484</v>
      </c>
      <c r="ABP24" s="50">
        <f t="shared" ca="1" si="850"/>
        <v>56048.012436666686</v>
      </c>
      <c r="ABQ24" s="50">
        <f t="shared" ca="1" si="851"/>
        <v>52629.808422777009</v>
      </c>
      <c r="ABR24" s="50">
        <f t="shared" ca="1" si="852"/>
        <v>56030.270858070369</v>
      </c>
      <c r="ABS24" s="50">
        <f t="shared" ca="1" si="853"/>
        <v>62180.245124947251</v>
      </c>
      <c r="ABT24" s="50">
        <f t="shared" ca="1" si="854"/>
        <v>54533.502631796247</v>
      </c>
      <c r="ABU24" s="50">
        <f t="shared" ca="1" si="855"/>
        <v>58162.721483642104</v>
      </c>
      <c r="ABV24" s="50">
        <f t="shared" ca="1" si="856"/>
        <v>53091.666679034352</v>
      </c>
      <c r="ABW24" s="50">
        <f t="shared" ca="1" si="857"/>
        <v>50383.349952054428</v>
      </c>
      <c r="ABX24" s="50">
        <f t="shared" ca="1" si="858"/>
        <v>59688.880261949009</v>
      </c>
      <c r="ABY24" s="50">
        <f t="shared" ca="1" si="859"/>
        <v>54736.756668406029</v>
      </c>
      <c r="ABZ24" s="50">
        <f t="shared" ca="1" si="860"/>
        <v>54047.87692927735</v>
      </c>
      <c r="ACA24" s="50">
        <f t="shared" ca="1" si="861"/>
        <v>64107.772414489256</v>
      </c>
      <c r="ACB24" s="50">
        <f t="shared" ca="1" si="862"/>
        <v>64211.039442119705</v>
      </c>
      <c r="ACC24" s="50">
        <f t="shared" ca="1" si="863"/>
        <v>59454.880630322114</v>
      </c>
      <c r="ACD24" s="50">
        <f t="shared" ca="1" si="864"/>
        <v>53109.583382249213</v>
      </c>
      <c r="ACE24" s="50">
        <f t="shared" ca="1" si="865"/>
        <v>67319.12137294111</v>
      </c>
      <c r="ACF24" s="50">
        <f t="shared" ca="1" si="866"/>
        <v>54811.350502654503</v>
      </c>
      <c r="ACG24" s="50">
        <f t="shared" ca="1" si="867"/>
        <v>67863.108245903684</v>
      </c>
      <c r="ACH24" s="50">
        <f t="shared" ca="1" si="868"/>
        <v>63029.321342552234</v>
      </c>
      <c r="ACI24" s="50">
        <f t="shared" ca="1" si="869"/>
        <v>57212.664310052962</v>
      </c>
      <c r="ACJ24" s="50">
        <f t="shared" ca="1" si="870"/>
        <v>72557.06578571799</v>
      </c>
      <c r="ACK24" s="50">
        <f t="shared" ca="1" si="871"/>
        <v>56794.478901299379</v>
      </c>
      <c r="ACL24" s="50">
        <f t="shared" ca="1" si="872"/>
        <v>52010.229301000094</v>
      </c>
      <c r="ACM24" s="50">
        <f t="shared" ca="1" si="873"/>
        <v>55968.737152573129</v>
      </c>
      <c r="ACN24" s="50">
        <f t="shared" ca="1" si="874"/>
        <v>55597.213503333674</v>
      </c>
      <c r="ACO24" s="50">
        <f t="shared" ca="1" si="875"/>
        <v>48732.536931779847</v>
      </c>
      <c r="ACP24" s="50">
        <f t="shared" ca="1" si="876"/>
        <v>52773.234110907324</v>
      </c>
      <c r="ACQ24" s="50">
        <f t="shared" ca="1" si="877"/>
        <v>50053.563796784583</v>
      </c>
      <c r="ACR24" s="50">
        <f t="shared" ca="1" si="878"/>
        <v>53288.511350165107</v>
      </c>
      <c r="ACS24" s="50">
        <f t="shared" ca="1" si="879"/>
        <v>54911.58919746129</v>
      </c>
      <c r="ACT24" s="50">
        <f t="shared" ca="1" si="880"/>
        <v>57320.299921285368</v>
      </c>
      <c r="ACU24" s="50">
        <f t="shared" ca="1" si="881"/>
        <v>53587.392810129459</v>
      </c>
      <c r="ACV24" s="50">
        <f t="shared" ca="1" si="882"/>
        <v>56253.116225714839</v>
      </c>
      <c r="ACW24" s="50">
        <f t="shared" ca="1" si="883"/>
        <v>59732.945833976832</v>
      </c>
      <c r="ACX24" s="50">
        <f t="shared" ca="1" si="884"/>
        <v>59155.059503047014</v>
      </c>
      <c r="ACY24" s="50">
        <f t="shared" ca="1" si="885"/>
        <v>50390.473072098932</v>
      </c>
      <c r="ACZ24" s="50">
        <f t="shared" ca="1" si="886"/>
        <v>58324.369208795419</v>
      </c>
      <c r="ADA24" s="50">
        <f t="shared" ca="1" si="887"/>
        <v>68879.004792910215</v>
      </c>
      <c r="ADB24" s="50">
        <f t="shared" ca="1" si="888"/>
        <v>58922.51982217266</v>
      </c>
      <c r="ADC24" s="50">
        <f t="shared" ca="1" si="889"/>
        <v>61279.095390325449</v>
      </c>
      <c r="ADD24" s="50">
        <f t="shared" ca="1" si="890"/>
        <v>49117.371931436122</v>
      </c>
      <c r="ADE24" s="50">
        <f t="shared" ca="1" si="891"/>
        <v>61279.952749973214</v>
      </c>
      <c r="ADF24" s="50">
        <f t="shared" ca="1" si="892"/>
        <v>59642.75322459668</v>
      </c>
      <c r="ADG24" s="50">
        <f t="shared" ca="1" si="893"/>
        <v>63394.136394190406</v>
      </c>
      <c r="ADH24" s="50">
        <f t="shared" ca="1" si="894"/>
        <v>58300.81038080639</v>
      </c>
      <c r="ADI24" s="50">
        <f t="shared" ca="1" si="895"/>
        <v>47293.004811703169</v>
      </c>
      <c r="ADJ24" s="50">
        <f t="shared" ca="1" si="896"/>
        <v>58000.179717896841</v>
      </c>
      <c r="ADK24" s="50">
        <f t="shared" ca="1" si="897"/>
        <v>55401.063527362858</v>
      </c>
      <c r="ADL24" s="50">
        <f t="shared" ca="1" si="898"/>
        <v>56969.756061177795</v>
      </c>
      <c r="ADM24" s="50">
        <f t="shared" ca="1" si="899"/>
        <v>59945.086868155653</v>
      </c>
      <c r="ADN24" s="50">
        <f t="shared" ca="1" si="900"/>
        <v>61352.078374980018</v>
      </c>
      <c r="ADO24" s="50">
        <f t="shared" ca="1" si="901"/>
        <v>52983.082856347704</v>
      </c>
      <c r="ADP24" s="50">
        <f t="shared" ca="1" si="902"/>
        <v>58718.060468165248</v>
      </c>
      <c r="ADQ24" s="50">
        <f t="shared" ca="1" si="903"/>
        <v>50188.724248831997</v>
      </c>
      <c r="ADR24" s="50">
        <f t="shared" ca="1" si="904"/>
        <v>57918.749596139576</v>
      </c>
      <c r="ADS24" s="50">
        <f t="shared" ca="1" si="905"/>
        <v>56739.359485044224</v>
      </c>
      <c r="ADT24" s="50">
        <f t="shared" ca="1" si="906"/>
        <v>61038.972654594727</v>
      </c>
      <c r="ADU24" s="50">
        <f t="shared" ca="1" si="907"/>
        <v>56424.815381983783</v>
      </c>
      <c r="ADV24" s="50">
        <f t="shared" ca="1" si="908"/>
        <v>66165.68489332615</v>
      </c>
      <c r="ADW24" s="50">
        <f t="shared" ca="1" si="909"/>
        <v>55720.725149761005</v>
      </c>
      <c r="ADX24" s="50">
        <f t="shared" ca="1" si="910"/>
        <v>59158.189925823528</v>
      </c>
      <c r="ADY24" s="50">
        <f t="shared" ca="1" si="911"/>
        <v>56777.503780070227</v>
      </c>
      <c r="ADZ24" s="50">
        <f t="shared" ca="1" si="912"/>
        <v>53908.285901046431</v>
      </c>
      <c r="AEA24" s="50">
        <f t="shared" ca="1" si="913"/>
        <v>56677.809745485545</v>
      </c>
      <c r="AEB24" s="50">
        <f t="shared" ca="1" si="914"/>
        <v>65196.84914572868</v>
      </c>
      <c r="AEC24" s="50">
        <f t="shared" ca="1" si="915"/>
        <v>71849.602966224513</v>
      </c>
      <c r="AED24" s="50">
        <f t="shared" ca="1" si="916"/>
        <v>65064.282713465596</v>
      </c>
      <c r="AEE24" s="50">
        <f t="shared" ca="1" si="917"/>
        <v>54891.716499458307</v>
      </c>
      <c r="AEF24" s="50">
        <f t="shared" ca="1" si="918"/>
        <v>58737.965116960026</v>
      </c>
      <c r="AEG24" s="50">
        <f t="shared" ca="1" si="919"/>
        <v>55936.979240193104</v>
      </c>
      <c r="AEH24" s="50">
        <f t="shared" ca="1" si="920"/>
        <v>68865.874139234787</v>
      </c>
      <c r="AEI24" s="50">
        <f t="shared" ca="1" si="921"/>
        <v>60896.487851687169</v>
      </c>
      <c r="AEJ24" s="50">
        <f t="shared" ca="1" si="922"/>
        <v>58196.262138222039</v>
      </c>
      <c r="AEK24" s="50">
        <f t="shared" ca="1" si="923"/>
        <v>61796.3510414517</v>
      </c>
      <c r="AEL24" s="50">
        <f t="shared" ca="1" si="924"/>
        <v>58823.056896659298</v>
      </c>
      <c r="AEM24" s="50">
        <f t="shared" ca="1" si="925"/>
        <v>75795.449842311122</v>
      </c>
      <c r="AEN24" s="50">
        <f t="shared" ca="1" si="926"/>
        <v>69013.99834810372</v>
      </c>
      <c r="AEO24" s="50">
        <f t="shared" ca="1" si="927"/>
        <v>70312.408543986414</v>
      </c>
      <c r="AEP24" s="50">
        <f t="shared" ca="1" si="928"/>
        <v>54257.901105085853</v>
      </c>
      <c r="AEQ24" s="50">
        <f t="shared" ca="1" si="929"/>
        <v>58821.89341247869</v>
      </c>
      <c r="AER24" s="50">
        <f t="shared" ca="1" si="930"/>
        <v>57900.173499299228</v>
      </c>
      <c r="AES24" s="50">
        <f t="shared" ca="1" si="931"/>
        <v>54775.984391024045</v>
      </c>
      <c r="AET24" s="50">
        <f t="shared" ca="1" si="932"/>
        <v>66878.608745902893</v>
      </c>
      <c r="AEU24" s="50">
        <f t="shared" ca="1" si="933"/>
        <v>66360.720405928354</v>
      </c>
      <c r="AEV24" s="50">
        <f t="shared" ca="1" si="934"/>
        <v>66705.944180838749</v>
      </c>
      <c r="AEW24" s="50">
        <f t="shared" ca="1" si="935"/>
        <v>62742.342650981605</v>
      </c>
      <c r="AEX24" s="50">
        <f t="shared" ca="1" si="936"/>
        <v>55257.830231921034</v>
      </c>
      <c r="AEY24" s="50">
        <f t="shared" ca="1" si="937"/>
        <v>61694.816405821824</v>
      </c>
      <c r="AEZ24" s="50">
        <f t="shared" ca="1" si="938"/>
        <v>56427.428516695923</v>
      </c>
      <c r="AFA24" s="50">
        <f t="shared" ca="1" si="939"/>
        <v>54264.56454436521</v>
      </c>
      <c r="AFB24" s="50">
        <f t="shared" ca="1" si="940"/>
        <v>57569.082133241965</v>
      </c>
      <c r="AFC24" s="50">
        <f t="shared" ca="1" si="941"/>
        <v>59016.552941310394</v>
      </c>
      <c r="AFD24" s="50">
        <f t="shared" ca="1" si="942"/>
        <v>60810.903944721511</v>
      </c>
      <c r="AFE24" s="50">
        <f t="shared" ca="1" si="943"/>
        <v>50266.001565977604</v>
      </c>
      <c r="AFF24" s="50">
        <f t="shared" ca="1" si="944"/>
        <v>58110.441002009022</v>
      </c>
      <c r="AFG24" s="50">
        <f t="shared" ca="1" si="945"/>
        <v>54783.229861411608</v>
      </c>
      <c r="AFH24" s="50">
        <f t="shared" ca="1" si="946"/>
        <v>52257.712456068424</v>
      </c>
      <c r="AFI24" s="50">
        <f t="shared" ca="1" si="947"/>
        <v>52761.565950997843</v>
      </c>
      <c r="AFJ24" s="50">
        <f t="shared" ca="1" si="948"/>
        <v>54351.46953958588</v>
      </c>
      <c r="AFK24" s="50">
        <f t="shared" ca="1" si="949"/>
        <v>55983.710150624436</v>
      </c>
      <c r="AFL24" s="50">
        <f t="shared" ca="1" si="950"/>
        <v>53582.227258011662</v>
      </c>
      <c r="AFM24" s="50">
        <f t="shared" ca="1" si="951"/>
        <v>54289.732674565399</v>
      </c>
      <c r="AFN24" s="50">
        <f t="shared" ca="1" si="952"/>
        <v>53445.282764805648</v>
      </c>
      <c r="AFO24" s="50">
        <f t="shared" ca="1" si="953"/>
        <v>61384.102969322274</v>
      </c>
      <c r="AFP24" s="50">
        <f t="shared" ca="1" si="954"/>
        <v>61352.2019981716</v>
      </c>
      <c r="AFQ24" s="50">
        <f t="shared" ca="1" si="955"/>
        <v>60792.955070106138</v>
      </c>
      <c r="AFR24" s="50">
        <f t="shared" ca="1" si="956"/>
        <v>57146.960340056394</v>
      </c>
      <c r="AFS24" s="50">
        <f t="shared" ca="1" si="957"/>
        <v>52130.281246429069</v>
      </c>
      <c r="AFT24" s="50">
        <f t="shared" ca="1" si="958"/>
        <v>62497.470808805359</v>
      </c>
      <c r="AFU24" s="50">
        <f t="shared" ca="1" si="959"/>
        <v>58917.314978518647</v>
      </c>
      <c r="AFV24" s="50">
        <f t="shared" ca="1" si="960"/>
        <v>59717.277866742996</v>
      </c>
      <c r="AFW24" s="50">
        <f t="shared" ca="1" si="961"/>
        <v>61701.723051916815</v>
      </c>
      <c r="AFX24" s="50">
        <f t="shared" ca="1" si="962"/>
        <v>59901.853198495897</v>
      </c>
      <c r="AFY24" s="50">
        <f t="shared" ca="1" si="963"/>
        <v>56246.282537713378</v>
      </c>
      <c r="AFZ24" s="50">
        <f t="shared" ca="1" si="964"/>
        <v>58953.977357340023</v>
      </c>
      <c r="AGA24" s="50">
        <f t="shared" ca="1" si="965"/>
        <v>66831.496602078769</v>
      </c>
      <c r="AGB24" s="50">
        <f t="shared" ca="1" si="966"/>
        <v>60490.48168705342</v>
      </c>
      <c r="AGC24" s="50">
        <f t="shared" ca="1" si="967"/>
        <v>62469.555426425366</v>
      </c>
      <c r="AGD24" s="50">
        <f t="shared" ca="1" si="968"/>
        <v>54051.247660780289</v>
      </c>
      <c r="AGE24" s="50">
        <f t="shared" ca="1" si="969"/>
        <v>54715.43946812331</v>
      </c>
      <c r="AGF24" s="50">
        <f t="shared" ca="1" si="970"/>
        <v>52314.189817708968</v>
      </c>
      <c r="AGG24" s="50">
        <f t="shared" ca="1" si="971"/>
        <v>57187.107375752894</v>
      </c>
      <c r="AGH24" s="50">
        <f t="shared" ca="1" si="972"/>
        <v>65595.082120618506</v>
      </c>
      <c r="AGI24" s="50">
        <f t="shared" ca="1" si="973"/>
        <v>54837.356135030612</v>
      </c>
      <c r="AGJ24" s="50">
        <f t="shared" ca="1" si="974"/>
        <v>60537.191141177995</v>
      </c>
      <c r="AGK24" s="50">
        <f t="shared" ca="1" si="975"/>
        <v>74537.593950403898</v>
      </c>
      <c r="AGL24" s="50">
        <f t="shared" ca="1" si="976"/>
        <v>50908.838650001038</v>
      </c>
      <c r="AGM24" s="50">
        <f t="shared" ca="1" si="977"/>
        <v>56909.417681809049</v>
      </c>
      <c r="AGN24" s="50">
        <f t="shared" ca="1" si="978"/>
        <v>61509.458013116382</v>
      </c>
      <c r="AGO24" s="50">
        <f t="shared" ca="1" si="979"/>
        <v>46646.799470496917</v>
      </c>
      <c r="AGP24" s="50">
        <f t="shared" ca="1" si="980"/>
        <v>59062.434828653903</v>
      </c>
      <c r="AGQ24" s="50">
        <f t="shared" ca="1" si="981"/>
        <v>65061.051717620081</v>
      </c>
      <c r="AGR24" s="50">
        <f t="shared" ca="1" si="982"/>
        <v>60546.898668296977</v>
      </c>
      <c r="AGS24" s="50">
        <f t="shared" ca="1" si="983"/>
        <v>60275.729943193277</v>
      </c>
      <c r="AGT24" s="50">
        <f t="shared" ca="1" si="984"/>
        <v>63178.295787784722</v>
      </c>
      <c r="AGU24" s="50">
        <f t="shared" ca="1" si="985"/>
        <v>61112.578008402554</v>
      </c>
      <c r="AGV24" s="50">
        <f t="shared" ca="1" si="986"/>
        <v>61989.072361968138</v>
      </c>
      <c r="AGW24" s="50">
        <f t="shared" ca="1" si="987"/>
        <v>53799.328634441714</v>
      </c>
      <c r="AGX24" s="50">
        <f t="shared" ca="1" si="988"/>
        <v>55279.416605175116</v>
      </c>
      <c r="AGY24" s="50">
        <f t="shared" ca="1" si="989"/>
        <v>66410.214096694923</v>
      </c>
      <c r="AGZ24" s="50">
        <f t="shared" ca="1" si="990"/>
        <v>54104.095228388753</v>
      </c>
      <c r="AHA24" s="50">
        <f t="shared" ca="1" si="991"/>
        <v>67053.792508895975</v>
      </c>
      <c r="AHB24" s="50">
        <f t="shared" ca="1" si="992"/>
        <v>52669.333381669167</v>
      </c>
      <c r="AHC24" s="50">
        <f t="shared" ca="1" si="993"/>
        <v>66516.301450030136</v>
      </c>
      <c r="AHD24" s="50">
        <f t="shared" ca="1" si="994"/>
        <v>46931.636931704954</v>
      </c>
      <c r="AHE24" s="50">
        <f t="shared" ca="1" si="995"/>
        <v>65070.149306593834</v>
      </c>
      <c r="AHF24" s="50">
        <f t="shared" ca="1" si="996"/>
        <v>60268.283435051402</v>
      </c>
      <c r="AHG24" s="50">
        <f t="shared" ca="1" si="997"/>
        <v>56673.545167840042</v>
      </c>
      <c r="AHH24" s="50">
        <f t="shared" ca="1" si="998"/>
        <v>65126.39748613118</v>
      </c>
      <c r="AHI24" s="50">
        <f t="shared" ca="1" si="999"/>
        <v>55133.018818557583</v>
      </c>
      <c r="AHJ24" s="50">
        <f t="shared" ca="1" si="1000"/>
        <v>73156.900323902286</v>
      </c>
      <c r="AHK24" s="50">
        <f t="shared" ca="1" si="1001"/>
        <v>56216.212080154401</v>
      </c>
      <c r="AHL24" s="50">
        <f t="shared" ca="1" si="1002"/>
        <v>54362.13909913574</v>
      </c>
      <c r="AHM24" s="50">
        <f t="shared" ca="1" si="1003"/>
        <v>64072.079803057582</v>
      </c>
      <c r="AHN24" s="50">
        <f t="shared" ca="1" si="1004"/>
        <v>70215.105131280478</v>
      </c>
      <c r="AHO24" s="50">
        <f t="shared" ca="1" si="1005"/>
        <v>56242.181815963078</v>
      </c>
      <c r="AHP24" s="50">
        <f t="shared" ca="1" si="1006"/>
        <v>52111.781144050605</v>
      </c>
      <c r="AHQ24" s="50">
        <f t="shared" ca="1" si="1007"/>
        <v>58507.11027211175</v>
      </c>
      <c r="AHR24" s="50">
        <f t="shared" ca="1" si="1008"/>
        <v>59902.331046037041</v>
      </c>
      <c r="AHS24" s="50">
        <f t="shared" ca="1" si="1009"/>
        <v>53011.675549525913</v>
      </c>
      <c r="AHT24" s="50">
        <f t="shared" ca="1" si="1010"/>
        <v>60166.442805278493</v>
      </c>
      <c r="AHU24" s="50">
        <f t="shared" ca="1" si="1011"/>
        <v>49201.650241774383</v>
      </c>
      <c r="AHV24" s="50">
        <f t="shared" ca="1" si="1012"/>
        <v>55653.268921266754</v>
      </c>
      <c r="AHW24" s="50">
        <f t="shared" ca="1" si="1013"/>
        <v>50850.610254261024</v>
      </c>
      <c r="AHX24" s="50">
        <f t="shared" ca="1" si="1014"/>
        <v>58582.826853546721</v>
      </c>
      <c r="AHY24" s="50">
        <f t="shared" ca="1" si="1015"/>
        <v>68738.993641109599</v>
      </c>
      <c r="AHZ24" s="50">
        <f t="shared" ca="1" si="1016"/>
        <v>60483.701455401431</v>
      </c>
      <c r="AIA24" s="50">
        <f t="shared" ca="1" si="1017"/>
        <v>49077.070334894968</v>
      </c>
      <c r="AIB24" s="50">
        <f t="shared" ca="1" si="1018"/>
        <v>55626.306107724115</v>
      </c>
      <c r="AIC24" s="50">
        <f t="shared" ca="1" si="1019"/>
        <v>52064.806477038161</v>
      </c>
      <c r="AID24" s="50">
        <f t="shared" ca="1" si="1020"/>
        <v>65172.401092143424</v>
      </c>
      <c r="AIE24" s="50">
        <f t="shared" ca="1" si="1021"/>
        <v>58488.667406185203</v>
      </c>
      <c r="AIF24" s="50">
        <f t="shared" ca="1" si="1022"/>
        <v>57394.304627401245</v>
      </c>
      <c r="AIG24" s="50">
        <f t="shared" ca="1" si="1023"/>
        <v>59909.723136247128</v>
      </c>
      <c r="AIH24" s="50">
        <f t="shared" ca="1" si="1024"/>
        <v>60106.892457451941</v>
      </c>
      <c r="AII24" s="50">
        <f t="shared" ca="1" si="1025"/>
        <v>58723.529844025346</v>
      </c>
      <c r="AIJ24" s="50">
        <f t="shared" ca="1" si="1026"/>
        <v>59872.607061026763</v>
      </c>
      <c r="AIK24" s="50">
        <f t="shared" ca="1" si="1027"/>
        <v>62817.890778224428</v>
      </c>
      <c r="AIL24" s="50">
        <f t="shared" ca="1" si="1028"/>
        <v>59613.142116202376</v>
      </c>
      <c r="AIM24" s="50">
        <f t="shared" ca="1" si="1029"/>
        <v>56200.580286337485</v>
      </c>
      <c r="AIN24" s="50">
        <f t="shared" ca="1" si="1030"/>
        <v>62924.915451492023</v>
      </c>
      <c r="AIO24" s="50">
        <f t="shared" ca="1" si="1031"/>
        <v>53309.019110405658</v>
      </c>
      <c r="AIP24" s="50">
        <f t="shared" ca="1" si="1032"/>
        <v>67467.796388212068</v>
      </c>
      <c r="AIQ24" s="50">
        <f t="shared" ca="1" si="1033"/>
        <v>54016.00254704844</v>
      </c>
      <c r="AIR24" s="50">
        <f t="shared" ca="1" si="1034"/>
        <v>54628.845329851116</v>
      </c>
      <c r="AIS24" s="50">
        <f t="shared" ca="1" si="1035"/>
        <v>54965.494666191371</v>
      </c>
      <c r="AIT24" s="50">
        <f t="shared" ca="1" si="1036"/>
        <v>44571.226368553223</v>
      </c>
      <c r="AIU24" s="50">
        <f t="shared" ca="1" si="1037"/>
        <v>52778.649915741895</v>
      </c>
      <c r="AIV24" s="50">
        <f t="shared" ca="1" si="1038"/>
        <v>56882.704603856982</v>
      </c>
      <c r="AIW24" s="50">
        <f t="shared" ca="1" si="1039"/>
        <v>59831.775868981196</v>
      </c>
      <c r="AIX24" s="50">
        <f t="shared" ca="1" si="1040"/>
        <v>60247.3394109402</v>
      </c>
      <c r="AIY24" s="50">
        <f t="shared" ca="1" si="1041"/>
        <v>45428.230269115978</v>
      </c>
      <c r="AIZ24" s="50">
        <f t="shared" ca="1" si="1042"/>
        <v>68941.212482220973</v>
      </c>
      <c r="AJA24" s="50">
        <f t="shared" ca="1" si="1043"/>
        <v>62241.259100930627</v>
      </c>
      <c r="AJB24" s="50">
        <f t="shared" ca="1" si="1044"/>
        <v>64646.819444783876</v>
      </c>
      <c r="AJC24" s="50">
        <f t="shared" ca="1" si="1045"/>
        <v>56973.584392805933</v>
      </c>
      <c r="AJD24" s="50">
        <f t="shared" ca="1" si="1046"/>
        <v>57047.594686371383</v>
      </c>
      <c r="AJE24" s="50">
        <f t="shared" ca="1" si="1047"/>
        <v>60953.556118266759</v>
      </c>
      <c r="AJF24" s="50">
        <f t="shared" ca="1" si="1048"/>
        <v>63516.813874233056</v>
      </c>
      <c r="AJG24" s="50">
        <f t="shared" ca="1" si="1049"/>
        <v>63630.293858592835</v>
      </c>
      <c r="AJH24" s="50">
        <f t="shared" ca="1" si="1050"/>
        <v>62607.791206725647</v>
      </c>
      <c r="AJI24" s="50">
        <f t="shared" ca="1" si="1051"/>
        <v>55804.820457538066</v>
      </c>
      <c r="AJJ24" s="50">
        <f t="shared" ca="1" si="1052"/>
        <v>68853.790584369184</v>
      </c>
      <c r="AJK24" s="50">
        <f t="shared" ca="1" si="1053"/>
        <v>50234.06176125312</v>
      </c>
      <c r="AJL24" s="50">
        <f t="shared" ca="1" si="1054"/>
        <v>58941.228916374093</v>
      </c>
      <c r="AJM24" s="50">
        <f t="shared" ca="1" si="1055"/>
        <v>52626.144164209152</v>
      </c>
      <c r="AJN24" s="50">
        <f t="shared" ca="1" si="1056"/>
        <v>65219.648680092789</v>
      </c>
      <c r="AJO24" s="50">
        <f t="shared" ca="1" si="1057"/>
        <v>51055.467892676061</v>
      </c>
      <c r="AJP24" s="50">
        <f t="shared" ca="1" si="1058"/>
        <v>64130.389253269561</v>
      </c>
      <c r="AJQ24" s="50">
        <f t="shared" ca="1" si="1059"/>
        <v>60294.45055832465</v>
      </c>
      <c r="AJR24" s="50">
        <f t="shared" ca="1" si="1060"/>
        <v>62154.428552498088</v>
      </c>
      <c r="AJS24" s="50">
        <f t="shared" ca="1" si="1061"/>
        <v>53557.821901219308</v>
      </c>
      <c r="AJT24" s="50">
        <f t="shared" ca="1" si="1062"/>
        <v>54507.46751659533</v>
      </c>
      <c r="AJU24" s="50">
        <f t="shared" ca="1" si="1063"/>
        <v>62701.615061506331</v>
      </c>
      <c r="AJV24" s="50">
        <f t="shared" ca="1" si="1064"/>
        <v>56811.257091605949</v>
      </c>
      <c r="AJW24" s="50">
        <f t="shared" ca="1" si="1065"/>
        <v>51120.875222268478</v>
      </c>
      <c r="AJX24" s="50">
        <f t="shared" ca="1" si="1066"/>
        <v>54052.026184910457</v>
      </c>
      <c r="AJY24" s="50">
        <f t="shared" ca="1" si="1067"/>
        <v>60684.627419319266</v>
      </c>
      <c r="AJZ24" s="50">
        <f t="shared" ca="1" si="1068"/>
        <v>61960.119085467224</v>
      </c>
      <c r="AKA24" s="50">
        <f t="shared" ca="1" si="1069"/>
        <v>64656.217638613263</v>
      </c>
      <c r="AKB24" s="50">
        <f t="shared" ca="1" si="1070"/>
        <v>55750.017176511254</v>
      </c>
      <c r="AKC24" s="50">
        <f t="shared" ca="1" si="1071"/>
        <v>59414.788246916316</v>
      </c>
      <c r="AKD24" s="50">
        <f t="shared" ca="1" si="1072"/>
        <v>60687.2901989292</v>
      </c>
      <c r="AKE24" s="50">
        <f t="shared" ca="1" si="1073"/>
        <v>55491.361852240807</v>
      </c>
      <c r="AKF24" s="50">
        <f t="shared" ca="1" si="1074"/>
        <v>53870.913995502407</v>
      </c>
      <c r="AKG24" s="50">
        <f t="shared" ca="1" si="1075"/>
        <v>58660.3814920921</v>
      </c>
      <c r="AKH24" s="50">
        <f t="shared" ca="1" si="1076"/>
        <v>58426.636469663201</v>
      </c>
      <c r="AKI24" s="50">
        <f t="shared" ca="1" si="1077"/>
        <v>59913.602681832548</v>
      </c>
      <c r="AKJ24" s="50">
        <f t="shared" ca="1" si="1078"/>
        <v>62778.061641588436</v>
      </c>
      <c r="AKK24" s="50">
        <f t="shared" ca="1" si="1079"/>
        <v>55572.780407255057</v>
      </c>
      <c r="AKL24" s="50">
        <f t="shared" ca="1" si="1080"/>
        <v>63817.488712562743</v>
      </c>
      <c r="AKM24" s="50">
        <f t="shared" ca="1" si="1081"/>
        <v>57918.240994285683</v>
      </c>
      <c r="AKN24" s="50">
        <f t="shared" ca="1" si="1082"/>
        <v>61208.169959339277</v>
      </c>
      <c r="AKO24" s="50">
        <f t="shared" ca="1" si="1083"/>
        <v>58499.691130335712</v>
      </c>
      <c r="AKP24" s="50">
        <f t="shared" ca="1" si="1084"/>
        <v>59440.544009887366</v>
      </c>
      <c r="AKQ24" s="50">
        <f t="shared" ca="1" si="1085"/>
        <v>51401.411262218309</v>
      </c>
      <c r="AKR24" s="50">
        <f t="shared" ca="1" si="1086"/>
        <v>50560.641173908232</v>
      </c>
      <c r="AKS24" s="50">
        <f t="shared" ca="1" si="1087"/>
        <v>56438.210577127233</v>
      </c>
      <c r="AKT24" s="50">
        <f t="shared" ca="1" si="1088"/>
        <v>53082.200880375887</v>
      </c>
      <c r="AKU24" s="50">
        <f t="shared" ca="1" si="1089"/>
        <v>56310.14466281738</v>
      </c>
      <c r="AKV24" s="50">
        <f t="shared" ca="1" si="1090"/>
        <v>54988.560422682043</v>
      </c>
      <c r="AKW24" s="50">
        <f t="shared" ca="1" si="1091"/>
        <v>64877.233285868009</v>
      </c>
      <c r="AKX24" s="50">
        <f t="shared" ca="1" si="1092"/>
        <v>69379.67797748973</v>
      </c>
      <c r="AKY24" s="50">
        <f t="shared" ca="1" si="1093"/>
        <v>53574.049465422228</v>
      </c>
      <c r="AKZ24" s="50">
        <f t="shared" ca="1" si="1094"/>
        <v>57710.521679086756</v>
      </c>
      <c r="ALA24" s="50">
        <f t="shared" ca="1" si="1095"/>
        <v>60346.592524488144</v>
      </c>
      <c r="ALB24" s="50">
        <f t="shared" ca="1" si="1096"/>
        <v>58568.316925579893</v>
      </c>
      <c r="ALC24" s="50">
        <f t="shared" ca="1" si="1097"/>
        <v>59096.948225937042</v>
      </c>
      <c r="ALD24" s="50">
        <f t="shared" ca="1" si="1098"/>
        <v>62507.42459241343</v>
      </c>
      <c r="ALE24" s="50">
        <f t="shared" ca="1" si="1099"/>
        <v>52127.50279953378</v>
      </c>
      <c r="ALF24" s="50">
        <f t="shared" ca="1" si="1100"/>
        <v>58223.061822239346</v>
      </c>
      <c r="ALG24" s="50">
        <f t="shared" ca="1" si="1101"/>
        <v>53363.720346928094</v>
      </c>
      <c r="ALH24" s="50">
        <f t="shared" ca="1" si="1102"/>
        <v>52616.209993359174</v>
      </c>
      <c r="ALI24" s="50">
        <f t="shared" ca="1" si="1103"/>
        <v>57323.084520154203</v>
      </c>
      <c r="ALJ24" s="50">
        <f t="shared" ca="1" si="1104"/>
        <v>61980.622309801351</v>
      </c>
      <c r="ALK24" s="50">
        <f t="shared" ca="1" si="1105"/>
        <v>67307.202154074679</v>
      </c>
      <c r="ALL24" s="50">
        <f t="shared" ca="1" si="1106"/>
        <v>64038.117423527445</v>
      </c>
      <c r="ALM24" s="50">
        <f t="shared" ca="1" si="1107"/>
        <v>53753.243494836461</v>
      </c>
      <c r="ALN24" s="50">
        <f t="shared" ca="1" si="1108"/>
        <v>57252.791736536623</v>
      </c>
      <c r="ALO24" s="50">
        <f t="shared" ca="1" si="1109"/>
        <v>74696.352007909532</v>
      </c>
      <c r="ALP24" s="50">
        <f t="shared" ca="1" si="1110"/>
        <v>50865.521933755692</v>
      </c>
      <c r="ALQ24" s="50">
        <f t="shared" ca="1" si="1111"/>
        <v>52330.285045190802</v>
      </c>
      <c r="ALR24" s="50">
        <f t="shared" ca="1" si="1112"/>
        <v>58145.461841338023</v>
      </c>
    </row>
    <row r="25" spans="1:1006" s="35" customFormat="1" x14ac:dyDescent="0.2">
      <c r="F25" s="32">
        <f t="shared" si="1114"/>
        <v>6</v>
      </c>
      <c r="G25" s="50">
        <f t="shared" ca="1" si="1115"/>
        <v>57896.444058960529</v>
      </c>
      <c r="H25" s="50">
        <f t="shared" ca="1" si="1113"/>
        <v>46357.572590177151</v>
      </c>
      <c r="I25" s="50">
        <f t="shared" ca="1" si="1113"/>
        <v>53419.899202639237</v>
      </c>
      <c r="J25" s="50">
        <f t="shared" ca="1" si="1113"/>
        <v>56892.637089839751</v>
      </c>
      <c r="K25" s="50">
        <f t="shared" ca="1" si="1113"/>
        <v>68680.257401928815</v>
      </c>
      <c r="L25" s="50">
        <f t="shared" ca="1" si="118"/>
        <v>70169.915669535549</v>
      </c>
      <c r="M25" s="50">
        <f t="shared" ca="1" si="119"/>
        <v>57094.254202360258</v>
      </c>
      <c r="N25" s="50">
        <f t="shared" ca="1" si="120"/>
        <v>64390.387688898045</v>
      </c>
      <c r="O25" s="50">
        <f t="shared" ca="1" si="121"/>
        <v>55973.784406751642</v>
      </c>
      <c r="P25" s="50">
        <f t="shared" ca="1" si="122"/>
        <v>69651.587902279542</v>
      </c>
      <c r="Q25" s="50">
        <f t="shared" ca="1" si="123"/>
        <v>56402.706196134583</v>
      </c>
      <c r="R25" s="50">
        <f t="shared" ca="1" si="124"/>
        <v>62086.073011523971</v>
      </c>
      <c r="S25" s="50">
        <f t="shared" ca="1" si="125"/>
        <v>61762.249587502411</v>
      </c>
      <c r="T25" s="50">
        <f t="shared" ca="1" si="126"/>
        <v>61935.459361766421</v>
      </c>
      <c r="U25" s="50">
        <f t="shared" ca="1" si="127"/>
        <v>57769.936812583437</v>
      </c>
      <c r="V25" s="50">
        <f t="shared" ca="1" si="128"/>
        <v>65203.682773817003</v>
      </c>
      <c r="W25" s="50">
        <f t="shared" ca="1" si="129"/>
        <v>56471.05459116905</v>
      </c>
      <c r="X25" s="50">
        <f t="shared" ca="1" si="130"/>
        <v>67763.076107437315</v>
      </c>
      <c r="Y25" s="50">
        <f t="shared" ca="1" si="131"/>
        <v>50875.926710234155</v>
      </c>
      <c r="Z25" s="50">
        <f t="shared" ca="1" si="132"/>
        <v>56611.801432591965</v>
      </c>
      <c r="AA25" s="50">
        <f t="shared" ca="1" si="133"/>
        <v>64392.395069101578</v>
      </c>
      <c r="AB25" s="50">
        <f t="shared" ca="1" si="134"/>
        <v>53360.911664238112</v>
      </c>
      <c r="AC25" s="50">
        <f t="shared" ca="1" si="135"/>
        <v>54051.550043667477</v>
      </c>
      <c r="AD25" s="50">
        <f t="shared" ca="1" si="136"/>
        <v>61628.411691473957</v>
      </c>
      <c r="AE25" s="50">
        <f t="shared" ca="1" si="137"/>
        <v>66866.080370766649</v>
      </c>
      <c r="AF25" s="50">
        <f t="shared" ca="1" si="138"/>
        <v>52224.333222517933</v>
      </c>
      <c r="AG25" s="50">
        <f t="shared" ca="1" si="139"/>
        <v>58323.722875491352</v>
      </c>
      <c r="AH25" s="50">
        <f t="shared" ca="1" si="140"/>
        <v>57216.581049773275</v>
      </c>
      <c r="AI25" s="50">
        <f t="shared" ca="1" si="141"/>
        <v>65859.686314158345</v>
      </c>
      <c r="AJ25" s="50">
        <f t="shared" ca="1" si="142"/>
        <v>59580.851371800578</v>
      </c>
      <c r="AK25" s="50">
        <f t="shared" ca="1" si="143"/>
        <v>58802.973381022799</v>
      </c>
      <c r="AL25" s="50">
        <f t="shared" ca="1" si="144"/>
        <v>58900.042475665388</v>
      </c>
      <c r="AM25" s="50">
        <f t="shared" ca="1" si="145"/>
        <v>54304.365261932515</v>
      </c>
      <c r="AN25" s="50">
        <f t="shared" ca="1" si="146"/>
        <v>49542.115900617224</v>
      </c>
      <c r="AO25" s="50">
        <f t="shared" ca="1" si="147"/>
        <v>63275.594773279234</v>
      </c>
      <c r="AP25" s="50">
        <f t="shared" ca="1" si="148"/>
        <v>59170.360357629303</v>
      </c>
      <c r="AQ25" s="50">
        <f t="shared" ca="1" si="149"/>
        <v>54671.093404363761</v>
      </c>
      <c r="AR25" s="50">
        <f t="shared" ca="1" si="150"/>
        <v>63915.141111985555</v>
      </c>
      <c r="AS25" s="50">
        <f t="shared" ca="1" si="151"/>
        <v>60877.527479327502</v>
      </c>
      <c r="AT25" s="50">
        <f t="shared" ca="1" si="152"/>
        <v>57451.674741758376</v>
      </c>
      <c r="AU25" s="50">
        <f t="shared" ca="1" si="153"/>
        <v>59160.164764519708</v>
      </c>
      <c r="AV25" s="50">
        <f t="shared" ca="1" si="154"/>
        <v>62357.472715986078</v>
      </c>
      <c r="AW25" s="50">
        <f t="shared" ca="1" si="155"/>
        <v>53983.351675592487</v>
      </c>
      <c r="AX25" s="50">
        <f t="shared" ca="1" si="156"/>
        <v>66594.669527999344</v>
      </c>
      <c r="AY25" s="50">
        <f t="shared" ca="1" si="157"/>
        <v>53831.885421643485</v>
      </c>
      <c r="AZ25" s="50">
        <f t="shared" ca="1" si="158"/>
        <v>55259.218374656295</v>
      </c>
      <c r="BA25" s="50">
        <f t="shared" ca="1" si="159"/>
        <v>60128.255321226803</v>
      </c>
      <c r="BB25" s="50">
        <f t="shared" ca="1" si="160"/>
        <v>61975.829037623422</v>
      </c>
      <c r="BC25" s="50">
        <f t="shared" ca="1" si="161"/>
        <v>55972.475883563915</v>
      </c>
      <c r="BD25" s="50">
        <f t="shared" ca="1" si="162"/>
        <v>58152.094089311198</v>
      </c>
      <c r="BE25" s="50">
        <f t="shared" ca="1" si="163"/>
        <v>60047.49369947883</v>
      </c>
      <c r="BF25" s="50">
        <f t="shared" ca="1" si="164"/>
        <v>56535.874867432431</v>
      </c>
      <c r="BG25" s="50">
        <f t="shared" ca="1" si="165"/>
        <v>48210.487308305906</v>
      </c>
      <c r="BH25" s="50">
        <f t="shared" ca="1" si="166"/>
        <v>60888.657802311434</v>
      </c>
      <c r="BI25" s="50">
        <f t="shared" ca="1" si="167"/>
        <v>66501.704635196016</v>
      </c>
      <c r="BJ25" s="50">
        <f t="shared" ca="1" si="168"/>
        <v>62023.029947049436</v>
      </c>
      <c r="BK25" s="50">
        <f t="shared" ca="1" si="169"/>
        <v>51398.950714585641</v>
      </c>
      <c r="BL25" s="50">
        <f t="shared" ca="1" si="170"/>
        <v>58640.393133252262</v>
      </c>
      <c r="BM25" s="50">
        <f t="shared" ca="1" si="171"/>
        <v>69628.444788556648</v>
      </c>
      <c r="BN25" s="50">
        <f t="shared" ca="1" si="172"/>
        <v>61792.180201596486</v>
      </c>
      <c r="BO25" s="50">
        <f t="shared" ca="1" si="173"/>
        <v>60166.08216878528</v>
      </c>
      <c r="BP25" s="50">
        <f t="shared" ca="1" si="174"/>
        <v>63970.355806774074</v>
      </c>
      <c r="BQ25" s="50">
        <f t="shared" ca="1" si="175"/>
        <v>54840.295079602751</v>
      </c>
      <c r="BR25" s="50">
        <f t="shared" ca="1" si="176"/>
        <v>56615.352437157242</v>
      </c>
      <c r="BS25" s="50">
        <f t="shared" ca="1" si="177"/>
        <v>46657.682025582712</v>
      </c>
      <c r="BT25" s="50">
        <f t="shared" ca="1" si="178"/>
        <v>56159.023487929262</v>
      </c>
      <c r="BU25" s="50">
        <f t="shared" ca="1" si="179"/>
        <v>57588.117757464119</v>
      </c>
      <c r="BV25" s="50">
        <f t="shared" ca="1" si="180"/>
        <v>48508.191476810076</v>
      </c>
      <c r="BW25" s="50">
        <f t="shared" ca="1" si="181"/>
        <v>51980.019166849546</v>
      </c>
      <c r="BX25" s="50">
        <f t="shared" ca="1" si="182"/>
        <v>63525.165096040335</v>
      </c>
      <c r="BY25" s="50">
        <f t="shared" ca="1" si="183"/>
        <v>59827.958227685675</v>
      </c>
      <c r="BZ25" s="50">
        <f t="shared" ca="1" si="184"/>
        <v>52813.531824793798</v>
      </c>
      <c r="CA25" s="50">
        <f t="shared" ca="1" si="185"/>
        <v>56015.491050302677</v>
      </c>
      <c r="CB25" s="50">
        <f t="shared" ca="1" si="186"/>
        <v>58883.926417313793</v>
      </c>
      <c r="CC25" s="50">
        <f t="shared" ca="1" si="187"/>
        <v>61007.17819779749</v>
      </c>
      <c r="CD25" s="50">
        <f t="shared" ca="1" si="188"/>
        <v>57672.580119652521</v>
      </c>
      <c r="CE25" s="50">
        <f t="shared" ca="1" si="189"/>
        <v>45683.642302227898</v>
      </c>
      <c r="CF25" s="50">
        <f t="shared" ca="1" si="190"/>
        <v>63809.371723949538</v>
      </c>
      <c r="CG25" s="50">
        <f t="shared" ca="1" si="191"/>
        <v>62886.898672074203</v>
      </c>
      <c r="CH25" s="50">
        <f t="shared" ca="1" si="192"/>
        <v>44325.199265791685</v>
      </c>
      <c r="CI25" s="50">
        <f t="shared" ca="1" si="193"/>
        <v>65485.249350548642</v>
      </c>
      <c r="CJ25" s="50">
        <f t="shared" ca="1" si="194"/>
        <v>55428.847498172952</v>
      </c>
      <c r="CK25" s="50">
        <f t="shared" ca="1" si="195"/>
        <v>59252.251299462798</v>
      </c>
      <c r="CL25" s="50">
        <f t="shared" ca="1" si="196"/>
        <v>68070.271169331143</v>
      </c>
      <c r="CM25" s="50">
        <f t="shared" ca="1" si="197"/>
        <v>66026.20204482213</v>
      </c>
      <c r="CN25" s="50">
        <f t="shared" ca="1" si="198"/>
        <v>56825.498619920865</v>
      </c>
      <c r="CO25" s="50">
        <f t="shared" ca="1" si="199"/>
        <v>59459.513302278719</v>
      </c>
      <c r="CP25" s="50">
        <f t="shared" ca="1" si="200"/>
        <v>52768.242395134024</v>
      </c>
      <c r="CQ25" s="50">
        <f t="shared" ca="1" si="201"/>
        <v>57921.046541668758</v>
      </c>
      <c r="CR25" s="50">
        <f t="shared" ca="1" si="202"/>
        <v>61665.847445583284</v>
      </c>
      <c r="CS25" s="50">
        <f t="shared" ca="1" si="203"/>
        <v>61159.459176849166</v>
      </c>
      <c r="CT25" s="50">
        <f t="shared" ca="1" si="204"/>
        <v>64208.276224912377</v>
      </c>
      <c r="CU25" s="50">
        <f t="shared" ca="1" si="205"/>
        <v>57653.887211329937</v>
      </c>
      <c r="CV25" s="50">
        <f t="shared" ca="1" si="206"/>
        <v>46755.908118681829</v>
      </c>
      <c r="CW25" s="50">
        <f t="shared" ca="1" si="207"/>
        <v>59482.735784611956</v>
      </c>
      <c r="CX25" s="50">
        <f t="shared" ca="1" si="208"/>
        <v>73801.137499638833</v>
      </c>
      <c r="CY25" s="50">
        <f t="shared" ca="1" si="209"/>
        <v>57898.083423603115</v>
      </c>
      <c r="CZ25" s="50">
        <f t="shared" ca="1" si="210"/>
        <v>62282.864258562513</v>
      </c>
      <c r="DA25" s="50">
        <f t="shared" ca="1" si="211"/>
        <v>55521.672511091485</v>
      </c>
      <c r="DB25" s="50">
        <f t="shared" ca="1" si="212"/>
        <v>60051.484454581878</v>
      </c>
      <c r="DC25" s="50">
        <f t="shared" ca="1" si="213"/>
        <v>58362.90137102086</v>
      </c>
      <c r="DD25" s="50">
        <f t="shared" ca="1" si="214"/>
        <v>55262.771357483965</v>
      </c>
      <c r="DE25" s="50">
        <f t="shared" ca="1" si="215"/>
        <v>63636.989324289192</v>
      </c>
      <c r="DF25" s="50">
        <f t="shared" ca="1" si="216"/>
        <v>56752.627246207056</v>
      </c>
      <c r="DG25" s="50">
        <f t="shared" ca="1" si="217"/>
        <v>50608.200933296648</v>
      </c>
      <c r="DH25" s="50">
        <f t="shared" ca="1" si="218"/>
        <v>67230.407058930708</v>
      </c>
      <c r="DI25" s="50">
        <f t="shared" ca="1" si="219"/>
        <v>48604.293108853621</v>
      </c>
      <c r="DJ25" s="50">
        <f t="shared" ca="1" si="220"/>
        <v>63273.891611110841</v>
      </c>
      <c r="DK25" s="50">
        <f t="shared" ca="1" si="221"/>
        <v>52757.783378350723</v>
      </c>
      <c r="DL25" s="50">
        <f t="shared" ca="1" si="222"/>
        <v>58625.083343535982</v>
      </c>
      <c r="DM25" s="50">
        <f t="shared" ca="1" si="223"/>
        <v>63331.949412245493</v>
      </c>
      <c r="DN25" s="50">
        <f t="shared" ca="1" si="224"/>
        <v>56726.019350730807</v>
      </c>
      <c r="DO25" s="50">
        <f t="shared" ca="1" si="225"/>
        <v>62425.862156213669</v>
      </c>
      <c r="DP25" s="50">
        <f t="shared" ca="1" si="226"/>
        <v>62479.690080103617</v>
      </c>
      <c r="DQ25" s="50">
        <f t="shared" ca="1" si="227"/>
        <v>58565.868654630816</v>
      </c>
      <c r="DR25" s="50">
        <f t="shared" ca="1" si="228"/>
        <v>53681.315769191482</v>
      </c>
      <c r="DS25" s="50">
        <f t="shared" ca="1" si="229"/>
        <v>55501.449403542261</v>
      </c>
      <c r="DT25" s="50">
        <f t="shared" ca="1" si="230"/>
        <v>65307.987219509305</v>
      </c>
      <c r="DU25" s="50">
        <f t="shared" ca="1" si="231"/>
        <v>60352.21993396584</v>
      </c>
      <c r="DV25" s="50">
        <f t="shared" ca="1" si="232"/>
        <v>54993.672447364814</v>
      </c>
      <c r="DW25" s="50">
        <f t="shared" ca="1" si="233"/>
        <v>54676.919983785338</v>
      </c>
      <c r="DX25" s="50">
        <f t="shared" ca="1" si="234"/>
        <v>58131.970378787097</v>
      </c>
      <c r="DY25" s="50">
        <f t="shared" ca="1" si="235"/>
        <v>60928.345116616474</v>
      </c>
      <c r="DZ25" s="50">
        <f t="shared" ca="1" si="236"/>
        <v>65179.039428408694</v>
      </c>
      <c r="EA25" s="50">
        <f t="shared" ca="1" si="237"/>
        <v>75963.010074960795</v>
      </c>
      <c r="EB25" s="50">
        <f t="shared" ca="1" si="238"/>
        <v>64194.156615752334</v>
      </c>
      <c r="EC25" s="50">
        <f t="shared" ca="1" si="239"/>
        <v>62128.660754160745</v>
      </c>
      <c r="ED25" s="50">
        <f t="shared" ca="1" si="240"/>
        <v>60591.203260715243</v>
      </c>
      <c r="EE25" s="50">
        <f t="shared" ca="1" si="241"/>
        <v>59378.035305098238</v>
      </c>
      <c r="EF25" s="50">
        <f t="shared" ca="1" si="242"/>
        <v>49319.807909874318</v>
      </c>
      <c r="EG25" s="50">
        <f t="shared" ca="1" si="243"/>
        <v>61717.634667295664</v>
      </c>
      <c r="EH25" s="50">
        <f t="shared" ca="1" si="244"/>
        <v>53925.033673281898</v>
      </c>
      <c r="EI25" s="50">
        <f t="shared" ca="1" si="245"/>
        <v>53221.768131952937</v>
      </c>
      <c r="EJ25" s="50">
        <f t="shared" ca="1" si="246"/>
        <v>57848.527679043073</v>
      </c>
      <c r="EK25" s="50">
        <f t="shared" ca="1" si="247"/>
        <v>53332.512830216212</v>
      </c>
      <c r="EL25" s="50">
        <f t="shared" ca="1" si="248"/>
        <v>62189.381460865698</v>
      </c>
      <c r="EM25" s="50">
        <f t="shared" ca="1" si="249"/>
        <v>54319.254948539354</v>
      </c>
      <c r="EN25" s="50">
        <f t="shared" ca="1" si="250"/>
        <v>63744.611836643708</v>
      </c>
      <c r="EO25" s="50">
        <f t="shared" ca="1" si="251"/>
        <v>60695.693116090086</v>
      </c>
      <c r="EP25" s="50">
        <f t="shared" ca="1" si="252"/>
        <v>57771.291282552382</v>
      </c>
      <c r="EQ25" s="50">
        <f t="shared" ca="1" si="253"/>
        <v>55074.252675623778</v>
      </c>
      <c r="ER25" s="50">
        <f t="shared" ca="1" si="254"/>
        <v>67306.960592950985</v>
      </c>
      <c r="ES25" s="50">
        <f t="shared" ca="1" si="255"/>
        <v>52051.88257574098</v>
      </c>
      <c r="ET25" s="50">
        <f t="shared" ca="1" si="256"/>
        <v>54960.213325902914</v>
      </c>
      <c r="EU25" s="50">
        <f t="shared" ca="1" si="257"/>
        <v>65297.995518685922</v>
      </c>
      <c r="EV25" s="50">
        <f t="shared" ca="1" si="258"/>
        <v>56241.86606668881</v>
      </c>
      <c r="EW25" s="50">
        <f t="shared" ca="1" si="259"/>
        <v>59914.762237166142</v>
      </c>
      <c r="EX25" s="50">
        <f t="shared" ca="1" si="260"/>
        <v>59804.836285071826</v>
      </c>
      <c r="EY25" s="50">
        <f t="shared" ca="1" si="261"/>
        <v>56917.300679793225</v>
      </c>
      <c r="EZ25" s="50">
        <f t="shared" ca="1" si="262"/>
        <v>52787.777392576907</v>
      </c>
      <c r="FA25" s="50">
        <f t="shared" ca="1" si="263"/>
        <v>48283.625419995835</v>
      </c>
      <c r="FB25" s="50">
        <f t="shared" ca="1" si="264"/>
        <v>60716.121437954673</v>
      </c>
      <c r="FC25" s="50">
        <f t="shared" ca="1" si="265"/>
        <v>59371.77888086345</v>
      </c>
      <c r="FD25" s="50">
        <f t="shared" ca="1" si="266"/>
        <v>57925.077298493015</v>
      </c>
      <c r="FE25" s="50">
        <f t="shared" ca="1" si="267"/>
        <v>61956.224640106877</v>
      </c>
      <c r="FF25" s="50">
        <f t="shared" ca="1" si="268"/>
        <v>56768.418876095202</v>
      </c>
      <c r="FG25" s="50">
        <f t="shared" ca="1" si="269"/>
        <v>53699.775394832955</v>
      </c>
      <c r="FH25" s="50">
        <f t="shared" ca="1" si="270"/>
        <v>60029.810438958135</v>
      </c>
      <c r="FI25" s="50">
        <f t="shared" ca="1" si="271"/>
        <v>73965.197239008005</v>
      </c>
      <c r="FJ25" s="50">
        <f t="shared" ca="1" si="272"/>
        <v>52002.228110757147</v>
      </c>
      <c r="FK25" s="50">
        <f t="shared" ca="1" si="273"/>
        <v>64567.044958898412</v>
      </c>
      <c r="FL25" s="50">
        <f t="shared" ca="1" si="274"/>
        <v>53476.137897791683</v>
      </c>
      <c r="FM25" s="50">
        <f t="shared" ca="1" si="275"/>
        <v>57030.483165332298</v>
      </c>
      <c r="FN25" s="50">
        <f t="shared" ca="1" si="276"/>
        <v>53904.000377001023</v>
      </c>
      <c r="FO25" s="50">
        <f t="shared" ca="1" si="277"/>
        <v>70455.318628005058</v>
      </c>
      <c r="FP25" s="50">
        <f t="shared" ca="1" si="278"/>
        <v>63618.182109913781</v>
      </c>
      <c r="FQ25" s="50">
        <f t="shared" ca="1" si="279"/>
        <v>62481.439584301777</v>
      </c>
      <c r="FR25" s="50">
        <f t="shared" ca="1" si="280"/>
        <v>61417.291162533184</v>
      </c>
      <c r="FS25" s="50">
        <f t="shared" ca="1" si="281"/>
        <v>57298.201220623152</v>
      </c>
      <c r="FT25" s="50">
        <f t="shared" ca="1" si="282"/>
        <v>52759.841756627022</v>
      </c>
      <c r="FU25" s="50">
        <f t="shared" ca="1" si="283"/>
        <v>60200.739214314861</v>
      </c>
      <c r="FV25" s="50">
        <f t="shared" ca="1" si="284"/>
        <v>48378.703833144667</v>
      </c>
      <c r="FW25" s="50">
        <f t="shared" ca="1" si="285"/>
        <v>72362.034981165401</v>
      </c>
      <c r="FX25" s="50">
        <f t="shared" ca="1" si="286"/>
        <v>62135.106353007366</v>
      </c>
      <c r="FY25" s="50">
        <f t="shared" ca="1" si="287"/>
        <v>67627.397003755192</v>
      </c>
      <c r="FZ25" s="50">
        <f t="shared" ca="1" si="288"/>
        <v>65482.28084622309</v>
      </c>
      <c r="GA25" s="50">
        <f t="shared" ca="1" si="289"/>
        <v>63152.361474672798</v>
      </c>
      <c r="GB25" s="50">
        <f t="shared" ca="1" si="290"/>
        <v>54521.905387813538</v>
      </c>
      <c r="GC25" s="50">
        <f t="shared" ca="1" si="291"/>
        <v>62993.812094693087</v>
      </c>
      <c r="GD25" s="50">
        <f t="shared" ca="1" si="292"/>
        <v>49350.348377114497</v>
      </c>
      <c r="GE25" s="50">
        <f t="shared" ca="1" si="293"/>
        <v>66171.509828478738</v>
      </c>
      <c r="GF25" s="50">
        <f t="shared" ca="1" si="294"/>
        <v>57360.504409816684</v>
      </c>
      <c r="GG25" s="50">
        <f t="shared" ca="1" si="295"/>
        <v>52468.602248499978</v>
      </c>
      <c r="GH25" s="50">
        <f t="shared" ca="1" si="296"/>
        <v>51566.668689757309</v>
      </c>
      <c r="GI25" s="50">
        <f t="shared" ca="1" si="297"/>
        <v>53065.049340988189</v>
      </c>
      <c r="GJ25" s="50">
        <f t="shared" ca="1" si="298"/>
        <v>59202.2704245766</v>
      </c>
      <c r="GK25" s="50">
        <f t="shared" ca="1" si="299"/>
        <v>50773.239163783539</v>
      </c>
      <c r="GL25" s="50">
        <f t="shared" ca="1" si="300"/>
        <v>55351.823828521905</v>
      </c>
      <c r="GM25" s="50">
        <f t="shared" ca="1" si="301"/>
        <v>42938.87521904704</v>
      </c>
      <c r="GN25" s="50">
        <f t="shared" ca="1" si="302"/>
        <v>56439.685847227309</v>
      </c>
      <c r="GO25" s="50">
        <f t="shared" ca="1" si="303"/>
        <v>72010.473319464698</v>
      </c>
      <c r="GP25" s="50">
        <f t="shared" ca="1" si="304"/>
        <v>60463.908250106724</v>
      </c>
      <c r="GQ25" s="50">
        <f t="shared" ca="1" si="305"/>
        <v>65178.05845898288</v>
      </c>
      <c r="GR25" s="50">
        <f t="shared" ca="1" si="306"/>
        <v>64716.519980527235</v>
      </c>
      <c r="GS25" s="50">
        <f t="shared" ca="1" si="307"/>
        <v>61975.936234939763</v>
      </c>
      <c r="GT25" s="50">
        <f t="shared" ca="1" si="308"/>
        <v>53670.703495709167</v>
      </c>
      <c r="GU25" s="50">
        <f t="shared" ca="1" si="309"/>
        <v>59180.235647096088</v>
      </c>
      <c r="GV25" s="50">
        <f t="shared" ca="1" si="310"/>
        <v>64056.284026538604</v>
      </c>
      <c r="GW25" s="50">
        <f t="shared" ca="1" si="311"/>
        <v>60972.846637923365</v>
      </c>
      <c r="GX25" s="50">
        <f t="shared" ca="1" si="312"/>
        <v>62266.736688162215</v>
      </c>
      <c r="GY25" s="50">
        <f t="shared" ca="1" si="313"/>
        <v>62712.416691450046</v>
      </c>
      <c r="GZ25" s="50">
        <f t="shared" ca="1" si="314"/>
        <v>62506.660261998717</v>
      </c>
      <c r="HA25" s="50">
        <f t="shared" ca="1" si="315"/>
        <v>53330.096551830175</v>
      </c>
      <c r="HB25" s="50">
        <f t="shared" ca="1" si="316"/>
        <v>47250.02440114921</v>
      </c>
      <c r="HC25" s="50">
        <f t="shared" ca="1" si="317"/>
        <v>65059.0046769072</v>
      </c>
      <c r="HD25" s="50">
        <f t="shared" ca="1" si="318"/>
        <v>45715.012987415095</v>
      </c>
      <c r="HE25" s="50">
        <f t="shared" ca="1" si="319"/>
        <v>50942.581948597086</v>
      </c>
      <c r="HF25" s="50">
        <f t="shared" ca="1" si="320"/>
        <v>53949.987259925067</v>
      </c>
      <c r="HG25" s="50">
        <f t="shared" ca="1" si="321"/>
        <v>60608.152355409627</v>
      </c>
      <c r="HH25" s="50">
        <f t="shared" ca="1" si="322"/>
        <v>70913.562511304786</v>
      </c>
      <c r="HI25" s="50">
        <f t="shared" ca="1" si="323"/>
        <v>59739.420951784457</v>
      </c>
      <c r="HJ25" s="50">
        <f t="shared" ca="1" si="324"/>
        <v>55730.647755227219</v>
      </c>
      <c r="HK25" s="50">
        <f t="shared" ca="1" si="325"/>
        <v>59909.002267018266</v>
      </c>
      <c r="HL25" s="50">
        <f t="shared" ca="1" si="326"/>
        <v>61924.841118212134</v>
      </c>
      <c r="HM25" s="50">
        <f t="shared" ca="1" si="327"/>
        <v>61117.342326808008</v>
      </c>
      <c r="HN25" s="50">
        <f t="shared" ca="1" si="328"/>
        <v>59528.580284286509</v>
      </c>
      <c r="HO25" s="50">
        <f t="shared" ca="1" si="329"/>
        <v>64843.63342428246</v>
      </c>
      <c r="HP25" s="50">
        <f t="shared" ca="1" si="330"/>
        <v>63745.10644597737</v>
      </c>
      <c r="HQ25" s="50">
        <f t="shared" ca="1" si="331"/>
        <v>60726.050081037887</v>
      </c>
      <c r="HR25" s="50">
        <f t="shared" ca="1" si="332"/>
        <v>63993.24474314323</v>
      </c>
      <c r="HS25" s="50">
        <f t="shared" ca="1" si="333"/>
        <v>58701.327999880756</v>
      </c>
      <c r="HT25" s="50">
        <f t="shared" ca="1" si="334"/>
        <v>48161.072526535303</v>
      </c>
      <c r="HU25" s="50">
        <f t="shared" ca="1" si="335"/>
        <v>60093.996810555567</v>
      </c>
      <c r="HV25" s="50">
        <f t="shared" ca="1" si="336"/>
        <v>50552.18265914177</v>
      </c>
      <c r="HW25" s="50">
        <f t="shared" ca="1" si="337"/>
        <v>50459.6090272808</v>
      </c>
      <c r="HX25" s="50">
        <f t="shared" ca="1" si="338"/>
        <v>67896.044610212935</v>
      </c>
      <c r="HY25" s="50">
        <f t="shared" ca="1" si="339"/>
        <v>49331.834649703</v>
      </c>
      <c r="HZ25" s="50">
        <f t="shared" ca="1" si="340"/>
        <v>65745.96167676209</v>
      </c>
      <c r="IA25" s="50">
        <f t="shared" ca="1" si="341"/>
        <v>55790.869529933349</v>
      </c>
      <c r="IB25" s="50">
        <f t="shared" ca="1" si="342"/>
        <v>50459.877046935821</v>
      </c>
      <c r="IC25" s="50">
        <f t="shared" ca="1" si="343"/>
        <v>66548.991960506406</v>
      </c>
      <c r="ID25" s="50">
        <f t="shared" ca="1" si="344"/>
        <v>66079.924929058237</v>
      </c>
      <c r="IE25" s="50">
        <f t="shared" ca="1" si="345"/>
        <v>64142.341871929195</v>
      </c>
      <c r="IF25" s="50">
        <f t="shared" ca="1" si="346"/>
        <v>49492.186783900819</v>
      </c>
      <c r="IG25" s="50">
        <f t="shared" ca="1" si="347"/>
        <v>60801.970881937094</v>
      </c>
      <c r="IH25" s="50">
        <f t="shared" ca="1" si="348"/>
        <v>56781.450076117915</v>
      </c>
      <c r="II25" s="50">
        <f t="shared" ca="1" si="349"/>
        <v>60354.973774127757</v>
      </c>
      <c r="IJ25" s="50">
        <f t="shared" ca="1" si="350"/>
        <v>63010.976720676161</v>
      </c>
      <c r="IK25" s="50">
        <f t="shared" ca="1" si="351"/>
        <v>53790.388375600982</v>
      </c>
      <c r="IL25" s="50">
        <f t="shared" ca="1" si="352"/>
        <v>68431.892045157598</v>
      </c>
      <c r="IM25" s="50">
        <f t="shared" ca="1" si="353"/>
        <v>59843.08700529491</v>
      </c>
      <c r="IN25" s="50">
        <f t="shared" ca="1" si="354"/>
        <v>63630.339398242671</v>
      </c>
      <c r="IO25" s="50">
        <f t="shared" ca="1" si="355"/>
        <v>55497.295198660235</v>
      </c>
      <c r="IP25" s="50">
        <f t="shared" ca="1" si="356"/>
        <v>58688.074692016984</v>
      </c>
      <c r="IQ25" s="50">
        <f t="shared" ca="1" si="357"/>
        <v>58134.683808712696</v>
      </c>
      <c r="IR25" s="50">
        <f t="shared" ca="1" si="358"/>
        <v>51368.463128520489</v>
      </c>
      <c r="IS25" s="50">
        <f t="shared" ca="1" si="359"/>
        <v>62271.30632531421</v>
      </c>
      <c r="IT25" s="50">
        <f t="shared" ca="1" si="360"/>
        <v>55127.85799847851</v>
      </c>
      <c r="IU25" s="50">
        <f t="shared" ca="1" si="361"/>
        <v>60405.156469393143</v>
      </c>
      <c r="IV25" s="50">
        <f t="shared" ca="1" si="362"/>
        <v>60006.699091554437</v>
      </c>
      <c r="IW25" s="50">
        <f t="shared" ca="1" si="363"/>
        <v>47551.498537940912</v>
      </c>
      <c r="IX25" s="50">
        <f t="shared" ca="1" si="364"/>
        <v>61889.450593171321</v>
      </c>
      <c r="IY25" s="50">
        <f t="shared" ca="1" si="365"/>
        <v>55723.363627659332</v>
      </c>
      <c r="IZ25" s="50">
        <f t="shared" ca="1" si="366"/>
        <v>63960.016487570247</v>
      </c>
      <c r="JA25" s="50">
        <f t="shared" ca="1" si="367"/>
        <v>54165.526687046913</v>
      </c>
      <c r="JB25" s="50">
        <f t="shared" ca="1" si="368"/>
        <v>64992.37153141063</v>
      </c>
      <c r="JC25" s="50">
        <f t="shared" ca="1" si="369"/>
        <v>63417.630326241982</v>
      </c>
      <c r="JD25" s="50">
        <f t="shared" ca="1" si="370"/>
        <v>51258.143827751672</v>
      </c>
      <c r="JE25" s="50">
        <f t="shared" ca="1" si="371"/>
        <v>64272.310008435699</v>
      </c>
      <c r="JF25" s="50">
        <f t="shared" ca="1" si="372"/>
        <v>69911.499517367032</v>
      </c>
      <c r="JG25" s="50">
        <f t="shared" ca="1" si="373"/>
        <v>60843.622338817455</v>
      </c>
      <c r="JH25" s="50">
        <f t="shared" ca="1" si="374"/>
        <v>58015.708557935999</v>
      </c>
      <c r="JI25" s="50">
        <f t="shared" ca="1" si="375"/>
        <v>62498.509398985756</v>
      </c>
      <c r="JJ25" s="50">
        <f t="shared" ca="1" si="376"/>
        <v>56140.497051065729</v>
      </c>
      <c r="JK25" s="50">
        <f t="shared" ca="1" si="377"/>
        <v>56671.641634374144</v>
      </c>
      <c r="JL25" s="50">
        <f t="shared" ca="1" si="378"/>
        <v>58445.361253296694</v>
      </c>
      <c r="JM25" s="50">
        <f t="shared" ca="1" si="379"/>
        <v>47822.038479247567</v>
      </c>
      <c r="JN25" s="50">
        <f t="shared" ca="1" si="380"/>
        <v>64072.658213094532</v>
      </c>
      <c r="JO25" s="50">
        <f t="shared" ca="1" si="381"/>
        <v>58644.161450612817</v>
      </c>
      <c r="JP25" s="50">
        <f t="shared" ca="1" si="382"/>
        <v>54437.299968018095</v>
      </c>
      <c r="JQ25" s="50">
        <f t="shared" ca="1" si="383"/>
        <v>58926.278812208009</v>
      </c>
      <c r="JR25" s="50">
        <f t="shared" ca="1" si="384"/>
        <v>65043.829156202024</v>
      </c>
      <c r="JS25" s="50">
        <f t="shared" ca="1" si="385"/>
        <v>59363.724042681861</v>
      </c>
      <c r="JT25" s="50">
        <f t="shared" ca="1" si="386"/>
        <v>64795.183229738774</v>
      </c>
      <c r="JU25" s="50">
        <f t="shared" ca="1" si="387"/>
        <v>54555.736002101105</v>
      </c>
      <c r="JV25" s="50">
        <f t="shared" ca="1" si="388"/>
        <v>54193.648279928399</v>
      </c>
      <c r="JW25" s="50">
        <f t="shared" ca="1" si="389"/>
        <v>63705.941146667559</v>
      </c>
      <c r="JX25" s="50">
        <f t="shared" ca="1" si="390"/>
        <v>57358.98161757565</v>
      </c>
      <c r="JY25" s="50">
        <f t="shared" ca="1" si="391"/>
        <v>67973.208538826482</v>
      </c>
      <c r="JZ25" s="50">
        <f t="shared" ca="1" si="392"/>
        <v>51696.787998319793</v>
      </c>
      <c r="KA25" s="50">
        <f t="shared" ca="1" si="393"/>
        <v>58988.894074790594</v>
      </c>
      <c r="KB25" s="50">
        <f t="shared" ca="1" si="394"/>
        <v>61959.701759175601</v>
      </c>
      <c r="KC25" s="50">
        <f t="shared" ca="1" si="395"/>
        <v>57804.511075107868</v>
      </c>
      <c r="KD25" s="50">
        <f t="shared" ca="1" si="396"/>
        <v>56762.508360847918</v>
      </c>
      <c r="KE25" s="50">
        <f t="shared" ca="1" si="397"/>
        <v>55125.874318606162</v>
      </c>
      <c r="KF25" s="50">
        <f t="shared" ca="1" si="398"/>
        <v>57655.293768861717</v>
      </c>
      <c r="KG25" s="50">
        <f t="shared" ca="1" si="399"/>
        <v>66125.670905660532</v>
      </c>
      <c r="KH25" s="50">
        <f t="shared" ca="1" si="400"/>
        <v>64390.649976724031</v>
      </c>
      <c r="KI25" s="50">
        <f t="shared" ca="1" si="401"/>
        <v>59017.515755032364</v>
      </c>
      <c r="KJ25" s="50">
        <f t="shared" ca="1" si="402"/>
        <v>60964.920425086755</v>
      </c>
      <c r="KK25" s="50">
        <f t="shared" ca="1" si="403"/>
        <v>59907.120068169788</v>
      </c>
      <c r="KL25" s="50">
        <f t="shared" ca="1" si="404"/>
        <v>54233.418592740934</v>
      </c>
      <c r="KM25" s="50">
        <f t="shared" ca="1" si="405"/>
        <v>62842.271186594626</v>
      </c>
      <c r="KN25" s="50">
        <f t="shared" ca="1" si="406"/>
        <v>53549.627748669387</v>
      </c>
      <c r="KO25" s="50">
        <f t="shared" ca="1" si="407"/>
        <v>53082.727923983752</v>
      </c>
      <c r="KP25" s="50">
        <f t="shared" ca="1" si="408"/>
        <v>50188.333034740645</v>
      </c>
      <c r="KQ25" s="50">
        <f t="shared" ca="1" si="409"/>
        <v>66403.42737479083</v>
      </c>
      <c r="KR25" s="50">
        <f t="shared" ca="1" si="410"/>
        <v>55076.59109952693</v>
      </c>
      <c r="KS25" s="50">
        <f t="shared" ca="1" si="411"/>
        <v>51777.94590923276</v>
      </c>
      <c r="KT25" s="50">
        <f t="shared" ca="1" si="412"/>
        <v>53135.469278766235</v>
      </c>
      <c r="KU25" s="50">
        <f t="shared" ca="1" si="413"/>
        <v>62123.348848684662</v>
      </c>
      <c r="KV25" s="50">
        <f t="shared" ca="1" si="414"/>
        <v>57473.63212491374</v>
      </c>
      <c r="KW25" s="50">
        <f t="shared" ca="1" si="415"/>
        <v>52585.093222627474</v>
      </c>
      <c r="KX25" s="50">
        <f t="shared" ca="1" si="416"/>
        <v>64676.044488254447</v>
      </c>
      <c r="KY25" s="50">
        <f t="shared" ca="1" si="417"/>
        <v>59040.162177816645</v>
      </c>
      <c r="KZ25" s="50">
        <f t="shared" ca="1" si="418"/>
        <v>54491.971262806692</v>
      </c>
      <c r="LA25" s="50">
        <f t="shared" ca="1" si="419"/>
        <v>53105.387655965525</v>
      </c>
      <c r="LB25" s="50">
        <f t="shared" ca="1" si="420"/>
        <v>54636.611342874836</v>
      </c>
      <c r="LC25" s="50">
        <f t="shared" ca="1" si="421"/>
        <v>55674.304639083646</v>
      </c>
      <c r="LD25" s="50">
        <f t="shared" ca="1" si="422"/>
        <v>54082.11059167538</v>
      </c>
      <c r="LE25" s="50">
        <f t="shared" ca="1" si="423"/>
        <v>76891.775916281214</v>
      </c>
      <c r="LF25" s="50">
        <f t="shared" ca="1" si="424"/>
        <v>60220.296881505237</v>
      </c>
      <c r="LG25" s="50">
        <f t="shared" ca="1" si="425"/>
        <v>59553.891443805289</v>
      </c>
      <c r="LH25" s="50">
        <f t="shared" ca="1" si="426"/>
        <v>55697.848812704702</v>
      </c>
      <c r="LI25" s="50">
        <f t="shared" ca="1" si="427"/>
        <v>57462.021534816253</v>
      </c>
      <c r="LJ25" s="50">
        <f t="shared" ca="1" si="428"/>
        <v>54497.311139189253</v>
      </c>
      <c r="LK25" s="50">
        <f t="shared" ca="1" si="429"/>
        <v>61577.3475298626</v>
      </c>
      <c r="LL25" s="50">
        <f t="shared" ca="1" si="430"/>
        <v>53264.059477360548</v>
      </c>
      <c r="LM25" s="50">
        <f t="shared" ca="1" si="431"/>
        <v>62914.098050143599</v>
      </c>
      <c r="LN25" s="50">
        <f t="shared" ca="1" si="432"/>
        <v>65098.831711510524</v>
      </c>
      <c r="LO25" s="50">
        <f t="shared" ca="1" si="433"/>
        <v>55751.036994204769</v>
      </c>
      <c r="LP25" s="50">
        <f t="shared" ca="1" si="434"/>
        <v>49028.480890337618</v>
      </c>
      <c r="LQ25" s="50">
        <f t="shared" ca="1" si="435"/>
        <v>48768.720406701927</v>
      </c>
      <c r="LR25" s="50">
        <f t="shared" ca="1" si="436"/>
        <v>56455.599088595845</v>
      </c>
      <c r="LS25" s="50">
        <f t="shared" ca="1" si="437"/>
        <v>59893.407338296209</v>
      </c>
      <c r="LT25" s="50">
        <f t="shared" ca="1" si="438"/>
        <v>61165.654638457185</v>
      </c>
      <c r="LU25" s="50">
        <f t="shared" ca="1" si="439"/>
        <v>69174.243738745528</v>
      </c>
      <c r="LV25" s="50">
        <f t="shared" ca="1" si="440"/>
        <v>58924.326335304191</v>
      </c>
      <c r="LW25" s="50">
        <f t="shared" ca="1" si="441"/>
        <v>43885.405242302346</v>
      </c>
      <c r="LX25" s="50">
        <f t="shared" ca="1" si="442"/>
        <v>65071.365368193561</v>
      </c>
      <c r="LY25" s="50">
        <f t="shared" ca="1" si="443"/>
        <v>64573.746651964902</v>
      </c>
      <c r="LZ25" s="50">
        <f t="shared" ca="1" si="444"/>
        <v>62645.26995154615</v>
      </c>
      <c r="MA25" s="50">
        <f t="shared" ca="1" si="445"/>
        <v>50727.311661304215</v>
      </c>
      <c r="MB25" s="50">
        <f t="shared" ca="1" si="446"/>
        <v>65218.376036587695</v>
      </c>
      <c r="MC25" s="50">
        <f t="shared" ca="1" si="447"/>
        <v>53480.624023582248</v>
      </c>
      <c r="MD25" s="50">
        <f t="shared" ca="1" si="448"/>
        <v>52531.095320739085</v>
      </c>
      <c r="ME25" s="50">
        <f t="shared" ca="1" si="449"/>
        <v>55188.713329767495</v>
      </c>
      <c r="MF25" s="50">
        <f t="shared" ca="1" si="450"/>
        <v>62529.426113135611</v>
      </c>
      <c r="MG25" s="50">
        <f t="shared" ca="1" si="451"/>
        <v>54225.21246093107</v>
      </c>
      <c r="MH25" s="50">
        <f t="shared" ca="1" si="452"/>
        <v>57362.665803940945</v>
      </c>
      <c r="MI25" s="50">
        <f t="shared" ca="1" si="453"/>
        <v>55462.72114228236</v>
      </c>
      <c r="MJ25" s="50">
        <f t="shared" ca="1" si="454"/>
        <v>53665.018653540079</v>
      </c>
      <c r="MK25" s="50">
        <f t="shared" ca="1" si="455"/>
        <v>63705.73402800499</v>
      </c>
      <c r="ML25" s="50">
        <f t="shared" ca="1" si="456"/>
        <v>60071.121886099216</v>
      </c>
      <c r="MM25" s="50">
        <f t="shared" ca="1" si="457"/>
        <v>60176.117586426233</v>
      </c>
      <c r="MN25" s="50">
        <f t="shared" ca="1" si="458"/>
        <v>56501.057491146552</v>
      </c>
      <c r="MO25" s="50">
        <f t="shared" ca="1" si="459"/>
        <v>57655.122837238319</v>
      </c>
      <c r="MP25" s="50">
        <f t="shared" ca="1" si="460"/>
        <v>58909.237908207237</v>
      </c>
      <c r="MQ25" s="50">
        <f t="shared" ca="1" si="461"/>
        <v>59740.733959703597</v>
      </c>
      <c r="MR25" s="50">
        <f t="shared" ca="1" si="462"/>
        <v>50691.965848416177</v>
      </c>
      <c r="MS25" s="50">
        <f t="shared" ca="1" si="463"/>
        <v>52215.62784476042</v>
      </c>
      <c r="MT25" s="50">
        <f t="shared" ca="1" si="464"/>
        <v>58506.321271573295</v>
      </c>
      <c r="MU25" s="50">
        <f t="shared" ca="1" si="465"/>
        <v>76652.499149639902</v>
      </c>
      <c r="MV25" s="50">
        <f t="shared" ca="1" si="466"/>
        <v>57561.83549627538</v>
      </c>
      <c r="MW25" s="50">
        <f t="shared" ca="1" si="467"/>
        <v>55068.131638977633</v>
      </c>
      <c r="MX25" s="50">
        <f t="shared" ca="1" si="468"/>
        <v>61250.933249514448</v>
      </c>
      <c r="MY25" s="50">
        <f t="shared" ca="1" si="469"/>
        <v>60737.856054815849</v>
      </c>
      <c r="MZ25" s="50">
        <f t="shared" ca="1" si="470"/>
        <v>63804.921007383331</v>
      </c>
      <c r="NA25" s="50">
        <f t="shared" ca="1" si="471"/>
        <v>66371.588328435741</v>
      </c>
      <c r="NB25" s="50">
        <f t="shared" ca="1" si="472"/>
        <v>54610.602751384999</v>
      </c>
      <c r="NC25" s="50">
        <f t="shared" ca="1" si="473"/>
        <v>59138.057152352645</v>
      </c>
      <c r="ND25" s="50">
        <f t="shared" ca="1" si="474"/>
        <v>55654.465476976438</v>
      </c>
      <c r="NE25" s="50">
        <f t="shared" ca="1" si="475"/>
        <v>53558.708691815969</v>
      </c>
      <c r="NF25" s="50">
        <f t="shared" ca="1" si="476"/>
        <v>62993.750778891233</v>
      </c>
      <c r="NG25" s="50">
        <f t="shared" ca="1" si="477"/>
        <v>65436.017054996657</v>
      </c>
      <c r="NH25" s="50">
        <f t="shared" ca="1" si="478"/>
        <v>64700.767241066176</v>
      </c>
      <c r="NI25" s="50">
        <f t="shared" ca="1" si="479"/>
        <v>62030.045568389796</v>
      </c>
      <c r="NJ25" s="50">
        <f t="shared" ca="1" si="480"/>
        <v>63719.09298040744</v>
      </c>
      <c r="NK25" s="50">
        <f t="shared" ca="1" si="481"/>
        <v>58558.08536725567</v>
      </c>
      <c r="NL25" s="50">
        <f t="shared" ca="1" si="482"/>
        <v>45660.74000957235</v>
      </c>
      <c r="NM25" s="50">
        <f t="shared" ca="1" si="483"/>
        <v>64046.139727349546</v>
      </c>
      <c r="NN25" s="50">
        <f t="shared" ca="1" si="484"/>
        <v>54797.203845915705</v>
      </c>
      <c r="NO25" s="50">
        <f t="shared" ca="1" si="485"/>
        <v>61728.753586758743</v>
      </c>
      <c r="NP25" s="50">
        <f t="shared" ca="1" si="486"/>
        <v>52752.452515798257</v>
      </c>
      <c r="NQ25" s="50">
        <f t="shared" ca="1" si="487"/>
        <v>49052.192222701386</v>
      </c>
      <c r="NR25" s="50">
        <f t="shared" ca="1" si="488"/>
        <v>61092.837165416655</v>
      </c>
      <c r="NS25" s="50">
        <f t="shared" ca="1" si="489"/>
        <v>52182.179521226542</v>
      </c>
      <c r="NT25" s="50">
        <f t="shared" ca="1" si="490"/>
        <v>68734.605556046925</v>
      </c>
      <c r="NU25" s="50">
        <f t="shared" ca="1" si="491"/>
        <v>62814.927131998797</v>
      </c>
      <c r="NV25" s="50">
        <f t="shared" ca="1" si="492"/>
        <v>55017.537630171457</v>
      </c>
      <c r="NW25" s="50">
        <f t="shared" ca="1" si="493"/>
        <v>49471.041679440663</v>
      </c>
      <c r="NX25" s="50">
        <f t="shared" ca="1" si="494"/>
        <v>68044.221120881091</v>
      </c>
      <c r="NY25" s="50">
        <f t="shared" ca="1" si="495"/>
        <v>64642.689711239189</v>
      </c>
      <c r="NZ25" s="50">
        <f t="shared" ca="1" si="496"/>
        <v>57273.231181108073</v>
      </c>
      <c r="OA25" s="50">
        <f t="shared" ca="1" si="497"/>
        <v>53505.257587297805</v>
      </c>
      <c r="OB25" s="50">
        <f t="shared" ca="1" si="498"/>
        <v>64141.940798462194</v>
      </c>
      <c r="OC25" s="50">
        <f t="shared" ca="1" si="499"/>
        <v>51075.336882328847</v>
      </c>
      <c r="OD25" s="50">
        <f t="shared" ca="1" si="500"/>
        <v>52461.066923203492</v>
      </c>
      <c r="OE25" s="50">
        <f t="shared" ca="1" si="501"/>
        <v>77384.952774538266</v>
      </c>
      <c r="OF25" s="50">
        <f t="shared" ca="1" si="502"/>
        <v>62824.816305735541</v>
      </c>
      <c r="OG25" s="50">
        <f t="shared" ca="1" si="503"/>
        <v>65603.979887537149</v>
      </c>
      <c r="OH25" s="50">
        <f t="shared" ca="1" si="504"/>
        <v>63838.45321648052</v>
      </c>
      <c r="OI25" s="50">
        <f t="shared" ca="1" si="505"/>
        <v>61166.089595977464</v>
      </c>
      <c r="OJ25" s="50">
        <f t="shared" ca="1" si="506"/>
        <v>65908.997582005497</v>
      </c>
      <c r="OK25" s="50">
        <f t="shared" ca="1" si="507"/>
        <v>58845.317794953924</v>
      </c>
      <c r="OL25" s="50">
        <f t="shared" ca="1" si="508"/>
        <v>60651.430754508925</v>
      </c>
      <c r="OM25" s="50">
        <f t="shared" ca="1" si="509"/>
        <v>54859.803811591184</v>
      </c>
      <c r="ON25" s="50">
        <f t="shared" ca="1" si="510"/>
        <v>63263.064116377143</v>
      </c>
      <c r="OO25" s="50">
        <f t="shared" ca="1" si="511"/>
        <v>60575.687898251592</v>
      </c>
      <c r="OP25" s="50">
        <f t="shared" ca="1" si="512"/>
        <v>58565.683497465958</v>
      </c>
      <c r="OQ25" s="50">
        <f t="shared" ca="1" si="513"/>
        <v>58062.209228501699</v>
      </c>
      <c r="OR25" s="50">
        <f t="shared" ca="1" si="514"/>
        <v>59690.060334205176</v>
      </c>
      <c r="OS25" s="50">
        <f t="shared" ca="1" si="515"/>
        <v>57007.194469082118</v>
      </c>
      <c r="OT25" s="50">
        <f t="shared" ca="1" si="516"/>
        <v>56352.511842924068</v>
      </c>
      <c r="OU25" s="50">
        <f t="shared" ca="1" si="517"/>
        <v>53042.256460960605</v>
      </c>
      <c r="OV25" s="50">
        <f t="shared" ca="1" si="518"/>
        <v>55113.990121810675</v>
      </c>
      <c r="OW25" s="50">
        <f t="shared" ca="1" si="519"/>
        <v>50345.834956419203</v>
      </c>
      <c r="OX25" s="50">
        <f t="shared" ca="1" si="520"/>
        <v>64721.318877954327</v>
      </c>
      <c r="OY25" s="50">
        <f t="shared" ca="1" si="521"/>
        <v>54017.008440134647</v>
      </c>
      <c r="OZ25" s="50">
        <f t="shared" ca="1" si="522"/>
        <v>58773.179788402012</v>
      </c>
      <c r="PA25" s="50">
        <f t="shared" ca="1" si="523"/>
        <v>54171.047647200605</v>
      </c>
      <c r="PB25" s="50">
        <f t="shared" ca="1" si="524"/>
        <v>55915.925179353428</v>
      </c>
      <c r="PC25" s="50">
        <f t="shared" ca="1" si="525"/>
        <v>57549.244283526314</v>
      </c>
      <c r="PD25" s="50">
        <f t="shared" ca="1" si="526"/>
        <v>54486.18091430371</v>
      </c>
      <c r="PE25" s="50">
        <f t="shared" ca="1" si="527"/>
        <v>56134.864225246929</v>
      </c>
      <c r="PF25" s="50">
        <f t="shared" ca="1" si="528"/>
        <v>60448.103032635467</v>
      </c>
      <c r="PG25" s="50">
        <f t="shared" ca="1" si="529"/>
        <v>52179.820091249298</v>
      </c>
      <c r="PH25" s="50">
        <f t="shared" ca="1" si="530"/>
        <v>53782.30219540665</v>
      </c>
      <c r="PI25" s="50">
        <f t="shared" ca="1" si="531"/>
        <v>56044.641501964259</v>
      </c>
      <c r="PJ25" s="50">
        <f t="shared" ca="1" si="532"/>
        <v>65899.012324992931</v>
      </c>
      <c r="PK25" s="50">
        <f t="shared" ca="1" si="533"/>
        <v>57390.900028747121</v>
      </c>
      <c r="PL25" s="50">
        <f t="shared" ca="1" si="534"/>
        <v>64826.559215408066</v>
      </c>
      <c r="PM25" s="50">
        <f t="shared" ca="1" si="535"/>
        <v>63113.85665041492</v>
      </c>
      <c r="PN25" s="50">
        <f t="shared" ca="1" si="536"/>
        <v>54945.157618918558</v>
      </c>
      <c r="PO25" s="50">
        <f t="shared" ca="1" si="537"/>
        <v>66794.493084004585</v>
      </c>
      <c r="PP25" s="50">
        <f t="shared" ca="1" si="538"/>
        <v>60839.807301829176</v>
      </c>
      <c r="PQ25" s="50">
        <f t="shared" ca="1" si="539"/>
        <v>52129.582607682962</v>
      </c>
      <c r="PR25" s="50">
        <f t="shared" ca="1" si="540"/>
        <v>62513.719344169476</v>
      </c>
      <c r="PS25" s="50">
        <f t="shared" ca="1" si="541"/>
        <v>67973.575548344277</v>
      </c>
      <c r="PT25" s="50">
        <f t="shared" ca="1" si="542"/>
        <v>55347.626370373117</v>
      </c>
      <c r="PU25" s="50">
        <f t="shared" ca="1" si="543"/>
        <v>64800.75121921565</v>
      </c>
      <c r="PV25" s="50">
        <f t="shared" ca="1" si="544"/>
        <v>54892.989635567188</v>
      </c>
      <c r="PW25" s="50">
        <f t="shared" ca="1" si="545"/>
        <v>52482.043839970465</v>
      </c>
      <c r="PX25" s="50">
        <f t="shared" ca="1" si="546"/>
        <v>65897.174042353741</v>
      </c>
      <c r="PY25" s="50">
        <f t="shared" ca="1" si="547"/>
        <v>54993.139854051667</v>
      </c>
      <c r="PZ25" s="50">
        <f t="shared" ca="1" si="548"/>
        <v>59904.538496139256</v>
      </c>
      <c r="QA25" s="50">
        <f t="shared" ca="1" si="549"/>
        <v>54354.637546210281</v>
      </c>
      <c r="QB25" s="50">
        <f t="shared" ca="1" si="550"/>
        <v>54935.175904055774</v>
      </c>
      <c r="QC25" s="50">
        <f t="shared" ca="1" si="551"/>
        <v>65019.976341723726</v>
      </c>
      <c r="QD25" s="50">
        <f t="shared" ca="1" si="552"/>
        <v>53422.315880709568</v>
      </c>
      <c r="QE25" s="50">
        <f t="shared" ca="1" si="553"/>
        <v>55060.675948686854</v>
      </c>
      <c r="QF25" s="50">
        <f t="shared" ca="1" si="554"/>
        <v>53044.352199599227</v>
      </c>
      <c r="QG25" s="50">
        <f t="shared" ca="1" si="555"/>
        <v>53416.52822293662</v>
      </c>
      <c r="QH25" s="50">
        <f t="shared" ca="1" si="556"/>
        <v>51739.846438290107</v>
      </c>
      <c r="QI25" s="50">
        <f t="shared" ca="1" si="557"/>
        <v>50858.155945608429</v>
      </c>
      <c r="QJ25" s="50">
        <f t="shared" ca="1" si="558"/>
        <v>56237.767523352522</v>
      </c>
      <c r="QK25" s="50">
        <f t="shared" ca="1" si="559"/>
        <v>59467.366541979092</v>
      </c>
      <c r="QL25" s="50">
        <f t="shared" ca="1" si="560"/>
        <v>67639.624456897145</v>
      </c>
      <c r="QM25" s="50">
        <f t="shared" ca="1" si="561"/>
        <v>50348.112318526262</v>
      </c>
      <c r="QN25" s="50">
        <f t="shared" ca="1" si="562"/>
        <v>56379.684349946372</v>
      </c>
      <c r="QO25" s="50">
        <f t="shared" ca="1" si="563"/>
        <v>69605.051641568993</v>
      </c>
      <c r="QP25" s="50">
        <f t="shared" ca="1" si="564"/>
        <v>55164.490225333226</v>
      </c>
      <c r="QQ25" s="50">
        <f t="shared" ca="1" si="565"/>
        <v>56904.599096461148</v>
      </c>
      <c r="QR25" s="50">
        <f t="shared" ca="1" si="566"/>
        <v>60334.498733878136</v>
      </c>
      <c r="QS25" s="50">
        <f t="shared" ca="1" si="567"/>
        <v>54303.834894139378</v>
      </c>
      <c r="QT25" s="50">
        <f t="shared" ca="1" si="568"/>
        <v>49675.948517927915</v>
      </c>
      <c r="QU25" s="50">
        <f t="shared" ca="1" si="569"/>
        <v>57925.386858379323</v>
      </c>
      <c r="QV25" s="50">
        <f t="shared" ca="1" si="570"/>
        <v>58918.278456218533</v>
      </c>
      <c r="QW25" s="50">
        <f t="shared" ca="1" si="571"/>
        <v>57473.589412199632</v>
      </c>
      <c r="QX25" s="50">
        <f t="shared" ca="1" si="572"/>
        <v>64768.019258923232</v>
      </c>
      <c r="QY25" s="50">
        <f t="shared" ca="1" si="573"/>
        <v>56944.971318865173</v>
      </c>
      <c r="QZ25" s="50">
        <f t="shared" ca="1" si="574"/>
        <v>58252.282537290906</v>
      </c>
      <c r="RA25" s="50">
        <f t="shared" ca="1" si="575"/>
        <v>48568.538242393719</v>
      </c>
      <c r="RB25" s="50">
        <f t="shared" ca="1" si="576"/>
        <v>73867.038622598906</v>
      </c>
      <c r="RC25" s="50">
        <f t="shared" ca="1" si="577"/>
        <v>63364.570487303405</v>
      </c>
      <c r="RD25" s="50">
        <f t="shared" ca="1" si="578"/>
        <v>56888.89593998489</v>
      </c>
      <c r="RE25" s="50">
        <f t="shared" ca="1" si="579"/>
        <v>59854.923047593518</v>
      </c>
      <c r="RF25" s="50">
        <f t="shared" ca="1" si="580"/>
        <v>57700.7246680518</v>
      </c>
      <c r="RG25" s="50">
        <f t="shared" ca="1" si="581"/>
        <v>51799.628196861493</v>
      </c>
      <c r="RH25" s="50">
        <f t="shared" ca="1" si="582"/>
        <v>61679.474398802813</v>
      </c>
      <c r="RI25" s="50">
        <f t="shared" ca="1" si="583"/>
        <v>70880.074221303235</v>
      </c>
      <c r="RJ25" s="50">
        <f t="shared" ca="1" si="584"/>
        <v>53576.830410067203</v>
      </c>
      <c r="RK25" s="50">
        <f t="shared" ca="1" si="585"/>
        <v>62204.082427633388</v>
      </c>
      <c r="RL25" s="50">
        <f t="shared" ca="1" si="586"/>
        <v>58038.620628798133</v>
      </c>
      <c r="RM25" s="50">
        <f t="shared" ca="1" si="587"/>
        <v>56362.474028173383</v>
      </c>
      <c r="RN25" s="50">
        <f t="shared" ca="1" si="588"/>
        <v>57653.174973765497</v>
      </c>
      <c r="RO25" s="50">
        <f t="shared" ca="1" si="589"/>
        <v>47497.205625731862</v>
      </c>
      <c r="RP25" s="50">
        <f t="shared" ca="1" si="590"/>
        <v>62465.388176181303</v>
      </c>
      <c r="RQ25" s="50">
        <f t="shared" ca="1" si="591"/>
        <v>56893.43644993315</v>
      </c>
      <c r="RR25" s="50">
        <f t="shared" ca="1" si="592"/>
        <v>53753.977062054575</v>
      </c>
      <c r="RS25" s="50">
        <f t="shared" ca="1" si="593"/>
        <v>75777.668320238634</v>
      </c>
      <c r="RT25" s="50">
        <f t="shared" ca="1" si="594"/>
        <v>57534.580274400876</v>
      </c>
      <c r="RU25" s="50">
        <f t="shared" ca="1" si="595"/>
        <v>59418.637412601303</v>
      </c>
      <c r="RV25" s="50">
        <f t="shared" ca="1" si="596"/>
        <v>54027.102359143013</v>
      </c>
      <c r="RW25" s="50">
        <f t="shared" ca="1" si="597"/>
        <v>66030.564222476474</v>
      </c>
      <c r="RX25" s="50">
        <f t="shared" ca="1" si="598"/>
        <v>56317.886267140639</v>
      </c>
      <c r="RY25" s="50">
        <f t="shared" ca="1" si="599"/>
        <v>63254.501330737068</v>
      </c>
      <c r="RZ25" s="50">
        <f t="shared" ca="1" si="600"/>
        <v>59562.130816580458</v>
      </c>
      <c r="SA25" s="50">
        <f t="shared" ca="1" si="601"/>
        <v>58650.506082224005</v>
      </c>
      <c r="SB25" s="50">
        <f t="shared" ca="1" si="602"/>
        <v>62816.845513712688</v>
      </c>
      <c r="SC25" s="50">
        <f t="shared" ca="1" si="603"/>
        <v>55479.528124678822</v>
      </c>
      <c r="SD25" s="50">
        <f t="shared" ca="1" si="604"/>
        <v>52587.668618347168</v>
      </c>
      <c r="SE25" s="50">
        <f t="shared" ca="1" si="605"/>
        <v>66656.475289911701</v>
      </c>
      <c r="SF25" s="50">
        <f t="shared" ca="1" si="606"/>
        <v>58407.974367820294</v>
      </c>
      <c r="SG25" s="50">
        <f t="shared" ca="1" si="607"/>
        <v>52268.622935739739</v>
      </c>
      <c r="SH25" s="50">
        <f t="shared" ca="1" si="608"/>
        <v>56722.302439536572</v>
      </c>
      <c r="SI25" s="50">
        <f t="shared" ca="1" si="609"/>
        <v>66148.827852185743</v>
      </c>
      <c r="SJ25" s="50">
        <f t="shared" ca="1" si="610"/>
        <v>53515.422200793539</v>
      </c>
      <c r="SK25" s="50">
        <f t="shared" ca="1" si="611"/>
        <v>67497.571284133417</v>
      </c>
      <c r="SL25" s="50">
        <f t="shared" ca="1" si="612"/>
        <v>49037.008896793981</v>
      </c>
      <c r="SM25" s="50">
        <f t="shared" ca="1" si="613"/>
        <v>56587.411645599786</v>
      </c>
      <c r="SN25" s="50">
        <f t="shared" ca="1" si="614"/>
        <v>61704.798480441008</v>
      </c>
      <c r="SO25" s="50">
        <f t="shared" ca="1" si="615"/>
        <v>53363.410322911557</v>
      </c>
      <c r="SP25" s="50">
        <f t="shared" ca="1" si="616"/>
        <v>63872.577418182838</v>
      </c>
      <c r="SQ25" s="50">
        <f t="shared" ca="1" si="617"/>
        <v>54804.307988284505</v>
      </c>
      <c r="SR25" s="50">
        <f t="shared" ca="1" si="618"/>
        <v>61226.994977664464</v>
      </c>
      <c r="SS25" s="50">
        <f t="shared" ca="1" si="619"/>
        <v>54639.243945636961</v>
      </c>
      <c r="ST25" s="50">
        <f t="shared" ca="1" si="620"/>
        <v>64050.894964332205</v>
      </c>
      <c r="SU25" s="50">
        <f t="shared" ca="1" si="621"/>
        <v>55474.987757708499</v>
      </c>
      <c r="SV25" s="50">
        <f t="shared" ca="1" si="622"/>
        <v>62769.933651574254</v>
      </c>
      <c r="SW25" s="50">
        <f t="shared" ca="1" si="623"/>
        <v>48546.650794544126</v>
      </c>
      <c r="SX25" s="50">
        <f t="shared" ca="1" si="624"/>
        <v>52985.225609972309</v>
      </c>
      <c r="SY25" s="50">
        <f t="shared" ca="1" si="625"/>
        <v>58212.738185097223</v>
      </c>
      <c r="SZ25" s="50">
        <f t="shared" ca="1" si="626"/>
        <v>60457.960162183284</v>
      </c>
      <c r="TA25" s="50">
        <f t="shared" ca="1" si="627"/>
        <v>52545.368431737072</v>
      </c>
      <c r="TB25" s="50">
        <f t="shared" ca="1" si="628"/>
        <v>56450.142698144955</v>
      </c>
      <c r="TC25" s="50">
        <f t="shared" ca="1" si="629"/>
        <v>65552.14796187215</v>
      </c>
      <c r="TD25" s="50">
        <f t="shared" ca="1" si="630"/>
        <v>58159.101912273167</v>
      </c>
      <c r="TE25" s="50">
        <f t="shared" ca="1" si="631"/>
        <v>54302.634948982181</v>
      </c>
      <c r="TF25" s="50">
        <f t="shared" ca="1" si="632"/>
        <v>71835.417514442583</v>
      </c>
      <c r="TG25" s="50">
        <f t="shared" ca="1" si="633"/>
        <v>59126.811565612341</v>
      </c>
      <c r="TH25" s="50">
        <f t="shared" ca="1" si="634"/>
        <v>54385.362810265971</v>
      </c>
      <c r="TI25" s="50">
        <f t="shared" ca="1" si="635"/>
        <v>51849.140750456689</v>
      </c>
      <c r="TJ25" s="50">
        <f t="shared" ca="1" si="636"/>
        <v>65029.450265007268</v>
      </c>
      <c r="TK25" s="50">
        <f t="shared" ca="1" si="637"/>
        <v>55183.484184232773</v>
      </c>
      <c r="TL25" s="50">
        <f t="shared" ca="1" si="638"/>
        <v>57883.469253873678</v>
      </c>
      <c r="TM25" s="50">
        <f t="shared" ca="1" si="639"/>
        <v>56478.651891293011</v>
      </c>
      <c r="TN25" s="50">
        <f t="shared" ca="1" si="640"/>
        <v>53651.133810640968</v>
      </c>
      <c r="TO25" s="50">
        <f t="shared" ca="1" si="641"/>
        <v>57201.647926007339</v>
      </c>
      <c r="TP25" s="50">
        <f t="shared" ca="1" si="642"/>
        <v>52485.984373935928</v>
      </c>
      <c r="TQ25" s="50">
        <f t="shared" ca="1" si="643"/>
        <v>59956.573815675176</v>
      </c>
      <c r="TR25" s="50">
        <f t="shared" ca="1" si="644"/>
        <v>61219.057793793225</v>
      </c>
      <c r="TS25" s="50">
        <f t="shared" ca="1" si="645"/>
        <v>51210.655873310912</v>
      </c>
      <c r="TT25" s="50">
        <f t="shared" ca="1" si="646"/>
        <v>48984.896766757454</v>
      </c>
      <c r="TU25" s="50">
        <f t="shared" ca="1" si="647"/>
        <v>63473.565819734533</v>
      </c>
      <c r="TV25" s="50">
        <f t="shared" ca="1" si="648"/>
        <v>62113.896450957793</v>
      </c>
      <c r="TW25" s="50">
        <f t="shared" ca="1" si="649"/>
        <v>46201.706691734798</v>
      </c>
      <c r="TX25" s="50">
        <f t="shared" ca="1" si="650"/>
        <v>60725.832563291384</v>
      </c>
      <c r="TY25" s="50">
        <f t="shared" ca="1" si="651"/>
        <v>60361.298877026537</v>
      </c>
      <c r="TZ25" s="50">
        <f t="shared" ca="1" si="652"/>
        <v>62439.929813847841</v>
      </c>
      <c r="UA25" s="50">
        <f t="shared" ca="1" si="653"/>
        <v>50350.909204228636</v>
      </c>
      <c r="UB25" s="50">
        <f t="shared" ca="1" si="654"/>
        <v>57697.754691310962</v>
      </c>
      <c r="UC25" s="50">
        <f t="shared" ca="1" si="655"/>
        <v>62857.129070420015</v>
      </c>
      <c r="UD25" s="50">
        <f t="shared" ca="1" si="656"/>
        <v>61713.433991051206</v>
      </c>
      <c r="UE25" s="50">
        <f t="shared" ca="1" si="657"/>
        <v>54101.988271081442</v>
      </c>
      <c r="UF25" s="50">
        <f t="shared" ca="1" si="658"/>
        <v>59944.66420445047</v>
      </c>
      <c r="UG25" s="50">
        <f t="shared" ca="1" si="659"/>
        <v>54255.359435158949</v>
      </c>
      <c r="UH25" s="50">
        <f t="shared" ca="1" si="660"/>
        <v>53953.843301624911</v>
      </c>
      <c r="UI25" s="50">
        <f t="shared" ca="1" si="661"/>
        <v>59017.596891824731</v>
      </c>
      <c r="UJ25" s="50">
        <f t="shared" ca="1" si="662"/>
        <v>58656.196950371734</v>
      </c>
      <c r="UK25" s="50">
        <f t="shared" ca="1" si="663"/>
        <v>52326.428198449918</v>
      </c>
      <c r="UL25" s="50">
        <f t="shared" ca="1" si="664"/>
        <v>52280.009324880441</v>
      </c>
      <c r="UM25" s="50">
        <f t="shared" ca="1" si="665"/>
        <v>61070.463608829938</v>
      </c>
      <c r="UN25" s="50">
        <f t="shared" ca="1" si="666"/>
        <v>50027.613803913955</v>
      </c>
      <c r="UO25" s="50">
        <f t="shared" ca="1" si="667"/>
        <v>51256.970700635284</v>
      </c>
      <c r="UP25" s="50">
        <f t="shared" ca="1" si="668"/>
        <v>61237.082706561574</v>
      </c>
      <c r="UQ25" s="50">
        <f t="shared" ca="1" si="669"/>
        <v>57121.100298470839</v>
      </c>
      <c r="UR25" s="50">
        <f t="shared" ca="1" si="670"/>
        <v>70920.429146208669</v>
      </c>
      <c r="US25" s="50">
        <f t="shared" ca="1" si="671"/>
        <v>53389.839515703577</v>
      </c>
      <c r="UT25" s="50">
        <f t="shared" ca="1" si="672"/>
        <v>49032.882633744812</v>
      </c>
      <c r="UU25" s="50">
        <f t="shared" ca="1" si="673"/>
        <v>55806.731903453649</v>
      </c>
      <c r="UV25" s="50">
        <f t="shared" ca="1" si="674"/>
        <v>57433.478827423693</v>
      </c>
      <c r="UW25" s="50">
        <f t="shared" ca="1" si="675"/>
        <v>53128.129136196549</v>
      </c>
      <c r="UX25" s="50">
        <f t="shared" ca="1" si="676"/>
        <v>57175.301024474371</v>
      </c>
      <c r="UY25" s="50">
        <f t="shared" ca="1" si="677"/>
        <v>54035.848560965358</v>
      </c>
      <c r="UZ25" s="50">
        <f t="shared" ca="1" si="678"/>
        <v>65726.519547626143</v>
      </c>
      <c r="VA25" s="50">
        <f t="shared" ca="1" si="679"/>
        <v>76058.589311721153</v>
      </c>
      <c r="VB25" s="50">
        <f t="shared" ca="1" si="680"/>
        <v>57662.412892303189</v>
      </c>
      <c r="VC25" s="50">
        <f t="shared" ca="1" si="681"/>
        <v>52948.438198883479</v>
      </c>
      <c r="VD25" s="50">
        <f t="shared" ca="1" si="682"/>
        <v>65672.322007950876</v>
      </c>
      <c r="VE25" s="50">
        <f t="shared" ca="1" si="683"/>
        <v>51039.991049714205</v>
      </c>
      <c r="VF25" s="50">
        <f t="shared" ca="1" si="684"/>
        <v>58498.601998599705</v>
      </c>
      <c r="VG25" s="50">
        <f t="shared" ca="1" si="685"/>
        <v>53340.197633856355</v>
      </c>
      <c r="VH25" s="50">
        <f t="shared" ca="1" si="686"/>
        <v>52056.505948539016</v>
      </c>
      <c r="VI25" s="50">
        <f t="shared" ca="1" si="687"/>
        <v>65667.266924317766</v>
      </c>
      <c r="VJ25" s="50">
        <f t="shared" ca="1" si="688"/>
        <v>61693.077290939378</v>
      </c>
      <c r="VK25" s="50">
        <f t="shared" ca="1" si="689"/>
        <v>65964.747706302092</v>
      </c>
      <c r="VL25" s="50">
        <f t="shared" ca="1" si="690"/>
        <v>57030.899431141726</v>
      </c>
      <c r="VM25" s="50">
        <f t="shared" ca="1" si="691"/>
        <v>66332.963438434046</v>
      </c>
      <c r="VN25" s="50">
        <f t="shared" ca="1" si="692"/>
        <v>67335.592145739836</v>
      </c>
      <c r="VO25" s="50">
        <f t="shared" ca="1" si="693"/>
        <v>61465.811949722032</v>
      </c>
      <c r="VP25" s="50">
        <f t="shared" ca="1" si="694"/>
        <v>58176.337950436173</v>
      </c>
      <c r="VQ25" s="50">
        <f t="shared" ca="1" si="695"/>
        <v>57395.572432165085</v>
      </c>
      <c r="VR25" s="50">
        <f t="shared" ca="1" si="696"/>
        <v>69939.589006478724</v>
      </c>
      <c r="VS25" s="50">
        <f t="shared" ca="1" si="697"/>
        <v>76196.579497357423</v>
      </c>
      <c r="VT25" s="50">
        <f t="shared" ca="1" si="698"/>
        <v>53117.258053746926</v>
      </c>
      <c r="VU25" s="50">
        <f t="shared" ca="1" si="699"/>
        <v>55293.656746913082</v>
      </c>
      <c r="VV25" s="50">
        <f t="shared" ca="1" si="700"/>
        <v>59998.444292493645</v>
      </c>
      <c r="VW25" s="50">
        <f t="shared" ca="1" si="701"/>
        <v>60821.42689260211</v>
      </c>
      <c r="VX25" s="50">
        <f t="shared" ca="1" si="702"/>
        <v>63707.956414420412</v>
      </c>
      <c r="VY25" s="50">
        <f t="shared" ca="1" si="703"/>
        <v>54030.24350572611</v>
      </c>
      <c r="VZ25" s="50">
        <f t="shared" ca="1" si="704"/>
        <v>53904.605534441951</v>
      </c>
      <c r="WA25" s="50">
        <f t="shared" ca="1" si="705"/>
        <v>54188.800069485835</v>
      </c>
      <c r="WB25" s="50">
        <f t="shared" ca="1" si="706"/>
        <v>53835.657164991062</v>
      </c>
      <c r="WC25" s="50">
        <f t="shared" ca="1" si="707"/>
        <v>59185.346649968706</v>
      </c>
      <c r="WD25" s="50">
        <f t="shared" ca="1" si="708"/>
        <v>62374.617181815287</v>
      </c>
      <c r="WE25" s="50">
        <f t="shared" ca="1" si="709"/>
        <v>59870.090104416813</v>
      </c>
      <c r="WF25" s="50">
        <f t="shared" ca="1" si="710"/>
        <v>67292.156233648682</v>
      </c>
      <c r="WG25" s="50">
        <f t="shared" ca="1" si="711"/>
        <v>58110.342281157536</v>
      </c>
      <c r="WH25" s="50">
        <f t="shared" ca="1" si="712"/>
        <v>59571.187013669616</v>
      </c>
      <c r="WI25" s="50">
        <f t="shared" ca="1" si="713"/>
        <v>58961.24729039472</v>
      </c>
      <c r="WJ25" s="50">
        <f t="shared" ca="1" si="714"/>
        <v>51520.567395721613</v>
      </c>
      <c r="WK25" s="50">
        <f t="shared" ca="1" si="715"/>
        <v>59455.39920664559</v>
      </c>
      <c r="WL25" s="50">
        <f t="shared" ca="1" si="716"/>
        <v>60984.029777388743</v>
      </c>
      <c r="WM25" s="50">
        <f t="shared" ca="1" si="717"/>
        <v>57088.250804528878</v>
      </c>
      <c r="WN25" s="50">
        <f t="shared" ca="1" si="718"/>
        <v>54741.673639136825</v>
      </c>
      <c r="WO25" s="50">
        <f t="shared" ca="1" si="719"/>
        <v>55698.456409560298</v>
      </c>
      <c r="WP25" s="50">
        <f t="shared" ca="1" si="720"/>
        <v>57690.153407883074</v>
      </c>
      <c r="WQ25" s="50">
        <f t="shared" ca="1" si="721"/>
        <v>51670.937863747211</v>
      </c>
      <c r="WR25" s="50">
        <f t="shared" ca="1" si="722"/>
        <v>56504.998422441109</v>
      </c>
      <c r="WS25" s="50">
        <f t="shared" ca="1" si="723"/>
        <v>52158.884269045921</v>
      </c>
      <c r="WT25" s="50">
        <f t="shared" ca="1" si="724"/>
        <v>66593.388916907104</v>
      </c>
      <c r="WU25" s="50">
        <f t="shared" ca="1" si="725"/>
        <v>68000.17676217758</v>
      </c>
      <c r="WV25" s="50">
        <f t="shared" ca="1" si="726"/>
        <v>51494.850094769477</v>
      </c>
      <c r="WW25" s="50">
        <f t="shared" ca="1" si="727"/>
        <v>59469.773687479494</v>
      </c>
      <c r="WX25" s="50">
        <f t="shared" ca="1" si="728"/>
        <v>58299.888193488703</v>
      </c>
      <c r="WY25" s="50">
        <f t="shared" ca="1" si="729"/>
        <v>58739.682839737812</v>
      </c>
      <c r="WZ25" s="50">
        <f t="shared" ca="1" si="730"/>
        <v>64079.511956858405</v>
      </c>
      <c r="XA25" s="50">
        <f t="shared" ca="1" si="731"/>
        <v>57591.749220088728</v>
      </c>
      <c r="XB25" s="50">
        <f t="shared" ca="1" si="732"/>
        <v>58624.804242097649</v>
      </c>
      <c r="XC25" s="50">
        <f t="shared" ca="1" si="733"/>
        <v>70406.161485536199</v>
      </c>
      <c r="XD25" s="50">
        <f t="shared" ca="1" si="734"/>
        <v>56447.010881080168</v>
      </c>
      <c r="XE25" s="50">
        <f t="shared" ca="1" si="735"/>
        <v>70602.457275390349</v>
      </c>
      <c r="XF25" s="50">
        <f t="shared" ca="1" si="736"/>
        <v>61515.888172996383</v>
      </c>
      <c r="XG25" s="50">
        <f t="shared" ca="1" si="737"/>
        <v>53403.977344490129</v>
      </c>
      <c r="XH25" s="50">
        <f t="shared" ca="1" si="738"/>
        <v>63720.59905308982</v>
      </c>
      <c r="XI25" s="50">
        <f t="shared" ca="1" si="739"/>
        <v>52166.797845752313</v>
      </c>
      <c r="XJ25" s="50">
        <f t="shared" ca="1" si="740"/>
        <v>50145.581606787797</v>
      </c>
      <c r="XK25" s="50">
        <f t="shared" ca="1" si="741"/>
        <v>53976.590044889446</v>
      </c>
      <c r="XL25" s="50">
        <f t="shared" ca="1" si="742"/>
        <v>64828.747088892946</v>
      </c>
      <c r="XM25" s="50">
        <f t="shared" ca="1" si="743"/>
        <v>57031.058726211049</v>
      </c>
      <c r="XN25" s="50">
        <f t="shared" ca="1" si="744"/>
        <v>55933.885892106911</v>
      </c>
      <c r="XO25" s="50">
        <f t="shared" ca="1" si="745"/>
        <v>53456.571785602377</v>
      </c>
      <c r="XP25" s="50">
        <f t="shared" ca="1" si="746"/>
        <v>70885.876086047938</v>
      </c>
      <c r="XQ25" s="50">
        <f t="shared" ca="1" si="747"/>
        <v>56088.488974546402</v>
      </c>
      <c r="XR25" s="50">
        <f t="shared" ca="1" si="748"/>
        <v>64632.370281951371</v>
      </c>
      <c r="XS25" s="50">
        <f t="shared" ca="1" si="749"/>
        <v>50552.798127558912</v>
      </c>
      <c r="XT25" s="50">
        <f t="shared" ca="1" si="750"/>
        <v>61401.622152339492</v>
      </c>
      <c r="XU25" s="50">
        <f t="shared" ca="1" si="751"/>
        <v>51206.399284927946</v>
      </c>
      <c r="XV25" s="50">
        <f t="shared" ca="1" si="752"/>
        <v>56918.990856817989</v>
      </c>
      <c r="XW25" s="50">
        <f t="shared" ca="1" si="753"/>
        <v>47912.18206017113</v>
      </c>
      <c r="XX25" s="50">
        <f t="shared" ca="1" si="754"/>
        <v>65275.789625119716</v>
      </c>
      <c r="XY25" s="50">
        <f t="shared" ca="1" si="755"/>
        <v>44129.453147479391</v>
      </c>
      <c r="XZ25" s="50">
        <f t="shared" ca="1" si="756"/>
        <v>64012.57565650031</v>
      </c>
      <c r="YA25" s="50">
        <f t="shared" ca="1" si="757"/>
        <v>65442.472773387912</v>
      </c>
      <c r="YB25" s="50">
        <f t="shared" ca="1" si="758"/>
        <v>61085.46427627001</v>
      </c>
      <c r="YC25" s="50">
        <f t="shared" ca="1" si="759"/>
        <v>65730.120397114952</v>
      </c>
      <c r="YD25" s="50">
        <f t="shared" ca="1" si="760"/>
        <v>65137.470572142694</v>
      </c>
      <c r="YE25" s="50">
        <f t="shared" ca="1" si="761"/>
        <v>56460.122455093238</v>
      </c>
      <c r="YF25" s="50">
        <f t="shared" ca="1" si="762"/>
        <v>70608.404686127411</v>
      </c>
      <c r="YG25" s="50">
        <f t="shared" ca="1" si="763"/>
        <v>59934.047526794187</v>
      </c>
      <c r="YH25" s="50">
        <f t="shared" ca="1" si="764"/>
        <v>64112.587517644388</v>
      </c>
      <c r="YI25" s="50">
        <f t="shared" ca="1" si="765"/>
        <v>56833.735804542943</v>
      </c>
      <c r="YJ25" s="50">
        <f t="shared" ca="1" si="766"/>
        <v>53786.652828578088</v>
      </c>
      <c r="YK25" s="50">
        <f t="shared" ca="1" si="767"/>
        <v>56422.579257367048</v>
      </c>
      <c r="YL25" s="50">
        <f t="shared" ca="1" si="768"/>
        <v>57194.753824017025</v>
      </c>
      <c r="YM25" s="50">
        <f t="shared" ca="1" si="769"/>
        <v>54868.368329141776</v>
      </c>
      <c r="YN25" s="50">
        <f t="shared" ca="1" si="770"/>
        <v>55115.998819134104</v>
      </c>
      <c r="YO25" s="50">
        <f t="shared" ca="1" si="771"/>
        <v>47613.983881280685</v>
      </c>
      <c r="YP25" s="50">
        <f t="shared" ca="1" si="772"/>
        <v>55678.037070124519</v>
      </c>
      <c r="YQ25" s="50">
        <f t="shared" ca="1" si="773"/>
        <v>62258.195441158045</v>
      </c>
      <c r="YR25" s="50">
        <f t="shared" ca="1" si="774"/>
        <v>54599.714702264842</v>
      </c>
      <c r="YS25" s="50">
        <f t="shared" ca="1" si="775"/>
        <v>61628.754346865404</v>
      </c>
      <c r="YT25" s="50">
        <f t="shared" ca="1" si="776"/>
        <v>60454.701321498367</v>
      </c>
      <c r="YU25" s="50">
        <f t="shared" ca="1" si="777"/>
        <v>65422.257955661742</v>
      </c>
      <c r="YV25" s="50">
        <f t="shared" ca="1" si="778"/>
        <v>52085.800064136405</v>
      </c>
      <c r="YW25" s="50">
        <f t="shared" ca="1" si="779"/>
        <v>50708.785564519305</v>
      </c>
      <c r="YX25" s="50">
        <f t="shared" ca="1" si="780"/>
        <v>57786.185121719041</v>
      </c>
      <c r="YY25" s="50">
        <f t="shared" ca="1" si="781"/>
        <v>56464.004537023131</v>
      </c>
      <c r="YZ25" s="50">
        <f t="shared" ca="1" si="782"/>
        <v>55541.722375428108</v>
      </c>
      <c r="ZA25" s="50">
        <f t="shared" ca="1" si="783"/>
        <v>61388.08971337635</v>
      </c>
      <c r="ZB25" s="50">
        <f t="shared" ca="1" si="784"/>
        <v>53923.127228174577</v>
      </c>
      <c r="ZC25" s="50">
        <f t="shared" ca="1" si="785"/>
        <v>52073.890149036262</v>
      </c>
      <c r="ZD25" s="50">
        <f t="shared" ca="1" si="786"/>
        <v>54865.936267489153</v>
      </c>
      <c r="ZE25" s="50">
        <f t="shared" ca="1" si="787"/>
        <v>54530.433893227681</v>
      </c>
      <c r="ZF25" s="50">
        <f t="shared" ca="1" si="788"/>
        <v>69624.051980131597</v>
      </c>
      <c r="ZG25" s="50">
        <f t="shared" ca="1" si="789"/>
        <v>54192.656021321258</v>
      </c>
      <c r="ZH25" s="50">
        <f t="shared" ca="1" si="790"/>
        <v>56339.873733759756</v>
      </c>
      <c r="ZI25" s="50">
        <f t="shared" ca="1" si="791"/>
        <v>53873.847634054066</v>
      </c>
      <c r="ZJ25" s="50">
        <f t="shared" ca="1" si="792"/>
        <v>56483.80987597895</v>
      </c>
      <c r="ZK25" s="50">
        <f t="shared" ca="1" si="793"/>
        <v>56566.196598150156</v>
      </c>
      <c r="ZL25" s="50">
        <f t="shared" ca="1" si="794"/>
        <v>56444.925537977579</v>
      </c>
      <c r="ZM25" s="50">
        <f t="shared" ca="1" si="795"/>
        <v>64009.387418913335</v>
      </c>
      <c r="ZN25" s="50">
        <f t="shared" ca="1" si="796"/>
        <v>48422.792505965146</v>
      </c>
      <c r="ZO25" s="50">
        <f t="shared" ca="1" si="797"/>
        <v>55047.144346166744</v>
      </c>
      <c r="ZP25" s="50">
        <f t="shared" ca="1" si="798"/>
        <v>66347.286142106139</v>
      </c>
      <c r="ZQ25" s="50">
        <f t="shared" ca="1" si="799"/>
        <v>64085.478391077748</v>
      </c>
      <c r="ZR25" s="50">
        <f t="shared" ca="1" si="800"/>
        <v>52059.316274435463</v>
      </c>
      <c r="ZS25" s="50">
        <f t="shared" ca="1" si="801"/>
        <v>63701.853847686041</v>
      </c>
      <c r="ZT25" s="50">
        <f t="shared" ca="1" si="802"/>
        <v>57446.189398495422</v>
      </c>
      <c r="ZU25" s="50">
        <f t="shared" ca="1" si="803"/>
        <v>57756.317735842611</v>
      </c>
      <c r="ZV25" s="50">
        <f t="shared" ca="1" si="804"/>
        <v>62163.985847263102</v>
      </c>
      <c r="ZW25" s="50">
        <f t="shared" ca="1" si="805"/>
        <v>62181.367959579511</v>
      </c>
      <c r="ZX25" s="50">
        <f t="shared" ca="1" si="806"/>
        <v>58943.98995358972</v>
      </c>
      <c r="ZY25" s="50">
        <f t="shared" ca="1" si="807"/>
        <v>49084.981256076564</v>
      </c>
      <c r="ZZ25" s="50">
        <f t="shared" ca="1" si="808"/>
        <v>69369.686039683627</v>
      </c>
      <c r="AAA25" s="50">
        <f t="shared" ca="1" si="809"/>
        <v>53215.200481679538</v>
      </c>
      <c r="AAB25" s="50">
        <f t="shared" ca="1" si="810"/>
        <v>63882.128770949523</v>
      </c>
      <c r="AAC25" s="50">
        <f t="shared" ca="1" si="811"/>
        <v>64238.649844851934</v>
      </c>
      <c r="AAD25" s="50">
        <f t="shared" ca="1" si="812"/>
        <v>54434.992865493223</v>
      </c>
      <c r="AAE25" s="50">
        <f t="shared" ca="1" si="813"/>
        <v>58000.820486774181</v>
      </c>
      <c r="AAF25" s="50">
        <f t="shared" ca="1" si="814"/>
        <v>45896.275797741269</v>
      </c>
      <c r="AAG25" s="50">
        <f t="shared" ca="1" si="815"/>
        <v>57400.125596025347</v>
      </c>
      <c r="AAH25" s="50">
        <f t="shared" ca="1" si="816"/>
        <v>60553.407935147465</v>
      </c>
      <c r="AAI25" s="50">
        <f t="shared" ca="1" si="817"/>
        <v>67564.004910573116</v>
      </c>
      <c r="AAJ25" s="50">
        <f t="shared" ca="1" si="818"/>
        <v>61351.968408351742</v>
      </c>
      <c r="AAK25" s="50">
        <f t="shared" ca="1" si="819"/>
        <v>64220.673585074255</v>
      </c>
      <c r="AAL25" s="50">
        <f t="shared" ca="1" si="820"/>
        <v>54946.763580571525</v>
      </c>
      <c r="AAM25" s="50">
        <f t="shared" ca="1" si="821"/>
        <v>57608.653090869389</v>
      </c>
      <c r="AAN25" s="50">
        <f t="shared" ca="1" si="822"/>
        <v>58849.727336727585</v>
      </c>
      <c r="AAO25" s="50">
        <f t="shared" ca="1" si="823"/>
        <v>54730.739218918789</v>
      </c>
      <c r="AAP25" s="50">
        <f t="shared" ca="1" si="824"/>
        <v>53829.852665368155</v>
      </c>
      <c r="AAQ25" s="50">
        <f t="shared" ca="1" si="825"/>
        <v>57069.23031132279</v>
      </c>
      <c r="AAR25" s="50">
        <f t="shared" ca="1" si="826"/>
        <v>58625.775294595805</v>
      </c>
      <c r="AAS25" s="50">
        <f t="shared" ca="1" si="827"/>
        <v>68307.748043819374</v>
      </c>
      <c r="AAT25" s="50">
        <f t="shared" ca="1" si="828"/>
        <v>54662.900689041504</v>
      </c>
      <c r="AAU25" s="50">
        <f t="shared" ca="1" si="829"/>
        <v>60233.471155354033</v>
      </c>
      <c r="AAV25" s="50">
        <f t="shared" ca="1" si="830"/>
        <v>51624.066173028186</v>
      </c>
      <c r="AAW25" s="50">
        <f t="shared" ca="1" si="831"/>
        <v>59022.591377367302</v>
      </c>
      <c r="AAX25" s="50">
        <f t="shared" ca="1" si="832"/>
        <v>61536.921534116322</v>
      </c>
      <c r="AAY25" s="50">
        <f t="shared" ca="1" si="833"/>
        <v>59747.526898923083</v>
      </c>
      <c r="AAZ25" s="50">
        <f t="shared" ca="1" si="834"/>
        <v>58257.654806845734</v>
      </c>
      <c r="ABA25" s="50">
        <f t="shared" ca="1" si="835"/>
        <v>58332.029600409718</v>
      </c>
      <c r="ABB25" s="50">
        <f t="shared" ca="1" si="836"/>
        <v>56611.975279181221</v>
      </c>
      <c r="ABC25" s="50">
        <f t="shared" ca="1" si="837"/>
        <v>62278.061127473418</v>
      </c>
      <c r="ABD25" s="50">
        <f t="shared" ca="1" si="838"/>
        <v>47442.655818356878</v>
      </c>
      <c r="ABE25" s="50">
        <f t="shared" ca="1" si="839"/>
        <v>64842.77537213172</v>
      </c>
      <c r="ABF25" s="50">
        <f t="shared" ca="1" si="840"/>
        <v>54777.515561995649</v>
      </c>
      <c r="ABG25" s="50">
        <f t="shared" ca="1" si="841"/>
        <v>55482.906520197779</v>
      </c>
      <c r="ABH25" s="50">
        <f t="shared" ca="1" si="842"/>
        <v>58858.935646033467</v>
      </c>
      <c r="ABI25" s="50">
        <f t="shared" ca="1" si="843"/>
        <v>59636.611256019562</v>
      </c>
      <c r="ABJ25" s="50">
        <f t="shared" ca="1" si="844"/>
        <v>56256.103424324021</v>
      </c>
      <c r="ABK25" s="50">
        <f t="shared" ca="1" si="845"/>
        <v>58144.855770871</v>
      </c>
      <c r="ABL25" s="50">
        <f t="shared" ca="1" si="846"/>
        <v>62532.231319404564</v>
      </c>
      <c r="ABM25" s="50">
        <f t="shared" ca="1" si="847"/>
        <v>58721.071200629871</v>
      </c>
      <c r="ABN25" s="50">
        <f t="shared" ca="1" si="848"/>
        <v>54932.798514234659</v>
      </c>
      <c r="ABO25" s="50">
        <f t="shared" ca="1" si="849"/>
        <v>55754.840339999835</v>
      </c>
      <c r="ABP25" s="50">
        <f t="shared" ca="1" si="850"/>
        <v>54709.563742140606</v>
      </c>
      <c r="ABQ25" s="50">
        <f t="shared" ca="1" si="851"/>
        <v>50815.985315276877</v>
      </c>
      <c r="ABR25" s="50">
        <f t="shared" ca="1" si="852"/>
        <v>54005.605073809711</v>
      </c>
      <c r="ABS25" s="50">
        <f t="shared" ca="1" si="853"/>
        <v>61742.695909656519</v>
      </c>
      <c r="ABT25" s="50">
        <f t="shared" ca="1" si="854"/>
        <v>53962.252884402718</v>
      </c>
      <c r="ABU25" s="50">
        <f t="shared" ca="1" si="855"/>
        <v>60308.364048735617</v>
      </c>
      <c r="ABV25" s="50">
        <f t="shared" ca="1" si="856"/>
        <v>55779.219254985721</v>
      </c>
      <c r="ABW25" s="50">
        <f t="shared" ca="1" si="857"/>
        <v>48041.609236263517</v>
      </c>
      <c r="ABX25" s="50">
        <f t="shared" ca="1" si="858"/>
        <v>58524.741220030242</v>
      </c>
      <c r="ABY25" s="50">
        <f t="shared" ca="1" si="859"/>
        <v>56227.686882299131</v>
      </c>
      <c r="ABZ25" s="50">
        <f t="shared" ca="1" si="860"/>
        <v>54869.720173900496</v>
      </c>
      <c r="ACA25" s="50">
        <f t="shared" ca="1" si="861"/>
        <v>70271.404397833641</v>
      </c>
      <c r="ACB25" s="50">
        <f t="shared" ca="1" si="862"/>
        <v>60322.10831428926</v>
      </c>
      <c r="ACC25" s="50">
        <f t="shared" ca="1" si="863"/>
        <v>59167.088709112686</v>
      </c>
      <c r="ACD25" s="50">
        <f t="shared" ca="1" si="864"/>
        <v>51985.761284835426</v>
      </c>
      <c r="ACE25" s="50">
        <f t="shared" ca="1" si="865"/>
        <v>72041.113078717899</v>
      </c>
      <c r="ACF25" s="50">
        <f t="shared" ca="1" si="866"/>
        <v>59103.59442333538</v>
      </c>
      <c r="ACG25" s="50">
        <f t="shared" ca="1" si="867"/>
        <v>67843.142610706345</v>
      </c>
      <c r="ACH25" s="50">
        <f t="shared" ca="1" si="868"/>
        <v>66963.663867400712</v>
      </c>
      <c r="ACI25" s="50">
        <f t="shared" ca="1" si="869"/>
        <v>57688.443585816</v>
      </c>
      <c r="ACJ25" s="50">
        <f t="shared" ca="1" si="870"/>
        <v>73649.61363372019</v>
      </c>
      <c r="ACK25" s="50">
        <f t="shared" ca="1" si="871"/>
        <v>57546.011818976003</v>
      </c>
      <c r="ACL25" s="50">
        <f t="shared" ca="1" si="872"/>
        <v>48305.103747905152</v>
      </c>
      <c r="ACM25" s="50">
        <f t="shared" ca="1" si="873"/>
        <v>55553.624373186161</v>
      </c>
      <c r="ACN25" s="50">
        <f t="shared" ca="1" si="874"/>
        <v>54112.596333076217</v>
      </c>
      <c r="ACO25" s="50">
        <f t="shared" ca="1" si="875"/>
        <v>53463.962961016092</v>
      </c>
      <c r="ACP25" s="50">
        <f t="shared" ca="1" si="876"/>
        <v>56521.223765694886</v>
      </c>
      <c r="ACQ25" s="50">
        <f t="shared" ca="1" si="877"/>
        <v>51450.654810777414</v>
      </c>
      <c r="ACR25" s="50">
        <f t="shared" ca="1" si="878"/>
        <v>56096.722864972697</v>
      </c>
      <c r="ACS25" s="50">
        <f t="shared" ca="1" si="879"/>
        <v>54510.15196708071</v>
      </c>
      <c r="ACT25" s="50">
        <f t="shared" ca="1" si="880"/>
        <v>57641.596924081212</v>
      </c>
      <c r="ACU25" s="50">
        <f t="shared" ca="1" si="881"/>
        <v>49298.576329115014</v>
      </c>
      <c r="ACV25" s="50">
        <f t="shared" ca="1" si="882"/>
        <v>58066.087150047286</v>
      </c>
      <c r="ACW25" s="50">
        <f t="shared" ca="1" si="883"/>
        <v>61655.341683773368</v>
      </c>
      <c r="ACX25" s="50">
        <f t="shared" ca="1" si="884"/>
        <v>56244.279746209628</v>
      </c>
      <c r="ACY25" s="50">
        <f t="shared" ca="1" si="885"/>
        <v>50437.31955022231</v>
      </c>
      <c r="ACZ25" s="50">
        <f t="shared" ca="1" si="886"/>
        <v>62992.865538677106</v>
      </c>
      <c r="ADA25" s="50">
        <f t="shared" ca="1" si="887"/>
        <v>70312.591775639943</v>
      </c>
      <c r="ADB25" s="50">
        <f t="shared" ca="1" si="888"/>
        <v>58553.012950163749</v>
      </c>
      <c r="ADC25" s="50">
        <f t="shared" ca="1" si="889"/>
        <v>59677.386390839631</v>
      </c>
      <c r="ADD25" s="50">
        <f t="shared" ca="1" si="890"/>
        <v>49670.539280057383</v>
      </c>
      <c r="ADE25" s="50">
        <f t="shared" ca="1" si="891"/>
        <v>62231.190685286841</v>
      </c>
      <c r="ADF25" s="50">
        <f t="shared" ca="1" si="892"/>
        <v>58747.501294750422</v>
      </c>
      <c r="ADG25" s="50">
        <f t="shared" ca="1" si="893"/>
        <v>66014.125331592993</v>
      </c>
      <c r="ADH25" s="50">
        <f t="shared" ca="1" si="894"/>
        <v>55919.499130348428</v>
      </c>
      <c r="ADI25" s="50">
        <f t="shared" ca="1" si="895"/>
        <v>49413.579453598119</v>
      </c>
      <c r="ADJ25" s="50">
        <f t="shared" ca="1" si="896"/>
        <v>61919.760395379366</v>
      </c>
      <c r="ADK25" s="50">
        <f t="shared" ca="1" si="897"/>
        <v>54161.685344915735</v>
      </c>
      <c r="ADL25" s="50">
        <f t="shared" ca="1" si="898"/>
        <v>58653.57621645779</v>
      </c>
      <c r="ADM25" s="50">
        <f t="shared" ca="1" si="899"/>
        <v>60277.573763969434</v>
      </c>
      <c r="ADN25" s="50">
        <f t="shared" ca="1" si="900"/>
        <v>59998.528542982531</v>
      </c>
      <c r="ADO25" s="50">
        <f t="shared" ca="1" si="901"/>
        <v>49305.883788027546</v>
      </c>
      <c r="ADP25" s="50">
        <f t="shared" ca="1" si="902"/>
        <v>55812.700960054834</v>
      </c>
      <c r="ADQ25" s="50">
        <f t="shared" ca="1" si="903"/>
        <v>48577.482939878333</v>
      </c>
      <c r="ADR25" s="50">
        <f t="shared" ca="1" si="904"/>
        <v>54969.270734388941</v>
      </c>
      <c r="ADS25" s="50">
        <f t="shared" ca="1" si="905"/>
        <v>58003.329943690092</v>
      </c>
      <c r="ADT25" s="50">
        <f t="shared" ca="1" si="906"/>
        <v>62539.770193912409</v>
      </c>
      <c r="ADU25" s="50">
        <f t="shared" ca="1" si="907"/>
        <v>57917.54040157218</v>
      </c>
      <c r="ADV25" s="50">
        <f t="shared" ca="1" si="908"/>
        <v>70220.394503129035</v>
      </c>
      <c r="ADW25" s="50">
        <f t="shared" ca="1" si="909"/>
        <v>53927.206499416941</v>
      </c>
      <c r="ADX25" s="50">
        <f t="shared" ca="1" si="910"/>
        <v>62117.184173224588</v>
      </c>
      <c r="ADY25" s="50">
        <f t="shared" ca="1" si="911"/>
        <v>58730.411036094571</v>
      </c>
      <c r="ADZ25" s="50">
        <f t="shared" ca="1" si="912"/>
        <v>54743.016441267406</v>
      </c>
      <c r="AEA25" s="50">
        <f t="shared" ca="1" si="913"/>
        <v>55794.746086494888</v>
      </c>
      <c r="AEB25" s="50">
        <f t="shared" ca="1" si="914"/>
        <v>70212.292949992363</v>
      </c>
      <c r="AEC25" s="50">
        <f t="shared" ca="1" si="915"/>
        <v>72508.203966394081</v>
      </c>
      <c r="AED25" s="50">
        <f t="shared" ca="1" si="916"/>
        <v>67146.072113215254</v>
      </c>
      <c r="AEE25" s="50">
        <f t="shared" ca="1" si="917"/>
        <v>53519.105805018473</v>
      </c>
      <c r="AEF25" s="50">
        <f t="shared" ca="1" si="918"/>
        <v>61181.112768040184</v>
      </c>
      <c r="AEG25" s="50">
        <f t="shared" ca="1" si="919"/>
        <v>52418.22695448438</v>
      </c>
      <c r="AEH25" s="50">
        <f t="shared" ca="1" si="920"/>
        <v>67755.489445583808</v>
      </c>
      <c r="AEI25" s="50">
        <f t="shared" ca="1" si="921"/>
        <v>59129.304375302519</v>
      </c>
      <c r="AEJ25" s="50">
        <f t="shared" ca="1" si="922"/>
        <v>57286.535322862204</v>
      </c>
      <c r="AEK25" s="50">
        <f t="shared" ca="1" si="923"/>
        <v>63194.360927382317</v>
      </c>
      <c r="AEL25" s="50">
        <f t="shared" ca="1" si="924"/>
        <v>60073.330630955024</v>
      </c>
      <c r="AEM25" s="50">
        <f t="shared" ca="1" si="925"/>
        <v>71910.198741089946</v>
      </c>
      <c r="AEN25" s="50">
        <f t="shared" ca="1" si="926"/>
        <v>67060.635669141906</v>
      </c>
      <c r="AEO25" s="50">
        <f t="shared" ca="1" si="927"/>
        <v>69541.899425675336</v>
      </c>
      <c r="AEP25" s="50">
        <f t="shared" ca="1" si="928"/>
        <v>54153.560933350171</v>
      </c>
      <c r="AEQ25" s="50">
        <f t="shared" ca="1" si="929"/>
        <v>57288.30756833007</v>
      </c>
      <c r="AER25" s="50">
        <f t="shared" ca="1" si="930"/>
        <v>57892.419006102027</v>
      </c>
      <c r="AES25" s="50">
        <f t="shared" ca="1" si="931"/>
        <v>53944.717879731383</v>
      </c>
      <c r="AET25" s="50">
        <f t="shared" ca="1" si="932"/>
        <v>69207.602170933271</v>
      </c>
      <c r="AEU25" s="50">
        <f t="shared" ca="1" si="933"/>
        <v>66813.817893630505</v>
      </c>
      <c r="AEV25" s="50">
        <f t="shared" ca="1" si="934"/>
        <v>68363.484094320593</v>
      </c>
      <c r="AEW25" s="50">
        <f t="shared" ca="1" si="935"/>
        <v>65906.861903379511</v>
      </c>
      <c r="AEX25" s="50">
        <f t="shared" ca="1" si="936"/>
        <v>56083.627076913916</v>
      </c>
      <c r="AEY25" s="50">
        <f t="shared" ca="1" si="937"/>
        <v>60189.614106983878</v>
      </c>
      <c r="AEZ25" s="50">
        <f t="shared" ca="1" si="938"/>
        <v>62205.174260090847</v>
      </c>
      <c r="AFA25" s="50">
        <f t="shared" ca="1" si="939"/>
        <v>55670.648627142255</v>
      </c>
      <c r="AFB25" s="50">
        <f t="shared" ca="1" si="940"/>
        <v>56952.820215593136</v>
      </c>
      <c r="AFC25" s="50">
        <f t="shared" ca="1" si="941"/>
        <v>56955.064935483628</v>
      </c>
      <c r="AFD25" s="50">
        <f t="shared" ca="1" si="942"/>
        <v>60481.162725289694</v>
      </c>
      <c r="AFE25" s="50">
        <f t="shared" ca="1" si="943"/>
        <v>47700.543061126882</v>
      </c>
      <c r="AFF25" s="50">
        <f t="shared" ca="1" si="944"/>
        <v>59714.489902018468</v>
      </c>
      <c r="AFG25" s="50">
        <f t="shared" ca="1" si="945"/>
        <v>56772.951815034299</v>
      </c>
      <c r="AFH25" s="50">
        <f t="shared" ca="1" si="946"/>
        <v>57387.359535291202</v>
      </c>
      <c r="AFI25" s="50">
        <f t="shared" ca="1" si="947"/>
        <v>50077.490963001364</v>
      </c>
      <c r="AFJ25" s="50">
        <f t="shared" ca="1" si="948"/>
        <v>55455.85406792412</v>
      </c>
      <c r="AFK25" s="50">
        <f t="shared" ca="1" si="949"/>
        <v>54688.60981034251</v>
      </c>
      <c r="AFL25" s="50">
        <f t="shared" ca="1" si="950"/>
        <v>54691.30878846522</v>
      </c>
      <c r="AFM25" s="50">
        <f t="shared" ca="1" si="951"/>
        <v>53345.392336225545</v>
      </c>
      <c r="AFN25" s="50">
        <f t="shared" ca="1" si="952"/>
        <v>53635.519866128961</v>
      </c>
      <c r="AFO25" s="50">
        <f t="shared" ca="1" si="953"/>
        <v>61131.43418732578</v>
      </c>
      <c r="AFP25" s="50">
        <f t="shared" ca="1" si="954"/>
        <v>54449.870394472295</v>
      </c>
      <c r="AFQ25" s="50">
        <f t="shared" ca="1" si="955"/>
        <v>61447.461458384445</v>
      </c>
      <c r="AFR25" s="50">
        <f t="shared" ca="1" si="956"/>
        <v>54619.513223788184</v>
      </c>
      <c r="AFS25" s="50">
        <f t="shared" ca="1" si="957"/>
        <v>52494.717558739081</v>
      </c>
      <c r="AFT25" s="50">
        <f t="shared" ca="1" si="958"/>
        <v>63069.233111812813</v>
      </c>
      <c r="AFU25" s="50">
        <f t="shared" ca="1" si="959"/>
        <v>60290.939159635578</v>
      </c>
      <c r="AFV25" s="50">
        <f t="shared" ca="1" si="960"/>
        <v>63796.638128401864</v>
      </c>
      <c r="AFW25" s="50">
        <f t="shared" ca="1" si="961"/>
        <v>60525.864585143529</v>
      </c>
      <c r="AFX25" s="50">
        <f t="shared" ca="1" si="962"/>
        <v>57400.926813269682</v>
      </c>
      <c r="AFY25" s="50">
        <f t="shared" ca="1" si="963"/>
        <v>53568.514777427146</v>
      </c>
      <c r="AFZ25" s="50">
        <f t="shared" ca="1" si="964"/>
        <v>63814.88070670134</v>
      </c>
      <c r="AGA25" s="50">
        <f t="shared" ca="1" si="965"/>
        <v>70392.351570724291</v>
      </c>
      <c r="AGB25" s="50">
        <f t="shared" ca="1" si="966"/>
        <v>64205.1678692196</v>
      </c>
      <c r="AGC25" s="50">
        <f t="shared" ca="1" si="967"/>
        <v>64285.272855056013</v>
      </c>
      <c r="AGD25" s="50">
        <f t="shared" ca="1" si="968"/>
        <v>52245.955023398761</v>
      </c>
      <c r="AGE25" s="50">
        <f t="shared" ca="1" si="969"/>
        <v>55965.040747383238</v>
      </c>
      <c r="AGF25" s="50">
        <f t="shared" ca="1" si="970"/>
        <v>51862.503010531393</v>
      </c>
      <c r="AGG25" s="50">
        <f t="shared" ca="1" si="971"/>
        <v>61196.079336563562</v>
      </c>
      <c r="AGH25" s="50">
        <f t="shared" ca="1" si="972"/>
        <v>66450.083226231189</v>
      </c>
      <c r="AGI25" s="50">
        <f t="shared" ca="1" si="973"/>
        <v>55558.338179347855</v>
      </c>
      <c r="AGJ25" s="50">
        <f t="shared" ca="1" si="974"/>
        <v>61102.384324778825</v>
      </c>
      <c r="AGK25" s="50">
        <f t="shared" ca="1" si="975"/>
        <v>78571.782135650195</v>
      </c>
      <c r="AGL25" s="50">
        <f t="shared" ca="1" si="976"/>
        <v>51011.011916621843</v>
      </c>
      <c r="AGM25" s="50">
        <f t="shared" ca="1" si="977"/>
        <v>59069.459344191178</v>
      </c>
      <c r="AGN25" s="50">
        <f t="shared" ca="1" si="978"/>
        <v>67212.03956853367</v>
      </c>
      <c r="AGO25" s="50">
        <f t="shared" ca="1" si="979"/>
        <v>48367.490378494833</v>
      </c>
      <c r="AGP25" s="50">
        <f t="shared" ca="1" si="980"/>
        <v>60400.742340068522</v>
      </c>
      <c r="AGQ25" s="50">
        <f t="shared" ca="1" si="981"/>
        <v>66077.032417698691</v>
      </c>
      <c r="AGR25" s="50">
        <f t="shared" ca="1" si="982"/>
        <v>54807.459175723154</v>
      </c>
      <c r="AGS25" s="50">
        <f t="shared" ca="1" si="983"/>
        <v>59221.895965792392</v>
      </c>
      <c r="AGT25" s="50">
        <f t="shared" ca="1" si="984"/>
        <v>61515.603468342299</v>
      </c>
      <c r="AGU25" s="50">
        <f t="shared" ca="1" si="985"/>
        <v>64355.057462658813</v>
      </c>
      <c r="AGV25" s="50">
        <f t="shared" ca="1" si="986"/>
        <v>60452.810159617417</v>
      </c>
      <c r="AGW25" s="50">
        <f t="shared" ca="1" si="987"/>
        <v>51517.797796593084</v>
      </c>
      <c r="AGX25" s="50">
        <f t="shared" ca="1" si="988"/>
        <v>56056.647013537127</v>
      </c>
      <c r="AGY25" s="50">
        <f t="shared" ca="1" si="989"/>
        <v>66610.12678726911</v>
      </c>
      <c r="AGZ25" s="50">
        <f t="shared" ca="1" si="990"/>
        <v>51778.711816962874</v>
      </c>
      <c r="AHA25" s="50">
        <f t="shared" ca="1" si="991"/>
        <v>64917.130872012487</v>
      </c>
      <c r="AHB25" s="50">
        <f t="shared" ca="1" si="992"/>
        <v>53924.303008314462</v>
      </c>
      <c r="AHC25" s="50">
        <f t="shared" ca="1" si="993"/>
        <v>62796.81876678166</v>
      </c>
      <c r="AHD25" s="50">
        <f t="shared" ca="1" si="994"/>
        <v>45472.120506030638</v>
      </c>
      <c r="AHE25" s="50">
        <f t="shared" ca="1" si="995"/>
        <v>69761.057777935654</v>
      </c>
      <c r="AHF25" s="50">
        <f t="shared" ca="1" si="996"/>
        <v>60745.960595474964</v>
      </c>
      <c r="AHG25" s="50">
        <f t="shared" ca="1" si="997"/>
        <v>53930.131294132188</v>
      </c>
      <c r="AHH25" s="50">
        <f t="shared" ca="1" si="998"/>
        <v>66431.671202076905</v>
      </c>
      <c r="AHI25" s="50">
        <f t="shared" ca="1" si="999"/>
        <v>51143.403070718123</v>
      </c>
      <c r="AHJ25" s="50">
        <f t="shared" ca="1" si="1000"/>
        <v>76712.9950693625</v>
      </c>
      <c r="AHK25" s="50">
        <f t="shared" ca="1" si="1001"/>
        <v>53498.553199085349</v>
      </c>
      <c r="AHL25" s="50">
        <f t="shared" ca="1" si="1002"/>
        <v>53812.978144932735</v>
      </c>
      <c r="AHM25" s="50">
        <f t="shared" ca="1" si="1003"/>
        <v>66539.045172712591</v>
      </c>
      <c r="AHN25" s="50">
        <f t="shared" ca="1" si="1004"/>
        <v>68073.129971257687</v>
      </c>
      <c r="AHO25" s="50">
        <f t="shared" ca="1" si="1005"/>
        <v>57786.553432501445</v>
      </c>
      <c r="AHP25" s="50">
        <f t="shared" ca="1" si="1006"/>
        <v>48750.155534482292</v>
      </c>
      <c r="AHQ25" s="50">
        <f t="shared" ca="1" si="1007"/>
        <v>58525.588141686421</v>
      </c>
      <c r="AHR25" s="50">
        <f t="shared" ca="1" si="1008"/>
        <v>59189.9178340648</v>
      </c>
      <c r="AHS25" s="50">
        <f t="shared" ca="1" si="1009"/>
        <v>51637.887273874308</v>
      </c>
      <c r="AHT25" s="50">
        <f t="shared" ca="1" si="1010"/>
        <v>58900.468312143959</v>
      </c>
      <c r="AHU25" s="50">
        <f t="shared" ca="1" si="1011"/>
        <v>51384.647869876484</v>
      </c>
      <c r="AHV25" s="50">
        <f t="shared" ca="1" si="1012"/>
        <v>55919.252938441423</v>
      </c>
      <c r="AHW25" s="50">
        <f t="shared" ca="1" si="1013"/>
        <v>49052.495555344227</v>
      </c>
      <c r="AHX25" s="50">
        <f t="shared" ca="1" si="1014"/>
        <v>59900.8828800025</v>
      </c>
      <c r="AHY25" s="50">
        <f t="shared" ca="1" si="1015"/>
        <v>69511.951521460054</v>
      </c>
      <c r="AHZ25" s="50">
        <f t="shared" ca="1" si="1016"/>
        <v>61487.00305343022</v>
      </c>
      <c r="AIA25" s="50">
        <f t="shared" ca="1" si="1017"/>
        <v>53499.974632230442</v>
      </c>
      <c r="AIB25" s="50">
        <f t="shared" ca="1" si="1018"/>
        <v>54288.315668960873</v>
      </c>
      <c r="AIC25" s="50">
        <f t="shared" ca="1" si="1019"/>
        <v>59320.168739948465</v>
      </c>
      <c r="AID25" s="50">
        <f t="shared" ca="1" si="1020"/>
        <v>65274.50656605573</v>
      </c>
      <c r="AIE25" s="50">
        <f t="shared" ca="1" si="1021"/>
        <v>55830.98160744465</v>
      </c>
      <c r="AIF25" s="50">
        <f t="shared" ca="1" si="1022"/>
        <v>56441.693629986643</v>
      </c>
      <c r="AIG25" s="50">
        <f t="shared" ca="1" si="1023"/>
        <v>61584.804006205573</v>
      </c>
      <c r="AIH25" s="50">
        <f t="shared" ca="1" si="1024"/>
        <v>63160.612040392996</v>
      </c>
      <c r="AII25" s="50">
        <f t="shared" ca="1" si="1025"/>
        <v>58751.913496248562</v>
      </c>
      <c r="AIJ25" s="50">
        <f t="shared" ca="1" si="1026"/>
        <v>59311.666437478547</v>
      </c>
      <c r="AIK25" s="50">
        <f t="shared" ca="1" si="1027"/>
        <v>66800.716359365819</v>
      </c>
      <c r="AIL25" s="50">
        <f t="shared" ca="1" si="1028"/>
        <v>58605.387886170232</v>
      </c>
      <c r="AIM25" s="50">
        <f t="shared" ca="1" si="1029"/>
        <v>54026.93351738499</v>
      </c>
      <c r="AIN25" s="50">
        <f t="shared" ca="1" si="1030"/>
        <v>64169.60175893343</v>
      </c>
      <c r="AIO25" s="50">
        <f t="shared" ca="1" si="1031"/>
        <v>53348.499034279354</v>
      </c>
      <c r="AIP25" s="50">
        <f t="shared" ca="1" si="1032"/>
        <v>68336.416913850189</v>
      </c>
      <c r="AIQ25" s="50">
        <f t="shared" ca="1" si="1033"/>
        <v>50029.981588685958</v>
      </c>
      <c r="AIR25" s="50">
        <f t="shared" ca="1" si="1034"/>
        <v>54009.078130597045</v>
      </c>
      <c r="AIS25" s="50">
        <f t="shared" ca="1" si="1035"/>
        <v>55854.000215109409</v>
      </c>
      <c r="AIT25" s="50">
        <f t="shared" ca="1" si="1036"/>
        <v>44127.917040177519</v>
      </c>
      <c r="AIU25" s="50">
        <f t="shared" ca="1" si="1037"/>
        <v>51014.938626580086</v>
      </c>
      <c r="AIV25" s="50">
        <f t="shared" ca="1" si="1038"/>
        <v>54129.856726290469</v>
      </c>
      <c r="AIW25" s="50">
        <f t="shared" ca="1" si="1039"/>
        <v>62714.319628586149</v>
      </c>
      <c r="AIX25" s="50">
        <f t="shared" ca="1" si="1040"/>
        <v>64647.47096367809</v>
      </c>
      <c r="AIY25" s="50">
        <f t="shared" ca="1" si="1041"/>
        <v>46920.422221757406</v>
      </c>
      <c r="AIZ25" s="50">
        <f t="shared" ca="1" si="1042"/>
        <v>71598.386287254209</v>
      </c>
      <c r="AJA25" s="50">
        <f t="shared" ca="1" si="1043"/>
        <v>58339.698540009435</v>
      </c>
      <c r="AJB25" s="50">
        <f t="shared" ca="1" si="1044"/>
        <v>67006.365232542856</v>
      </c>
      <c r="AJC25" s="50">
        <f t="shared" ca="1" si="1045"/>
        <v>54921.255424174509</v>
      </c>
      <c r="AJD25" s="50">
        <f t="shared" ca="1" si="1046"/>
        <v>55683.589264760842</v>
      </c>
      <c r="AJE25" s="50">
        <f t="shared" ca="1" si="1047"/>
        <v>59063.052387093492</v>
      </c>
      <c r="AJF25" s="50">
        <f t="shared" ca="1" si="1048"/>
        <v>66242.276829411741</v>
      </c>
      <c r="AJG25" s="50">
        <f t="shared" ca="1" si="1049"/>
        <v>62033.045894661773</v>
      </c>
      <c r="AJH25" s="50">
        <f t="shared" ca="1" si="1050"/>
        <v>67596.544896447449</v>
      </c>
      <c r="AJI25" s="50">
        <f t="shared" ca="1" si="1051"/>
        <v>54810.52571871203</v>
      </c>
      <c r="AJJ25" s="50">
        <f t="shared" ca="1" si="1052"/>
        <v>65777.426478723661</v>
      </c>
      <c r="AJK25" s="50">
        <f t="shared" ca="1" si="1053"/>
        <v>52744.643950416626</v>
      </c>
      <c r="AJL25" s="50">
        <f t="shared" ca="1" si="1054"/>
        <v>65015.974858334404</v>
      </c>
      <c r="AJM25" s="50">
        <f t="shared" ca="1" si="1055"/>
        <v>54614.385809256099</v>
      </c>
      <c r="AJN25" s="50">
        <f t="shared" ca="1" si="1056"/>
        <v>65993.699897714192</v>
      </c>
      <c r="AJO25" s="50">
        <f t="shared" ca="1" si="1057"/>
        <v>51673.925348486366</v>
      </c>
      <c r="AJP25" s="50">
        <f t="shared" ca="1" si="1058"/>
        <v>61653.741744517094</v>
      </c>
      <c r="AJQ25" s="50">
        <f t="shared" ca="1" si="1059"/>
        <v>61957.86865228181</v>
      </c>
      <c r="AJR25" s="50">
        <f t="shared" ca="1" si="1060"/>
        <v>60676.412847368651</v>
      </c>
      <c r="AJS25" s="50">
        <f t="shared" ca="1" si="1061"/>
        <v>52738.781825852318</v>
      </c>
      <c r="AJT25" s="50">
        <f t="shared" ca="1" si="1062"/>
        <v>52495.780873867894</v>
      </c>
      <c r="AJU25" s="50">
        <f t="shared" ca="1" si="1063"/>
        <v>59186.896582119407</v>
      </c>
      <c r="AJV25" s="50">
        <f t="shared" ca="1" si="1064"/>
        <v>60329.847894818915</v>
      </c>
      <c r="AJW25" s="50">
        <f t="shared" ca="1" si="1065"/>
        <v>50816.790572572492</v>
      </c>
      <c r="AJX25" s="50">
        <f t="shared" ca="1" si="1066"/>
        <v>51742.206240851869</v>
      </c>
      <c r="AJY25" s="50">
        <f t="shared" ca="1" si="1067"/>
        <v>60450.242344509679</v>
      </c>
      <c r="AJZ25" s="50">
        <f t="shared" ca="1" si="1068"/>
        <v>66124.001302539051</v>
      </c>
      <c r="AKA25" s="50">
        <f t="shared" ca="1" si="1069"/>
        <v>68922.757219402018</v>
      </c>
      <c r="AKB25" s="50">
        <f t="shared" ca="1" si="1070"/>
        <v>54999.388158718481</v>
      </c>
      <c r="AKC25" s="50">
        <f t="shared" ca="1" si="1071"/>
        <v>56106.804903262491</v>
      </c>
      <c r="AKD25" s="50">
        <f t="shared" ca="1" si="1072"/>
        <v>56424.860496158559</v>
      </c>
      <c r="AKE25" s="50">
        <f t="shared" ca="1" si="1073"/>
        <v>56069.603301331597</v>
      </c>
      <c r="AKF25" s="50">
        <f t="shared" ca="1" si="1074"/>
        <v>56005.993160947997</v>
      </c>
      <c r="AKG25" s="50">
        <f t="shared" ca="1" si="1075"/>
        <v>58250.546120366991</v>
      </c>
      <c r="AKH25" s="50">
        <f t="shared" ca="1" si="1076"/>
        <v>58461.723289480651</v>
      </c>
      <c r="AKI25" s="50">
        <f t="shared" ca="1" si="1077"/>
        <v>61973.295580149956</v>
      </c>
      <c r="AKJ25" s="50">
        <f t="shared" ca="1" si="1078"/>
        <v>59109.692879786082</v>
      </c>
      <c r="AKK25" s="50">
        <f t="shared" ca="1" si="1079"/>
        <v>51642.502801766736</v>
      </c>
      <c r="AKL25" s="50">
        <f t="shared" ca="1" si="1080"/>
        <v>59154.665034615195</v>
      </c>
      <c r="AKM25" s="50">
        <f t="shared" ca="1" si="1081"/>
        <v>57009.525645524758</v>
      </c>
      <c r="AKN25" s="50">
        <f t="shared" ca="1" si="1082"/>
        <v>61080.157389991604</v>
      </c>
      <c r="AKO25" s="50">
        <f t="shared" ca="1" si="1083"/>
        <v>58330.525918556334</v>
      </c>
      <c r="AKP25" s="50">
        <f t="shared" ca="1" si="1084"/>
        <v>58131.362923027948</v>
      </c>
      <c r="AKQ25" s="50">
        <f t="shared" ca="1" si="1085"/>
        <v>48374.429745636116</v>
      </c>
      <c r="AKR25" s="50">
        <f t="shared" ca="1" si="1086"/>
        <v>49299.516070223472</v>
      </c>
      <c r="AKS25" s="50">
        <f t="shared" ca="1" si="1087"/>
        <v>55896.611945650657</v>
      </c>
      <c r="AKT25" s="50">
        <f t="shared" ca="1" si="1088"/>
        <v>51431.98003074489</v>
      </c>
      <c r="AKU25" s="50">
        <f t="shared" ca="1" si="1089"/>
        <v>57151.736465294438</v>
      </c>
      <c r="AKV25" s="50">
        <f t="shared" ca="1" si="1090"/>
        <v>55748.28165407366</v>
      </c>
      <c r="AKW25" s="50">
        <f t="shared" ca="1" si="1091"/>
        <v>68540.096638156028</v>
      </c>
      <c r="AKX25" s="50">
        <f t="shared" ca="1" si="1092"/>
        <v>66412.565747811721</v>
      </c>
      <c r="AKY25" s="50">
        <f t="shared" ca="1" si="1093"/>
        <v>53657.128970390404</v>
      </c>
      <c r="AKZ25" s="50">
        <f t="shared" ca="1" si="1094"/>
        <v>56733.372468135982</v>
      </c>
      <c r="ALA25" s="50">
        <f t="shared" ca="1" si="1095"/>
        <v>54297.790028352734</v>
      </c>
      <c r="ALB25" s="50">
        <f t="shared" ca="1" si="1096"/>
        <v>61863.000915535042</v>
      </c>
      <c r="ALC25" s="50">
        <f t="shared" ca="1" si="1097"/>
        <v>56326.411111455753</v>
      </c>
      <c r="ALD25" s="50">
        <f t="shared" ca="1" si="1098"/>
        <v>58548.321452393429</v>
      </c>
      <c r="ALE25" s="50">
        <f t="shared" ca="1" si="1099"/>
        <v>55509.824516366178</v>
      </c>
      <c r="ALF25" s="50">
        <f t="shared" ca="1" si="1100"/>
        <v>55983.76491031245</v>
      </c>
      <c r="ALG25" s="50">
        <f t="shared" ca="1" si="1101"/>
        <v>51124.305251246697</v>
      </c>
      <c r="ALH25" s="50">
        <f t="shared" ca="1" si="1102"/>
        <v>51564.098729272271</v>
      </c>
      <c r="ALI25" s="50">
        <f t="shared" ca="1" si="1103"/>
        <v>54731.763889446003</v>
      </c>
      <c r="ALJ25" s="50">
        <f t="shared" ca="1" si="1104"/>
        <v>62327.91352165681</v>
      </c>
      <c r="ALK25" s="50">
        <f t="shared" ca="1" si="1105"/>
        <v>67337.229604034161</v>
      </c>
      <c r="ALL25" s="50">
        <f t="shared" ca="1" si="1106"/>
        <v>62418.261570718591</v>
      </c>
      <c r="ALM25" s="50">
        <f t="shared" ca="1" si="1107"/>
        <v>55644.136380543518</v>
      </c>
      <c r="ALN25" s="50">
        <f t="shared" ca="1" si="1108"/>
        <v>61181.280994992092</v>
      </c>
      <c r="ALO25" s="50">
        <f t="shared" ca="1" si="1109"/>
        <v>70768.742347963416</v>
      </c>
      <c r="ALP25" s="50">
        <f t="shared" ca="1" si="1110"/>
        <v>49375.980782062143</v>
      </c>
      <c r="ALQ25" s="50">
        <f t="shared" ca="1" si="1111"/>
        <v>51041.186573484942</v>
      </c>
      <c r="ALR25" s="50">
        <f t="shared" ca="1" si="1112"/>
        <v>57672.440090861841</v>
      </c>
    </row>
    <row r="26" spans="1:1006" s="35" customFormat="1" x14ac:dyDescent="0.2">
      <c r="F26" s="32">
        <f t="shared" si="1114"/>
        <v>7</v>
      </c>
      <c r="G26" s="50">
        <f t="shared" ca="1" si="1115"/>
        <v>54267.475737949193</v>
      </c>
      <c r="H26" s="50">
        <f t="shared" ca="1" si="1113"/>
        <v>44931.007395543289</v>
      </c>
      <c r="I26" s="50">
        <f t="shared" ca="1" si="1113"/>
        <v>55233.021645854933</v>
      </c>
      <c r="J26" s="50">
        <f t="shared" ca="1" si="1113"/>
        <v>58692.25170227023</v>
      </c>
      <c r="K26" s="50">
        <f t="shared" ca="1" si="1113"/>
        <v>73335.179124667382</v>
      </c>
      <c r="L26" s="50">
        <f t="shared" ca="1" si="118"/>
        <v>69348.179191242132</v>
      </c>
      <c r="M26" s="50">
        <f t="shared" ca="1" si="119"/>
        <v>57812.2358002619</v>
      </c>
      <c r="N26" s="50">
        <f t="shared" ca="1" si="120"/>
        <v>60950.606066273722</v>
      </c>
      <c r="O26" s="50">
        <f t="shared" ca="1" si="121"/>
        <v>53165.910610510313</v>
      </c>
      <c r="P26" s="50">
        <f t="shared" ca="1" si="122"/>
        <v>67931.771163729965</v>
      </c>
      <c r="Q26" s="50">
        <f t="shared" ca="1" si="123"/>
        <v>55870.917911224926</v>
      </c>
      <c r="R26" s="50">
        <f t="shared" ca="1" si="124"/>
        <v>62263.183988147473</v>
      </c>
      <c r="S26" s="50">
        <f t="shared" ca="1" si="125"/>
        <v>66856.993244283498</v>
      </c>
      <c r="T26" s="50">
        <f t="shared" ca="1" si="126"/>
        <v>62356.160225217915</v>
      </c>
      <c r="U26" s="50">
        <f t="shared" ca="1" si="127"/>
        <v>57460.044870981073</v>
      </c>
      <c r="V26" s="50">
        <f t="shared" ca="1" si="128"/>
        <v>64320.74813706959</v>
      </c>
      <c r="W26" s="50">
        <f t="shared" ca="1" si="129"/>
        <v>57363.907072338727</v>
      </c>
      <c r="X26" s="50">
        <f t="shared" ca="1" si="130"/>
        <v>68351.903749215839</v>
      </c>
      <c r="Y26" s="50">
        <f t="shared" ca="1" si="131"/>
        <v>53255.345263052615</v>
      </c>
      <c r="Z26" s="50">
        <f t="shared" ca="1" si="132"/>
        <v>54806.74781016109</v>
      </c>
      <c r="AA26" s="50">
        <f t="shared" ca="1" si="133"/>
        <v>62684.883918827123</v>
      </c>
      <c r="AB26" s="50">
        <f t="shared" ca="1" si="134"/>
        <v>53313.140274940728</v>
      </c>
      <c r="AC26" s="50">
        <f t="shared" ca="1" si="135"/>
        <v>55266.404109493007</v>
      </c>
      <c r="AD26" s="50">
        <f t="shared" ca="1" si="136"/>
        <v>63410.038014376427</v>
      </c>
      <c r="AE26" s="50">
        <f t="shared" ca="1" si="137"/>
        <v>63999.414570258574</v>
      </c>
      <c r="AF26" s="50">
        <f t="shared" ca="1" si="138"/>
        <v>50355.000073692187</v>
      </c>
      <c r="AG26" s="50">
        <f t="shared" ca="1" si="139"/>
        <v>57917.175171451185</v>
      </c>
      <c r="AH26" s="50">
        <f t="shared" ca="1" si="140"/>
        <v>58427.68292515153</v>
      </c>
      <c r="AI26" s="50">
        <f t="shared" ca="1" si="141"/>
        <v>62759.734268577158</v>
      </c>
      <c r="AJ26" s="50">
        <f t="shared" ca="1" si="142"/>
        <v>59153.564512650242</v>
      </c>
      <c r="AK26" s="50">
        <f t="shared" ca="1" si="143"/>
        <v>55586.692090730307</v>
      </c>
      <c r="AL26" s="50">
        <f t="shared" ca="1" si="144"/>
        <v>58596.40926156762</v>
      </c>
      <c r="AM26" s="50">
        <f t="shared" ca="1" si="145"/>
        <v>52101.973005320229</v>
      </c>
      <c r="AN26" s="50">
        <f t="shared" ca="1" si="146"/>
        <v>48813.323152992984</v>
      </c>
      <c r="AO26" s="50">
        <f t="shared" ca="1" si="147"/>
        <v>61080.827042924175</v>
      </c>
      <c r="AP26" s="50">
        <f t="shared" ca="1" si="148"/>
        <v>59842.035174040226</v>
      </c>
      <c r="AQ26" s="50">
        <f t="shared" ca="1" si="149"/>
        <v>52504.88282466877</v>
      </c>
      <c r="AR26" s="50">
        <f t="shared" ca="1" si="150"/>
        <v>63876.685630197651</v>
      </c>
      <c r="AS26" s="50">
        <f t="shared" ca="1" si="151"/>
        <v>59390.538888642921</v>
      </c>
      <c r="AT26" s="50">
        <f t="shared" ca="1" si="152"/>
        <v>55076.627058028011</v>
      </c>
      <c r="AU26" s="50">
        <f t="shared" ca="1" si="153"/>
        <v>62579.880758437808</v>
      </c>
      <c r="AV26" s="50">
        <f t="shared" ca="1" si="154"/>
        <v>65613.801280606407</v>
      </c>
      <c r="AW26" s="50">
        <f t="shared" ca="1" si="155"/>
        <v>51944.72121400707</v>
      </c>
      <c r="AX26" s="50">
        <f t="shared" ca="1" si="156"/>
        <v>66662.853123724431</v>
      </c>
      <c r="AY26" s="50">
        <f t="shared" ca="1" si="157"/>
        <v>55807.219278706907</v>
      </c>
      <c r="AZ26" s="50">
        <f t="shared" ca="1" si="158"/>
        <v>55707.129340897292</v>
      </c>
      <c r="BA26" s="50">
        <f t="shared" ca="1" si="159"/>
        <v>59729.410367307086</v>
      </c>
      <c r="BB26" s="50">
        <f t="shared" ca="1" si="160"/>
        <v>65389.568244416318</v>
      </c>
      <c r="BC26" s="50">
        <f t="shared" ca="1" si="161"/>
        <v>55375.229071244197</v>
      </c>
      <c r="BD26" s="50">
        <f t="shared" ca="1" si="162"/>
        <v>55481.334325258817</v>
      </c>
      <c r="BE26" s="50">
        <f t="shared" ca="1" si="163"/>
        <v>56760.112616834223</v>
      </c>
      <c r="BF26" s="50">
        <f t="shared" ca="1" si="164"/>
        <v>55167.849438412006</v>
      </c>
      <c r="BG26" s="50">
        <f t="shared" ca="1" si="165"/>
        <v>49072.028814012017</v>
      </c>
      <c r="BH26" s="50">
        <f t="shared" ca="1" si="166"/>
        <v>57803.548984828558</v>
      </c>
      <c r="BI26" s="50">
        <f t="shared" ca="1" si="167"/>
        <v>65437.713523718579</v>
      </c>
      <c r="BJ26" s="50">
        <f t="shared" ca="1" si="168"/>
        <v>59583.105053954219</v>
      </c>
      <c r="BK26" s="50">
        <f t="shared" ca="1" si="169"/>
        <v>54080.183932269829</v>
      </c>
      <c r="BL26" s="50">
        <f t="shared" ca="1" si="170"/>
        <v>63129.180998357333</v>
      </c>
      <c r="BM26" s="50">
        <f t="shared" ca="1" si="171"/>
        <v>65066.891877460177</v>
      </c>
      <c r="BN26" s="50">
        <f t="shared" ca="1" si="172"/>
        <v>59983.639623226838</v>
      </c>
      <c r="BO26" s="50">
        <f t="shared" ca="1" si="173"/>
        <v>60055.118592656305</v>
      </c>
      <c r="BP26" s="50">
        <f t="shared" ca="1" si="174"/>
        <v>61497.04711691961</v>
      </c>
      <c r="BQ26" s="50">
        <f t="shared" ca="1" si="175"/>
        <v>57696.035044892727</v>
      </c>
      <c r="BR26" s="50">
        <f t="shared" ca="1" si="176"/>
        <v>55785.496008121423</v>
      </c>
      <c r="BS26" s="50">
        <f t="shared" ca="1" si="177"/>
        <v>45719.24967963816</v>
      </c>
      <c r="BT26" s="50">
        <f t="shared" ca="1" si="178"/>
        <v>58265.235294741775</v>
      </c>
      <c r="BU26" s="50">
        <f t="shared" ca="1" si="179"/>
        <v>61902.493909019518</v>
      </c>
      <c r="BV26" s="50">
        <f t="shared" ca="1" si="180"/>
        <v>51213.122442174456</v>
      </c>
      <c r="BW26" s="50">
        <f t="shared" ca="1" si="181"/>
        <v>51647.465554761111</v>
      </c>
      <c r="BX26" s="50">
        <f t="shared" ca="1" si="182"/>
        <v>59078.625443651959</v>
      </c>
      <c r="BY26" s="50">
        <f t="shared" ca="1" si="183"/>
        <v>56352.304044760996</v>
      </c>
      <c r="BZ26" s="50">
        <f t="shared" ca="1" si="184"/>
        <v>51828.158031879255</v>
      </c>
      <c r="CA26" s="50">
        <f t="shared" ca="1" si="185"/>
        <v>58670.943911453287</v>
      </c>
      <c r="CB26" s="50">
        <f t="shared" ca="1" si="186"/>
        <v>58577.496406637656</v>
      </c>
      <c r="CC26" s="50">
        <f t="shared" ca="1" si="187"/>
        <v>64695.67133741422</v>
      </c>
      <c r="CD26" s="50">
        <f t="shared" ca="1" si="188"/>
        <v>56738.289669007296</v>
      </c>
      <c r="CE26" s="50">
        <f t="shared" ca="1" si="189"/>
        <v>46456.5348983984</v>
      </c>
      <c r="CF26" s="50">
        <f t="shared" ca="1" si="190"/>
        <v>63733.549329503803</v>
      </c>
      <c r="CG26" s="50">
        <f t="shared" ca="1" si="191"/>
        <v>57482.635656723083</v>
      </c>
      <c r="CH26" s="50">
        <f t="shared" ca="1" si="192"/>
        <v>44580.449275598017</v>
      </c>
      <c r="CI26" s="50">
        <f t="shared" ca="1" si="193"/>
        <v>70094.424622814578</v>
      </c>
      <c r="CJ26" s="50">
        <f t="shared" ca="1" si="194"/>
        <v>56953.287110246063</v>
      </c>
      <c r="CK26" s="50">
        <f t="shared" ca="1" si="195"/>
        <v>58167.567218569056</v>
      </c>
      <c r="CL26" s="50">
        <f t="shared" ca="1" si="196"/>
        <v>67791.85066643465</v>
      </c>
      <c r="CM26" s="50">
        <f t="shared" ca="1" si="197"/>
        <v>65919.336837066672</v>
      </c>
      <c r="CN26" s="50">
        <f t="shared" ca="1" si="198"/>
        <v>57703.49015953116</v>
      </c>
      <c r="CO26" s="50">
        <f t="shared" ca="1" si="199"/>
        <v>57683.958065917381</v>
      </c>
      <c r="CP26" s="50">
        <f t="shared" ca="1" si="200"/>
        <v>50707.594731421683</v>
      </c>
      <c r="CQ26" s="50">
        <f t="shared" ca="1" si="201"/>
        <v>56522.767382832048</v>
      </c>
      <c r="CR26" s="50">
        <f t="shared" ca="1" si="202"/>
        <v>61007.944051824052</v>
      </c>
      <c r="CS26" s="50">
        <f t="shared" ca="1" si="203"/>
        <v>60330.269402984137</v>
      </c>
      <c r="CT26" s="50">
        <f t="shared" ca="1" si="204"/>
        <v>58993.458484967043</v>
      </c>
      <c r="CU26" s="50">
        <f t="shared" ca="1" si="205"/>
        <v>58236.651539480205</v>
      </c>
      <c r="CV26" s="50">
        <f t="shared" ca="1" si="206"/>
        <v>48788.178729467603</v>
      </c>
      <c r="CW26" s="50">
        <f t="shared" ca="1" si="207"/>
        <v>59611.308116882479</v>
      </c>
      <c r="CX26" s="50">
        <f t="shared" ca="1" si="208"/>
        <v>73699.287504456457</v>
      </c>
      <c r="CY26" s="50">
        <f t="shared" ca="1" si="209"/>
        <v>55725.65437128242</v>
      </c>
      <c r="CZ26" s="50">
        <f t="shared" ca="1" si="210"/>
        <v>63078.450467872353</v>
      </c>
      <c r="DA26" s="50">
        <f t="shared" ca="1" si="211"/>
        <v>53886.224228358282</v>
      </c>
      <c r="DB26" s="50">
        <f t="shared" ca="1" si="212"/>
        <v>58108.338272203568</v>
      </c>
      <c r="DC26" s="50">
        <f t="shared" ca="1" si="213"/>
        <v>58671.679097587032</v>
      </c>
      <c r="DD26" s="50">
        <f t="shared" ca="1" si="214"/>
        <v>57566.556676549495</v>
      </c>
      <c r="DE26" s="50">
        <f t="shared" ca="1" si="215"/>
        <v>64134.870299901369</v>
      </c>
      <c r="DF26" s="50">
        <f t="shared" ca="1" si="216"/>
        <v>56970.131709797068</v>
      </c>
      <c r="DG26" s="50">
        <f t="shared" ca="1" si="217"/>
        <v>51225.33457485689</v>
      </c>
      <c r="DH26" s="50">
        <f t="shared" ca="1" si="218"/>
        <v>65510.111326375169</v>
      </c>
      <c r="DI26" s="50">
        <f t="shared" ca="1" si="219"/>
        <v>47824.306467580565</v>
      </c>
      <c r="DJ26" s="50">
        <f t="shared" ca="1" si="220"/>
        <v>63315.383275797554</v>
      </c>
      <c r="DK26" s="50">
        <f t="shared" ca="1" si="221"/>
        <v>51683.61881840643</v>
      </c>
      <c r="DL26" s="50">
        <f t="shared" ca="1" si="222"/>
        <v>62160.053196608751</v>
      </c>
      <c r="DM26" s="50">
        <f t="shared" ca="1" si="223"/>
        <v>60548.530509187884</v>
      </c>
      <c r="DN26" s="50">
        <f t="shared" ca="1" si="224"/>
        <v>56464.138647017629</v>
      </c>
      <c r="DO26" s="50">
        <f t="shared" ca="1" si="225"/>
        <v>64130.06943893111</v>
      </c>
      <c r="DP26" s="50">
        <f t="shared" ca="1" si="226"/>
        <v>63608.021471806518</v>
      </c>
      <c r="DQ26" s="50">
        <f t="shared" ca="1" si="227"/>
        <v>58364.452333668356</v>
      </c>
      <c r="DR26" s="50">
        <f t="shared" ca="1" si="228"/>
        <v>51347.974798476418</v>
      </c>
      <c r="DS26" s="50">
        <f t="shared" ca="1" si="229"/>
        <v>55455.107777107667</v>
      </c>
      <c r="DT26" s="50">
        <f t="shared" ca="1" si="230"/>
        <v>70867.648658625636</v>
      </c>
      <c r="DU26" s="50">
        <f t="shared" ca="1" si="231"/>
        <v>63848.154433361451</v>
      </c>
      <c r="DV26" s="50">
        <f t="shared" ca="1" si="232"/>
        <v>57487.648979198646</v>
      </c>
      <c r="DW26" s="50">
        <f t="shared" ca="1" si="233"/>
        <v>55700.18893760832</v>
      </c>
      <c r="DX26" s="50">
        <f t="shared" ca="1" si="234"/>
        <v>58053.566215113882</v>
      </c>
      <c r="DY26" s="50">
        <f t="shared" ca="1" si="235"/>
        <v>59612.162976769258</v>
      </c>
      <c r="DZ26" s="50">
        <f t="shared" ca="1" si="236"/>
        <v>62120.217486207504</v>
      </c>
      <c r="EA26" s="50">
        <f t="shared" ca="1" si="237"/>
        <v>76328.951237811591</v>
      </c>
      <c r="EB26" s="50">
        <f t="shared" ca="1" si="238"/>
        <v>66997.076393443305</v>
      </c>
      <c r="EC26" s="50">
        <f t="shared" ca="1" si="239"/>
        <v>63505.043035614341</v>
      </c>
      <c r="ED26" s="50">
        <f t="shared" ca="1" si="240"/>
        <v>63736.355357742497</v>
      </c>
      <c r="EE26" s="50">
        <f t="shared" ca="1" si="241"/>
        <v>55746.479931106995</v>
      </c>
      <c r="EF26" s="50">
        <f t="shared" ca="1" si="242"/>
        <v>51988.056695669307</v>
      </c>
      <c r="EG26" s="50">
        <f t="shared" ca="1" si="243"/>
        <v>60540.768170300194</v>
      </c>
      <c r="EH26" s="50">
        <f t="shared" ca="1" si="244"/>
        <v>56994.361171515302</v>
      </c>
      <c r="EI26" s="50">
        <f t="shared" ca="1" si="245"/>
        <v>49483.545465756732</v>
      </c>
      <c r="EJ26" s="50">
        <f t="shared" ca="1" si="246"/>
        <v>57332.764863233009</v>
      </c>
      <c r="EK26" s="50">
        <f t="shared" ca="1" si="247"/>
        <v>52130.548657430016</v>
      </c>
      <c r="EL26" s="50">
        <f t="shared" ca="1" si="248"/>
        <v>63858.555341493739</v>
      </c>
      <c r="EM26" s="50">
        <f t="shared" ca="1" si="249"/>
        <v>58742.437664974219</v>
      </c>
      <c r="EN26" s="50">
        <f t="shared" ca="1" si="250"/>
        <v>64526.972336299637</v>
      </c>
      <c r="EO26" s="50">
        <f t="shared" ca="1" si="251"/>
        <v>59490.588032280335</v>
      </c>
      <c r="EP26" s="50">
        <f t="shared" ca="1" si="252"/>
        <v>60754.473848911271</v>
      </c>
      <c r="EQ26" s="50">
        <f t="shared" ca="1" si="253"/>
        <v>54445.613675564164</v>
      </c>
      <c r="ER26" s="50">
        <f t="shared" ca="1" si="254"/>
        <v>62483.286323668864</v>
      </c>
      <c r="ES26" s="50">
        <f t="shared" ca="1" si="255"/>
        <v>56977.766429834825</v>
      </c>
      <c r="ET26" s="50">
        <f t="shared" ca="1" si="256"/>
        <v>56208.855818878023</v>
      </c>
      <c r="EU26" s="50">
        <f t="shared" ca="1" si="257"/>
        <v>64819.604857018043</v>
      </c>
      <c r="EV26" s="50">
        <f t="shared" ca="1" si="258"/>
        <v>56700.903247172304</v>
      </c>
      <c r="EW26" s="50">
        <f t="shared" ca="1" si="259"/>
        <v>57952.345154183618</v>
      </c>
      <c r="EX26" s="50">
        <f t="shared" ca="1" si="260"/>
        <v>59722.273860205241</v>
      </c>
      <c r="EY26" s="50">
        <f t="shared" ca="1" si="261"/>
        <v>55998.795819712868</v>
      </c>
      <c r="EZ26" s="50">
        <f t="shared" ca="1" si="262"/>
        <v>51330.04849901671</v>
      </c>
      <c r="FA26" s="50">
        <f t="shared" ca="1" si="263"/>
        <v>47940.649942950316</v>
      </c>
      <c r="FB26" s="50">
        <f t="shared" ca="1" si="264"/>
        <v>57329.561695220284</v>
      </c>
      <c r="FC26" s="50">
        <f t="shared" ca="1" si="265"/>
        <v>57679.496454472319</v>
      </c>
      <c r="FD26" s="50">
        <f t="shared" ca="1" si="266"/>
        <v>57917.826845824915</v>
      </c>
      <c r="FE26" s="50">
        <f t="shared" ca="1" si="267"/>
        <v>68302.99737108915</v>
      </c>
      <c r="FF26" s="50">
        <f t="shared" ca="1" si="268"/>
        <v>55375.165557580047</v>
      </c>
      <c r="FG26" s="50">
        <f t="shared" ca="1" si="269"/>
        <v>51482.74029729006</v>
      </c>
      <c r="FH26" s="50">
        <f t="shared" ca="1" si="270"/>
        <v>61978.372497045624</v>
      </c>
      <c r="FI26" s="50">
        <f t="shared" ca="1" si="271"/>
        <v>77035.216352600517</v>
      </c>
      <c r="FJ26" s="50">
        <f t="shared" ca="1" si="272"/>
        <v>51569.042763836158</v>
      </c>
      <c r="FK26" s="50">
        <f t="shared" ca="1" si="273"/>
        <v>61703.881993155439</v>
      </c>
      <c r="FL26" s="50">
        <f t="shared" ca="1" si="274"/>
        <v>55515.907117629496</v>
      </c>
      <c r="FM26" s="50">
        <f t="shared" ca="1" si="275"/>
        <v>56850.782287875612</v>
      </c>
      <c r="FN26" s="50">
        <f t="shared" ca="1" si="276"/>
        <v>52945.348010521229</v>
      </c>
      <c r="FO26" s="50">
        <f t="shared" ca="1" si="277"/>
        <v>70339.68868901387</v>
      </c>
      <c r="FP26" s="50">
        <f t="shared" ca="1" si="278"/>
        <v>61119.407592898948</v>
      </c>
      <c r="FQ26" s="50">
        <f t="shared" ca="1" si="279"/>
        <v>66264.171297499532</v>
      </c>
      <c r="FR26" s="50">
        <f t="shared" ca="1" si="280"/>
        <v>64802.193828530209</v>
      </c>
      <c r="FS26" s="50">
        <f t="shared" ca="1" si="281"/>
        <v>55398.787735336984</v>
      </c>
      <c r="FT26" s="50">
        <f t="shared" ca="1" si="282"/>
        <v>53929.269694004128</v>
      </c>
      <c r="FU26" s="50">
        <f t="shared" ca="1" si="283"/>
        <v>59446.803863964516</v>
      </c>
      <c r="FV26" s="50">
        <f t="shared" ca="1" si="284"/>
        <v>47980.286091682028</v>
      </c>
      <c r="FW26" s="50">
        <f t="shared" ca="1" si="285"/>
        <v>77606.901494354024</v>
      </c>
      <c r="FX26" s="50">
        <f t="shared" ca="1" si="286"/>
        <v>59895.594337373273</v>
      </c>
      <c r="FY26" s="50">
        <f t="shared" ca="1" si="287"/>
        <v>65498.930826869124</v>
      </c>
      <c r="FZ26" s="50">
        <f t="shared" ca="1" si="288"/>
        <v>64715.92194882327</v>
      </c>
      <c r="GA26" s="50">
        <f t="shared" ca="1" si="289"/>
        <v>65501.300550158849</v>
      </c>
      <c r="GB26" s="50">
        <f t="shared" ca="1" si="290"/>
        <v>53296.996573693359</v>
      </c>
      <c r="GC26" s="50">
        <f t="shared" ca="1" si="291"/>
        <v>60072.143093223458</v>
      </c>
      <c r="GD26" s="50">
        <f t="shared" ca="1" si="292"/>
        <v>51362.143562322774</v>
      </c>
      <c r="GE26" s="50">
        <f t="shared" ca="1" si="293"/>
        <v>67820.290464742546</v>
      </c>
      <c r="GF26" s="50">
        <f t="shared" ca="1" si="294"/>
        <v>51584.454086971047</v>
      </c>
      <c r="GG26" s="50">
        <f t="shared" ca="1" si="295"/>
        <v>56212.33503751747</v>
      </c>
      <c r="GH26" s="50">
        <f t="shared" ca="1" si="296"/>
        <v>54106.433256328877</v>
      </c>
      <c r="GI26" s="50">
        <f t="shared" ca="1" si="297"/>
        <v>52575.353320099872</v>
      </c>
      <c r="GJ26" s="50">
        <f t="shared" ca="1" si="298"/>
        <v>60158.735462614735</v>
      </c>
      <c r="GK26" s="50">
        <f t="shared" ca="1" si="299"/>
        <v>50224.132485238959</v>
      </c>
      <c r="GL26" s="50">
        <f t="shared" ca="1" si="300"/>
        <v>55182.54285829814</v>
      </c>
      <c r="GM26" s="50">
        <f t="shared" ca="1" si="301"/>
        <v>43091.900084066496</v>
      </c>
      <c r="GN26" s="50">
        <f t="shared" ca="1" si="302"/>
        <v>54662.460656271192</v>
      </c>
      <c r="GO26" s="50">
        <f t="shared" ca="1" si="303"/>
        <v>73816.535727142764</v>
      </c>
      <c r="GP26" s="50">
        <f t="shared" ca="1" si="304"/>
        <v>64566.778470231286</v>
      </c>
      <c r="GQ26" s="50">
        <f t="shared" ca="1" si="305"/>
        <v>67785.429430913908</v>
      </c>
      <c r="GR26" s="50">
        <f t="shared" ca="1" si="306"/>
        <v>63594.897154780185</v>
      </c>
      <c r="GS26" s="50">
        <f t="shared" ca="1" si="307"/>
        <v>62513.737910794298</v>
      </c>
      <c r="GT26" s="50">
        <f t="shared" ca="1" si="308"/>
        <v>51902.428652199036</v>
      </c>
      <c r="GU26" s="50">
        <f t="shared" ca="1" si="309"/>
        <v>59708.300553702757</v>
      </c>
      <c r="GV26" s="50">
        <f t="shared" ca="1" si="310"/>
        <v>65172.72739644703</v>
      </c>
      <c r="GW26" s="50">
        <f t="shared" ca="1" si="311"/>
        <v>64010.967518030848</v>
      </c>
      <c r="GX26" s="50">
        <f t="shared" ca="1" si="312"/>
        <v>58587.415440113655</v>
      </c>
      <c r="GY26" s="50">
        <f t="shared" ca="1" si="313"/>
        <v>68551.109613604349</v>
      </c>
      <c r="GZ26" s="50">
        <f t="shared" ca="1" si="314"/>
        <v>61955.305064629269</v>
      </c>
      <c r="HA26" s="50">
        <f t="shared" ca="1" si="315"/>
        <v>53278.985969527224</v>
      </c>
      <c r="HB26" s="50">
        <f t="shared" ca="1" si="316"/>
        <v>49114.532858946601</v>
      </c>
      <c r="HC26" s="50">
        <f t="shared" ca="1" si="317"/>
        <v>68356.923376837207</v>
      </c>
      <c r="HD26" s="50">
        <f t="shared" ca="1" si="318"/>
        <v>44954.118272463907</v>
      </c>
      <c r="HE26" s="50">
        <f t="shared" ca="1" si="319"/>
        <v>51446.461881048352</v>
      </c>
      <c r="HF26" s="50">
        <f t="shared" ca="1" si="320"/>
        <v>53882.114405727036</v>
      </c>
      <c r="HG26" s="50">
        <f t="shared" ca="1" si="321"/>
        <v>57425.737886460563</v>
      </c>
      <c r="HH26" s="50">
        <f t="shared" ca="1" si="322"/>
        <v>67980.280560759464</v>
      </c>
      <c r="HI26" s="50">
        <f t="shared" ca="1" si="323"/>
        <v>60606.306710268225</v>
      </c>
      <c r="HJ26" s="50">
        <f t="shared" ca="1" si="324"/>
        <v>55371.229526404371</v>
      </c>
      <c r="HK26" s="50">
        <f t="shared" ca="1" si="325"/>
        <v>62478.536785362645</v>
      </c>
      <c r="HL26" s="50">
        <f t="shared" ca="1" si="326"/>
        <v>60593.230129754513</v>
      </c>
      <c r="HM26" s="50">
        <f t="shared" ca="1" si="327"/>
        <v>62018.4313899931</v>
      </c>
      <c r="HN26" s="50">
        <f t="shared" ca="1" si="328"/>
        <v>58964.045895770883</v>
      </c>
      <c r="HO26" s="50">
        <f t="shared" ca="1" si="329"/>
        <v>66852.391884424011</v>
      </c>
      <c r="HP26" s="50">
        <f t="shared" ca="1" si="330"/>
        <v>64619.726872957093</v>
      </c>
      <c r="HQ26" s="50">
        <f t="shared" ca="1" si="331"/>
        <v>57563.973265682784</v>
      </c>
      <c r="HR26" s="50">
        <f t="shared" ca="1" si="332"/>
        <v>65158.190171303679</v>
      </c>
      <c r="HS26" s="50">
        <f t="shared" ca="1" si="333"/>
        <v>61945.414468529925</v>
      </c>
      <c r="HT26" s="50">
        <f t="shared" ca="1" si="334"/>
        <v>49315.332353567515</v>
      </c>
      <c r="HU26" s="50">
        <f t="shared" ca="1" si="335"/>
        <v>60027.148255789776</v>
      </c>
      <c r="HV26" s="50">
        <f t="shared" ca="1" si="336"/>
        <v>51290.066771872705</v>
      </c>
      <c r="HW26" s="50">
        <f t="shared" ca="1" si="337"/>
        <v>48414.105687034003</v>
      </c>
      <c r="HX26" s="50">
        <f t="shared" ca="1" si="338"/>
        <v>71496.936060142354</v>
      </c>
      <c r="HY26" s="50">
        <f t="shared" ca="1" si="339"/>
        <v>49772.339759801915</v>
      </c>
      <c r="HZ26" s="50">
        <f t="shared" ca="1" si="340"/>
        <v>67253.816214461622</v>
      </c>
      <c r="IA26" s="50">
        <f t="shared" ca="1" si="341"/>
        <v>55204.886440020877</v>
      </c>
      <c r="IB26" s="50">
        <f t="shared" ca="1" si="342"/>
        <v>48723.041931777174</v>
      </c>
      <c r="IC26" s="50">
        <f t="shared" ca="1" si="343"/>
        <v>68599.305408100146</v>
      </c>
      <c r="ID26" s="50">
        <f t="shared" ca="1" si="344"/>
        <v>65064.772328326348</v>
      </c>
      <c r="IE26" s="50">
        <f t="shared" ca="1" si="345"/>
        <v>61420.203475241215</v>
      </c>
      <c r="IF26" s="50">
        <f t="shared" ca="1" si="346"/>
        <v>50872.47797710311</v>
      </c>
      <c r="IG26" s="50">
        <f t="shared" ca="1" si="347"/>
        <v>59691.005380887895</v>
      </c>
      <c r="IH26" s="50">
        <f t="shared" ca="1" si="348"/>
        <v>57933.178816027663</v>
      </c>
      <c r="II26" s="50">
        <f t="shared" ca="1" si="349"/>
        <v>61887.896233337699</v>
      </c>
      <c r="IJ26" s="50">
        <f t="shared" ca="1" si="350"/>
        <v>63055.752785399476</v>
      </c>
      <c r="IK26" s="50">
        <f t="shared" ca="1" si="351"/>
        <v>59812.173633371669</v>
      </c>
      <c r="IL26" s="50">
        <f t="shared" ca="1" si="352"/>
        <v>62372.559418381228</v>
      </c>
      <c r="IM26" s="50">
        <f t="shared" ca="1" si="353"/>
        <v>53874.960302932923</v>
      </c>
      <c r="IN26" s="50">
        <f t="shared" ca="1" si="354"/>
        <v>64913.44156630557</v>
      </c>
      <c r="IO26" s="50">
        <f t="shared" ca="1" si="355"/>
        <v>55372.327204145033</v>
      </c>
      <c r="IP26" s="50">
        <f t="shared" ca="1" si="356"/>
        <v>57487.070301962027</v>
      </c>
      <c r="IQ26" s="50">
        <f t="shared" ca="1" si="357"/>
        <v>57583.920774120204</v>
      </c>
      <c r="IR26" s="50">
        <f t="shared" ca="1" si="358"/>
        <v>53677.882925144164</v>
      </c>
      <c r="IS26" s="50">
        <f t="shared" ca="1" si="359"/>
        <v>62901.856263483402</v>
      </c>
      <c r="IT26" s="50">
        <f t="shared" ca="1" si="360"/>
        <v>56130.033987709481</v>
      </c>
      <c r="IU26" s="50">
        <f t="shared" ca="1" si="361"/>
        <v>62598.934359974795</v>
      </c>
      <c r="IV26" s="50">
        <f t="shared" ca="1" si="362"/>
        <v>61939.810967525955</v>
      </c>
      <c r="IW26" s="50">
        <f t="shared" ca="1" si="363"/>
        <v>47771.532534265432</v>
      </c>
      <c r="IX26" s="50">
        <f t="shared" ca="1" si="364"/>
        <v>62571.939832543554</v>
      </c>
      <c r="IY26" s="50">
        <f t="shared" ca="1" si="365"/>
        <v>54341.540340320375</v>
      </c>
      <c r="IZ26" s="50">
        <f t="shared" ca="1" si="366"/>
        <v>67644.464911048985</v>
      </c>
      <c r="JA26" s="50">
        <f t="shared" ca="1" si="367"/>
        <v>55010.154863532232</v>
      </c>
      <c r="JB26" s="50">
        <f t="shared" ca="1" si="368"/>
        <v>70651.254869394732</v>
      </c>
      <c r="JC26" s="50">
        <f t="shared" ca="1" si="369"/>
        <v>60737.934934319615</v>
      </c>
      <c r="JD26" s="50">
        <f t="shared" ca="1" si="370"/>
        <v>55462.25844797516</v>
      </c>
      <c r="JE26" s="50">
        <f t="shared" ca="1" si="371"/>
        <v>64395.905960976008</v>
      </c>
      <c r="JF26" s="50">
        <f t="shared" ca="1" si="372"/>
        <v>70230.301740078401</v>
      </c>
      <c r="JG26" s="50">
        <f t="shared" ca="1" si="373"/>
        <v>60236.955270130282</v>
      </c>
      <c r="JH26" s="50">
        <f t="shared" ca="1" si="374"/>
        <v>57441.671165382868</v>
      </c>
      <c r="JI26" s="50">
        <f t="shared" ca="1" si="375"/>
        <v>64829.807882605404</v>
      </c>
      <c r="JJ26" s="50">
        <f t="shared" ca="1" si="376"/>
        <v>55041.730072233091</v>
      </c>
      <c r="JK26" s="50">
        <f t="shared" ca="1" si="377"/>
        <v>56314.655707208352</v>
      </c>
      <c r="JL26" s="50">
        <f t="shared" ca="1" si="378"/>
        <v>60085.519655675154</v>
      </c>
      <c r="JM26" s="50">
        <f t="shared" ca="1" si="379"/>
        <v>49348.958424927689</v>
      </c>
      <c r="JN26" s="50">
        <f t="shared" ca="1" si="380"/>
        <v>59509.109131060264</v>
      </c>
      <c r="JO26" s="50">
        <f t="shared" ca="1" si="381"/>
        <v>57408.167175273091</v>
      </c>
      <c r="JP26" s="50">
        <f t="shared" ca="1" si="382"/>
        <v>54170.294262237643</v>
      </c>
      <c r="JQ26" s="50">
        <f t="shared" ca="1" si="383"/>
        <v>59704.652560277733</v>
      </c>
      <c r="JR26" s="50">
        <f t="shared" ca="1" si="384"/>
        <v>65605.985242152266</v>
      </c>
      <c r="JS26" s="50">
        <f t="shared" ca="1" si="385"/>
        <v>58948.382423195486</v>
      </c>
      <c r="JT26" s="50">
        <f t="shared" ca="1" si="386"/>
        <v>66252.709358976863</v>
      </c>
      <c r="JU26" s="50">
        <f t="shared" ca="1" si="387"/>
        <v>56176.469304923157</v>
      </c>
      <c r="JV26" s="50">
        <f t="shared" ca="1" si="388"/>
        <v>51061.276226335664</v>
      </c>
      <c r="JW26" s="50">
        <f t="shared" ca="1" si="389"/>
        <v>67663.101793084032</v>
      </c>
      <c r="JX26" s="50">
        <f t="shared" ca="1" si="390"/>
        <v>56347.318928578323</v>
      </c>
      <c r="JY26" s="50">
        <f t="shared" ca="1" si="391"/>
        <v>69855.172873473217</v>
      </c>
      <c r="JZ26" s="50">
        <f t="shared" ca="1" si="392"/>
        <v>51181.476172020251</v>
      </c>
      <c r="KA26" s="50">
        <f t="shared" ca="1" si="393"/>
        <v>62968.742915242125</v>
      </c>
      <c r="KB26" s="50">
        <f t="shared" ca="1" si="394"/>
        <v>59099.965296598959</v>
      </c>
      <c r="KC26" s="50">
        <f t="shared" ca="1" si="395"/>
        <v>64065.770998779182</v>
      </c>
      <c r="KD26" s="50">
        <f t="shared" ca="1" si="396"/>
        <v>52318.167124738466</v>
      </c>
      <c r="KE26" s="50">
        <f t="shared" ca="1" si="397"/>
        <v>56138.312410742095</v>
      </c>
      <c r="KF26" s="50">
        <f t="shared" ca="1" si="398"/>
        <v>56529.303435423979</v>
      </c>
      <c r="KG26" s="50">
        <f t="shared" ca="1" si="399"/>
        <v>65423.960896882039</v>
      </c>
      <c r="KH26" s="50">
        <f t="shared" ca="1" si="400"/>
        <v>66730.255086743418</v>
      </c>
      <c r="KI26" s="50">
        <f t="shared" ca="1" si="401"/>
        <v>57890.668935175046</v>
      </c>
      <c r="KJ26" s="50">
        <f t="shared" ca="1" si="402"/>
        <v>60381.391190629452</v>
      </c>
      <c r="KK26" s="50">
        <f t="shared" ca="1" si="403"/>
        <v>57723.636360808108</v>
      </c>
      <c r="KL26" s="50">
        <f t="shared" ca="1" si="404"/>
        <v>53657.455210158303</v>
      </c>
      <c r="KM26" s="50">
        <f t="shared" ca="1" si="405"/>
        <v>64862.772279032404</v>
      </c>
      <c r="KN26" s="50">
        <f t="shared" ca="1" si="406"/>
        <v>55580.745618420762</v>
      </c>
      <c r="KO26" s="50">
        <f t="shared" ca="1" si="407"/>
        <v>52680.730835985327</v>
      </c>
      <c r="KP26" s="50">
        <f t="shared" ca="1" si="408"/>
        <v>52789.644186839134</v>
      </c>
      <c r="KQ26" s="50">
        <f t="shared" ca="1" si="409"/>
        <v>65104.134316451658</v>
      </c>
      <c r="KR26" s="50">
        <f t="shared" ca="1" si="410"/>
        <v>56536.809611555174</v>
      </c>
      <c r="KS26" s="50">
        <f t="shared" ca="1" si="411"/>
        <v>54450.019615759702</v>
      </c>
      <c r="KT26" s="50">
        <f t="shared" ca="1" si="412"/>
        <v>55468.938891038393</v>
      </c>
      <c r="KU26" s="50">
        <f t="shared" ca="1" si="413"/>
        <v>67956.442859747243</v>
      </c>
      <c r="KV26" s="50">
        <f t="shared" ca="1" si="414"/>
        <v>54920.344834744421</v>
      </c>
      <c r="KW26" s="50">
        <f t="shared" ca="1" si="415"/>
        <v>57869.469529601345</v>
      </c>
      <c r="KX26" s="50">
        <f t="shared" ca="1" si="416"/>
        <v>63590.713184277345</v>
      </c>
      <c r="KY26" s="50">
        <f t="shared" ca="1" si="417"/>
        <v>60180.93892536046</v>
      </c>
      <c r="KZ26" s="50">
        <f t="shared" ca="1" si="418"/>
        <v>58276.327135307787</v>
      </c>
      <c r="LA26" s="50">
        <f t="shared" ca="1" si="419"/>
        <v>53869.764250386099</v>
      </c>
      <c r="LB26" s="50">
        <f t="shared" ca="1" si="420"/>
        <v>56611.664528829424</v>
      </c>
      <c r="LC26" s="50">
        <f t="shared" ca="1" si="421"/>
        <v>58765.214732205626</v>
      </c>
      <c r="LD26" s="50">
        <f t="shared" ca="1" si="422"/>
        <v>56132.262655611004</v>
      </c>
      <c r="LE26" s="50">
        <f t="shared" ca="1" si="423"/>
        <v>73970.200586158317</v>
      </c>
      <c r="LF26" s="50">
        <f t="shared" ca="1" si="424"/>
        <v>62847.220393405209</v>
      </c>
      <c r="LG26" s="50">
        <f t="shared" ca="1" si="425"/>
        <v>62497.07473299306</v>
      </c>
      <c r="LH26" s="50">
        <f t="shared" ca="1" si="426"/>
        <v>59554.465156184036</v>
      </c>
      <c r="LI26" s="50">
        <f t="shared" ca="1" si="427"/>
        <v>55594.603504603547</v>
      </c>
      <c r="LJ26" s="50">
        <f t="shared" ca="1" si="428"/>
        <v>49203.840036870912</v>
      </c>
      <c r="LK26" s="50">
        <f t="shared" ca="1" si="429"/>
        <v>59769.572436845869</v>
      </c>
      <c r="LL26" s="50">
        <f t="shared" ca="1" si="430"/>
        <v>50993.426241908295</v>
      </c>
      <c r="LM26" s="50">
        <f t="shared" ca="1" si="431"/>
        <v>62343.075547550092</v>
      </c>
      <c r="LN26" s="50">
        <f t="shared" ca="1" si="432"/>
        <v>63615.724177531403</v>
      </c>
      <c r="LO26" s="50">
        <f t="shared" ca="1" si="433"/>
        <v>50954.455301113136</v>
      </c>
      <c r="LP26" s="50">
        <f t="shared" ca="1" si="434"/>
        <v>45530.306211634583</v>
      </c>
      <c r="LQ26" s="50">
        <f t="shared" ca="1" si="435"/>
        <v>47897.170554551638</v>
      </c>
      <c r="LR26" s="50">
        <f t="shared" ca="1" si="436"/>
        <v>53224.831283501539</v>
      </c>
      <c r="LS26" s="50">
        <f t="shared" ca="1" si="437"/>
        <v>60602.942450841627</v>
      </c>
      <c r="LT26" s="50">
        <f t="shared" ca="1" si="438"/>
        <v>60158.411358533536</v>
      </c>
      <c r="LU26" s="50">
        <f t="shared" ca="1" si="439"/>
        <v>72603.890818747765</v>
      </c>
      <c r="LV26" s="50">
        <f t="shared" ca="1" si="440"/>
        <v>58097.724477645155</v>
      </c>
      <c r="LW26" s="50">
        <f t="shared" ca="1" si="441"/>
        <v>41397.387450705479</v>
      </c>
      <c r="LX26" s="50">
        <f t="shared" ca="1" si="442"/>
        <v>62162.572602278975</v>
      </c>
      <c r="LY26" s="50">
        <f t="shared" ca="1" si="443"/>
        <v>65321.11145857699</v>
      </c>
      <c r="LZ26" s="50">
        <f t="shared" ca="1" si="444"/>
        <v>65104.411985599334</v>
      </c>
      <c r="MA26" s="50">
        <f t="shared" ca="1" si="445"/>
        <v>49626.060711685088</v>
      </c>
      <c r="MB26" s="50">
        <f t="shared" ca="1" si="446"/>
        <v>65541.948928232523</v>
      </c>
      <c r="MC26" s="50">
        <f t="shared" ca="1" si="447"/>
        <v>49841.479917237259</v>
      </c>
      <c r="MD26" s="50">
        <f t="shared" ca="1" si="448"/>
        <v>55075.849570631792</v>
      </c>
      <c r="ME26" s="50">
        <f t="shared" ca="1" si="449"/>
        <v>59417.408637264649</v>
      </c>
      <c r="MF26" s="50">
        <f t="shared" ca="1" si="450"/>
        <v>61193.172024539526</v>
      </c>
      <c r="MG26" s="50">
        <f t="shared" ca="1" si="451"/>
        <v>55595.173761749254</v>
      </c>
      <c r="MH26" s="50">
        <f t="shared" ca="1" si="452"/>
        <v>60836.262362317488</v>
      </c>
      <c r="MI26" s="50">
        <f t="shared" ca="1" si="453"/>
        <v>55714.723651166794</v>
      </c>
      <c r="MJ26" s="50">
        <f t="shared" ca="1" si="454"/>
        <v>51241.79951680747</v>
      </c>
      <c r="MK26" s="50">
        <f t="shared" ca="1" si="455"/>
        <v>61579.821968435273</v>
      </c>
      <c r="ML26" s="50">
        <f t="shared" ca="1" si="456"/>
        <v>63300.609520524369</v>
      </c>
      <c r="MM26" s="50">
        <f t="shared" ca="1" si="457"/>
        <v>60414.091001891262</v>
      </c>
      <c r="MN26" s="50">
        <f t="shared" ca="1" si="458"/>
        <v>59020.04985399892</v>
      </c>
      <c r="MO26" s="50">
        <f t="shared" ca="1" si="459"/>
        <v>58962.836239499768</v>
      </c>
      <c r="MP26" s="50">
        <f t="shared" ca="1" si="460"/>
        <v>61146.687392183914</v>
      </c>
      <c r="MQ26" s="50">
        <f t="shared" ca="1" si="461"/>
        <v>59751.375636749362</v>
      </c>
      <c r="MR26" s="50">
        <f t="shared" ca="1" si="462"/>
        <v>53116.995173691023</v>
      </c>
      <c r="MS26" s="50">
        <f t="shared" ca="1" si="463"/>
        <v>57198.096995011387</v>
      </c>
      <c r="MT26" s="50">
        <f t="shared" ca="1" si="464"/>
        <v>57060.516447698312</v>
      </c>
      <c r="MU26" s="50">
        <f t="shared" ca="1" si="465"/>
        <v>72582.123146906466</v>
      </c>
      <c r="MV26" s="50">
        <f t="shared" ca="1" si="466"/>
        <v>60967.627188282531</v>
      </c>
      <c r="MW26" s="50">
        <f t="shared" ca="1" si="467"/>
        <v>56475.323133648795</v>
      </c>
      <c r="MX26" s="50">
        <f t="shared" ca="1" si="468"/>
        <v>59315.602962760066</v>
      </c>
      <c r="MY26" s="50">
        <f t="shared" ca="1" si="469"/>
        <v>55992.318364667008</v>
      </c>
      <c r="MZ26" s="50">
        <f t="shared" ca="1" si="470"/>
        <v>64094.423114368437</v>
      </c>
      <c r="NA26" s="50">
        <f t="shared" ca="1" si="471"/>
        <v>63663.858630690098</v>
      </c>
      <c r="NB26" s="50">
        <f t="shared" ca="1" si="472"/>
        <v>55810.28931428241</v>
      </c>
      <c r="NC26" s="50">
        <f t="shared" ca="1" si="473"/>
        <v>56600.313616120264</v>
      </c>
      <c r="ND26" s="50">
        <f t="shared" ca="1" si="474"/>
        <v>55697.713552691661</v>
      </c>
      <c r="NE26" s="50">
        <f t="shared" ca="1" si="475"/>
        <v>53008.261471348291</v>
      </c>
      <c r="NF26" s="50">
        <f t="shared" ca="1" si="476"/>
        <v>62318.476859034701</v>
      </c>
      <c r="NG26" s="50">
        <f t="shared" ca="1" si="477"/>
        <v>64726.478043188239</v>
      </c>
      <c r="NH26" s="50">
        <f t="shared" ca="1" si="478"/>
        <v>59898.537782655236</v>
      </c>
      <c r="NI26" s="50">
        <f t="shared" ca="1" si="479"/>
        <v>63957.785301534968</v>
      </c>
      <c r="NJ26" s="50">
        <f t="shared" ca="1" si="480"/>
        <v>60641.675137947379</v>
      </c>
      <c r="NK26" s="50">
        <f t="shared" ca="1" si="481"/>
        <v>60187.846153543505</v>
      </c>
      <c r="NL26" s="50">
        <f t="shared" ca="1" si="482"/>
        <v>48001.325874793118</v>
      </c>
      <c r="NM26" s="50">
        <f t="shared" ca="1" si="483"/>
        <v>66182.415519402377</v>
      </c>
      <c r="NN26" s="50">
        <f t="shared" ca="1" si="484"/>
        <v>54415.561387193578</v>
      </c>
      <c r="NO26" s="50">
        <f t="shared" ca="1" si="485"/>
        <v>65317.825923322263</v>
      </c>
      <c r="NP26" s="50">
        <f t="shared" ca="1" si="486"/>
        <v>51105.032048677684</v>
      </c>
      <c r="NQ26" s="50">
        <f t="shared" ca="1" si="487"/>
        <v>45589.999380399138</v>
      </c>
      <c r="NR26" s="50">
        <f t="shared" ca="1" si="488"/>
        <v>62512.173738655205</v>
      </c>
      <c r="NS26" s="50">
        <f t="shared" ca="1" si="489"/>
        <v>50975.945418273193</v>
      </c>
      <c r="NT26" s="50">
        <f t="shared" ca="1" si="490"/>
        <v>70902.358906381356</v>
      </c>
      <c r="NU26" s="50">
        <f t="shared" ca="1" si="491"/>
        <v>68329.411649214191</v>
      </c>
      <c r="NV26" s="50">
        <f t="shared" ca="1" si="492"/>
        <v>55094.191860751722</v>
      </c>
      <c r="NW26" s="50">
        <f t="shared" ca="1" si="493"/>
        <v>48552.967341115771</v>
      </c>
      <c r="NX26" s="50">
        <f t="shared" ca="1" si="494"/>
        <v>68025.595289550023</v>
      </c>
      <c r="NY26" s="50">
        <f t="shared" ca="1" si="495"/>
        <v>66211.258237687085</v>
      </c>
      <c r="NZ26" s="50">
        <f t="shared" ca="1" si="496"/>
        <v>61942.522521327133</v>
      </c>
      <c r="OA26" s="50">
        <f t="shared" ca="1" si="497"/>
        <v>52168.147860320896</v>
      </c>
      <c r="OB26" s="50">
        <f t="shared" ca="1" si="498"/>
        <v>63176.305860497741</v>
      </c>
      <c r="OC26" s="50">
        <f t="shared" ca="1" si="499"/>
        <v>50753.762359571469</v>
      </c>
      <c r="OD26" s="50">
        <f t="shared" ca="1" si="500"/>
        <v>54094.051870263291</v>
      </c>
      <c r="OE26" s="50">
        <f t="shared" ca="1" si="501"/>
        <v>74512.471079680137</v>
      </c>
      <c r="OF26" s="50">
        <f t="shared" ca="1" si="502"/>
        <v>63577.802900794064</v>
      </c>
      <c r="OG26" s="50">
        <f t="shared" ca="1" si="503"/>
        <v>67821.487700023805</v>
      </c>
      <c r="OH26" s="50">
        <f t="shared" ca="1" si="504"/>
        <v>65388.144552736005</v>
      </c>
      <c r="OI26" s="50">
        <f t="shared" ca="1" si="505"/>
        <v>59931.173861516159</v>
      </c>
      <c r="OJ26" s="50">
        <f t="shared" ca="1" si="506"/>
        <v>69106.946864232043</v>
      </c>
      <c r="OK26" s="50">
        <f t="shared" ca="1" si="507"/>
        <v>53981.66631315351</v>
      </c>
      <c r="OL26" s="50">
        <f t="shared" ca="1" si="508"/>
        <v>64132.127093233365</v>
      </c>
      <c r="OM26" s="50">
        <f t="shared" ca="1" si="509"/>
        <v>55136.305022777786</v>
      </c>
      <c r="ON26" s="50">
        <f t="shared" ca="1" si="510"/>
        <v>65692.461359589535</v>
      </c>
      <c r="OO26" s="50">
        <f t="shared" ca="1" si="511"/>
        <v>60697.507922569624</v>
      </c>
      <c r="OP26" s="50">
        <f t="shared" ca="1" si="512"/>
        <v>61474.420176331732</v>
      </c>
      <c r="OQ26" s="50">
        <f t="shared" ca="1" si="513"/>
        <v>57861.222321624344</v>
      </c>
      <c r="OR26" s="50">
        <f t="shared" ca="1" si="514"/>
        <v>61101.424052013179</v>
      </c>
      <c r="OS26" s="50">
        <f t="shared" ca="1" si="515"/>
        <v>56771.742136191933</v>
      </c>
      <c r="OT26" s="50">
        <f t="shared" ca="1" si="516"/>
        <v>57305.348194249462</v>
      </c>
      <c r="OU26" s="50">
        <f t="shared" ca="1" si="517"/>
        <v>51995.40761743953</v>
      </c>
      <c r="OV26" s="50">
        <f t="shared" ca="1" si="518"/>
        <v>56671.483020694533</v>
      </c>
      <c r="OW26" s="50">
        <f t="shared" ca="1" si="519"/>
        <v>52136.448736507926</v>
      </c>
      <c r="OX26" s="50">
        <f t="shared" ca="1" si="520"/>
        <v>65076.228119620217</v>
      </c>
      <c r="OY26" s="50">
        <f t="shared" ca="1" si="521"/>
        <v>57496.491405433218</v>
      </c>
      <c r="OZ26" s="50">
        <f t="shared" ca="1" si="522"/>
        <v>61401.77201475927</v>
      </c>
      <c r="PA26" s="50">
        <f t="shared" ca="1" si="523"/>
        <v>56619.897422926646</v>
      </c>
      <c r="PB26" s="50">
        <f t="shared" ca="1" si="524"/>
        <v>56160.983394201103</v>
      </c>
      <c r="PC26" s="50">
        <f t="shared" ca="1" si="525"/>
        <v>54937.161465250443</v>
      </c>
      <c r="PD26" s="50">
        <f t="shared" ca="1" si="526"/>
        <v>55918.813735119518</v>
      </c>
      <c r="PE26" s="50">
        <f t="shared" ca="1" si="527"/>
        <v>58731.706897051605</v>
      </c>
      <c r="PF26" s="50">
        <f t="shared" ca="1" si="528"/>
        <v>61590.289674765838</v>
      </c>
      <c r="PG26" s="50">
        <f t="shared" ca="1" si="529"/>
        <v>55363.657290301831</v>
      </c>
      <c r="PH26" s="50">
        <f t="shared" ca="1" si="530"/>
        <v>51211.199958867852</v>
      </c>
      <c r="PI26" s="50">
        <f t="shared" ca="1" si="531"/>
        <v>56933.37714923919</v>
      </c>
      <c r="PJ26" s="50">
        <f t="shared" ca="1" si="532"/>
        <v>63904.482283439902</v>
      </c>
      <c r="PK26" s="50">
        <f t="shared" ca="1" si="533"/>
        <v>58888.384720177935</v>
      </c>
      <c r="PL26" s="50">
        <f t="shared" ca="1" si="534"/>
        <v>62594.444465652945</v>
      </c>
      <c r="PM26" s="50">
        <f t="shared" ca="1" si="535"/>
        <v>60992.790468002015</v>
      </c>
      <c r="PN26" s="50">
        <f t="shared" ca="1" si="536"/>
        <v>51368.388300471772</v>
      </c>
      <c r="PO26" s="50">
        <f t="shared" ca="1" si="537"/>
        <v>63882.86171472296</v>
      </c>
      <c r="PP26" s="50">
        <f t="shared" ca="1" si="538"/>
        <v>57849.091522168528</v>
      </c>
      <c r="PQ26" s="50">
        <f t="shared" ca="1" si="539"/>
        <v>55246.789600609314</v>
      </c>
      <c r="PR26" s="50">
        <f t="shared" ca="1" si="540"/>
        <v>62995.552324891789</v>
      </c>
      <c r="PS26" s="50">
        <f t="shared" ca="1" si="541"/>
        <v>69862.669590899706</v>
      </c>
      <c r="PT26" s="50">
        <f t="shared" ca="1" si="542"/>
        <v>53074.917661851927</v>
      </c>
      <c r="PU26" s="50">
        <f t="shared" ca="1" si="543"/>
        <v>59586.628630682993</v>
      </c>
      <c r="PV26" s="50">
        <f t="shared" ca="1" si="544"/>
        <v>58050.667956138393</v>
      </c>
      <c r="PW26" s="50">
        <f t="shared" ca="1" si="545"/>
        <v>53799.378153314181</v>
      </c>
      <c r="PX26" s="50">
        <f t="shared" ca="1" si="546"/>
        <v>69351.341910889867</v>
      </c>
      <c r="PY26" s="50">
        <f t="shared" ca="1" si="547"/>
        <v>58242.051892092801</v>
      </c>
      <c r="PZ26" s="50">
        <f t="shared" ca="1" si="548"/>
        <v>57161.438853458189</v>
      </c>
      <c r="QA26" s="50">
        <f t="shared" ca="1" si="549"/>
        <v>53361.339020185718</v>
      </c>
      <c r="QB26" s="50">
        <f t="shared" ca="1" si="550"/>
        <v>55213.567551618253</v>
      </c>
      <c r="QC26" s="50">
        <f t="shared" ca="1" si="551"/>
        <v>67670.58556561415</v>
      </c>
      <c r="QD26" s="50">
        <f t="shared" ca="1" si="552"/>
        <v>57732.712005211164</v>
      </c>
      <c r="QE26" s="50">
        <f t="shared" ca="1" si="553"/>
        <v>57201.648156752904</v>
      </c>
      <c r="QF26" s="50">
        <f t="shared" ca="1" si="554"/>
        <v>52641.393098796674</v>
      </c>
      <c r="QG26" s="50">
        <f t="shared" ca="1" si="555"/>
        <v>53364.014238344011</v>
      </c>
      <c r="QH26" s="50">
        <f t="shared" ca="1" si="556"/>
        <v>50888.322793191684</v>
      </c>
      <c r="QI26" s="50">
        <f t="shared" ca="1" si="557"/>
        <v>52694.409516141379</v>
      </c>
      <c r="QJ26" s="50">
        <f t="shared" ca="1" si="558"/>
        <v>52167.979497038788</v>
      </c>
      <c r="QK26" s="50">
        <f t="shared" ca="1" si="559"/>
        <v>59614.590189935851</v>
      </c>
      <c r="QL26" s="50">
        <f t="shared" ca="1" si="560"/>
        <v>73421.937759948574</v>
      </c>
      <c r="QM26" s="50">
        <f t="shared" ca="1" si="561"/>
        <v>51608.849687807553</v>
      </c>
      <c r="QN26" s="50">
        <f t="shared" ca="1" si="562"/>
        <v>55820.41363739223</v>
      </c>
      <c r="QO26" s="50">
        <f t="shared" ca="1" si="563"/>
        <v>70179.867189053737</v>
      </c>
      <c r="QP26" s="50">
        <f t="shared" ca="1" si="564"/>
        <v>57294.427542995283</v>
      </c>
      <c r="QQ26" s="50">
        <f t="shared" ca="1" si="565"/>
        <v>57126.029665999828</v>
      </c>
      <c r="QR26" s="50">
        <f t="shared" ca="1" si="566"/>
        <v>58168.252913702228</v>
      </c>
      <c r="QS26" s="50">
        <f t="shared" ca="1" si="567"/>
        <v>52679.603404589208</v>
      </c>
      <c r="QT26" s="50">
        <f t="shared" ca="1" si="568"/>
        <v>52207.138618815276</v>
      </c>
      <c r="QU26" s="50">
        <f t="shared" ca="1" si="569"/>
        <v>55587.318000684827</v>
      </c>
      <c r="QV26" s="50">
        <f t="shared" ca="1" si="570"/>
        <v>57682.979437709342</v>
      </c>
      <c r="QW26" s="50">
        <f t="shared" ca="1" si="571"/>
        <v>56770.616674418627</v>
      </c>
      <c r="QX26" s="50">
        <f t="shared" ca="1" si="572"/>
        <v>66952.65442929689</v>
      </c>
      <c r="QY26" s="50">
        <f t="shared" ca="1" si="573"/>
        <v>56738.031228452033</v>
      </c>
      <c r="QZ26" s="50">
        <f t="shared" ca="1" si="574"/>
        <v>56958.949365884662</v>
      </c>
      <c r="RA26" s="50">
        <f t="shared" ca="1" si="575"/>
        <v>48846.853110420881</v>
      </c>
      <c r="RB26" s="50">
        <f t="shared" ca="1" si="576"/>
        <v>77079.913024360038</v>
      </c>
      <c r="RC26" s="50">
        <f t="shared" ca="1" si="577"/>
        <v>62735.235384466396</v>
      </c>
      <c r="RD26" s="50">
        <f t="shared" ca="1" si="578"/>
        <v>55555.688513063033</v>
      </c>
      <c r="RE26" s="50">
        <f t="shared" ca="1" si="579"/>
        <v>58507.165351820746</v>
      </c>
      <c r="RF26" s="50">
        <f t="shared" ca="1" si="580"/>
        <v>61348.051842061206</v>
      </c>
      <c r="RG26" s="50">
        <f t="shared" ca="1" si="581"/>
        <v>53715.417215650763</v>
      </c>
      <c r="RH26" s="50">
        <f t="shared" ca="1" si="582"/>
        <v>62039.535121223977</v>
      </c>
      <c r="RI26" s="50">
        <f t="shared" ca="1" si="583"/>
        <v>67702.706508909541</v>
      </c>
      <c r="RJ26" s="50">
        <f t="shared" ca="1" si="584"/>
        <v>57524.252311219185</v>
      </c>
      <c r="RK26" s="50">
        <f t="shared" ca="1" si="585"/>
        <v>63494.570064210464</v>
      </c>
      <c r="RL26" s="50">
        <f t="shared" ca="1" si="586"/>
        <v>60172.231857219638</v>
      </c>
      <c r="RM26" s="50">
        <f t="shared" ca="1" si="587"/>
        <v>57433.596499737505</v>
      </c>
      <c r="RN26" s="50">
        <f t="shared" ca="1" si="588"/>
        <v>58377.751710251039</v>
      </c>
      <c r="RO26" s="50">
        <f t="shared" ca="1" si="589"/>
        <v>45730.536210124767</v>
      </c>
      <c r="RP26" s="50">
        <f t="shared" ca="1" si="590"/>
        <v>60310.106692122798</v>
      </c>
      <c r="RQ26" s="50">
        <f t="shared" ca="1" si="591"/>
        <v>54729.460311121438</v>
      </c>
      <c r="RR26" s="50">
        <f t="shared" ca="1" si="592"/>
        <v>55147.87085455512</v>
      </c>
      <c r="RS26" s="50">
        <f t="shared" ca="1" si="593"/>
        <v>76227.803447783575</v>
      </c>
      <c r="RT26" s="50">
        <f t="shared" ca="1" si="594"/>
        <v>53817.649331494868</v>
      </c>
      <c r="RU26" s="50">
        <f t="shared" ca="1" si="595"/>
        <v>56272.423578558628</v>
      </c>
      <c r="RV26" s="50">
        <f t="shared" ca="1" si="596"/>
        <v>55238.44399254919</v>
      </c>
      <c r="RW26" s="50">
        <f t="shared" ca="1" si="597"/>
        <v>65918.581230880518</v>
      </c>
      <c r="RX26" s="50">
        <f t="shared" ca="1" si="598"/>
        <v>59837.095547394376</v>
      </c>
      <c r="RY26" s="50">
        <f t="shared" ca="1" si="599"/>
        <v>64050.197332646138</v>
      </c>
      <c r="RZ26" s="50">
        <f t="shared" ca="1" si="600"/>
        <v>60239.556785113113</v>
      </c>
      <c r="SA26" s="50">
        <f t="shared" ca="1" si="601"/>
        <v>61065.809460633856</v>
      </c>
      <c r="SB26" s="50">
        <f t="shared" ca="1" si="602"/>
        <v>61808.177356257343</v>
      </c>
      <c r="SC26" s="50">
        <f t="shared" ca="1" si="603"/>
        <v>54645.405399184718</v>
      </c>
      <c r="SD26" s="50">
        <f t="shared" ca="1" si="604"/>
        <v>52761.224355264334</v>
      </c>
      <c r="SE26" s="50">
        <f t="shared" ca="1" si="605"/>
        <v>67500.092141683141</v>
      </c>
      <c r="SF26" s="50">
        <f t="shared" ca="1" si="606"/>
        <v>57975.32377562514</v>
      </c>
      <c r="SG26" s="50">
        <f t="shared" ca="1" si="607"/>
        <v>52358.353479632264</v>
      </c>
      <c r="SH26" s="50">
        <f t="shared" ca="1" si="608"/>
        <v>60181.11074972029</v>
      </c>
      <c r="SI26" s="50">
        <f t="shared" ca="1" si="609"/>
        <v>66315.644632708252</v>
      </c>
      <c r="SJ26" s="50">
        <f t="shared" ca="1" si="610"/>
        <v>52334.718359309103</v>
      </c>
      <c r="SK26" s="50">
        <f t="shared" ca="1" si="611"/>
        <v>70617.000163632751</v>
      </c>
      <c r="SL26" s="50">
        <f t="shared" ca="1" si="612"/>
        <v>49937.606681250771</v>
      </c>
      <c r="SM26" s="50">
        <f t="shared" ca="1" si="613"/>
        <v>55963.110241654409</v>
      </c>
      <c r="SN26" s="50">
        <f t="shared" ca="1" si="614"/>
        <v>63029.419488382729</v>
      </c>
      <c r="SO26" s="50">
        <f t="shared" ca="1" si="615"/>
        <v>54906.485057310645</v>
      </c>
      <c r="SP26" s="50">
        <f t="shared" ca="1" si="616"/>
        <v>64378.47779871567</v>
      </c>
      <c r="SQ26" s="50">
        <f t="shared" ca="1" si="617"/>
        <v>51305.593248447534</v>
      </c>
      <c r="SR26" s="50">
        <f t="shared" ca="1" si="618"/>
        <v>61415.521136953968</v>
      </c>
      <c r="SS26" s="50">
        <f t="shared" ca="1" si="619"/>
        <v>58276.195466153571</v>
      </c>
      <c r="ST26" s="50">
        <f t="shared" ca="1" si="620"/>
        <v>66163.476344768846</v>
      </c>
      <c r="SU26" s="50">
        <f t="shared" ca="1" si="621"/>
        <v>56425.347365776855</v>
      </c>
      <c r="SV26" s="50">
        <f t="shared" ca="1" si="622"/>
        <v>62183.410141990884</v>
      </c>
      <c r="SW26" s="50">
        <f t="shared" ca="1" si="623"/>
        <v>46203.012445769222</v>
      </c>
      <c r="SX26" s="50">
        <f t="shared" ca="1" si="624"/>
        <v>51788.453496675036</v>
      </c>
      <c r="SY26" s="50">
        <f t="shared" ca="1" si="625"/>
        <v>60055.781726075118</v>
      </c>
      <c r="SZ26" s="50">
        <f t="shared" ca="1" si="626"/>
        <v>60900.744383697143</v>
      </c>
      <c r="TA26" s="50">
        <f t="shared" ca="1" si="627"/>
        <v>52350.087524795177</v>
      </c>
      <c r="TB26" s="50">
        <f t="shared" ca="1" si="628"/>
        <v>54273.436267831232</v>
      </c>
      <c r="TC26" s="50">
        <f t="shared" ca="1" si="629"/>
        <v>63222.250578317289</v>
      </c>
      <c r="TD26" s="50">
        <f t="shared" ca="1" si="630"/>
        <v>59663.522156764113</v>
      </c>
      <c r="TE26" s="50">
        <f t="shared" ca="1" si="631"/>
        <v>54825.257045802326</v>
      </c>
      <c r="TF26" s="50">
        <f t="shared" ca="1" si="632"/>
        <v>70474.353224100007</v>
      </c>
      <c r="TG26" s="50">
        <f t="shared" ca="1" si="633"/>
        <v>61277.419444769585</v>
      </c>
      <c r="TH26" s="50">
        <f t="shared" ca="1" si="634"/>
        <v>51355.794689038841</v>
      </c>
      <c r="TI26" s="50">
        <f t="shared" ca="1" si="635"/>
        <v>56533.562027228894</v>
      </c>
      <c r="TJ26" s="50">
        <f t="shared" ca="1" si="636"/>
        <v>69345.867750905847</v>
      </c>
      <c r="TK26" s="50">
        <f t="shared" ca="1" si="637"/>
        <v>54474.704685077981</v>
      </c>
      <c r="TL26" s="50">
        <f t="shared" ca="1" si="638"/>
        <v>57035.115854295145</v>
      </c>
      <c r="TM26" s="50">
        <f t="shared" ca="1" si="639"/>
        <v>57138.227682232857</v>
      </c>
      <c r="TN26" s="50">
        <f t="shared" ca="1" si="640"/>
        <v>53399.27812169103</v>
      </c>
      <c r="TO26" s="50">
        <f t="shared" ca="1" si="641"/>
        <v>57162.829249960043</v>
      </c>
      <c r="TP26" s="50">
        <f t="shared" ca="1" si="642"/>
        <v>50439.035717291998</v>
      </c>
      <c r="TQ26" s="50">
        <f t="shared" ca="1" si="643"/>
        <v>57433.051560133244</v>
      </c>
      <c r="TR26" s="50">
        <f t="shared" ca="1" si="644"/>
        <v>60450.531050185644</v>
      </c>
      <c r="TS26" s="50">
        <f t="shared" ca="1" si="645"/>
        <v>51701.183180763765</v>
      </c>
      <c r="TT26" s="50">
        <f t="shared" ca="1" si="646"/>
        <v>48937.297780728317</v>
      </c>
      <c r="TU26" s="50">
        <f t="shared" ca="1" si="647"/>
        <v>66630.234189612485</v>
      </c>
      <c r="TV26" s="50">
        <f t="shared" ca="1" si="648"/>
        <v>62026.947666484411</v>
      </c>
      <c r="TW26" s="50">
        <f t="shared" ca="1" si="649"/>
        <v>44528.489241582902</v>
      </c>
      <c r="TX26" s="50">
        <f t="shared" ca="1" si="650"/>
        <v>57448.534413324371</v>
      </c>
      <c r="TY26" s="50">
        <f t="shared" ca="1" si="651"/>
        <v>60563.247591308536</v>
      </c>
      <c r="TZ26" s="50">
        <f t="shared" ca="1" si="652"/>
        <v>65796.286696907526</v>
      </c>
      <c r="UA26" s="50">
        <f t="shared" ca="1" si="653"/>
        <v>52271.522529023088</v>
      </c>
      <c r="UB26" s="50">
        <f t="shared" ca="1" si="654"/>
        <v>62486.141856963935</v>
      </c>
      <c r="UC26" s="50">
        <f t="shared" ca="1" si="655"/>
        <v>59721.951846149263</v>
      </c>
      <c r="UD26" s="50">
        <f t="shared" ca="1" si="656"/>
        <v>60971.469954727487</v>
      </c>
      <c r="UE26" s="50">
        <f t="shared" ca="1" si="657"/>
        <v>51169.056508539848</v>
      </c>
      <c r="UF26" s="50">
        <f t="shared" ca="1" si="658"/>
        <v>60679.315870963335</v>
      </c>
      <c r="UG26" s="50">
        <f t="shared" ca="1" si="659"/>
        <v>51358.149538749865</v>
      </c>
      <c r="UH26" s="50">
        <f t="shared" ca="1" si="660"/>
        <v>57030.155478261848</v>
      </c>
      <c r="UI26" s="50">
        <f t="shared" ca="1" si="661"/>
        <v>58590.68516580094</v>
      </c>
      <c r="UJ26" s="50">
        <f t="shared" ca="1" si="662"/>
        <v>62255.852287128393</v>
      </c>
      <c r="UK26" s="50">
        <f t="shared" ca="1" si="663"/>
        <v>52551.58274976442</v>
      </c>
      <c r="UL26" s="50">
        <f t="shared" ca="1" si="664"/>
        <v>52500.408680810011</v>
      </c>
      <c r="UM26" s="50">
        <f t="shared" ca="1" si="665"/>
        <v>58792.038156156239</v>
      </c>
      <c r="UN26" s="50">
        <f t="shared" ca="1" si="666"/>
        <v>48869.547465835771</v>
      </c>
      <c r="UO26" s="50">
        <f t="shared" ca="1" si="667"/>
        <v>51555.90556199164</v>
      </c>
      <c r="UP26" s="50">
        <f t="shared" ca="1" si="668"/>
        <v>60019.007616325383</v>
      </c>
      <c r="UQ26" s="50">
        <f t="shared" ca="1" si="669"/>
        <v>58166.310105340424</v>
      </c>
      <c r="UR26" s="50">
        <f t="shared" ca="1" si="670"/>
        <v>72693.468467863335</v>
      </c>
      <c r="US26" s="50">
        <f t="shared" ca="1" si="671"/>
        <v>51984.017073502342</v>
      </c>
      <c r="UT26" s="50">
        <f t="shared" ca="1" si="672"/>
        <v>47952.191471181635</v>
      </c>
      <c r="UU26" s="50">
        <f t="shared" ca="1" si="673"/>
        <v>54152.839849558273</v>
      </c>
      <c r="UV26" s="50">
        <f t="shared" ca="1" si="674"/>
        <v>57262.542937266437</v>
      </c>
      <c r="UW26" s="50">
        <f t="shared" ca="1" si="675"/>
        <v>52680.110083101288</v>
      </c>
      <c r="UX26" s="50">
        <f t="shared" ca="1" si="676"/>
        <v>57200.660084549614</v>
      </c>
      <c r="UY26" s="50">
        <f t="shared" ca="1" si="677"/>
        <v>53670.930649631562</v>
      </c>
      <c r="UZ26" s="50">
        <f t="shared" ca="1" si="678"/>
        <v>59011.183094788983</v>
      </c>
      <c r="VA26" s="50">
        <f t="shared" ca="1" si="679"/>
        <v>79565.864827585203</v>
      </c>
      <c r="VB26" s="50">
        <f t="shared" ca="1" si="680"/>
        <v>55147.26379675397</v>
      </c>
      <c r="VC26" s="50">
        <f t="shared" ca="1" si="681"/>
        <v>53080.336342932504</v>
      </c>
      <c r="VD26" s="50">
        <f t="shared" ca="1" si="682"/>
        <v>67148.3021007918</v>
      </c>
      <c r="VE26" s="50">
        <f t="shared" ca="1" si="683"/>
        <v>50500.650671723037</v>
      </c>
      <c r="VF26" s="50">
        <f t="shared" ca="1" si="684"/>
        <v>56718.778169782614</v>
      </c>
      <c r="VG26" s="50">
        <f t="shared" ca="1" si="685"/>
        <v>53322.093801107017</v>
      </c>
      <c r="VH26" s="50">
        <f t="shared" ca="1" si="686"/>
        <v>50564.461152505603</v>
      </c>
      <c r="VI26" s="50">
        <f t="shared" ca="1" si="687"/>
        <v>68599.457061430599</v>
      </c>
      <c r="VJ26" s="50">
        <f t="shared" ca="1" si="688"/>
        <v>58695.419286516444</v>
      </c>
      <c r="VK26" s="50">
        <f t="shared" ca="1" si="689"/>
        <v>60583.556840277772</v>
      </c>
      <c r="VL26" s="50">
        <f t="shared" ca="1" si="690"/>
        <v>54811.163980055608</v>
      </c>
      <c r="VM26" s="50">
        <f t="shared" ca="1" si="691"/>
        <v>65040.993632296544</v>
      </c>
      <c r="VN26" s="50">
        <f t="shared" ca="1" si="692"/>
        <v>68757.038502928219</v>
      </c>
      <c r="VO26" s="50">
        <f t="shared" ca="1" si="693"/>
        <v>59211.367953376008</v>
      </c>
      <c r="VP26" s="50">
        <f t="shared" ca="1" si="694"/>
        <v>56932.53999691912</v>
      </c>
      <c r="VQ26" s="50">
        <f t="shared" ca="1" si="695"/>
        <v>59154.470683659456</v>
      </c>
      <c r="VR26" s="50">
        <f t="shared" ca="1" si="696"/>
        <v>70281.903499153996</v>
      </c>
      <c r="VS26" s="50">
        <f t="shared" ca="1" si="697"/>
        <v>81951.538908375413</v>
      </c>
      <c r="VT26" s="50">
        <f t="shared" ca="1" si="698"/>
        <v>56102.902925053109</v>
      </c>
      <c r="VU26" s="50">
        <f t="shared" ca="1" si="699"/>
        <v>53437.62790864917</v>
      </c>
      <c r="VV26" s="50">
        <f t="shared" ca="1" si="700"/>
        <v>56125.143259462951</v>
      </c>
      <c r="VW26" s="50">
        <f t="shared" ca="1" si="701"/>
        <v>62987.963976616025</v>
      </c>
      <c r="VX26" s="50">
        <f t="shared" ca="1" si="702"/>
        <v>63154.759618678574</v>
      </c>
      <c r="VY26" s="50">
        <f t="shared" ca="1" si="703"/>
        <v>54402.234210633178</v>
      </c>
      <c r="VZ26" s="50">
        <f t="shared" ca="1" si="704"/>
        <v>52730.868406826179</v>
      </c>
      <c r="WA26" s="50">
        <f t="shared" ca="1" si="705"/>
        <v>56175.84436858011</v>
      </c>
      <c r="WB26" s="50">
        <f t="shared" ca="1" si="706"/>
        <v>50700.411713911868</v>
      </c>
      <c r="WC26" s="50">
        <f t="shared" ca="1" si="707"/>
        <v>55162.790965074601</v>
      </c>
      <c r="WD26" s="50">
        <f t="shared" ca="1" si="708"/>
        <v>60046.025041739667</v>
      </c>
      <c r="WE26" s="50">
        <f t="shared" ca="1" si="709"/>
        <v>62880.438594726955</v>
      </c>
      <c r="WF26" s="50">
        <f t="shared" ca="1" si="710"/>
        <v>65798.602169886028</v>
      </c>
      <c r="WG26" s="50">
        <f t="shared" ca="1" si="711"/>
        <v>58051.529282181262</v>
      </c>
      <c r="WH26" s="50">
        <f t="shared" ca="1" si="712"/>
        <v>63589.617242904169</v>
      </c>
      <c r="WI26" s="50">
        <f t="shared" ca="1" si="713"/>
        <v>57228.409280198997</v>
      </c>
      <c r="WJ26" s="50">
        <f t="shared" ca="1" si="714"/>
        <v>51487.273002958573</v>
      </c>
      <c r="WK26" s="50">
        <f t="shared" ca="1" si="715"/>
        <v>60944.462055895849</v>
      </c>
      <c r="WL26" s="50">
        <f t="shared" ca="1" si="716"/>
        <v>59557.800234154864</v>
      </c>
      <c r="WM26" s="50">
        <f t="shared" ca="1" si="717"/>
        <v>57168.006290887402</v>
      </c>
      <c r="WN26" s="50">
        <f t="shared" ca="1" si="718"/>
        <v>55360.017800165537</v>
      </c>
      <c r="WO26" s="50">
        <f t="shared" ca="1" si="719"/>
        <v>56420.723860002669</v>
      </c>
      <c r="WP26" s="50">
        <f t="shared" ca="1" si="720"/>
        <v>59009.570287428571</v>
      </c>
      <c r="WQ26" s="50">
        <f t="shared" ca="1" si="721"/>
        <v>50031.88341430643</v>
      </c>
      <c r="WR26" s="50">
        <f t="shared" ca="1" si="722"/>
        <v>57563.111462334935</v>
      </c>
      <c r="WS26" s="50">
        <f t="shared" ca="1" si="723"/>
        <v>54015.693596945486</v>
      </c>
      <c r="WT26" s="50">
        <f t="shared" ca="1" si="724"/>
        <v>70883.405061723039</v>
      </c>
      <c r="WU26" s="50">
        <f t="shared" ca="1" si="725"/>
        <v>69824.740666808691</v>
      </c>
      <c r="WV26" s="50">
        <f t="shared" ca="1" si="726"/>
        <v>52628.78344813329</v>
      </c>
      <c r="WW26" s="50">
        <f t="shared" ca="1" si="727"/>
        <v>62580.494343421175</v>
      </c>
      <c r="WX26" s="50">
        <f t="shared" ca="1" si="728"/>
        <v>55303.554111123005</v>
      </c>
      <c r="WY26" s="50">
        <f t="shared" ca="1" si="729"/>
        <v>58383.624930558566</v>
      </c>
      <c r="WZ26" s="50">
        <f t="shared" ca="1" si="730"/>
        <v>66553.250881599524</v>
      </c>
      <c r="XA26" s="50">
        <f t="shared" ca="1" si="731"/>
        <v>60112.105657890592</v>
      </c>
      <c r="XB26" s="50">
        <f t="shared" ca="1" si="732"/>
        <v>55294.43894921527</v>
      </c>
      <c r="XC26" s="50">
        <f t="shared" ca="1" si="733"/>
        <v>72511.482632780317</v>
      </c>
      <c r="XD26" s="50">
        <f t="shared" ca="1" si="734"/>
        <v>54372.338103939765</v>
      </c>
      <c r="XE26" s="50">
        <f t="shared" ca="1" si="735"/>
        <v>69588.43182267675</v>
      </c>
      <c r="XF26" s="50">
        <f t="shared" ca="1" si="736"/>
        <v>62487.355361143476</v>
      </c>
      <c r="XG26" s="50">
        <f t="shared" ca="1" si="737"/>
        <v>51962.258258050897</v>
      </c>
      <c r="XH26" s="50">
        <f t="shared" ca="1" si="738"/>
        <v>67824.217147541072</v>
      </c>
      <c r="XI26" s="50">
        <f t="shared" ca="1" si="739"/>
        <v>52714.896327153554</v>
      </c>
      <c r="XJ26" s="50">
        <f t="shared" ca="1" si="740"/>
        <v>52796.900048013704</v>
      </c>
      <c r="XK26" s="50">
        <f t="shared" ca="1" si="741"/>
        <v>50849.292139388417</v>
      </c>
      <c r="XL26" s="50">
        <f t="shared" ca="1" si="742"/>
        <v>68086.453077240498</v>
      </c>
      <c r="XM26" s="50">
        <f t="shared" ca="1" si="743"/>
        <v>60482.899115928885</v>
      </c>
      <c r="XN26" s="50">
        <f t="shared" ca="1" si="744"/>
        <v>51635.110917560123</v>
      </c>
      <c r="XO26" s="50">
        <f t="shared" ca="1" si="745"/>
        <v>52374.060849511377</v>
      </c>
      <c r="XP26" s="50">
        <f t="shared" ca="1" si="746"/>
        <v>67961.955393955097</v>
      </c>
      <c r="XQ26" s="50">
        <f t="shared" ca="1" si="747"/>
        <v>52160.703523721444</v>
      </c>
      <c r="XR26" s="50">
        <f t="shared" ca="1" si="748"/>
        <v>65595.904843994475</v>
      </c>
      <c r="XS26" s="50">
        <f t="shared" ca="1" si="749"/>
        <v>50964.060023183505</v>
      </c>
      <c r="XT26" s="50">
        <f t="shared" ca="1" si="750"/>
        <v>62353.540621632332</v>
      </c>
      <c r="XU26" s="50">
        <f t="shared" ca="1" si="751"/>
        <v>51182.120047445533</v>
      </c>
      <c r="XV26" s="50">
        <f t="shared" ca="1" si="752"/>
        <v>52309.899797391154</v>
      </c>
      <c r="XW26" s="50">
        <f t="shared" ca="1" si="753"/>
        <v>48871.203655528298</v>
      </c>
      <c r="XX26" s="50">
        <f t="shared" ca="1" si="754"/>
        <v>66922.982243773644</v>
      </c>
      <c r="XY26" s="50">
        <f t="shared" ca="1" si="755"/>
        <v>44790.714616851357</v>
      </c>
      <c r="XZ26" s="50">
        <f t="shared" ca="1" si="756"/>
        <v>67050.306176946848</v>
      </c>
      <c r="YA26" s="50">
        <f t="shared" ca="1" si="757"/>
        <v>64545.975817031387</v>
      </c>
      <c r="YB26" s="50">
        <f t="shared" ca="1" si="758"/>
        <v>61158.113215521917</v>
      </c>
      <c r="YC26" s="50">
        <f t="shared" ca="1" si="759"/>
        <v>66755.061442387901</v>
      </c>
      <c r="YD26" s="50">
        <f t="shared" ca="1" si="760"/>
        <v>69730.42790476192</v>
      </c>
      <c r="YE26" s="50">
        <f t="shared" ca="1" si="761"/>
        <v>56489.20225378473</v>
      </c>
      <c r="YF26" s="50">
        <f t="shared" ca="1" si="762"/>
        <v>70315.739600445522</v>
      </c>
      <c r="YG26" s="50">
        <f t="shared" ca="1" si="763"/>
        <v>63965.980807923312</v>
      </c>
      <c r="YH26" s="50">
        <f t="shared" ca="1" si="764"/>
        <v>62812.143545427862</v>
      </c>
      <c r="YI26" s="50">
        <f t="shared" ca="1" si="765"/>
        <v>58047.822569385906</v>
      </c>
      <c r="YJ26" s="50">
        <f t="shared" ca="1" si="766"/>
        <v>53358.28954728457</v>
      </c>
      <c r="YK26" s="50">
        <f t="shared" ca="1" si="767"/>
        <v>52029.420564711691</v>
      </c>
      <c r="YL26" s="50">
        <f t="shared" ca="1" si="768"/>
        <v>58312.368051317113</v>
      </c>
      <c r="YM26" s="50">
        <f t="shared" ca="1" si="769"/>
        <v>55440.013311735114</v>
      </c>
      <c r="YN26" s="50">
        <f t="shared" ca="1" si="770"/>
        <v>57859.487195909991</v>
      </c>
      <c r="YO26" s="50">
        <f t="shared" ca="1" si="771"/>
        <v>46899.751152761928</v>
      </c>
      <c r="YP26" s="50">
        <f t="shared" ca="1" si="772"/>
        <v>50524.243679962412</v>
      </c>
      <c r="YQ26" s="50">
        <f t="shared" ca="1" si="773"/>
        <v>60493.210237961321</v>
      </c>
      <c r="YR26" s="50">
        <f t="shared" ca="1" si="774"/>
        <v>57688.079608408007</v>
      </c>
      <c r="YS26" s="50">
        <f t="shared" ca="1" si="775"/>
        <v>63901.948801399332</v>
      </c>
      <c r="YT26" s="50">
        <f t="shared" ca="1" si="776"/>
        <v>57438.828739348188</v>
      </c>
      <c r="YU26" s="50">
        <f t="shared" ca="1" si="777"/>
        <v>67630.362930238436</v>
      </c>
      <c r="YV26" s="50">
        <f t="shared" ca="1" si="778"/>
        <v>49079.89143387985</v>
      </c>
      <c r="YW26" s="50">
        <f t="shared" ca="1" si="779"/>
        <v>49690.604482778537</v>
      </c>
      <c r="YX26" s="50">
        <f t="shared" ca="1" si="780"/>
        <v>59767.865493342484</v>
      </c>
      <c r="YY26" s="50">
        <f t="shared" ca="1" si="781"/>
        <v>54614.57704266873</v>
      </c>
      <c r="YZ26" s="50">
        <f t="shared" ca="1" si="782"/>
        <v>55135.701896290208</v>
      </c>
      <c r="ZA26" s="50">
        <f t="shared" ca="1" si="783"/>
        <v>62366.465354364147</v>
      </c>
      <c r="ZB26" s="50">
        <f t="shared" ca="1" si="784"/>
        <v>57354.110401424638</v>
      </c>
      <c r="ZC26" s="50">
        <f t="shared" ca="1" si="785"/>
        <v>52539.954091724627</v>
      </c>
      <c r="ZD26" s="50">
        <f t="shared" ca="1" si="786"/>
        <v>55236.878331410495</v>
      </c>
      <c r="ZE26" s="50">
        <f t="shared" ca="1" si="787"/>
        <v>50907.07912828699</v>
      </c>
      <c r="ZF26" s="50">
        <f t="shared" ca="1" si="788"/>
        <v>70758.921066545692</v>
      </c>
      <c r="ZG26" s="50">
        <f t="shared" ca="1" si="789"/>
        <v>54150.191386673781</v>
      </c>
      <c r="ZH26" s="50">
        <f t="shared" ca="1" si="790"/>
        <v>56277.493654298276</v>
      </c>
      <c r="ZI26" s="50">
        <f t="shared" ca="1" si="791"/>
        <v>52836.939676921742</v>
      </c>
      <c r="ZJ26" s="50">
        <f t="shared" ca="1" si="792"/>
        <v>59848.347768184576</v>
      </c>
      <c r="ZK26" s="50">
        <f t="shared" ca="1" si="793"/>
        <v>57034.260086518334</v>
      </c>
      <c r="ZL26" s="50">
        <f t="shared" ca="1" si="794"/>
        <v>56532.503016254464</v>
      </c>
      <c r="ZM26" s="50">
        <f t="shared" ca="1" si="795"/>
        <v>63214.140669443295</v>
      </c>
      <c r="ZN26" s="50">
        <f t="shared" ca="1" si="796"/>
        <v>47571.431224089923</v>
      </c>
      <c r="ZO26" s="50">
        <f t="shared" ca="1" si="797"/>
        <v>53716.634987130739</v>
      </c>
      <c r="ZP26" s="50">
        <f t="shared" ca="1" si="798"/>
        <v>67298.281133075667</v>
      </c>
      <c r="ZQ26" s="50">
        <f t="shared" ca="1" si="799"/>
        <v>66791.046258284841</v>
      </c>
      <c r="ZR26" s="50">
        <f t="shared" ca="1" si="800"/>
        <v>53631.504302915971</v>
      </c>
      <c r="ZS26" s="50">
        <f t="shared" ca="1" si="801"/>
        <v>63578.363852333918</v>
      </c>
      <c r="ZT26" s="50">
        <f t="shared" ca="1" si="802"/>
        <v>56705.08474584041</v>
      </c>
      <c r="ZU26" s="50">
        <f t="shared" ca="1" si="803"/>
        <v>56380.534679475248</v>
      </c>
      <c r="ZV26" s="50">
        <f t="shared" ca="1" si="804"/>
        <v>62444.587023069536</v>
      </c>
      <c r="ZW26" s="50">
        <f t="shared" ca="1" si="805"/>
        <v>61713.03097832916</v>
      </c>
      <c r="ZX26" s="50">
        <f t="shared" ca="1" si="806"/>
        <v>63938.349216974268</v>
      </c>
      <c r="ZY26" s="50">
        <f t="shared" ca="1" si="807"/>
        <v>50367.820122477591</v>
      </c>
      <c r="ZZ26" s="50">
        <f t="shared" ca="1" si="808"/>
        <v>69215.217888492771</v>
      </c>
      <c r="AAA26" s="50">
        <f t="shared" ca="1" si="809"/>
        <v>56671.513269241121</v>
      </c>
      <c r="AAB26" s="50">
        <f t="shared" ca="1" si="810"/>
        <v>64604.609233855481</v>
      </c>
      <c r="AAC26" s="50">
        <f t="shared" ca="1" si="811"/>
        <v>63216.405320115889</v>
      </c>
      <c r="AAD26" s="50">
        <f t="shared" ca="1" si="812"/>
        <v>51389.196028972481</v>
      </c>
      <c r="AAE26" s="50">
        <f t="shared" ca="1" si="813"/>
        <v>58515.602659061573</v>
      </c>
      <c r="AAF26" s="50">
        <f t="shared" ca="1" si="814"/>
        <v>48513.092920645191</v>
      </c>
      <c r="AAG26" s="50">
        <f t="shared" ca="1" si="815"/>
        <v>60553.83170424735</v>
      </c>
      <c r="AAH26" s="50">
        <f t="shared" ca="1" si="816"/>
        <v>59601.531579074959</v>
      </c>
      <c r="AAI26" s="50">
        <f t="shared" ca="1" si="817"/>
        <v>72324.876590053871</v>
      </c>
      <c r="AAJ26" s="50">
        <f t="shared" ca="1" si="818"/>
        <v>63978.555298960411</v>
      </c>
      <c r="AAK26" s="50">
        <f t="shared" ca="1" si="819"/>
        <v>66336.744779526402</v>
      </c>
      <c r="AAL26" s="50">
        <f t="shared" ca="1" si="820"/>
        <v>55121.249397990156</v>
      </c>
      <c r="AAM26" s="50">
        <f t="shared" ca="1" si="821"/>
        <v>59292.054204736865</v>
      </c>
      <c r="AAN26" s="50">
        <f t="shared" ca="1" si="822"/>
        <v>62865.562214357851</v>
      </c>
      <c r="AAO26" s="50">
        <f t="shared" ca="1" si="823"/>
        <v>57079.154326783202</v>
      </c>
      <c r="AAP26" s="50">
        <f t="shared" ca="1" si="824"/>
        <v>52621.32463071926</v>
      </c>
      <c r="AAQ26" s="50">
        <f t="shared" ca="1" si="825"/>
        <v>56293.380464835922</v>
      </c>
      <c r="AAR26" s="50">
        <f t="shared" ca="1" si="826"/>
        <v>59053.954481161163</v>
      </c>
      <c r="AAS26" s="50">
        <f t="shared" ca="1" si="827"/>
        <v>70328.007686563811</v>
      </c>
      <c r="AAT26" s="50">
        <f t="shared" ca="1" si="828"/>
        <v>51228.18549358235</v>
      </c>
      <c r="AAU26" s="50">
        <f t="shared" ca="1" si="829"/>
        <v>61408.579530057832</v>
      </c>
      <c r="AAV26" s="50">
        <f t="shared" ca="1" si="830"/>
        <v>52634.67006339597</v>
      </c>
      <c r="AAW26" s="50">
        <f t="shared" ca="1" si="831"/>
        <v>56176.089316966711</v>
      </c>
      <c r="AAX26" s="50">
        <f t="shared" ca="1" si="832"/>
        <v>59488.871012714131</v>
      </c>
      <c r="AAY26" s="50">
        <f t="shared" ca="1" si="833"/>
        <v>60176.537675432715</v>
      </c>
      <c r="AAZ26" s="50">
        <f t="shared" ca="1" si="834"/>
        <v>62970.859640661773</v>
      </c>
      <c r="ABA26" s="50">
        <f t="shared" ca="1" si="835"/>
        <v>58773.583365310136</v>
      </c>
      <c r="ABB26" s="50">
        <f t="shared" ca="1" si="836"/>
        <v>60534.669356289152</v>
      </c>
      <c r="ABC26" s="50">
        <f t="shared" ca="1" si="837"/>
        <v>65508.118131861549</v>
      </c>
      <c r="ABD26" s="50">
        <f t="shared" ca="1" si="838"/>
        <v>49040.319207269866</v>
      </c>
      <c r="ABE26" s="50">
        <f t="shared" ca="1" si="839"/>
        <v>66729.316562261651</v>
      </c>
      <c r="ABF26" s="50">
        <f t="shared" ca="1" si="840"/>
        <v>55302.074547765049</v>
      </c>
      <c r="ABG26" s="50">
        <f t="shared" ca="1" si="841"/>
        <v>53582.153978201983</v>
      </c>
      <c r="ABH26" s="50">
        <f t="shared" ca="1" si="842"/>
        <v>61389.332363951537</v>
      </c>
      <c r="ABI26" s="50">
        <f t="shared" ca="1" si="843"/>
        <v>60131.238945712947</v>
      </c>
      <c r="ABJ26" s="50">
        <f t="shared" ca="1" si="844"/>
        <v>53413.92055780279</v>
      </c>
      <c r="ABK26" s="50">
        <f t="shared" ca="1" si="845"/>
        <v>58227.353511163092</v>
      </c>
      <c r="ABL26" s="50">
        <f t="shared" ca="1" si="846"/>
        <v>60402.244988712431</v>
      </c>
      <c r="ABM26" s="50">
        <f t="shared" ca="1" si="847"/>
        <v>57793.637855646477</v>
      </c>
      <c r="ABN26" s="50">
        <f t="shared" ca="1" si="848"/>
        <v>54813.959430937961</v>
      </c>
      <c r="ABO26" s="50">
        <f t="shared" ca="1" si="849"/>
        <v>54629.091714895934</v>
      </c>
      <c r="ABP26" s="50">
        <f t="shared" ca="1" si="850"/>
        <v>56703.469060056377</v>
      </c>
      <c r="ABQ26" s="50">
        <f t="shared" ca="1" si="851"/>
        <v>48073.038632265765</v>
      </c>
      <c r="ABR26" s="50">
        <f t="shared" ca="1" si="852"/>
        <v>54098.085901622253</v>
      </c>
      <c r="ABS26" s="50">
        <f t="shared" ca="1" si="853"/>
        <v>62842.738593597271</v>
      </c>
      <c r="ABT26" s="50">
        <f t="shared" ca="1" si="854"/>
        <v>55970.063296297791</v>
      </c>
      <c r="ABU26" s="50">
        <f t="shared" ca="1" si="855"/>
        <v>60433.578129167901</v>
      </c>
      <c r="ABV26" s="50">
        <f t="shared" ca="1" si="856"/>
        <v>58476.767574836347</v>
      </c>
      <c r="ABW26" s="50">
        <f t="shared" ca="1" si="857"/>
        <v>48865.899745467541</v>
      </c>
      <c r="ABX26" s="50">
        <f t="shared" ca="1" si="858"/>
        <v>57065.184049257521</v>
      </c>
      <c r="ABY26" s="50">
        <f t="shared" ca="1" si="859"/>
        <v>58835.823877401483</v>
      </c>
      <c r="ABZ26" s="50">
        <f t="shared" ca="1" si="860"/>
        <v>56579.912276299379</v>
      </c>
      <c r="ACA26" s="50">
        <f t="shared" ca="1" si="861"/>
        <v>67667.22037524468</v>
      </c>
      <c r="ACB26" s="50">
        <f t="shared" ca="1" si="862"/>
        <v>61904.631238834132</v>
      </c>
      <c r="ACC26" s="50">
        <f t="shared" ca="1" si="863"/>
        <v>56864.559430286645</v>
      </c>
      <c r="ACD26" s="50">
        <f t="shared" ca="1" si="864"/>
        <v>52971.268969573895</v>
      </c>
      <c r="ACE26" s="50">
        <f t="shared" ca="1" si="865"/>
        <v>68810.138801793059</v>
      </c>
      <c r="ACF26" s="50">
        <f t="shared" ca="1" si="866"/>
        <v>60806.924428431623</v>
      </c>
      <c r="ACG26" s="50">
        <f t="shared" ca="1" si="867"/>
        <v>68370.357625465782</v>
      </c>
      <c r="ACH26" s="50">
        <f t="shared" ca="1" si="868"/>
        <v>69110.635495236173</v>
      </c>
      <c r="ACI26" s="50">
        <f t="shared" ca="1" si="869"/>
        <v>58088.275350171163</v>
      </c>
      <c r="ACJ26" s="50">
        <f t="shared" ca="1" si="870"/>
        <v>75335.931771164847</v>
      </c>
      <c r="ACK26" s="50">
        <f t="shared" ca="1" si="871"/>
        <v>60691.421196967916</v>
      </c>
      <c r="ACL26" s="50">
        <f t="shared" ca="1" si="872"/>
        <v>46037.879942329411</v>
      </c>
      <c r="ACM26" s="50">
        <f t="shared" ca="1" si="873"/>
        <v>54521.427616596899</v>
      </c>
      <c r="ACN26" s="50">
        <f t="shared" ca="1" si="874"/>
        <v>56309.122887377918</v>
      </c>
      <c r="ACO26" s="50">
        <f t="shared" ca="1" si="875"/>
        <v>50761.326860665555</v>
      </c>
      <c r="ACP26" s="50">
        <f t="shared" ca="1" si="876"/>
        <v>56894.615375485664</v>
      </c>
      <c r="ACQ26" s="50">
        <f t="shared" ca="1" si="877"/>
        <v>52259.91408000567</v>
      </c>
      <c r="ACR26" s="50">
        <f t="shared" ca="1" si="878"/>
        <v>57919.63557758645</v>
      </c>
      <c r="ACS26" s="50">
        <f t="shared" ca="1" si="879"/>
        <v>55510.448704779752</v>
      </c>
      <c r="ACT26" s="50">
        <f t="shared" ca="1" si="880"/>
        <v>58106.290560076988</v>
      </c>
      <c r="ACU26" s="50">
        <f t="shared" ca="1" si="881"/>
        <v>48411.034683730541</v>
      </c>
      <c r="ACV26" s="50">
        <f t="shared" ca="1" si="882"/>
        <v>57175.554667890123</v>
      </c>
      <c r="ACW26" s="50">
        <f t="shared" ca="1" si="883"/>
        <v>61612.540643574685</v>
      </c>
      <c r="ACX26" s="50">
        <f t="shared" ca="1" si="884"/>
        <v>58543.859265160623</v>
      </c>
      <c r="ACY26" s="50">
        <f t="shared" ca="1" si="885"/>
        <v>51750.546671995638</v>
      </c>
      <c r="ACZ26" s="50">
        <f t="shared" ca="1" si="886"/>
        <v>68028.945684615988</v>
      </c>
      <c r="ADA26" s="50">
        <f t="shared" ca="1" si="887"/>
        <v>72263.927615548077</v>
      </c>
      <c r="ADB26" s="50">
        <f t="shared" ca="1" si="888"/>
        <v>57151.657820985383</v>
      </c>
      <c r="ADC26" s="50">
        <f t="shared" ca="1" si="889"/>
        <v>65974.289433114653</v>
      </c>
      <c r="ADD26" s="50">
        <f t="shared" ca="1" si="890"/>
        <v>47576.69799115412</v>
      </c>
      <c r="ADE26" s="50">
        <f t="shared" ca="1" si="891"/>
        <v>64535.201754629074</v>
      </c>
      <c r="ADF26" s="50">
        <f t="shared" ca="1" si="892"/>
        <v>62399.287557568226</v>
      </c>
      <c r="ADG26" s="50">
        <f t="shared" ca="1" si="893"/>
        <v>66248.300989622847</v>
      </c>
      <c r="ADH26" s="50">
        <f t="shared" ca="1" si="894"/>
        <v>54279.829731755774</v>
      </c>
      <c r="ADI26" s="50">
        <f t="shared" ca="1" si="895"/>
        <v>48198.569613685191</v>
      </c>
      <c r="ADJ26" s="50">
        <f t="shared" ca="1" si="896"/>
        <v>65502.062658773008</v>
      </c>
      <c r="ADK26" s="50">
        <f t="shared" ca="1" si="897"/>
        <v>55004.012346916592</v>
      </c>
      <c r="ADL26" s="50">
        <f t="shared" ca="1" si="898"/>
        <v>60894.344969480706</v>
      </c>
      <c r="ADM26" s="50">
        <f t="shared" ca="1" si="899"/>
        <v>60877.300517729636</v>
      </c>
      <c r="ADN26" s="50">
        <f t="shared" ca="1" si="900"/>
        <v>59860.714862256493</v>
      </c>
      <c r="ADO26" s="50">
        <f t="shared" ca="1" si="901"/>
        <v>50274.957164979656</v>
      </c>
      <c r="ADP26" s="50">
        <f t="shared" ca="1" si="902"/>
        <v>56494.012134466633</v>
      </c>
      <c r="ADQ26" s="50">
        <f t="shared" ca="1" si="903"/>
        <v>48856.791352659828</v>
      </c>
      <c r="ADR26" s="50">
        <f t="shared" ca="1" si="904"/>
        <v>55537.317183530831</v>
      </c>
      <c r="ADS26" s="50">
        <f t="shared" ca="1" si="905"/>
        <v>56107.814309518108</v>
      </c>
      <c r="ADT26" s="50">
        <f t="shared" ca="1" si="906"/>
        <v>66441.964058179452</v>
      </c>
      <c r="ADU26" s="50">
        <f t="shared" ca="1" si="907"/>
        <v>59612.423526419596</v>
      </c>
      <c r="ADV26" s="50">
        <f t="shared" ca="1" si="908"/>
        <v>68301.161234085899</v>
      </c>
      <c r="ADW26" s="50">
        <f t="shared" ca="1" si="909"/>
        <v>54138.537686500924</v>
      </c>
      <c r="ADX26" s="50">
        <f t="shared" ca="1" si="910"/>
        <v>59721.753193067474</v>
      </c>
      <c r="ADY26" s="50">
        <f t="shared" ca="1" si="911"/>
        <v>63443.992645494116</v>
      </c>
      <c r="ADZ26" s="50">
        <f t="shared" ca="1" si="912"/>
        <v>51841.311208000734</v>
      </c>
      <c r="AEA26" s="50">
        <f t="shared" ca="1" si="913"/>
        <v>57714.863224747409</v>
      </c>
      <c r="AEB26" s="50">
        <f t="shared" ca="1" si="914"/>
        <v>71607.626286450788</v>
      </c>
      <c r="AEC26" s="50">
        <f t="shared" ca="1" si="915"/>
        <v>70922.780674334033</v>
      </c>
      <c r="AED26" s="50">
        <f t="shared" ca="1" si="916"/>
        <v>63389.004367018213</v>
      </c>
      <c r="AEE26" s="50">
        <f t="shared" ca="1" si="917"/>
        <v>54824.891049863567</v>
      </c>
      <c r="AEF26" s="50">
        <f t="shared" ca="1" si="918"/>
        <v>61766.245397260231</v>
      </c>
      <c r="AEG26" s="50">
        <f t="shared" ca="1" si="919"/>
        <v>49802.223913487083</v>
      </c>
      <c r="AEH26" s="50">
        <f t="shared" ca="1" si="920"/>
        <v>71678.034661504338</v>
      </c>
      <c r="AEI26" s="50">
        <f t="shared" ca="1" si="921"/>
        <v>56771.019036476362</v>
      </c>
      <c r="AEJ26" s="50">
        <f t="shared" ca="1" si="922"/>
        <v>59238.086732517157</v>
      </c>
      <c r="AEK26" s="50">
        <f t="shared" ca="1" si="923"/>
        <v>65709.534910047762</v>
      </c>
      <c r="AEL26" s="50">
        <f t="shared" ca="1" si="924"/>
        <v>58679.929397073836</v>
      </c>
      <c r="AEM26" s="50">
        <f t="shared" ca="1" si="925"/>
        <v>68011.244878818892</v>
      </c>
      <c r="AEN26" s="50">
        <f t="shared" ca="1" si="926"/>
        <v>68808.31332910691</v>
      </c>
      <c r="AEO26" s="50">
        <f t="shared" ca="1" si="927"/>
        <v>72178.761536588325</v>
      </c>
      <c r="AEP26" s="50">
        <f t="shared" ca="1" si="928"/>
        <v>51556.613691760816</v>
      </c>
      <c r="AEQ26" s="50">
        <f t="shared" ca="1" si="929"/>
        <v>59196.536382329592</v>
      </c>
      <c r="AER26" s="50">
        <f t="shared" ca="1" si="930"/>
        <v>57452.134274015196</v>
      </c>
      <c r="AES26" s="50">
        <f t="shared" ca="1" si="931"/>
        <v>52170.052049192534</v>
      </c>
      <c r="AET26" s="50">
        <f t="shared" ca="1" si="932"/>
        <v>68273.815031502643</v>
      </c>
      <c r="AEU26" s="50">
        <f t="shared" ca="1" si="933"/>
        <v>69419.783303721269</v>
      </c>
      <c r="AEV26" s="50">
        <f t="shared" ca="1" si="934"/>
        <v>73234.472497417926</v>
      </c>
      <c r="AEW26" s="50">
        <f t="shared" ca="1" si="935"/>
        <v>70043.271179662232</v>
      </c>
      <c r="AEX26" s="50">
        <f t="shared" ca="1" si="936"/>
        <v>54762.988634550078</v>
      </c>
      <c r="AEY26" s="50">
        <f t="shared" ca="1" si="937"/>
        <v>53073.397663770425</v>
      </c>
      <c r="AEZ26" s="50">
        <f t="shared" ca="1" si="938"/>
        <v>68228.851722064137</v>
      </c>
      <c r="AFA26" s="50">
        <f t="shared" ca="1" si="939"/>
        <v>51733.398280018497</v>
      </c>
      <c r="AFB26" s="50">
        <f t="shared" ca="1" si="940"/>
        <v>57561.557502007461</v>
      </c>
      <c r="AFC26" s="50">
        <f t="shared" ca="1" si="941"/>
        <v>61321.240821383995</v>
      </c>
      <c r="AFD26" s="50">
        <f t="shared" ca="1" si="942"/>
        <v>60430.676537737789</v>
      </c>
      <c r="AFE26" s="50">
        <f t="shared" ca="1" si="943"/>
        <v>44462.186079217812</v>
      </c>
      <c r="AFF26" s="50">
        <f t="shared" ca="1" si="944"/>
        <v>62946.337259542081</v>
      </c>
      <c r="AFG26" s="50">
        <f t="shared" ca="1" si="945"/>
        <v>56308.652941770706</v>
      </c>
      <c r="AFH26" s="50">
        <f t="shared" ca="1" si="946"/>
        <v>57341.909848828931</v>
      </c>
      <c r="AFI26" s="50">
        <f t="shared" ca="1" si="947"/>
        <v>49506.657025704393</v>
      </c>
      <c r="AFJ26" s="50">
        <f t="shared" ca="1" si="948"/>
        <v>59236.441843724962</v>
      </c>
      <c r="AFK26" s="50">
        <f t="shared" ca="1" si="949"/>
        <v>54748.815251950509</v>
      </c>
      <c r="AFL26" s="50">
        <f t="shared" ca="1" si="950"/>
        <v>52381.262418610619</v>
      </c>
      <c r="AFM26" s="50">
        <f t="shared" ca="1" si="951"/>
        <v>54776.885774267561</v>
      </c>
      <c r="AFN26" s="50">
        <f t="shared" ca="1" si="952"/>
        <v>56099.153029944966</v>
      </c>
      <c r="AFO26" s="50">
        <f t="shared" ca="1" si="953"/>
        <v>60352.533793023889</v>
      </c>
      <c r="AFP26" s="50">
        <f t="shared" ca="1" si="954"/>
        <v>58198.506529365412</v>
      </c>
      <c r="AFQ26" s="50">
        <f t="shared" ca="1" si="955"/>
        <v>62242.730900461895</v>
      </c>
      <c r="AFR26" s="50">
        <f t="shared" ca="1" si="956"/>
        <v>55689.610800716568</v>
      </c>
      <c r="AFS26" s="50">
        <f t="shared" ca="1" si="957"/>
        <v>51616.433130674035</v>
      </c>
      <c r="AFT26" s="50">
        <f t="shared" ca="1" si="958"/>
        <v>63677.711056937864</v>
      </c>
      <c r="AFU26" s="50">
        <f t="shared" ca="1" si="959"/>
        <v>62265.779161469967</v>
      </c>
      <c r="AFV26" s="50">
        <f t="shared" ca="1" si="960"/>
        <v>65529.314152138635</v>
      </c>
      <c r="AFW26" s="50">
        <f t="shared" ca="1" si="961"/>
        <v>59836.528763796523</v>
      </c>
      <c r="AFX26" s="50">
        <f t="shared" ca="1" si="962"/>
        <v>56378.393161570122</v>
      </c>
      <c r="AFY26" s="50">
        <f t="shared" ca="1" si="963"/>
        <v>55258.152585548429</v>
      </c>
      <c r="AFZ26" s="50">
        <f t="shared" ca="1" si="964"/>
        <v>59607.881780866897</v>
      </c>
      <c r="AGA26" s="50">
        <f t="shared" ca="1" si="965"/>
        <v>70855.777256685411</v>
      </c>
      <c r="AGB26" s="50">
        <f t="shared" ca="1" si="966"/>
        <v>64299.204724914947</v>
      </c>
      <c r="AGC26" s="50">
        <f t="shared" ca="1" si="967"/>
        <v>62743.315972580887</v>
      </c>
      <c r="AGD26" s="50">
        <f t="shared" ca="1" si="968"/>
        <v>50372.106871166252</v>
      </c>
      <c r="AGE26" s="50">
        <f t="shared" ca="1" si="969"/>
        <v>56773.012479129167</v>
      </c>
      <c r="AGF26" s="50">
        <f t="shared" ca="1" si="970"/>
        <v>51561.855060051283</v>
      </c>
      <c r="AGG26" s="50">
        <f t="shared" ca="1" si="971"/>
        <v>63075.318179025904</v>
      </c>
      <c r="AGH26" s="50">
        <f t="shared" ca="1" si="972"/>
        <v>67971.571904013035</v>
      </c>
      <c r="AGI26" s="50">
        <f t="shared" ca="1" si="973"/>
        <v>55758.406483388986</v>
      </c>
      <c r="AGJ26" s="50">
        <f t="shared" ca="1" si="974"/>
        <v>61023.84814993426</v>
      </c>
      <c r="AGK26" s="50">
        <f t="shared" ca="1" si="975"/>
        <v>81355.353983292895</v>
      </c>
      <c r="AGL26" s="50">
        <f t="shared" ca="1" si="976"/>
        <v>51092.30401220428</v>
      </c>
      <c r="AGM26" s="50">
        <f t="shared" ca="1" si="977"/>
        <v>62067.04577073449</v>
      </c>
      <c r="AGN26" s="50">
        <f t="shared" ca="1" si="978"/>
        <v>68880.905612212766</v>
      </c>
      <c r="AGO26" s="50">
        <f t="shared" ca="1" si="979"/>
        <v>47545.035644431482</v>
      </c>
      <c r="AGP26" s="50">
        <f t="shared" ca="1" si="980"/>
        <v>62798.470253575186</v>
      </c>
      <c r="AGQ26" s="50">
        <f t="shared" ca="1" si="981"/>
        <v>63956.784420031079</v>
      </c>
      <c r="AGR26" s="50">
        <f t="shared" ca="1" si="982"/>
        <v>58824.023089326758</v>
      </c>
      <c r="AGS26" s="50">
        <f t="shared" ca="1" si="983"/>
        <v>59076.809588478667</v>
      </c>
      <c r="AGT26" s="50">
        <f t="shared" ca="1" si="984"/>
        <v>59562.897440895598</v>
      </c>
      <c r="AGU26" s="50">
        <f t="shared" ca="1" si="985"/>
        <v>62106.107908508122</v>
      </c>
      <c r="AGV26" s="50">
        <f t="shared" ca="1" si="986"/>
        <v>61430.285498902442</v>
      </c>
      <c r="AGW26" s="50">
        <f t="shared" ca="1" si="987"/>
        <v>51609.105953333928</v>
      </c>
      <c r="AGX26" s="50">
        <f t="shared" ca="1" si="988"/>
        <v>55966.57643577108</v>
      </c>
      <c r="AGY26" s="50">
        <f t="shared" ca="1" si="989"/>
        <v>64329.326727643907</v>
      </c>
      <c r="AGZ26" s="50">
        <f t="shared" ca="1" si="990"/>
        <v>55187.296213306428</v>
      </c>
      <c r="AHA26" s="50">
        <f t="shared" ca="1" si="991"/>
        <v>62490.862303005488</v>
      </c>
      <c r="AHB26" s="50">
        <f t="shared" ca="1" si="992"/>
        <v>52133.021168633466</v>
      </c>
      <c r="AHC26" s="50">
        <f t="shared" ca="1" si="993"/>
        <v>60748.962208278695</v>
      </c>
      <c r="AHD26" s="50">
        <f t="shared" ca="1" si="994"/>
        <v>46940.355480016995</v>
      </c>
      <c r="AHE26" s="50">
        <f t="shared" ca="1" si="995"/>
        <v>65641.968738899042</v>
      </c>
      <c r="AHF26" s="50">
        <f t="shared" ca="1" si="996"/>
        <v>62137.179747008857</v>
      </c>
      <c r="AHG26" s="50">
        <f t="shared" ca="1" si="997"/>
        <v>54241.282211490834</v>
      </c>
      <c r="AHH26" s="50">
        <f t="shared" ca="1" si="998"/>
        <v>62845.856463998789</v>
      </c>
      <c r="AHI26" s="50">
        <f t="shared" ca="1" si="999"/>
        <v>54631.824522711693</v>
      </c>
      <c r="AHJ26" s="50">
        <f t="shared" ca="1" si="1000"/>
        <v>75603.127239504887</v>
      </c>
      <c r="AHK26" s="50">
        <f t="shared" ca="1" si="1001"/>
        <v>56501.094042950375</v>
      </c>
      <c r="AHL26" s="50">
        <f t="shared" ca="1" si="1002"/>
        <v>53634.961696557621</v>
      </c>
      <c r="AHM26" s="50">
        <f t="shared" ca="1" si="1003"/>
        <v>65937.439002856641</v>
      </c>
      <c r="AHN26" s="50">
        <f t="shared" ca="1" si="1004"/>
        <v>65825.80373108208</v>
      </c>
      <c r="AHO26" s="50">
        <f t="shared" ca="1" si="1005"/>
        <v>57300.587511028418</v>
      </c>
      <c r="AHP26" s="50">
        <f t="shared" ca="1" si="1006"/>
        <v>50480.068626284781</v>
      </c>
      <c r="AHQ26" s="50">
        <f t="shared" ca="1" si="1007"/>
        <v>56662.871956287177</v>
      </c>
      <c r="AHR26" s="50">
        <f t="shared" ca="1" si="1008"/>
        <v>55166.54251002262</v>
      </c>
      <c r="AHS26" s="50">
        <f t="shared" ca="1" si="1009"/>
        <v>50428.613602808706</v>
      </c>
      <c r="AHT26" s="50">
        <f t="shared" ca="1" si="1010"/>
        <v>61445.84293792698</v>
      </c>
      <c r="AHU26" s="50">
        <f t="shared" ca="1" si="1011"/>
        <v>50790.972918464257</v>
      </c>
      <c r="AHV26" s="50">
        <f t="shared" ca="1" si="1012"/>
        <v>54525.495113899415</v>
      </c>
      <c r="AHW26" s="50">
        <f t="shared" ca="1" si="1013"/>
        <v>53671.177103992159</v>
      </c>
      <c r="AHX26" s="50">
        <f t="shared" ca="1" si="1014"/>
        <v>62411.912112412225</v>
      </c>
      <c r="AHY26" s="50">
        <f t="shared" ca="1" si="1015"/>
        <v>71809.067863823497</v>
      </c>
      <c r="AHZ26" s="50">
        <f t="shared" ca="1" si="1016"/>
        <v>61737.91760869453</v>
      </c>
      <c r="AIA26" s="50">
        <f t="shared" ca="1" si="1017"/>
        <v>53576.522747667965</v>
      </c>
      <c r="AIB26" s="50">
        <f t="shared" ca="1" si="1018"/>
        <v>50881.417149181245</v>
      </c>
      <c r="AIC26" s="50">
        <f t="shared" ca="1" si="1019"/>
        <v>59568.279318988316</v>
      </c>
      <c r="AID26" s="50">
        <f t="shared" ca="1" si="1020"/>
        <v>65256.495378689535</v>
      </c>
      <c r="AIE26" s="50">
        <f t="shared" ca="1" si="1021"/>
        <v>58129.576137029726</v>
      </c>
      <c r="AIF26" s="50">
        <f t="shared" ca="1" si="1022"/>
        <v>58949.807219663286</v>
      </c>
      <c r="AIG26" s="50">
        <f t="shared" ca="1" si="1023"/>
        <v>63045.891498178935</v>
      </c>
      <c r="AIH26" s="50">
        <f t="shared" ca="1" si="1024"/>
        <v>61166.568714793226</v>
      </c>
      <c r="AII26" s="50">
        <f t="shared" ca="1" si="1025"/>
        <v>58942.300764262662</v>
      </c>
      <c r="AIJ26" s="50">
        <f t="shared" ca="1" si="1026"/>
        <v>59227.144833323124</v>
      </c>
      <c r="AIK26" s="50">
        <f t="shared" ca="1" si="1027"/>
        <v>67524.797352212103</v>
      </c>
      <c r="AIL26" s="50">
        <f t="shared" ca="1" si="1028"/>
        <v>59919.090451072858</v>
      </c>
      <c r="AIM26" s="50">
        <f t="shared" ca="1" si="1029"/>
        <v>54099.643399903092</v>
      </c>
      <c r="AIN26" s="50">
        <f t="shared" ca="1" si="1030"/>
        <v>66365.756310887286</v>
      </c>
      <c r="AIO26" s="50">
        <f t="shared" ca="1" si="1031"/>
        <v>57180.190001434421</v>
      </c>
      <c r="AIP26" s="50">
        <f t="shared" ca="1" si="1032"/>
        <v>71853.261961884084</v>
      </c>
      <c r="AIQ26" s="50">
        <f t="shared" ca="1" si="1033"/>
        <v>50042.632774436708</v>
      </c>
      <c r="AIR26" s="50">
        <f t="shared" ca="1" si="1034"/>
        <v>52598.705215503338</v>
      </c>
      <c r="AIS26" s="50">
        <f t="shared" ca="1" si="1035"/>
        <v>53440.099165946507</v>
      </c>
      <c r="AIT26" s="50">
        <f t="shared" ca="1" si="1036"/>
        <v>41681.681752810378</v>
      </c>
      <c r="AIU26" s="50">
        <f t="shared" ca="1" si="1037"/>
        <v>55614.306522678373</v>
      </c>
      <c r="AIV26" s="50">
        <f t="shared" ca="1" si="1038"/>
        <v>53860.067725105786</v>
      </c>
      <c r="AIW26" s="50">
        <f t="shared" ca="1" si="1039"/>
        <v>61225.118086876922</v>
      </c>
      <c r="AIX26" s="50">
        <f t="shared" ca="1" si="1040"/>
        <v>66431.064149583544</v>
      </c>
      <c r="AIY26" s="50">
        <f t="shared" ca="1" si="1041"/>
        <v>48126.012852866668</v>
      </c>
      <c r="AIZ26" s="50">
        <f t="shared" ca="1" si="1042"/>
        <v>72731.734265947045</v>
      </c>
      <c r="AJA26" s="50">
        <f t="shared" ca="1" si="1043"/>
        <v>57992.670162268594</v>
      </c>
      <c r="AJB26" s="50">
        <f t="shared" ca="1" si="1044"/>
        <v>69700.873933021896</v>
      </c>
      <c r="AJC26" s="50">
        <f t="shared" ca="1" si="1045"/>
        <v>59346.197241651607</v>
      </c>
      <c r="AJD26" s="50">
        <f t="shared" ca="1" si="1046"/>
        <v>57891.8420622376</v>
      </c>
      <c r="AJE26" s="50">
        <f t="shared" ca="1" si="1047"/>
        <v>57328.126128193726</v>
      </c>
      <c r="AJF26" s="50">
        <f t="shared" ca="1" si="1048"/>
        <v>66684.360000090892</v>
      </c>
      <c r="AJG26" s="50">
        <f t="shared" ca="1" si="1049"/>
        <v>60318.716153581569</v>
      </c>
      <c r="AJH26" s="50">
        <f t="shared" ca="1" si="1050"/>
        <v>64081.334180403806</v>
      </c>
      <c r="AJI26" s="50">
        <f t="shared" ca="1" si="1051"/>
        <v>52127.759713960178</v>
      </c>
      <c r="AJJ26" s="50">
        <f t="shared" ca="1" si="1052"/>
        <v>64257.1706230032</v>
      </c>
      <c r="AJK26" s="50">
        <f t="shared" ca="1" si="1053"/>
        <v>54778.335555132959</v>
      </c>
      <c r="AJL26" s="50">
        <f t="shared" ca="1" si="1054"/>
        <v>62409.843315937746</v>
      </c>
      <c r="AJM26" s="50">
        <f t="shared" ca="1" si="1055"/>
        <v>56829.196224244217</v>
      </c>
      <c r="AJN26" s="50">
        <f t="shared" ca="1" si="1056"/>
        <v>68968.937531223899</v>
      </c>
      <c r="AJO26" s="50">
        <f t="shared" ca="1" si="1057"/>
        <v>50706.835783141527</v>
      </c>
      <c r="AJP26" s="50">
        <f t="shared" ca="1" si="1058"/>
        <v>61693.080224371486</v>
      </c>
      <c r="AJQ26" s="50">
        <f t="shared" ca="1" si="1059"/>
        <v>59363.20294000279</v>
      </c>
      <c r="AJR26" s="50">
        <f t="shared" ca="1" si="1060"/>
        <v>58741.259645374252</v>
      </c>
      <c r="AJS26" s="50">
        <f t="shared" ca="1" si="1061"/>
        <v>52172.224958321691</v>
      </c>
      <c r="AJT26" s="50">
        <f t="shared" ca="1" si="1062"/>
        <v>49026.407590149771</v>
      </c>
      <c r="AJU26" s="50">
        <f t="shared" ca="1" si="1063"/>
        <v>58942.235448526932</v>
      </c>
      <c r="AJV26" s="50">
        <f t="shared" ca="1" si="1064"/>
        <v>61042.555801535564</v>
      </c>
      <c r="AJW26" s="50">
        <f t="shared" ca="1" si="1065"/>
        <v>50287.753268893342</v>
      </c>
      <c r="AJX26" s="50">
        <f t="shared" ca="1" si="1066"/>
        <v>52815.774487633491</v>
      </c>
      <c r="AJY26" s="50">
        <f t="shared" ca="1" si="1067"/>
        <v>63176.027032716789</v>
      </c>
      <c r="AJZ26" s="50">
        <f t="shared" ca="1" si="1068"/>
        <v>66894.761487651354</v>
      </c>
      <c r="AKA26" s="50">
        <f t="shared" ca="1" si="1069"/>
        <v>64757.082150508046</v>
      </c>
      <c r="AKB26" s="50">
        <f t="shared" ca="1" si="1070"/>
        <v>53801.943129241445</v>
      </c>
      <c r="AKC26" s="50">
        <f t="shared" ca="1" si="1071"/>
        <v>58519.097439283614</v>
      </c>
      <c r="AKD26" s="50">
        <f t="shared" ca="1" si="1072"/>
        <v>58135.635577744179</v>
      </c>
      <c r="AKE26" s="50">
        <f t="shared" ca="1" si="1073"/>
        <v>55989.431697871383</v>
      </c>
      <c r="AKF26" s="50">
        <f t="shared" ca="1" si="1074"/>
        <v>55794.532522932896</v>
      </c>
      <c r="AKG26" s="50">
        <f t="shared" ca="1" si="1075"/>
        <v>55464.323367405756</v>
      </c>
      <c r="AKH26" s="50">
        <f t="shared" ca="1" si="1076"/>
        <v>59270.375722089826</v>
      </c>
      <c r="AKI26" s="50">
        <f t="shared" ca="1" si="1077"/>
        <v>63448.08290434206</v>
      </c>
      <c r="AKJ26" s="50">
        <f t="shared" ca="1" si="1078"/>
        <v>60105.071725071561</v>
      </c>
      <c r="AKK26" s="50">
        <f t="shared" ca="1" si="1079"/>
        <v>51556.65040047036</v>
      </c>
      <c r="AKL26" s="50">
        <f t="shared" ca="1" si="1080"/>
        <v>58217.116570038306</v>
      </c>
      <c r="AKM26" s="50">
        <f t="shared" ca="1" si="1081"/>
        <v>52496.312517307742</v>
      </c>
      <c r="AKN26" s="50">
        <f t="shared" ca="1" si="1082"/>
        <v>61159.473065137936</v>
      </c>
      <c r="AKO26" s="50">
        <f t="shared" ca="1" si="1083"/>
        <v>57513.565005579519</v>
      </c>
      <c r="AKP26" s="50">
        <f t="shared" ca="1" si="1084"/>
        <v>59384.922348777414</v>
      </c>
      <c r="AKQ26" s="50">
        <f t="shared" ca="1" si="1085"/>
        <v>48240.79086151153</v>
      </c>
      <c r="AKR26" s="50">
        <f t="shared" ca="1" si="1086"/>
        <v>46702.222617422092</v>
      </c>
      <c r="AKS26" s="50">
        <f t="shared" ca="1" si="1087"/>
        <v>54653.53593763848</v>
      </c>
      <c r="AKT26" s="50">
        <f t="shared" ca="1" si="1088"/>
        <v>53901.918768014359</v>
      </c>
      <c r="AKU26" s="50">
        <f t="shared" ca="1" si="1089"/>
        <v>53734.2997861923</v>
      </c>
      <c r="AKV26" s="50">
        <f t="shared" ca="1" si="1090"/>
        <v>54596.555654420546</v>
      </c>
      <c r="AKW26" s="50">
        <f t="shared" ca="1" si="1091"/>
        <v>65967.250082711675</v>
      </c>
      <c r="AKX26" s="50">
        <f t="shared" ca="1" si="1092"/>
        <v>67262.430190621439</v>
      </c>
      <c r="AKY26" s="50">
        <f t="shared" ca="1" si="1093"/>
        <v>54200.856021403109</v>
      </c>
      <c r="AKZ26" s="50">
        <f t="shared" ca="1" si="1094"/>
        <v>55319.742877494951</v>
      </c>
      <c r="ALA26" s="50">
        <f t="shared" ca="1" si="1095"/>
        <v>55353.785502823594</v>
      </c>
      <c r="ALB26" s="50">
        <f t="shared" ca="1" si="1096"/>
        <v>64394.499305911653</v>
      </c>
      <c r="ALC26" s="50">
        <f t="shared" ca="1" si="1097"/>
        <v>53786.396971835842</v>
      </c>
      <c r="ALD26" s="50">
        <f t="shared" ca="1" si="1098"/>
        <v>59854.195188876271</v>
      </c>
      <c r="ALE26" s="50">
        <f t="shared" ca="1" si="1099"/>
        <v>57289.523587748648</v>
      </c>
      <c r="ALF26" s="50">
        <f t="shared" ca="1" si="1100"/>
        <v>55908.168904213082</v>
      </c>
      <c r="ALG26" s="50">
        <f t="shared" ca="1" si="1101"/>
        <v>49449.776566963686</v>
      </c>
      <c r="ALH26" s="50">
        <f t="shared" ca="1" si="1102"/>
        <v>52856.511097004222</v>
      </c>
      <c r="ALI26" s="50">
        <f t="shared" ca="1" si="1103"/>
        <v>53232.849364801892</v>
      </c>
      <c r="ALJ26" s="50">
        <f t="shared" ca="1" si="1104"/>
        <v>62723.549944720769</v>
      </c>
      <c r="ALK26" s="50">
        <f t="shared" ca="1" si="1105"/>
        <v>65797.057993819588</v>
      </c>
      <c r="ALL26" s="50">
        <f t="shared" ca="1" si="1106"/>
        <v>60095.063258213406</v>
      </c>
      <c r="ALM26" s="50">
        <f t="shared" ca="1" si="1107"/>
        <v>52396.204823631699</v>
      </c>
      <c r="ALN26" s="50">
        <f t="shared" ca="1" si="1108"/>
        <v>60826.860620015264</v>
      </c>
      <c r="ALO26" s="50">
        <f t="shared" ca="1" si="1109"/>
        <v>70406.583697890674</v>
      </c>
      <c r="ALP26" s="50">
        <f t="shared" ca="1" si="1110"/>
        <v>48413.395394939311</v>
      </c>
      <c r="ALQ26" s="50">
        <f t="shared" ca="1" si="1111"/>
        <v>52056.157811150711</v>
      </c>
      <c r="ALR26" s="50">
        <f t="shared" ca="1" si="1112"/>
        <v>58148.030899883597</v>
      </c>
    </row>
    <row r="27" spans="1:1006" s="35" customFormat="1" x14ac:dyDescent="0.2">
      <c r="F27" s="32">
        <f t="shared" si="1114"/>
        <v>8</v>
      </c>
      <c r="G27" s="50">
        <f t="shared" ca="1" si="1115"/>
        <v>55091.477444941236</v>
      </c>
      <c r="H27" s="50">
        <f t="shared" ca="1" si="1113"/>
        <v>49327.256861706708</v>
      </c>
      <c r="I27" s="50">
        <f t="shared" ca="1" si="1113"/>
        <v>57008.156903323863</v>
      </c>
      <c r="J27" s="50">
        <f t="shared" ca="1" si="1113"/>
        <v>58591.199861187175</v>
      </c>
      <c r="K27" s="50">
        <f t="shared" ca="1" si="1113"/>
        <v>74084.855788059518</v>
      </c>
      <c r="L27" s="50">
        <f t="shared" ca="1" si="118"/>
        <v>68119.702667845937</v>
      </c>
      <c r="M27" s="50">
        <f t="shared" ca="1" si="119"/>
        <v>53563.448993983016</v>
      </c>
      <c r="N27" s="50">
        <f t="shared" ca="1" si="120"/>
        <v>59922.127422165067</v>
      </c>
      <c r="O27" s="50">
        <f t="shared" ca="1" si="121"/>
        <v>55593.120915041145</v>
      </c>
      <c r="P27" s="50">
        <f t="shared" ca="1" si="122"/>
        <v>67162.706028533372</v>
      </c>
      <c r="Q27" s="50">
        <f t="shared" ca="1" si="123"/>
        <v>57038.413826876633</v>
      </c>
      <c r="R27" s="50">
        <f t="shared" ca="1" si="124"/>
        <v>60251.797150071819</v>
      </c>
      <c r="S27" s="50">
        <f t="shared" ca="1" si="125"/>
        <v>72794.675353397892</v>
      </c>
      <c r="T27" s="50">
        <f t="shared" ca="1" si="126"/>
        <v>61030.945877094768</v>
      </c>
      <c r="U27" s="50">
        <f t="shared" ca="1" si="127"/>
        <v>59208.362083650507</v>
      </c>
      <c r="V27" s="50">
        <f t="shared" ca="1" si="128"/>
        <v>63305.620583375159</v>
      </c>
      <c r="W27" s="50">
        <f t="shared" ca="1" si="129"/>
        <v>55523.414595557661</v>
      </c>
      <c r="X27" s="50">
        <f t="shared" ca="1" si="130"/>
        <v>66051.738601117861</v>
      </c>
      <c r="Y27" s="50">
        <f t="shared" ca="1" si="131"/>
        <v>54500.755777953185</v>
      </c>
      <c r="Z27" s="50">
        <f t="shared" ca="1" si="132"/>
        <v>56576.86984718289</v>
      </c>
      <c r="AA27" s="50">
        <f t="shared" ca="1" si="133"/>
        <v>59426.811433915362</v>
      </c>
      <c r="AB27" s="50">
        <f t="shared" ca="1" si="134"/>
        <v>54279.157203223964</v>
      </c>
      <c r="AC27" s="50">
        <f t="shared" ca="1" si="135"/>
        <v>54493.790029812903</v>
      </c>
      <c r="AD27" s="50">
        <f t="shared" ca="1" si="136"/>
        <v>70745.940643767506</v>
      </c>
      <c r="AE27" s="50">
        <f t="shared" ca="1" si="137"/>
        <v>66800.308947589307</v>
      </c>
      <c r="AF27" s="50">
        <f t="shared" ca="1" si="138"/>
        <v>49796.160204967709</v>
      </c>
      <c r="AG27" s="50">
        <f t="shared" ca="1" si="139"/>
        <v>56789.597330776836</v>
      </c>
      <c r="AH27" s="50">
        <f t="shared" ca="1" si="140"/>
        <v>57107.831880843354</v>
      </c>
      <c r="AI27" s="50">
        <f t="shared" ca="1" si="141"/>
        <v>58648.54718330485</v>
      </c>
      <c r="AJ27" s="50">
        <f t="shared" ca="1" si="142"/>
        <v>57780.150515466987</v>
      </c>
      <c r="AK27" s="50">
        <f t="shared" ca="1" si="143"/>
        <v>57594.010255696106</v>
      </c>
      <c r="AL27" s="50">
        <f t="shared" ca="1" si="144"/>
        <v>59550.004907435548</v>
      </c>
      <c r="AM27" s="50">
        <f t="shared" ca="1" si="145"/>
        <v>55962.501431356926</v>
      </c>
      <c r="AN27" s="50">
        <f t="shared" ca="1" si="146"/>
        <v>48444.169779420714</v>
      </c>
      <c r="AO27" s="50">
        <f t="shared" ca="1" si="147"/>
        <v>59499.650983731888</v>
      </c>
      <c r="AP27" s="50">
        <f t="shared" ca="1" si="148"/>
        <v>60465.192608823578</v>
      </c>
      <c r="AQ27" s="50">
        <f t="shared" ca="1" si="149"/>
        <v>50359.648415387019</v>
      </c>
      <c r="AR27" s="50">
        <f t="shared" ca="1" si="150"/>
        <v>64955.117460335103</v>
      </c>
      <c r="AS27" s="50">
        <f t="shared" ca="1" si="151"/>
        <v>58859.629430808411</v>
      </c>
      <c r="AT27" s="50">
        <f t="shared" ca="1" si="152"/>
        <v>53481.755225751658</v>
      </c>
      <c r="AU27" s="50">
        <f t="shared" ca="1" si="153"/>
        <v>67236.19785771177</v>
      </c>
      <c r="AV27" s="50">
        <f t="shared" ca="1" si="154"/>
        <v>64604.365526222566</v>
      </c>
      <c r="AW27" s="50">
        <f t="shared" ca="1" si="155"/>
        <v>45246.639630569589</v>
      </c>
      <c r="AX27" s="50">
        <f t="shared" ca="1" si="156"/>
        <v>65297.287787229441</v>
      </c>
      <c r="AY27" s="50">
        <f t="shared" ca="1" si="157"/>
        <v>55554.64487076411</v>
      </c>
      <c r="AZ27" s="50">
        <f t="shared" ca="1" si="158"/>
        <v>57475.507379573537</v>
      </c>
      <c r="BA27" s="50">
        <f t="shared" ca="1" si="159"/>
        <v>60461.686829410923</v>
      </c>
      <c r="BB27" s="50">
        <f t="shared" ca="1" si="160"/>
        <v>69567.306715842846</v>
      </c>
      <c r="BC27" s="50">
        <f t="shared" ca="1" si="161"/>
        <v>54393.788183122299</v>
      </c>
      <c r="BD27" s="50">
        <f t="shared" ca="1" si="162"/>
        <v>54287.292984335487</v>
      </c>
      <c r="BE27" s="50">
        <f t="shared" ca="1" si="163"/>
        <v>55309.887268786224</v>
      </c>
      <c r="BF27" s="50">
        <f t="shared" ca="1" si="164"/>
        <v>57229.378329402673</v>
      </c>
      <c r="BG27" s="50">
        <f t="shared" ca="1" si="165"/>
        <v>47966.895778561797</v>
      </c>
      <c r="BH27" s="50">
        <f t="shared" ca="1" si="166"/>
        <v>61356.547350604349</v>
      </c>
      <c r="BI27" s="50">
        <f t="shared" ca="1" si="167"/>
        <v>64150.387490080939</v>
      </c>
      <c r="BJ27" s="50">
        <f t="shared" ca="1" si="168"/>
        <v>57808.018277287956</v>
      </c>
      <c r="BK27" s="50">
        <f t="shared" ca="1" si="169"/>
        <v>53841.705875177169</v>
      </c>
      <c r="BL27" s="50">
        <f t="shared" ca="1" si="170"/>
        <v>67439.647533484924</v>
      </c>
      <c r="BM27" s="50">
        <f t="shared" ca="1" si="171"/>
        <v>63681.10839178192</v>
      </c>
      <c r="BN27" s="50">
        <f t="shared" ca="1" si="172"/>
        <v>60290.675729828843</v>
      </c>
      <c r="BO27" s="50">
        <f t="shared" ca="1" si="173"/>
        <v>56355.169239890602</v>
      </c>
      <c r="BP27" s="50">
        <f t="shared" ca="1" si="174"/>
        <v>64566.216199843424</v>
      </c>
      <c r="BQ27" s="50">
        <f t="shared" ca="1" si="175"/>
        <v>56935.361737255436</v>
      </c>
      <c r="BR27" s="50">
        <f t="shared" ca="1" si="176"/>
        <v>57079.245787104701</v>
      </c>
      <c r="BS27" s="50">
        <f t="shared" ca="1" si="177"/>
        <v>49847.555025033886</v>
      </c>
      <c r="BT27" s="50">
        <f t="shared" ca="1" si="178"/>
        <v>56820.147350245912</v>
      </c>
      <c r="BU27" s="50">
        <f t="shared" ca="1" si="179"/>
        <v>57526.377195343164</v>
      </c>
      <c r="BV27" s="50">
        <f t="shared" ca="1" si="180"/>
        <v>51945.869065670311</v>
      </c>
      <c r="BW27" s="50">
        <f t="shared" ca="1" si="181"/>
        <v>50897.540490114479</v>
      </c>
      <c r="BX27" s="50">
        <f t="shared" ca="1" si="182"/>
        <v>62463.464168223341</v>
      </c>
      <c r="BY27" s="50">
        <f t="shared" ca="1" si="183"/>
        <v>55160.911221228504</v>
      </c>
      <c r="BZ27" s="50">
        <f t="shared" ca="1" si="184"/>
        <v>52461.852876685829</v>
      </c>
      <c r="CA27" s="50">
        <f t="shared" ca="1" si="185"/>
        <v>57082.350955409041</v>
      </c>
      <c r="CB27" s="50">
        <f t="shared" ca="1" si="186"/>
        <v>55190.852861472602</v>
      </c>
      <c r="CC27" s="50">
        <f t="shared" ca="1" si="187"/>
        <v>60627.517727763363</v>
      </c>
      <c r="CD27" s="50">
        <f t="shared" ca="1" si="188"/>
        <v>53949.723765032912</v>
      </c>
      <c r="CE27" s="50">
        <f t="shared" ca="1" si="189"/>
        <v>45060.5015474873</v>
      </c>
      <c r="CF27" s="50">
        <f t="shared" ca="1" si="190"/>
        <v>65031.269602504362</v>
      </c>
      <c r="CG27" s="50">
        <f t="shared" ca="1" si="191"/>
        <v>60110.208791512247</v>
      </c>
      <c r="CH27" s="50">
        <f t="shared" ca="1" si="192"/>
        <v>44716.60398219301</v>
      </c>
      <c r="CI27" s="50">
        <f t="shared" ca="1" si="193"/>
        <v>73741.274184013542</v>
      </c>
      <c r="CJ27" s="50">
        <f t="shared" ca="1" si="194"/>
        <v>56354.682456911803</v>
      </c>
      <c r="CK27" s="50">
        <f t="shared" ca="1" si="195"/>
        <v>59085.244969066931</v>
      </c>
      <c r="CL27" s="50">
        <f t="shared" ca="1" si="196"/>
        <v>67046.800147800182</v>
      </c>
      <c r="CM27" s="50">
        <f t="shared" ca="1" si="197"/>
        <v>63931.425708329603</v>
      </c>
      <c r="CN27" s="50">
        <f t="shared" ca="1" si="198"/>
        <v>59312.080870798018</v>
      </c>
      <c r="CO27" s="50">
        <f t="shared" ca="1" si="199"/>
        <v>59895.255686248434</v>
      </c>
      <c r="CP27" s="50">
        <f t="shared" ca="1" si="200"/>
        <v>52608.795769757264</v>
      </c>
      <c r="CQ27" s="50">
        <f t="shared" ca="1" si="201"/>
        <v>56604.614591218851</v>
      </c>
      <c r="CR27" s="50">
        <f t="shared" ca="1" si="202"/>
        <v>58254.041873804177</v>
      </c>
      <c r="CS27" s="50">
        <f t="shared" ca="1" si="203"/>
        <v>60910.560883549173</v>
      </c>
      <c r="CT27" s="50">
        <f t="shared" ca="1" si="204"/>
        <v>60909.474634198734</v>
      </c>
      <c r="CU27" s="50">
        <f t="shared" ca="1" si="205"/>
        <v>63741.564422570031</v>
      </c>
      <c r="CV27" s="50">
        <f t="shared" ca="1" si="206"/>
        <v>46871.454292018003</v>
      </c>
      <c r="CW27" s="50">
        <f t="shared" ca="1" si="207"/>
        <v>61170.039613839879</v>
      </c>
      <c r="CX27" s="50">
        <f t="shared" ca="1" si="208"/>
        <v>74315.600602533217</v>
      </c>
      <c r="CY27" s="50">
        <f t="shared" ca="1" si="209"/>
        <v>57073.307794717861</v>
      </c>
      <c r="CZ27" s="50">
        <f t="shared" ca="1" si="210"/>
        <v>64423.138219407505</v>
      </c>
      <c r="DA27" s="50">
        <f t="shared" ca="1" si="211"/>
        <v>54746.175380111061</v>
      </c>
      <c r="DB27" s="50">
        <f t="shared" ca="1" si="212"/>
        <v>55814.39913945656</v>
      </c>
      <c r="DC27" s="50">
        <f t="shared" ca="1" si="213"/>
        <v>57857.534413187008</v>
      </c>
      <c r="DD27" s="50">
        <f t="shared" ca="1" si="214"/>
        <v>57051.17484677329</v>
      </c>
      <c r="DE27" s="50">
        <f t="shared" ca="1" si="215"/>
        <v>67380.535346406745</v>
      </c>
      <c r="DF27" s="50">
        <f t="shared" ca="1" si="216"/>
        <v>56723.597568200981</v>
      </c>
      <c r="DG27" s="50">
        <f t="shared" ca="1" si="217"/>
        <v>50601.885440151476</v>
      </c>
      <c r="DH27" s="50">
        <f t="shared" ca="1" si="218"/>
        <v>68626.034429105115</v>
      </c>
      <c r="DI27" s="50">
        <f t="shared" ca="1" si="219"/>
        <v>49460.431391750775</v>
      </c>
      <c r="DJ27" s="50">
        <f t="shared" ca="1" si="220"/>
        <v>62763.721717322078</v>
      </c>
      <c r="DK27" s="50">
        <f t="shared" ca="1" si="221"/>
        <v>50714.804909488543</v>
      </c>
      <c r="DL27" s="50">
        <f t="shared" ca="1" si="222"/>
        <v>62665.090298606214</v>
      </c>
      <c r="DM27" s="50">
        <f t="shared" ca="1" si="223"/>
        <v>59768.220106219764</v>
      </c>
      <c r="DN27" s="50">
        <f t="shared" ca="1" si="224"/>
        <v>59072.762889014848</v>
      </c>
      <c r="DO27" s="50">
        <f t="shared" ca="1" si="225"/>
        <v>68135.87222539309</v>
      </c>
      <c r="DP27" s="50">
        <f t="shared" ca="1" si="226"/>
        <v>66821.944117429666</v>
      </c>
      <c r="DQ27" s="50">
        <f t="shared" ca="1" si="227"/>
        <v>53987.192552599809</v>
      </c>
      <c r="DR27" s="50">
        <f t="shared" ca="1" si="228"/>
        <v>49991.393898307942</v>
      </c>
      <c r="DS27" s="50">
        <f t="shared" ca="1" si="229"/>
        <v>57338.265660747289</v>
      </c>
      <c r="DT27" s="50">
        <f t="shared" ca="1" si="230"/>
        <v>73055.439230020609</v>
      </c>
      <c r="DU27" s="50">
        <f t="shared" ca="1" si="231"/>
        <v>64628.28597794682</v>
      </c>
      <c r="DV27" s="50">
        <f t="shared" ca="1" si="232"/>
        <v>58357.319796402357</v>
      </c>
      <c r="DW27" s="50">
        <f t="shared" ca="1" si="233"/>
        <v>55365.051728812425</v>
      </c>
      <c r="DX27" s="50">
        <f t="shared" ca="1" si="234"/>
        <v>55117.659992716501</v>
      </c>
      <c r="DY27" s="50">
        <f t="shared" ca="1" si="235"/>
        <v>59295.390977829215</v>
      </c>
      <c r="DZ27" s="50">
        <f t="shared" ca="1" si="236"/>
        <v>61484.565005975717</v>
      </c>
      <c r="EA27" s="50">
        <f t="shared" ca="1" si="237"/>
        <v>79895.746912148112</v>
      </c>
      <c r="EB27" s="50">
        <f t="shared" ca="1" si="238"/>
        <v>66770.59524717665</v>
      </c>
      <c r="EC27" s="50">
        <f t="shared" ca="1" si="239"/>
        <v>62183.901425688768</v>
      </c>
      <c r="ED27" s="50">
        <f t="shared" ca="1" si="240"/>
        <v>66424.772187870476</v>
      </c>
      <c r="EE27" s="50">
        <f t="shared" ca="1" si="241"/>
        <v>56295.247885427598</v>
      </c>
      <c r="EF27" s="50">
        <f t="shared" ca="1" si="242"/>
        <v>48134.633244306555</v>
      </c>
      <c r="EG27" s="50">
        <f t="shared" ca="1" si="243"/>
        <v>62341.104100596465</v>
      </c>
      <c r="EH27" s="50">
        <f t="shared" ca="1" si="244"/>
        <v>58377.852031168652</v>
      </c>
      <c r="EI27" s="50">
        <f t="shared" ca="1" si="245"/>
        <v>50693.941163555966</v>
      </c>
      <c r="EJ27" s="50">
        <f t="shared" ca="1" si="246"/>
        <v>60240.822168324412</v>
      </c>
      <c r="EK27" s="50">
        <f t="shared" ca="1" si="247"/>
        <v>53480.812946569975</v>
      </c>
      <c r="EL27" s="50">
        <f t="shared" ca="1" si="248"/>
        <v>65672.878403025024</v>
      </c>
      <c r="EM27" s="50">
        <f t="shared" ca="1" si="249"/>
        <v>62219.803428722946</v>
      </c>
      <c r="EN27" s="50">
        <f t="shared" ca="1" si="250"/>
        <v>68141.219249132584</v>
      </c>
      <c r="EO27" s="50">
        <f t="shared" ca="1" si="251"/>
        <v>59441.927058655012</v>
      </c>
      <c r="EP27" s="50">
        <f t="shared" ca="1" si="252"/>
        <v>54332.913569512784</v>
      </c>
      <c r="EQ27" s="50">
        <f t="shared" ca="1" si="253"/>
        <v>53530.783686292671</v>
      </c>
      <c r="ER27" s="50">
        <f t="shared" ca="1" si="254"/>
        <v>63480.636450821592</v>
      </c>
      <c r="ES27" s="50">
        <f t="shared" ca="1" si="255"/>
        <v>62121.850361628567</v>
      </c>
      <c r="ET27" s="50">
        <f t="shared" ca="1" si="256"/>
        <v>57063.119317523749</v>
      </c>
      <c r="EU27" s="50">
        <f t="shared" ca="1" si="257"/>
        <v>65046.932337499107</v>
      </c>
      <c r="EV27" s="50">
        <f t="shared" ca="1" si="258"/>
        <v>56097.480362754839</v>
      </c>
      <c r="EW27" s="50">
        <f t="shared" ca="1" si="259"/>
        <v>61561.957436318859</v>
      </c>
      <c r="EX27" s="50">
        <f t="shared" ca="1" si="260"/>
        <v>61199.964021354695</v>
      </c>
      <c r="EY27" s="50">
        <f t="shared" ca="1" si="261"/>
        <v>56792.57001816191</v>
      </c>
      <c r="EZ27" s="50">
        <f t="shared" ca="1" si="262"/>
        <v>54030.953367364775</v>
      </c>
      <c r="FA27" s="50">
        <f t="shared" ca="1" si="263"/>
        <v>49674.12969704772</v>
      </c>
      <c r="FB27" s="50">
        <f t="shared" ca="1" si="264"/>
        <v>62124.992048962049</v>
      </c>
      <c r="FC27" s="50">
        <f t="shared" ca="1" si="265"/>
        <v>52629.801585756395</v>
      </c>
      <c r="FD27" s="50">
        <f t="shared" ca="1" si="266"/>
        <v>57323.900270360748</v>
      </c>
      <c r="FE27" s="50">
        <f t="shared" ca="1" si="267"/>
        <v>65803.101335804633</v>
      </c>
      <c r="FF27" s="50">
        <f t="shared" ca="1" si="268"/>
        <v>53537.541182294335</v>
      </c>
      <c r="FG27" s="50">
        <f t="shared" ca="1" si="269"/>
        <v>51756.314768525612</v>
      </c>
      <c r="FH27" s="50">
        <f t="shared" ca="1" si="270"/>
        <v>65532.867509484677</v>
      </c>
      <c r="FI27" s="50">
        <f t="shared" ca="1" si="271"/>
        <v>78163.432585404356</v>
      </c>
      <c r="FJ27" s="50">
        <f t="shared" ca="1" si="272"/>
        <v>51600.957897329507</v>
      </c>
      <c r="FK27" s="50">
        <f t="shared" ca="1" si="273"/>
        <v>59236.214712298752</v>
      </c>
      <c r="FL27" s="50">
        <f t="shared" ca="1" si="274"/>
        <v>60972.816062686295</v>
      </c>
      <c r="FM27" s="50">
        <f t="shared" ca="1" si="275"/>
        <v>61964.992062660916</v>
      </c>
      <c r="FN27" s="50">
        <f t="shared" ca="1" si="276"/>
        <v>55807.452993560648</v>
      </c>
      <c r="FO27" s="50">
        <f t="shared" ca="1" si="277"/>
        <v>65112.971255337397</v>
      </c>
      <c r="FP27" s="50">
        <f t="shared" ca="1" si="278"/>
        <v>57742.706499300453</v>
      </c>
      <c r="FQ27" s="50">
        <f t="shared" ca="1" si="279"/>
        <v>66422.085386226448</v>
      </c>
      <c r="FR27" s="50">
        <f t="shared" ca="1" si="280"/>
        <v>67580.931001885678</v>
      </c>
      <c r="FS27" s="50">
        <f t="shared" ca="1" si="281"/>
        <v>58089.274381062176</v>
      </c>
      <c r="FT27" s="50">
        <f t="shared" ca="1" si="282"/>
        <v>51328.948601419084</v>
      </c>
      <c r="FU27" s="50">
        <f t="shared" ca="1" si="283"/>
        <v>56033.167916215883</v>
      </c>
      <c r="FV27" s="50">
        <f t="shared" ca="1" si="284"/>
        <v>46328.477720715375</v>
      </c>
      <c r="FW27" s="50">
        <f t="shared" ca="1" si="285"/>
        <v>79525.408756670862</v>
      </c>
      <c r="FX27" s="50">
        <f t="shared" ca="1" si="286"/>
        <v>58305.154696331061</v>
      </c>
      <c r="FY27" s="50">
        <f t="shared" ca="1" si="287"/>
        <v>60186.661391267764</v>
      </c>
      <c r="FZ27" s="50">
        <f t="shared" ca="1" si="288"/>
        <v>57887.761658950847</v>
      </c>
      <c r="GA27" s="50">
        <f t="shared" ca="1" si="289"/>
        <v>67338.859887196013</v>
      </c>
      <c r="GB27" s="50">
        <f t="shared" ca="1" si="290"/>
        <v>51350.717428571981</v>
      </c>
      <c r="GC27" s="50">
        <f t="shared" ca="1" si="291"/>
        <v>61806.192069146469</v>
      </c>
      <c r="GD27" s="50">
        <f t="shared" ca="1" si="292"/>
        <v>52247.881371709875</v>
      </c>
      <c r="GE27" s="50">
        <f t="shared" ca="1" si="293"/>
        <v>65667.863696260931</v>
      </c>
      <c r="GF27" s="50">
        <f t="shared" ca="1" si="294"/>
        <v>50196.715973328704</v>
      </c>
      <c r="GG27" s="50">
        <f t="shared" ca="1" si="295"/>
        <v>55651.397342634933</v>
      </c>
      <c r="GH27" s="50">
        <f t="shared" ca="1" si="296"/>
        <v>54190.353297181551</v>
      </c>
      <c r="GI27" s="50">
        <f t="shared" ca="1" si="297"/>
        <v>52097.649745903705</v>
      </c>
      <c r="GJ27" s="50">
        <f t="shared" ca="1" si="298"/>
        <v>62922.178133954752</v>
      </c>
      <c r="GK27" s="50">
        <f t="shared" ca="1" si="299"/>
        <v>55235.878017116607</v>
      </c>
      <c r="GL27" s="50">
        <f t="shared" ca="1" si="300"/>
        <v>54801.729328790585</v>
      </c>
      <c r="GM27" s="50">
        <f t="shared" ca="1" si="301"/>
        <v>40773.837074933865</v>
      </c>
      <c r="GN27" s="50">
        <f t="shared" ca="1" si="302"/>
        <v>57890.885701329738</v>
      </c>
      <c r="GO27" s="50">
        <f t="shared" ca="1" si="303"/>
        <v>72729.508161937338</v>
      </c>
      <c r="GP27" s="50">
        <f t="shared" ca="1" si="304"/>
        <v>67946.56429438651</v>
      </c>
      <c r="GQ27" s="50">
        <f t="shared" ca="1" si="305"/>
        <v>69351.420531403652</v>
      </c>
      <c r="GR27" s="50">
        <f t="shared" ca="1" si="306"/>
        <v>66122.049097966767</v>
      </c>
      <c r="GS27" s="50">
        <f t="shared" ca="1" si="307"/>
        <v>62110.534206604185</v>
      </c>
      <c r="GT27" s="50">
        <f t="shared" ca="1" si="308"/>
        <v>48837.349449196954</v>
      </c>
      <c r="GU27" s="50">
        <f t="shared" ca="1" si="309"/>
        <v>56357.55986717996</v>
      </c>
      <c r="GV27" s="50">
        <f t="shared" ca="1" si="310"/>
        <v>67812.05474119664</v>
      </c>
      <c r="GW27" s="50">
        <f t="shared" ca="1" si="311"/>
        <v>62080.560251937408</v>
      </c>
      <c r="GX27" s="50">
        <f t="shared" ca="1" si="312"/>
        <v>59201.449772796339</v>
      </c>
      <c r="GY27" s="50">
        <f t="shared" ca="1" si="313"/>
        <v>72247.759746265205</v>
      </c>
      <c r="GZ27" s="50">
        <f t="shared" ca="1" si="314"/>
        <v>59805.35311742776</v>
      </c>
      <c r="HA27" s="50">
        <f t="shared" ca="1" si="315"/>
        <v>53018.404614892359</v>
      </c>
      <c r="HB27" s="50">
        <f t="shared" ca="1" si="316"/>
        <v>49376.279670204975</v>
      </c>
      <c r="HC27" s="50">
        <f t="shared" ca="1" si="317"/>
        <v>67157.250314083547</v>
      </c>
      <c r="HD27" s="50">
        <f t="shared" ca="1" si="318"/>
        <v>44796.825550933456</v>
      </c>
      <c r="HE27" s="50">
        <f t="shared" ca="1" si="319"/>
        <v>53248.710421901167</v>
      </c>
      <c r="HF27" s="50">
        <f t="shared" ca="1" si="320"/>
        <v>56786.320888168862</v>
      </c>
      <c r="HG27" s="50">
        <f t="shared" ca="1" si="321"/>
        <v>57176.721512931545</v>
      </c>
      <c r="HH27" s="50">
        <f t="shared" ca="1" si="322"/>
        <v>63655.932774121771</v>
      </c>
      <c r="HI27" s="50">
        <f t="shared" ca="1" si="323"/>
        <v>59037.842407119824</v>
      </c>
      <c r="HJ27" s="50">
        <f t="shared" ca="1" si="324"/>
        <v>56465.958707841986</v>
      </c>
      <c r="HK27" s="50">
        <f t="shared" ca="1" si="325"/>
        <v>60355.360464408899</v>
      </c>
      <c r="HL27" s="50">
        <f t="shared" ca="1" si="326"/>
        <v>57583.802195137512</v>
      </c>
      <c r="HM27" s="50">
        <f t="shared" ca="1" si="327"/>
        <v>62021.226202080288</v>
      </c>
      <c r="HN27" s="50">
        <f t="shared" ca="1" si="328"/>
        <v>56305.107511802424</v>
      </c>
      <c r="HO27" s="50">
        <f t="shared" ca="1" si="329"/>
        <v>67813.007790168311</v>
      </c>
      <c r="HP27" s="50">
        <f t="shared" ca="1" si="330"/>
        <v>65560.65712377298</v>
      </c>
      <c r="HQ27" s="50">
        <f t="shared" ca="1" si="331"/>
        <v>58488.17166937724</v>
      </c>
      <c r="HR27" s="50">
        <f t="shared" ca="1" si="332"/>
        <v>65818.941470053425</v>
      </c>
      <c r="HS27" s="50">
        <f t="shared" ca="1" si="333"/>
        <v>66121.159573478828</v>
      </c>
      <c r="HT27" s="50">
        <f t="shared" ca="1" si="334"/>
        <v>50765.847113741314</v>
      </c>
      <c r="HU27" s="50">
        <f t="shared" ca="1" si="335"/>
        <v>58450.119123567005</v>
      </c>
      <c r="HV27" s="50">
        <f t="shared" ca="1" si="336"/>
        <v>55191.587759380156</v>
      </c>
      <c r="HW27" s="50">
        <f t="shared" ca="1" si="337"/>
        <v>50716.377533044535</v>
      </c>
      <c r="HX27" s="50">
        <f t="shared" ca="1" si="338"/>
        <v>70440.322964371619</v>
      </c>
      <c r="HY27" s="50">
        <f t="shared" ca="1" si="339"/>
        <v>47413.517972704554</v>
      </c>
      <c r="HZ27" s="50">
        <f t="shared" ca="1" si="340"/>
        <v>70645.688201335928</v>
      </c>
      <c r="IA27" s="50">
        <f t="shared" ca="1" si="341"/>
        <v>57316.471925973892</v>
      </c>
      <c r="IB27" s="50">
        <f t="shared" ca="1" si="342"/>
        <v>50090.925326359917</v>
      </c>
      <c r="IC27" s="50">
        <f t="shared" ca="1" si="343"/>
        <v>73221.887460677215</v>
      </c>
      <c r="ID27" s="50">
        <f t="shared" ca="1" si="344"/>
        <v>62183.965621314455</v>
      </c>
      <c r="IE27" s="50">
        <f t="shared" ca="1" si="345"/>
        <v>58204.007987604469</v>
      </c>
      <c r="IF27" s="50">
        <f t="shared" ca="1" si="346"/>
        <v>52433.887594130785</v>
      </c>
      <c r="IG27" s="50">
        <f t="shared" ca="1" si="347"/>
        <v>61516.996572126191</v>
      </c>
      <c r="IH27" s="50">
        <f t="shared" ca="1" si="348"/>
        <v>62511.288324201269</v>
      </c>
      <c r="II27" s="50">
        <f t="shared" ca="1" si="349"/>
        <v>59077.033099150656</v>
      </c>
      <c r="IJ27" s="50">
        <f t="shared" ca="1" si="350"/>
        <v>57814.187629139888</v>
      </c>
      <c r="IK27" s="50">
        <f t="shared" ca="1" si="351"/>
        <v>56693.741279645255</v>
      </c>
      <c r="IL27" s="50">
        <f t="shared" ca="1" si="352"/>
        <v>60099.961947839758</v>
      </c>
      <c r="IM27" s="50">
        <f t="shared" ca="1" si="353"/>
        <v>54926.818827192663</v>
      </c>
      <c r="IN27" s="50">
        <f t="shared" ca="1" si="354"/>
        <v>64044.35731330944</v>
      </c>
      <c r="IO27" s="50">
        <f t="shared" ca="1" si="355"/>
        <v>53156.001392890081</v>
      </c>
      <c r="IP27" s="50">
        <f t="shared" ca="1" si="356"/>
        <v>53927.104312135009</v>
      </c>
      <c r="IQ27" s="50">
        <f t="shared" ca="1" si="357"/>
        <v>57049.789185846377</v>
      </c>
      <c r="IR27" s="50">
        <f t="shared" ca="1" si="358"/>
        <v>54045.102390530461</v>
      </c>
      <c r="IS27" s="50">
        <f t="shared" ca="1" si="359"/>
        <v>67466.726536032002</v>
      </c>
      <c r="IT27" s="50">
        <f t="shared" ca="1" si="360"/>
        <v>54341.555216134802</v>
      </c>
      <c r="IU27" s="50">
        <f t="shared" ca="1" si="361"/>
        <v>65382.301506505581</v>
      </c>
      <c r="IV27" s="50">
        <f t="shared" ca="1" si="362"/>
        <v>60720.215349689286</v>
      </c>
      <c r="IW27" s="50">
        <f t="shared" ca="1" si="363"/>
        <v>46989.600939265118</v>
      </c>
      <c r="IX27" s="50">
        <f t="shared" ca="1" si="364"/>
        <v>64269.030215048813</v>
      </c>
      <c r="IY27" s="50">
        <f t="shared" ca="1" si="365"/>
        <v>54451.282648158674</v>
      </c>
      <c r="IZ27" s="50">
        <f t="shared" ca="1" si="366"/>
        <v>66972.663063535801</v>
      </c>
      <c r="JA27" s="50">
        <f t="shared" ca="1" si="367"/>
        <v>55083.738146772172</v>
      </c>
      <c r="JB27" s="50">
        <f t="shared" ca="1" si="368"/>
        <v>69998.882860724349</v>
      </c>
      <c r="JC27" s="50">
        <f t="shared" ca="1" si="369"/>
        <v>62065.522385418495</v>
      </c>
      <c r="JD27" s="50">
        <f t="shared" ca="1" si="370"/>
        <v>55216.706299697427</v>
      </c>
      <c r="JE27" s="50">
        <f t="shared" ca="1" si="371"/>
        <v>62565.1442671064</v>
      </c>
      <c r="JF27" s="50">
        <f t="shared" ca="1" si="372"/>
        <v>70376.787484246437</v>
      </c>
      <c r="JG27" s="50">
        <f t="shared" ca="1" si="373"/>
        <v>62651.369686568112</v>
      </c>
      <c r="JH27" s="50">
        <f t="shared" ca="1" si="374"/>
        <v>59207.873351443886</v>
      </c>
      <c r="JI27" s="50">
        <f t="shared" ca="1" si="375"/>
        <v>64235.256399591985</v>
      </c>
      <c r="JJ27" s="50">
        <f t="shared" ca="1" si="376"/>
        <v>55356.360263788381</v>
      </c>
      <c r="JK27" s="50">
        <f t="shared" ca="1" si="377"/>
        <v>54930.174447810175</v>
      </c>
      <c r="JL27" s="50">
        <f t="shared" ca="1" si="378"/>
        <v>62209.78385867842</v>
      </c>
      <c r="JM27" s="50">
        <f t="shared" ca="1" si="379"/>
        <v>50274.889598052323</v>
      </c>
      <c r="JN27" s="50">
        <f t="shared" ca="1" si="380"/>
        <v>60021.749898185692</v>
      </c>
      <c r="JO27" s="50">
        <f t="shared" ca="1" si="381"/>
        <v>58767.562668927916</v>
      </c>
      <c r="JP27" s="50">
        <f t="shared" ca="1" si="382"/>
        <v>52610.306226676046</v>
      </c>
      <c r="JQ27" s="50">
        <f t="shared" ca="1" si="383"/>
        <v>59133.696087834018</v>
      </c>
      <c r="JR27" s="50">
        <f t="shared" ca="1" si="384"/>
        <v>68026.879987638124</v>
      </c>
      <c r="JS27" s="50">
        <f t="shared" ca="1" si="385"/>
        <v>58757.555857226333</v>
      </c>
      <c r="JT27" s="50">
        <f t="shared" ca="1" si="386"/>
        <v>65537.402977462742</v>
      </c>
      <c r="JU27" s="50">
        <f t="shared" ca="1" si="387"/>
        <v>56539.726270550345</v>
      </c>
      <c r="JV27" s="50">
        <f t="shared" ca="1" si="388"/>
        <v>51165.023441507183</v>
      </c>
      <c r="JW27" s="50">
        <f t="shared" ca="1" si="389"/>
        <v>66057.990517485377</v>
      </c>
      <c r="JX27" s="50">
        <f t="shared" ca="1" si="390"/>
        <v>59010.143148389478</v>
      </c>
      <c r="JY27" s="50">
        <f t="shared" ca="1" si="391"/>
        <v>69210.157320417289</v>
      </c>
      <c r="JZ27" s="50">
        <f t="shared" ca="1" si="392"/>
        <v>51490.576840928778</v>
      </c>
      <c r="KA27" s="50">
        <f t="shared" ca="1" si="393"/>
        <v>65290.246825010661</v>
      </c>
      <c r="KB27" s="50">
        <f t="shared" ca="1" si="394"/>
        <v>56482.34938957468</v>
      </c>
      <c r="KC27" s="50">
        <f t="shared" ca="1" si="395"/>
        <v>62789.457597575194</v>
      </c>
      <c r="KD27" s="50">
        <f t="shared" ca="1" si="396"/>
        <v>56357.892941900107</v>
      </c>
      <c r="KE27" s="50">
        <f t="shared" ca="1" si="397"/>
        <v>55963.649758675529</v>
      </c>
      <c r="KF27" s="50">
        <f t="shared" ca="1" si="398"/>
        <v>58395.98155426079</v>
      </c>
      <c r="KG27" s="50">
        <f t="shared" ca="1" si="399"/>
        <v>61982.521943458865</v>
      </c>
      <c r="KH27" s="50">
        <f t="shared" ca="1" si="400"/>
        <v>70450.203659520121</v>
      </c>
      <c r="KI27" s="50">
        <f t="shared" ca="1" si="401"/>
        <v>59206.063644701171</v>
      </c>
      <c r="KJ27" s="50">
        <f t="shared" ca="1" si="402"/>
        <v>59034.072971654765</v>
      </c>
      <c r="KK27" s="50">
        <f t="shared" ca="1" si="403"/>
        <v>61326.033499018886</v>
      </c>
      <c r="KL27" s="50">
        <f t="shared" ca="1" si="404"/>
        <v>58518.92913246026</v>
      </c>
      <c r="KM27" s="50">
        <f t="shared" ca="1" si="405"/>
        <v>64896.679372148719</v>
      </c>
      <c r="KN27" s="50">
        <f t="shared" ca="1" si="406"/>
        <v>51903.694357405198</v>
      </c>
      <c r="KO27" s="50">
        <f t="shared" ca="1" si="407"/>
        <v>52411.098495420447</v>
      </c>
      <c r="KP27" s="50">
        <f t="shared" ca="1" si="408"/>
        <v>53091.336568822167</v>
      </c>
      <c r="KQ27" s="50">
        <f t="shared" ca="1" si="409"/>
        <v>63766.218746772385</v>
      </c>
      <c r="KR27" s="50">
        <f t="shared" ca="1" si="410"/>
        <v>57951.282377494863</v>
      </c>
      <c r="KS27" s="50">
        <f t="shared" ca="1" si="411"/>
        <v>61593.352005301691</v>
      </c>
      <c r="KT27" s="50">
        <f t="shared" ca="1" si="412"/>
        <v>59644.426948939472</v>
      </c>
      <c r="KU27" s="50">
        <f t="shared" ca="1" si="413"/>
        <v>69063.44631597439</v>
      </c>
      <c r="KV27" s="50">
        <f t="shared" ca="1" si="414"/>
        <v>57707.344173758276</v>
      </c>
      <c r="KW27" s="50">
        <f t="shared" ca="1" si="415"/>
        <v>56824.456286449305</v>
      </c>
      <c r="KX27" s="50">
        <f t="shared" ca="1" si="416"/>
        <v>62461.051500306901</v>
      </c>
      <c r="KY27" s="50">
        <f t="shared" ca="1" si="417"/>
        <v>60464.864029404205</v>
      </c>
      <c r="KZ27" s="50">
        <f t="shared" ca="1" si="418"/>
        <v>61619.960471236154</v>
      </c>
      <c r="LA27" s="50">
        <f t="shared" ca="1" si="419"/>
        <v>50485.476321678892</v>
      </c>
      <c r="LB27" s="50">
        <f t="shared" ca="1" si="420"/>
        <v>62646.252830284669</v>
      </c>
      <c r="LC27" s="50">
        <f t="shared" ca="1" si="421"/>
        <v>61645.096436351763</v>
      </c>
      <c r="LD27" s="50">
        <f t="shared" ca="1" si="422"/>
        <v>55476.218145905375</v>
      </c>
      <c r="LE27" s="50">
        <f t="shared" ca="1" si="423"/>
        <v>78574.47784888139</v>
      </c>
      <c r="LF27" s="50">
        <f t="shared" ca="1" si="424"/>
        <v>65896.421163572391</v>
      </c>
      <c r="LG27" s="50">
        <f t="shared" ca="1" si="425"/>
        <v>63401.926024428118</v>
      </c>
      <c r="LH27" s="50">
        <f t="shared" ca="1" si="426"/>
        <v>60766.350640830344</v>
      </c>
      <c r="LI27" s="50">
        <f t="shared" ca="1" si="427"/>
        <v>57917.172478090579</v>
      </c>
      <c r="LJ27" s="50">
        <f t="shared" ca="1" si="428"/>
        <v>49306.981756621048</v>
      </c>
      <c r="LK27" s="50">
        <f t="shared" ca="1" si="429"/>
        <v>59611.623144829173</v>
      </c>
      <c r="LL27" s="50">
        <f t="shared" ca="1" si="430"/>
        <v>53251.620062840084</v>
      </c>
      <c r="LM27" s="50">
        <f t="shared" ca="1" si="431"/>
        <v>60522.361740193686</v>
      </c>
      <c r="LN27" s="50">
        <f t="shared" ca="1" si="432"/>
        <v>66603.734462346183</v>
      </c>
      <c r="LO27" s="50">
        <f t="shared" ca="1" si="433"/>
        <v>48528.669697576071</v>
      </c>
      <c r="LP27" s="50">
        <f t="shared" ca="1" si="434"/>
        <v>44599.605391857309</v>
      </c>
      <c r="LQ27" s="50">
        <f t="shared" ca="1" si="435"/>
        <v>45780.014634971601</v>
      </c>
      <c r="LR27" s="50">
        <f t="shared" ca="1" si="436"/>
        <v>53045.048053504448</v>
      </c>
      <c r="LS27" s="50">
        <f t="shared" ca="1" si="437"/>
        <v>62208.057260872032</v>
      </c>
      <c r="LT27" s="50">
        <f t="shared" ca="1" si="438"/>
        <v>62295.711255286449</v>
      </c>
      <c r="LU27" s="50">
        <f t="shared" ca="1" si="439"/>
        <v>72469.575921658339</v>
      </c>
      <c r="LV27" s="50">
        <f t="shared" ca="1" si="440"/>
        <v>57326.045983130745</v>
      </c>
      <c r="LW27" s="50">
        <f t="shared" ca="1" si="441"/>
        <v>39711.304121734618</v>
      </c>
      <c r="LX27" s="50">
        <f t="shared" ca="1" si="442"/>
        <v>62219.315434023789</v>
      </c>
      <c r="LY27" s="50">
        <f t="shared" ca="1" si="443"/>
        <v>65573.085021859515</v>
      </c>
      <c r="LZ27" s="50">
        <f t="shared" ca="1" si="444"/>
        <v>64443.510148006753</v>
      </c>
      <c r="MA27" s="50">
        <f t="shared" ca="1" si="445"/>
        <v>48751.801261985165</v>
      </c>
      <c r="MB27" s="50">
        <f t="shared" ca="1" si="446"/>
        <v>61959.677025129153</v>
      </c>
      <c r="MC27" s="50">
        <f t="shared" ca="1" si="447"/>
        <v>50227.724670738149</v>
      </c>
      <c r="MD27" s="50">
        <f t="shared" ca="1" si="448"/>
        <v>57776.883682088992</v>
      </c>
      <c r="ME27" s="50">
        <f t="shared" ca="1" si="449"/>
        <v>56105.085459815265</v>
      </c>
      <c r="MF27" s="50">
        <f t="shared" ca="1" si="450"/>
        <v>62850.951799509421</v>
      </c>
      <c r="MG27" s="50">
        <f t="shared" ca="1" si="451"/>
        <v>53585.342975050997</v>
      </c>
      <c r="MH27" s="50">
        <f t="shared" ca="1" si="452"/>
        <v>61983.253961528739</v>
      </c>
      <c r="MI27" s="50">
        <f t="shared" ca="1" si="453"/>
        <v>58574.997296171859</v>
      </c>
      <c r="MJ27" s="50">
        <f t="shared" ca="1" si="454"/>
        <v>52616.060199661464</v>
      </c>
      <c r="MK27" s="50">
        <f t="shared" ca="1" si="455"/>
        <v>65515.687179430694</v>
      </c>
      <c r="ML27" s="50">
        <f t="shared" ca="1" si="456"/>
        <v>59750.026204991649</v>
      </c>
      <c r="MM27" s="50">
        <f t="shared" ca="1" si="457"/>
        <v>57537.141721846856</v>
      </c>
      <c r="MN27" s="50">
        <f t="shared" ca="1" si="458"/>
        <v>61706.116775879156</v>
      </c>
      <c r="MO27" s="50">
        <f t="shared" ca="1" si="459"/>
        <v>59326.103932007223</v>
      </c>
      <c r="MP27" s="50">
        <f t="shared" ca="1" si="460"/>
        <v>59631.250391323163</v>
      </c>
      <c r="MQ27" s="50">
        <f t="shared" ca="1" si="461"/>
        <v>58419.749347827565</v>
      </c>
      <c r="MR27" s="50">
        <f t="shared" ca="1" si="462"/>
        <v>49766.41661080745</v>
      </c>
      <c r="MS27" s="50">
        <f t="shared" ca="1" si="463"/>
        <v>56959.892266171206</v>
      </c>
      <c r="MT27" s="50">
        <f t="shared" ca="1" si="464"/>
        <v>58074.789431469027</v>
      </c>
      <c r="MU27" s="50">
        <f t="shared" ca="1" si="465"/>
        <v>68939.031891341365</v>
      </c>
      <c r="MV27" s="50">
        <f t="shared" ca="1" si="466"/>
        <v>61122.20974190531</v>
      </c>
      <c r="MW27" s="50">
        <f t="shared" ca="1" si="467"/>
        <v>56309.229310484385</v>
      </c>
      <c r="MX27" s="50">
        <f t="shared" ca="1" si="468"/>
        <v>63918.347813436303</v>
      </c>
      <c r="MY27" s="50">
        <f t="shared" ca="1" si="469"/>
        <v>57679.212021092062</v>
      </c>
      <c r="MZ27" s="50">
        <f t="shared" ca="1" si="470"/>
        <v>63287.497721384687</v>
      </c>
      <c r="NA27" s="50">
        <f t="shared" ca="1" si="471"/>
        <v>66461.485517602399</v>
      </c>
      <c r="NB27" s="50">
        <f t="shared" ca="1" si="472"/>
        <v>58984.459907219694</v>
      </c>
      <c r="NC27" s="50">
        <f t="shared" ca="1" si="473"/>
        <v>56276.123197625115</v>
      </c>
      <c r="ND27" s="50">
        <f t="shared" ca="1" si="474"/>
        <v>54970.713608138758</v>
      </c>
      <c r="NE27" s="50">
        <f t="shared" ca="1" si="475"/>
        <v>51576.812258330472</v>
      </c>
      <c r="NF27" s="50">
        <f t="shared" ca="1" si="476"/>
        <v>65104.498726128884</v>
      </c>
      <c r="NG27" s="50">
        <f t="shared" ca="1" si="477"/>
        <v>71772.71919678837</v>
      </c>
      <c r="NH27" s="50">
        <f t="shared" ca="1" si="478"/>
        <v>58623.866640907101</v>
      </c>
      <c r="NI27" s="50">
        <f t="shared" ca="1" si="479"/>
        <v>61702.39990679577</v>
      </c>
      <c r="NJ27" s="50">
        <f t="shared" ca="1" si="480"/>
        <v>64467.992607783832</v>
      </c>
      <c r="NK27" s="50">
        <f t="shared" ca="1" si="481"/>
        <v>62220.716497163463</v>
      </c>
      <c r="NL27" s="50">
        <f t="shared" ca="1" si="482"/>
        <v>47838.143739365631</v>
      </c>
      <c r="NM27" s="50">
        <f t="shared" ca="1" si="483"/>
        <v>63693.960146778074</v>
      </c>
      <c r="NN27" s="50">
        <f t="shared" ca="1" si="484"/>
        <v>55973.409541567671</v>
      </c>
      <c r="NO27" s="50">
        <f t="shared" ca="1" si="485"/>
        <v>66979.751531638205</v>
      </c>
      <c r="NP27" s="50">
        <f t="shared" ca="1" si="486"/>
        <v>53098.774184104586</v>
      </c>
      <c r="NQ27" s="50">
        <f t="shared" ca="1" si="487"/>
        <v>47603.971205113841</v>
      </c>
      <c r="NR27" s="50">
        <f t="shared" ca="1" si="488"/>
        <v>59780.543515079953</v>
      </c>
      <c r="NS27" s="50">
        <f t="shared" ca="1" si="489"/>
        <v>50915.828924030982</v>
      </c>
      <c r="NT27" s="50">
        <f t="shared" ca="1" si="490"/>
        <v>76384.516065472591</v>
      </c>
      <c r="NU27" s="50">
        <f t="shared" ca="1" si="491"/>
        <v>65781.732486709967</v>
      </c>
      <c r="NV27" s="50">
        <f t="shared" ca="1" si="492"/>
        <v>52351.507387002814</v>
      </c>
      <c r="NW27" s="50">
        <f t="shared" ca="1" si="493"/>
        <v>49972.159098301468</v>
      </c>
      <c r="NX27" s="50">
        <f t="shared" ca="1" si="494"/>
        <v>68739.980910058875</v>
      </c>
      <c r="NY27" s="50">
        <f t="shared" ca="1" si="495"/>
        <v>65186.069558544586</v>
      </c>
      <c r="NZ27" s="50">
        <f t="shared" ca="1" si="496"/>
        <v>64681.643092936072</v>
      </c>
      <c r="OA27" s="50">
        <f t="shared" ca="1" si="497"/>
        <v>52984.75504597574</v>
      </c>
      <c r="OB27" s="50">
        <f t="shared" ca="1" si="498"/>
        <v>68023.833719255796</v>
      </c>
      <c r="OC27" s="50">
        <f t="shared" ca="1" si="499"/>
        <v>50569.671934023427</v>
      </c>
      <c r="OD27" s="50">
        <f t="shared" ca="1" si="500"/>
        <v>55064.877460390489</v>
      </c>
      <c r="OE27" s="50">
        <f t="shared" ca="1" si="501"/>
        <v>71519.83118738771</v>
      </c>
      <c r="OF27" s="50">
        <f t="shared" ca="1" si="502"/>
        <v>64234.612102706</v>
      </c>
      <c r="OG27" s="50">
        <f t="shared" ca="1" si="503"/>
        <v>68057.354122811725</v>
      </c>
      <c r="OH27" s="50">
        <f t="shared" ca="1" si="504"/>
        <v>63479.42787422426</v>
      </c>
      <c r="OI27" s="50">
        <f t="shared" ca="1" si="505"/>
        <v>56742.703829747858</v>
      </c>
      <c r="OJ27" s="50">
        <f t="shared" ca="1" si="506"/>
        <v>61761.682519118731</v>
      </c>
      <c r="OK27" s="50">
        <f t="shared" ca="1" si="507"/>
        <v>52933.6896090679</v>
      </c>
      <c r="OL27" s="50">
        <f t="shared" ca="1" si="508"/>
        <v>62123.291422798866</v>
      </c>
      <c r="OM27" s="50">
        <f t="shared" ca="1" si="509"/>
        <v>53308.141056240725</v>
      </c>
      <c r="ON27" s="50">
        <f t="shared" ca="1" si="510"/>
        <v>63156.720732934933</v>
      </c>
      <c r="OO27" s="50">
        <f t="shared" ca="1" si="511"/>
        <v>64382.660128221942</v>
      </c>
      <c r="OP27" s="50">
        <f t="shared" ca="1" si="512"/>
        <v>60871.796371117351</v>
      </c>
      <c r="OQ27" s="50">
        <f t="shared" ca="1" si="513"/>
        <v>59668.211083779002</v>
      </c>
      <c r="OR27" s="50">
        <f t="shared" ca="1" si="514"/>
        <v>64578.05175497997</v>
      </c>
      <c r="OS27" s="50">
        <f t="shared" ca="1" si="515"/>
        <v>52105.381870906975</v>
      </c>
      <c r="OT27" s="50">
        <f t="shared" ca="1" si="516"/>
        <v>54548.649473702048</v>
      </c>
      <c r="OU27" s="50">
        <f t="shared" ca="1" si="517"/>
        <v>51048.591566872921</v>
      </c>
      <c r="OV27" s="50">
        <f t="shared" ca="1" si="518"/>
        <v>58059.263665218517</v>
      </c>
      <c r="OW27" s="50">
        <f t="shared" ca="1" si="519"/>
        <v>53209.344142426075</v>
      </c>
      <c r="OX27" s="50">
        <f t="shared" ca="1" si="520"/>
        <v>69493.231411735062</v>
      </c>
      <c r="OY27" s="50">
        <f t="shared" ca="1" si="521"/>
        <v>55889.065089984528</v>
      </c>
      <c r="OZ27" s="50">
        <f t="shared" ca="1" si="522"/>
        <v>65521.824625169014</v>
      </c>
      <c r="PA27" s="50">
        <f t="shared" ca="1" si="523"/>
        <v>56248.025299852576</v>
      </c>
      <c r="PB27" s="50">
        <f t="shared" ca="1" si="524"/>
        <v>57037.953356709288</v>
      </c>
      <c r="PC27" s="50">
        <f t="shared" ca="1" si="525"/>
        <v>58201.18422642396</v>
      </c>
      <c r="PD27" s="50">
        <f t="shared" ca="1" si="526"/>
        <v>55385.562429780497</v>
      </c>
      <c r="PE27" s="50">
        <f t="shared" ca="1" si="527"/>
        <v>61587.454187873096</v>
      </c>
      <c r="PF27" s="50">
        <f t="shared" ca="1" si="528"/>
        <v>59696.806814835516</v>
      </c>
      <c r="PG27" s="50">
        <f t="shared" ca="1" si="529"/>
        <v>54748.396286585245</v>
      </c>
      <c r="PH27" s="50">
        <f t="shared" ca="1" si="530"/>
        <v>44464.746240911714</v>
      </c>
      <c r="PI27" s="50">
        <f t="shared" ca="1" si="531"/>
        <v>55523.595074007913</v>
      </c>
      <c r="PJ27" s="50">
        <f t="shared" ca="1" si="532"/>
        <v>63318.663653557189</v>
      </c>
      <c r="PK27" s="50">
        <f t="shared" ca="1" si="533"/>
        <v>63239.81176289529</v>
      </c>
      <c r="PL27" s="50">
        <f t="shared" ca="1" si="534"/>
        <v>69623.370555524249</v>
      </c>
      <c r="PM27" s="50">
        <f t="shared" ca="1" si="535"/>
        <v>63155.899960648785</v>
      </c>
      <c r="PN27" s="50">
        <f t="shared" ca="1" si="536"/>
        <v>52967.135739846541</v>
      </c>
      <c r="PO27" s="50">
        <f t="shared" ca="1" si="537"/>
        <v>67260.964716166316</v>
      </c>
      <c r="PP27" s="50">
        <f t="shared" ca="1" si="538"/>
        <v>57051.896184576377</v>
      </c>
      <c r="PQ27" s="50">
        <f t="shared" ca="1" si="539"/>
        <v>56067.695989487205</v>
      </c>
      <c r="PR27" s="50">
        <f t="shared" ca="1" si="540"/>
        <v>67801.340609399369</v>
      </c>
      <c r="PS27" s="50">
        <f t="shared" ca="1" si="541"/>
        <v>71413.378722267676</v>
      </c>
      <c r="PT27" s="50">
        <f t="shared" ca="1" si="542"/>
        <v>53097.702386387973</v>
      </c>
      <c r="PU27" s="50">
        <f t="shared" ca="1" si="543"/>
        <v>60838.393052196298</v>
      </c>
      <c r="PV27" s="50">
        <f t="shared" ca="1" si="544"/>
        <v>57109.270604952901</v>
      </c>
      <c r="PW27" s="50">
        <f t="shared" ca="1" si="545"/>
        <v>54386.846052629604</v>
      </c>
      <c r="PX27" s="50">
        <f t="shared" ca="1" si="546"/>
        <v>67609.764563673525</v>
      </c>
      <c r="PY27" s="50">
        <f t="shared" ca="1" si="547"/>
        <v>58692.608980659737</v>
      </c>
      <c r="PZ27" s="50">
        <f t="shared" ca="1" si="548"/>
        <v>60725.721572978291</v>
      </c>
      <c r="QA27" s="50">
        <f t="shared" ca="1" si="549"/>
        <v>52312.635459864694</v>
      </c>
      <c r="QB27" s="50">
        <f t="shared" ca="1" si="550"/>
        <v>56344.729274573176</v>
      </c>
      <c r="QC27" s="50">
        <f t="shared" ca="1" si="551"/>
        <v>65727.58674208897</v>
      </c>
      <c r="QD27" s="50">
        <f t="shared" ca="1" si="552"/>
        <v>61032.036335838653</v>
      </c>
      <c r="QE27" s="50">
        <f t="shared" ca="1" si="553"/>
        <v>60128.314582572551</v>
      </c>
      <c r="QF27" s="50">
        <f t="shared" ca="1" si="554"/>
        <v>51021.912517292461</v>
      </c>
      <c r="QG27" s="50">
        <f t="shared" ca="1" si="555"/>
        <v>52522.148900650536</v>
      </c>
      <c r="QH27" s="50">
        <f t="shared" ca="1" si="556"/>
        <v>49703.663769568753</v>
      </c>
      <c r="QI27" s="50">
        <f t="shared" ca="1" si="557"/>
        <v>52790.450470983247</v>
      </c>
      <c r="QJ27" s="50">
        <f t="shared" ca="1" si="558"/>
        <v>50431.969190809054</v>
      </c>
      <c r="QK27" s="50">
        <f t="shared" ca="1" si="559"/>
        <v>56811.324227457531</v>
      </c>
      <c r="QL27" s="50">
        <f t="shared" ca="1" si="560"/>
        <v>71285.571408139091</v>
      </c>
      <c r="QM27" s="50">
        <f t="shared" ca="1" si="561"/>
        <v>49174.049707662496</v>
      </c>
      <c r="QN27" s="50">
        <f t="shared" ca="1" si="562"/>
        <v>51245.603089014185</v>
      </c>
      <c r="QO27" s="50">
        <f t="shared" ca="1" si="563"/>
        <v>74758.334758527868</v>
      </c>
      <c r="QP27" s="50">
        <f t="shared" ca="1" si="564"/>
        <v>57073.937102090829</v>
      </c>
      <c r="QQ27" s="50">
        <f t="shared" ca="1" si="565"/>
        <v>52994.619766567354</v>
      </c>
      <c r="QR27" s="50">
        <f t="shared" ca="1" si="566"/>
        <v>60296.61055389898</v>
      </c>
      <c r="QS27" s="50">
        <f t="shared" ca="1" si="567"/>
        <v>53111.848336922143</v>
      </c>
      <c r="QT27" s="50">
        <f t="shared" ca="1" si="568"/>
        <v>50572.717302693556</v>
      </c>
      <c r="QU27" s="50">
        <f t="shared" ca="1" si="569"/>
        <v>57224.485307832751</v>
      </c>
      <c r="QV27" s="50">
        <f t="shared" ca="1" si="570"/>
        <v>54433.3929681019</v>
      </c>
      <c r="QW27" s="50">
        <f t="shared" ca="1" si="571"/>
        <v>57045.43772159746</v>
      </c>
      <c r="QX27" s="50">
        <f t="shared" ca="1" si="572"/>
        <v>70193.630449426841</v>
      </c>
      <c r="QY27" s="50">
        <f t="shared" ca="1" si="573"/>
        <v>52902.956258884908</v>
      </c>
      <c r="QZ27" s="50">
        <f t="shared" ca="1" si="574"/>
        <v>58509.03817617771</v>
      </c>
      <c r="RA27" s="50">
        <f t="shared" ca="1" si="575"/>
        <v>50654.297283269574</v>
      </c>
      <c r="RB27" s="50">
        <f t="shared" ca="1" si="576"/>
        <v>82933.583236458682</v>
      </c>
      <c r="RC27" s="50">
        <f t="shared" ca="1" si="577"/>
        <v>65017.080278625901</v>
      </c>
      <c r="RD27" s="50">
        <f t="shared" ca="1" si="578"/>
        <v>50349.690029534388</v>
      </c>
      <c r="RE27" s="50">
        <f t="shared" ca="1" si="579"/>
        <v>60473.257392368068</v>
      </c>
      <c r="RF27" s="50">
        <f t="shared" ca="1" si="580"/>
        <v>59364.732143140762</v>
      </c>
      <c r="RG27" s="50">
        <f t="shared" ca="1" si="581"/>
        <v>50900.23986130851</v>
      </c>
      <c r="RH27" s="50">
        <f t="shared" ca="1" si="582"/>
        <v>64865.277096347862</v>
      </c>
      <c r="RI27" s="50">
        <f t="shared" ca="1" si="583"/>
        <v>71016.149683096592</v>
      </c>
      <c r="RJ27" s="50">
        <f t="shared" ca="1" si="584"/>
        <v>51571.010385937509</v>
      </c>
      <c r="RK27" s="50">
        <f t="shared" ca="1" si="585"/>
        <v>66844.76658735938</v>
      </c>
      <c r="RL27" s="50">
        <f t="shared" ca="1" si="586"/>
        <v>60444.521510799459</v>
      </c>
      <c r="RM27" s="50">
        <f t="shared" ca="1" si="587"/>
        <v>59256.246210987367</v>
      </c>
      <c r="RN27" s="50">
        <f t="shared" ca="1" si="588"/>
        <v>58069.103465719309</v>
      </c>
      <c r="RO27" s="50">
        <f t="shared" ca="1" si="589"/>
        <v>45303.533440406405</v>
      </c>
      <c r="RP27" s="50">
        <f t="shared" ca="1" si="590"/>
        <v>60763.928162167831</v>
      </c>
      <c r="RQ27" s="50">
        <f t="shared" ca="1" si="591"/>
        <v>55414.118271160725</v>
      </c>
      <c r="RR27" s="50">
        <f t="shared" ca="1" si="592"/>
        <v>54153.054044436343</v>
      </c>
      <c r="RS27" s="50">
        <f t="shared" ca="1" si="593"/>
        <v>74892.115196242652</v>
      </c>
      <c r="RT27" s="50">
        <f t="shared" ca="1" si="594"/>
        <v>56238.619278293321</v>
      </c>
      <c r="RU27" s="50">
        <f t="shared" ca="1" si="595"/>
        <v>54887.075468636867</v>
      </c>
      <c r="RV27" s="50">
        <f t="shared" ca="1" si="596"/>
        <v>56262.701566649361</v>
      </c>
      <c r="RW27" s="50">
        <f t="shared" ca="1" si="597"/>
        <v>66317.163432789195</v>
      </c>
      <c r="RX27" s="50">
        <f t="shared" ca="1" si="598"/>
        <v>58829.875885826397</v>
      </c>
      <c r="RY27" s="50">
        <f t="shared" ca="1" si="599"/>
        <v>64968.193485661679</v>
      </c>
      <c r="RZ27" s="50">
        <f t="shared" ca="1" si="600"/>
        <v>57029.225662597033</v>
      </c>
      <c r="SA27" s="50">
        <f t="shared" ca="1" si="601"/>
        <v>61338.077028124702</v>
      </c>
      <c r="SB27" s="50">
        <f t="shared" ca="1" si="602"/>
        <v>67179.660152474375</v>
      </c>
      <c r="SC27" s="50">
        <f t="shared" ca="1" si="603"/>
        <v>56201.024090102401</v>
      </c>
      <c r="SD27" s="50">
        <f t="shared" ca="1" si="604"/>
        <v>53017.647483465138</v>
      </c>
      <c r="SE27" s="50">
        <f t="shared" ca="1" si="605"/>
        <v>65046.788053520853</v>
      </c>
      <c r="SF27" s="50">
        <f t="shared" ca="1" si="606"/>
        <v>60998.508262960779</v>
      </c>
      <c r="SG27" s="50">
        <f t="shared" ca="1" si="607"/>
        <v>54961.337908319678</v>
      </c>
      <c r="SH27" s="50">
        <f t="shared" ca="1" si="608"/>
        <v>63417.2387628215</v>
      </c>
      <c r="SI27" s="50">
        <f t="shared" ca="1" si="609"/>
        <v>64917.437219605032</v>
      </c>
      <c r="SJ27" s="50">
        <f t="shared" ca="1" si="610"/>
        <v>55684.102345780113</v>
      </c>
      <c r="SK27" s="50">
        <f t="shared" ca="1" si="611"/>
        <v>67809.324358830709</v>
      </c>
      <c r="SL27" s="50">
        <f t="shared" ca="1" si="612"/>
        <v>50472.532187242512</v>
      </c>
      <c r="SM27" s="50">
        <f t="shared" ca="1" si="613"/>
        <v>57117.200507209156</v>
      </c>
      <c r="SN27" s="50">
        <f t="shared" ca="1" si="614"/>
        <v>63148.714852760109</v>
      </c>
      <c r="SO27" s="50">
        <f t="shared" ca="1" si="615"/>
        <v>56441.400312887148</v>
      </c>
      <c r="SP27" s="50">
        <f t="shared" ca="1" si="616"/>
        <v>63843.762306305092</v>
      </c>
      <c r="SQ27" s="50">
        <f t="shared" ca="1" si="617"/>
        <v>54630.154054183316</v>
      </c>
      <c r="SR27" s="50">
        <f t="shared" ca="1" si="618"/>
        <v>62336.957167033972</v>
      </c>
      <c r="SS27" s="50">
        <f t="shared" ca="1" si="619"/>
        <v>57000.401367696126</v>
      </c>
      <c r="ST27" s="50">
        <f t="shared" ca="1" si="620"/>
        <v>65414.41104874837</v>
      </c>
      <c r="SU27" s="50">
        <f t="shared" ca="1" si="621"/>
        <v>57991.034552176658</v>
      </c>
      <c r="SV27" s="50">
        <f t="shared" ca="1" si="622"/>
        <v>66616.90692957076</v>
      </c>
      <c r="SW27" s="50">
        <f t="shared" ca="1" si="623"/>
        <v>45146.80719736922</v>
      </c>
      <c r="SX27" s="50">
        <f t="shared" ca="1" si="624"/>
        <v>50905.112253342792</v>
      </c>
      <c r="SY27" s="50">
        <f t="shared" ca="1" si="625"/>
        <v>57097.249280493394</v>
      </c>
      <c r="SZ27" s="50">
        <f t="shared" ca="1" si="626"/>
        <v>58610.58125932757</v>
      </c>
      <c r="TA27" s="50">
        <f t="shared" ca="1" si="627"/>
        <v>51596.385109729963</v>
      </c>
      <c r="TB27" s="50">
        <f t="shared" ca="1" si="628"/>
        <v>52946.146858941385</v>
      </c>
      <c r="TC27" s="50">
        <f t="shared" ca="1" si="629"/>
        <v>56884.932042551431</v>
      </c>
      <c r="TD27" s="50">
        <f t="shared" ca="1" si="630"/>
        <v>61248.83992625746</v>
      </c>
      <c r="TE27" s="50">
        <f t="shared" ca="1" si="631"/>
        <v>53190.576111790026</v>
      </c>
      <c r="TF27" s="50">
        <f t="shared" ca="1" si="632"/>
        <v>71984.677031028623</v>
      </c>
      <c r="TG27" s="50">
        <f t="shared" ca="1" si="633"/>
        <v>61615.949580176813</v>
      </c>
      <c r="TH27" s="50">
        <f t="shared" ca="1" si="634"/>
        <v>54805.59659342462</v>
      </c>
      <c r="TI27" s="50">
        <f t="shared" ca="1" si="635"/>
        <v>56823.369569961338</v>
      </c>
      <c r="TJ27" s="50">
        <f t="shared" ca="1" si="636"/>
        <v>68654.68146449374</v>
      </c>
      <c r="TK27" s="50">
        <f t="shared" ca="1" si="637"/>
        <v>52160.012861043841</v>
      </c>
      <c r="TL27" s="50">
        <f t="shared" ca="1" si="638"/>
        <v>61169.520995748178</v>
      </c>
      <c r="TM27" s="50">
        <f t="shared" ca="1" si="639"/>
        <v>56449.100829374569</v>
      </c>
      <c r="TN27" s="50">
        <f t="shared" ca="1" si="640"/>
        <v>51679.515366017018</v>
      </c>
      <c r="TO27" s="50">
        <f t="shared" ca="1" si="641"/>
        <v>56736.006308210846</v>
      </c>
      <c r="TP27" s="50">
        <f t="shared" ca="1" si="642"/>
        <v>51786.594911658976</v>
      </c>
      <c r="TQ27" s="50">
        <f t="shared" ca="1" si="643"/>
        <v>56055.123020049978</v>
      </c>
      <c r="TR27" s="50">
        <f t="shared" ca="1" si="644"/>
        <v>56687.393379771565</v>
      </c>
      <c r="TS27" s="50">
        <f t="shared" ca="1" si="645"/>
        <v>52092.767607450318</v>
      </c>
      <c r="TT27" s="50">
        <f t="shared" ca="1" si="646"/>
        <v>49639.094852172115</v>
      </c>
      <c r="TU27" s="50">
        <f t="shared" ca="1" si="647"/>
        <v>70612.145697204003</v>
      </c>
      <c r="TV27" s="50">
        <f t="shared" ca="1" si="648"/>
        <v>62116.234066898418</v>
      </c>
      <c r="TW27" s="50">
        <f t="shared" ca="1" si="649"/>
        <v>47762.650307494237</v>
      </c>
      <c r="TX27" s="50">
        <f t="shared" ca="1" si="650"/>
        <v>54666.635460299934</v>
      </c>
      <c r="TY27" s="50">
        <f t="shared" ca="1" si="651"/>
        <v>60906.562941239441</v>
      </c>
      <c r="TZ27" s="50">
        <f t="shared" ca="1" si="652"/>
        <v>63931.770453045196</v>
      </c>
      <c r="UA27" s="50">
        <f t="shared" ca="1" si="653"/>
        <v>53433.331922657613</v>
      </c>
      <c r="UB27" s="50">
        <f t="shared" ca="1" si="654"/>
        <v>64643.105916274348</v>
      </c>
      <c r="UC27" s="50">
        <f t="shared" ca="1" si="655"/>
        <v>57828.81825682825</v>
      </c>
      <c r="UD27" s="50">
        <f t="shared" ca="1" si="656"/>
        <v>60221.373553146077</v>
      </c>
      <c r="UE27" s="50">
        <f t="shared" ca="1" si="657"/>
        <v>50053.423074302867</v>
      </c>
      <c r="UF27" s="50">
        <f t="shared" ca="1" si="658"/>
        <v>62780.664194826182</v>
      </c>
      <c r="UG27" s="50">
        <f t="shared" ca="1" si="659"/>
        <v>53664.580121577987</v>
      </c>
      <c r="UH27" s="50">
        <f t="shared" ca="1" si="660"/>
        <v>54194.82284545288</v>
      </c>
      <c r="UI27" s="50">
        <f t="shared" ca="1" si="661"/>
        <v>59458.967612162</v>
      </c>
      <c r="UJ27" s="50">
        <f t="shared" ca="1" si="662"/>
        <v>62297.098837407546</v>
      </c>
      <c r="UK27" s="50">
        <f t="shared" ca="1" si="663"/>
        <v>52984.13091125917</v>
      </c>
      <c r="UL27" s="50">
        <f t="shared" ca="1" si="664"/>
        <v>53547.547610916343</v>
      </c>
      <c r="UM27" s="50">
        <f t="shared" ca="1" si="665"/>
        <v>60843.619634584844</v>
      </c>
      <c r="UN27" s="50">
        <f t="shared" ca="1" si="666"/>
        <v>46658.049626118787</v>
      </c>
      <c r="UO27" s="50">
        <f t="shared" ca="1" si="667"/>
        <v>49195.17247467483</v>
      </c>
      <c r="UP27" s="50">
        <f t="shared" ca="1" si="668"/>
        <v>61603.617931407898</v>
      </c>
      <c r="UQ27" s="50">
        <f t="shared" ca="1" si="669"/>
        <v>57064.176465108278</v>
      </c>
      <c r="UR27" s="50">
        <f t="shared" ca="1" si="670"/>
        <v>69745.497071105769</v>
      </c>
      <c r="US27" s="50">
        <f t="shared" ca="1" si="671"/>
        <v>51521.424264789675</v>
      </c>
      <c r="UT27" s="50">
        <f t="shared" ca="1" si="672"/>
        <v>46502.437688061051</v>
      </c>
      <c r="UU27" s="50">
        <f t="shared" ca="1" si="673"/>
        <v>53061.834118356084</v>
      </c>
      <c r="UV27" s="50">
        <f t="shared" ca="1" si="674"/>
        <v>58626.568534028411</v>
      </c>
      <c r="UW27" s="50">
        <f t="shared" ca="1" si="675"/>
        <v>54326.730887763326</v>
      </c>
      <c r="UX27" s="50">
        <f t="shared" ca="1" si="676"/>
        <v>58662.587476760411</v>
      </c>
      <c r="UY27" s="50">
        <f t="shared" ca="1" si="677"/>
        <v>53961.965583903562</v>
      </c>
      <c r="UZ27" s="50">
        <f t="shared" ca="1" si="678"/>
        <v>59873.229693103</v>
      </c>
      <c r="VA27" s="50">
        <f t="shared" ca="1" si="679"/>
        <v>79098.870361123161</v>
      </c>
      <c r="VB27" s="50">
        <f t="shared" ca="1" si="680"/>
        <v>53155.075808628113</v>
      </c>
      <c r="VC27" s="50">
        <f t="shared" ca="1" si="681"/>
        <v>53456.089807664597</v>
      </c>
      <c r="VD27" s="50">
        <f t="shared" ca="1" si="682"/>
        <v>67262.348615404524</v>
      </c>
      <c r="VE27" s="50">
        <f t="shared" ca="1" si="683"/>
        <v>51883.598346201521</v>
      </c>
      <c r="VF27" s="50">
        <f t="shared" ca="1" si="684"/>
        <v>57312.259999699032</v>
      </c>
      <c r="VG27" s="50">
        <f t="shared" ca="1" si="685"/>
        <v>50637.358733492125</v>
      </c>
      <c r="VH27" s="50">
        <f t="shared" ca="1" si="686"/>
        <v>52937.483943195839</v>
      </c>
      <c r="VI27" s="50">
        <f t="shared" ca="1" si="687"/>
        <v>66570.148872550577</v>
      </c>
      <c r="VJ27" s="50">
        <f t="shared" ca="1" si="688"/>
        <v>58503.356579553831</v>
      </c>
      <c r="VK27" s="50">
        <f t="shared" ca="1" si="689"/>
        <v>59613.945806688032</v>
      </c>
      <c r="VL27" s="50">
        <f t="shared" ca="1" si="690"/>
        <v>54058.047220458255</v>
      </c>
      <c r="VM27" s="50">
        <f t="shared" ca="1" si="691"/>
        <v>65330.697799428417</v>
      </c>
      <c r="VN27" s="50">
        <f t="shared" ca="1" si="692"/>
        <v>63326.947737931892</v>
      </c>
      <c r="VO27" s="50">
        <f t="shared" ca="1" si="693"/>
        <v>57952.647049797655</v>
      </c>
      <c r="VP27" s="50">
        <f t="shared" ca="1" si="694"/>
        <v>60286.668078484632</v>
      </c>
      <c r="VQ27" s="50">
        <f t="shared" ca="1" si="695"/>
        <v>60189.235286538838</v>
      </c>
      <c r="VR27" s="50">
        <f t="shared" ca="1" si="696"/>
        <v>64967.650711999646</v>
      </c>
      <c r="VS27" s="50">
        <f t="shared" ca="1" si="697"/>
        <v>77253.298293821179</v>
      </c>
      <c r="VT27" s="50">
        <f t="shared" ca="1" si="698"/>
        <v>57096.375307933893</v>
      </c>
      <c r="VU27" s="50">
        <f t="shared" ca="1" si="699"/>
        <v>59061.517661248618</v>
      </c>
      <c r="VV27" s="50">
        <f t="shared" ca="1" si="700"/>
        <v>58180.780216659616</v>
      </c>
      <c r="VW27" s="50">
        <f t="shared" ca="1" si="701"/>
        <v>60382.886690029889</v>
      </c>
      <c r="VX27" s="50">
        <f t="shared" ca="1" si="702"/>
        <v>63958.495544913887</v>
      </c>
      <c r="VY27" s="50">
        <f t="shared" ca="1" si="703"/>
        <v>53668.757238427221</v>
      </c>
      <c r="VZ27" s="50">
        <f t="shared" ca="1" si="704"/>
        <v>52095.929156116217</v>
      </c>
      <c r="WA27" s="50">
        <f t="shared" ca="1" si="705"/>
        <v>51652.43735679322</v>
      </c>
      <c r="WB27" s="50">
        <f t="shared" ca="1" si="706"/>
        <v>53003.015394603848</v>
      </c>
      <c r="WC27" s="50">
        <f t="shared" ca="1" si="707"/>
        <v>56350.393131155251</v>
      </c>
      <c r="WD27" s="50">
        <f t="shared" ca="1" si="708"/>
        <v>56918.552142569286</v>
      </c>
      <c r="WE27" s="50">
        <f t="shared" ca="1" si="709"/>
        <v>65282.333387975465</v>
      </c>
      <c r="WF27" s="50">
        <f t="shared" ca="1" si="710"/>
        <v>66393.588722948873</v>
      </c>
      <c r="WG27" s="50">
        <f t="shared" ca="1" si="711"/>
        <v>56420.410510459136</v>
      </c>
      <c r="WH27" s="50">
        <f t="shared" ca="1" si="712"/>
        <v>60552.531586027602</v>
      </c>
      <c r="WI27" s="50">
        <f t="shared" ca="1" si="713"/>
        <v>56278.171291024431</v>
      </c>
      <c r="WJ27" s="50">
        <f t="shared" ca="1" si="714"/>
        <v>52693.167850382815</v>
      </c>
      <c r="WK27" s="50">
        <f t="shared" ca="1" si="715"/>
        <v>62233.576686635708</v>
      </c>
      <c r="WL27" s="50">
        <f t="shared" ca="1" si="716"/>
        <v>62005.55414702402</v>
      </c>
      <c r="WM27" s="50">
        <f t="shared" ca="1" si="717"/>
        <v>59937.454478057123</v>
      </c>
      <c r="WN27" s="50">
        <f t="shared" ca="1" si="718"/>
        <v>54348.421746534332</v>
      </c>
      <c r="WO27" s="50">
        <f t="shared" ca="1" si="719"/>
        <v>58535.368604972988</v>
      </c>
      <c r="WP27" s="50">
        <f t="shared" ca="1" si="720"/>
        <v>60152.173282880118</v>
      </c>
      <c r="WQ27" s="50">
        <f t="shared" ca="1" si="721"/>
        <v>53992.793811724885</v>
      </c>
      <c r="WR27" s="50">
        <f t="shared" ca="1" si="722"/>
        <v>57968.141403002766</v>
      </c>
      <c r="WS27" s="50">
        <f t="shared" ca="1" si="723"/>
        <v>51190.845698567915</v>
      </c>
      <c r="WT27" s="50">
        <f t="shared" ca="1" si="724"/>
        <v>76829.987453037189</v>
      </c>
      <c r="WU27" s="50">
        <f t="shared" ca="1" si="725"/>
        <v>65835.982981700989</v>
      </c>
      <c r="WV27" s="50">
        <f t="shared" ca="1" si="726"/>
        <v>52700.324819632646</v>
      </c>
      <c r="WW27" s="50">
        <f t="shared" ca="1" si="727"/>
        <v>61116.713284601203</v>
      </c>
      <c r="WX27" s="50">
        <f t="shared" ca="1" si="728"/>
        <v>53714.520701843263</v>
      </c>
      <c r="WY27" s="50">
        <f t="shared" ca="1" si="729"/>
        <v>65429.880681032424</v>
      </c>
      <c r="WZ27" s="50">
        <f t="shared" ca="1" si="730"/>
        <v>68892.213148779803</v>
      </c>
      <c r="XA27" s="50">
        <f t="shared" ca="1" si="731"/>
        <v>59821.263058597564</v>
      </c>
      <c r="XB27" s="50">
        <f t="shared" ca="1" si="732"/>
        <v>53915.240030026493</v>
      </c>
      <c r="XC27" s="50">
        <f t="shared" ca="1" si="733"/>
        <v>77718.250752193271</v>
      </c>
      <c r="XD27" s="50">
        <f t="shared" ca="1" si="734"/>
        <v>52444.753496300109</v>
      </c>
      <c r="XE27" s="50">
        <f t="shared" ca="1" si="735"/>
        <v>67648.546258400456</v>
      </c>
      <c r="XF27" s="50">
        <f t="shared" ca="1" si="736"/>
        <v>68763.840636356661</v>
      </c>
      <c r="XG27" s="50">
        <f t="shared" ca="1" si="737"/>
        <v>52113.405084202692</v>
      </c>
      <c r="XH27" s="50">
        <f t="shared" ca="1" si="738"/>
        <v>66359.662284411825</v>
      </c>
      <c r="XI27" s="50">
        <f t="shared" ca="1" si="739"/>
        <v>55436.900919193286</v>
      </c>
      <c r="XJ27" s="50">
        <f t="shared" ca="1" si="740"/>
        <v>51671.244844449764</v>
      </c>
      <c r="XK27" s="50">
        <f t="shared" ca="1" si="741"/>
        <v>50532.595743345773</v>
      </c>
      <c r="XL27" s="50">
        <f t="shared" ca="1" si="742"/>
        <v>70497.134279652833</v>
      </c>
      <c r="XM27" s="50">
        <f t="shared" ca="1" si="743"/>
        <v>60571.044937153572</v>
      </c>
      <c r="XN27" s="50">
        <f t="shared" ca="1" si="744"/>
        <v>51322.592905805926</v>
      </c>
      <c r="XO27" s="50">
        <f t="shared" ca="1" si="745"/>
        <v>53071.820798302855</v>
      </c>
      <c r="XP27" s="50">
        <f t="shared" ca="1" si="746"/>
        <v>66808.8995915134</v>
      </c>
      <c r="XQ27" s="50">
        <f t="shared" ca="1" si="747"/>
        <v>53521.537150155316</v>
      </c>
      <c r="XR27" s="50">
        <f t="shared" ca="1" si="748"/>
        <v>69127.6687018792</v>
      </c>
      <c r="XS27" s="50">
        <f t="shared" ca="1" si="749"/>
        <v>50751.562708658472</v>
      </c>
      <c r="XT27" s="50">
        <f t="shared" ca="1" si="750"/>
        <v>62319.246619738871</v>
      </c>
      <c r="XU27" s="50">
        <f t="shared" ca="1" si="751"/>
        <v>51710.983377671029</v>
      </c>
      <c r="XV27" s="50">
        <f t="shared" ca="1" si="752"/>
        <v>53429.716170361389</v>
      </c>
      <c r="XW27" s="50">
        <f t="shared" ca="1" si="753"/>
        <v>47387.96823910388</v>
      </c>
      <c r="XX27" s="50">
        <f t="shared" ca="1" si="754"/>
        <v>65048.778420545437</v>
      </c>
      <c r="XY27" s="50">
        <f t="shared" ca="1" si="755"/>
        <v>47901.974466380292</v>
      </c>
      <c r="XZ27" s="50">
        <f t="shared" ca="1" si="756"/>
        <v>67864.53001091539</v>
      </c>
      <c r="YA27" s="50">
        <f t="shared" ca="1" si="757"/>
        <v>59430.227383914542</v>
      </c>
      <c r="YB27" s="50">
        <f t="shared" ca="1" si="758"/>
        <v>59475.288391408911</v>
      </c>
      <c r="YC27" s="50">
        <f t="shared" ca="1" si="759"/>
        <v>60922.783568695508</v>
      </c>
      <c r="YD27" s="50">
        <f t="shared" ca="1" si="760"/>
        <v>64247.035330413775</v>
      </c>
      <c r="YE27" s="50">
        <f t="shared" ca="1" si="761"/>
        <v>54760.279162075094</v>
      </c>
      <c r="YF27" s="50">
        <f t="shared" ca="1" si="762"/>
        <v>68354.509752364465</v>
      </c>
      <c r="YG27" s="50">
        <f t="shared" ca="1" si="763"/>
        <v>70219.913519079972</v>
      </c>
      <c r="YH27" s="50">
        <f t="shared" ca="1" si="764"/>
        <v>64688.577648813254</v>
      </c>
      <c r="YI27" s="50">
        <f t="shared" ca="1" si="765"/>
        <v>56529.369436103851</v>
      </c>
      <c r="YJ27" s="50">
        <f t="shared" ca="1" si="766"/>
        <v>57790.165839146117</v>
      </c>
      <c r="YK27" s="50">
        <f t="shared" ca="1" si="767"/>
        <v>51976.282930820889</v>
      </c>
      <c r="YL27" s="50">
        <f t="shared" ca="1" si="768"/>
        <v>59444.601286131459</v>
      </c>
      <c r="YM27" s="50">
        <f t="shared" ca="1" si="769"/>
        <v>56666.911782953655</v>
      </c>
      <c r="YN27" s="50">
        <f t="shared" ca="1" si="770"/>
        <v>57687.411541431677</v>
      </c>
      <c r="YO27" s="50">
        <f t="shared" ca="1" si="771"/>
        <v>51548.35212692924</v>
      </c>
      <c r="YP27" s="50">
        <f t="shared" ca="1" si="772"/>
        <v>51200.659699339943</v>
      </c>
      <c r="YQ27" s="50">
        <f t="shared" ca="1" si="773"/>
        <v>64328.511434317086</v>
      </c>
      <c r="YR27" s="50">
        <f t="shared" ca="1" si="774"/>
        <v>58234.279783749174</v>
      </c>
      <c r="YS27" s="50">
        <f t="shared" ca="1" si="775"/>
        <v>61507.064761355505</v>
      </c>
      <c r="YT27" s="50">
        <f t="shared" ca="1" si="776"/>
        <v>56732.540965954613</v>
      </c>
      <c r="YU27" s="50">
        <f t="shared" ca="1" si="777"/>
        <v>65194.353843650402</v>
      </c>
      <c r="YV27" s="50">
        <f t="shared" ca="1" si="778"/>
        <v>46664.715467252565</v>
      </c>
      <c r="YW27" s="50">
        <f t="shared" ca="1" si="779"/>
        <v>49354.294279397029</v>
      </c>
      <c r="YX27" s="50">
        <f t="shared" ca="1" si="780"/>
        <v>60745.528994784851</v>
      </c>
      <c r="YY27" s="50">
        <f t="shared" ca="1" si="781"/>
        <v>58742.863924637648</v>
      </c>
      <c r="YZ27" s="50">
        <f t="shared" ca="1" si="782"/>
        <v>56891.466214809705</v>
      </c>
      <c r="ZA27" s="50">
        <f t="shared" ca="1" si="783"/>
        <v>65665.280034515483</v>
      </c>
      <c r="ZB27" s="50">
        <f t="shared" ca="1" si="784"/>
        <v>58091.574028638315</v>
      </c>
      <c r="ZC27" s="50">
        <f t="shared" ca="1" si="785"/>
        <v>54438.849323937728</v>
      </c>
      <c r="ZD27" s="50">
        <f t="shared" ca="1" si="786"/>
        <v>54020.792231547173</v>
      </c>
      <c r="ZE27" s="50">
        <f t="shared" ca="1" si="787"/>
        <v>53410.86768519289</v>
      </c>
      <c r="ZF27" s="50">
        <f t="shared" ca="1" si="788"/>
        <v>68860.124835389928</v>
      </c>
      <c r="ZG27" s="50">
        <f t="shared" ca="1" si="789"/>
        <v>52507.750655399039</v>
      </c>
      <c r="ZH27" s="50">
        <f t="shared" ca="1" si="790"/>
        <v>55655.753391924787</v>
      </c>
      <c r="ZI27" s="50">
        <f t="shared" ca="1" si="791"/>
        <v>48741.386112832304</v>
      </c>
      <c r="ZJ27" s="50">
        <f t="shared" ca="1" si="792"/>
        <v>63195.025171181172</v>
      </c>
      <c r="ZK27" s="50">
        <f t="shared" ca="1" si="793"/>
        <v>58309.22097662247</v>
      </c>
      <c r="ZL27" s="50">
        <f t="shared" ca="1" si="794"/>
        <v>55844.195830514764</v>
      </c>
      <c r="ZM27" s="50">
        <f t="shared" ca="1" si="795"/>
        <v>59695.176366831751</v>
      </c>
      <c r="ZN27" s="50">
        <f t="shared" ca="1" si="796"/>
        <v>47215.826052878743</v>
      </c>
      <c r="ZO27" s="50">
        <f t="shared" ca="1" si="797"/>
        <v>52610.662648271718</v>
      </c>
      <c r="ZP27" s="50">
        <f t="shared" ca="1" si="798"/>
        <v>67328.160887264967</v>
      </c>
      <c r="ZQ27" s="50">
        <f t="shared" ca="1" si="799"/>
        <v>69026.929806528671</v>
      </c>
      <c r="ZR27" s="50">
        <f t="shared" ca="1" si="800"/>
        <v>54563.806116001848</v>
      </c>
      <c r="ZS27" s="50">
        <f t="shared" ca="1" si="801"/>
        <v>60420.993087539551</v>
      </c>
      <c r="ZT27" s="50">
        <f t="shared" ca="1" si="802"/>
        <v>54727.593821649854</v>
      </c>
      <c r="ZU27" s="50">
        <f t="shared" ca="1" si="803"/>
        <v>59686.51963931894</v>
      </c>
      <c r="ZV27" s="50">
        <f t="shared" ca="1" si="804"/>
        <v>67226.264357996246</v>
      </c>
      <c r="ZW27" s="50">
        <f t="shared" ca="1" si="805"/>
        <v>62858.916687183337</v>
      </c>
      <c r="ZX27" s="50">
        <f t="shared" ca="1" si="806"/>
        <v>64066.952714053448</v>
      </c>
      <c r="ZY27" s="50">
        <f t="shared" ca="1" si="807"/>
        <v>47966.274838870027</v>
      </c>
      <c r="ZZ27" s="50">
        <f t="shared" ca="1" si="808"/>
        <v>67644.251311011234</v>
      </c>
      <c r="AAA27" s="50">
        <f t="shared" ca="1" si="809"/>
        <v>55794.483190217768</v>
      </c>
      <c r="AAB27" s="50">
        <f t="shared" ca="1" si="810"/>
        <v>66338.475573776814</v>
      </c>
      <c r="AAC27" s="50">
        <f t="shared" ca="1" si="811"/>
        <v>58463.155494877006</v>
      </c>
      <c r="AAD27" s="50">
        <f t="shared" ca="1" si="812"/>
        <v>46585.075980608439</v>
      </c>
      <c r="AAE27" s="50">
        <f t="shared" ca="1" si="813"/>
        <v>59649.829410073864</v>
      </c>
      <c r="AAF27" s="50">
        <f t="shared" ca="1" si="814"/>
        <v>45186.581481538196</v>
      </c>
      <c r="AAG27" s="50">
        <f t="shared" ca="1" si="815"/>
        <v>66790.656631973121</v>
      </c>
      <c r="AAH27" s="50">
        <f t="shared" ca="1" si="816"/>
        <v>59128.594489239818</v>
      </c>
      <c r="AAI27" s="50">
        <f t="shared" ca="1" si="817"/>
        <v>70477.646239845868</v>
      </c>
      <c r="AAJ27" s="50">
        <f t="shared" ca="1" si="818"/>
        <v>67752.778329258872</v>
      </c>
      <c r="AAK27" s="50">
        <f t="shared" ca="1" si="819"/>
        <v>63339.364955923615</v>
      </c>
      <c r="AAL27" s="50">
        <f t="shared" ca="1" si="820"/>
        <v>57063.62347884522</v>
      </c>
      <c r="AAM27" s="50">
        <f t="shared" ca="1" si="821"/>
        <v>56978.694134821148</v>
      </c>
      <c r="AAN27" s="50">
        <f t="shared" ca="1" si="822"/>
        <v>63334.668601296878</v>
      </c>
      <c r="AAO27" s="50">
        <f t="shared" ca="1" si="823"/>
        <v>57028.450462632558</v>
      </c>
      <c r="AAP27" s="50">
        <f t="shared" ca="1" si="824"/>
        <v>56579.479461901428</v>
      </c>
      <c r="AAQ27" s="50">
        <f t="shared" ca="1" si="825"/>
        <v>56301.130340583077</v>
      </c>
      <c r="AAR27" s="50">
        <f t="shared" ca="1" si="826"/>
        <v>58748.953306443451</v>
      </c>
      <c r="AAS27" s="50">
        <f t="shared" ca="1" si="827"/>
        <v>71464.414162045272</v>
      </c>
      <c r="AAT27" s="50">
        <f t="shared" ca="1" si="828"/>
        <v>52589.244189473851</v>
      </c>
      <c r="AAU27" s="50">
        <f t="shared" ca="1" si="829"/>
        <v>62810.751149930999</v>
      </c>
      <c r="AAV27" s="50">
        <f t="shared" ca="1" si="830"/>
        <v>56500.409549600889</v>
      </c>
      <c r="AAW27" s="50">
        <f t="shared" ca="1" si="831"/>
        <v>58635.357798679943</v>
      </c>
      <c r="AAX27" s="50">
        <f t="shared" ca="1" si="832"/>
        <v>65354.061826131598</v>
      </c>
      <c r="AAY27" s="50">
        <f t="shared" ca="1" si="833"/>
        <v>61403.322107577296</v>
      </c>
      <c r="AAZ27" s="50">
        <f t="shared" ca="1" si="834"/>
        <v>62266.180080374157</v>
      </c>
      <c r="ABA27" s="50">
        <f t="shared" ca="1" si="835"/>
        <v>57205.800074244733</v>
      </c>
      <c r="ABB27" s="50">
        <f t="shared" ca="1" si="836"/>
        <v>54004.513388162988</v>
      </c>
      <c r="ABC27" s="50">
        <f t="shared" ca="1" si="837"/>
        <v>66393.343554450039</v>
      </c>
      <c r="ABD27" s="50">
        <f t="shared" ca="1" si="838"/>
        <v>50975.892857084502</v>
      </c>
      <c r="ABE27" s="50">
        <f t="shared" ca="1" si="839"/>
        <v>65153.821491864765</v>
      </c>
      <c r="ABF27" s="50">
        <f t="shared" ca="1" si="840"/>
        <v>60738.304088011864</v>
      </c>
      <c r="ABG27" s="50">
        <f t="shared" ca="1" si="841"/>
        <v>55572.374549261316</v>
      </c>
      <c r="ABH27" s="50">
        <f t="shared" ca="1" si="842"/>
        <v>67852.103863197684</v>
      </c>
      <c r="ABI27" s="50">
        <f t="shared" ca="1" si="843"/>
        <v>58294.509582445055</v>
      </c>
      <c r="ABJ27" s="50">
        <f t="shared" ca="1" si="844"/>
        <v>53511.78197437273</v>
      </c>
      <c r="ABK27" s="50">
        <f t="shared" ca="1" si="845"/>
        <v>59367.486863038852</v>
      </c>
      <c r="ABL27" s="50">
        <f t="shared" ca="1" si="846"/>
        <v>59449.677032919179</v>
      </c>
      <c r="ABM27" s="50">
        <f t="shared" ca="1" si="847"/>
        <v>60442.299658235941</v>
      </c>
      <c r="ABN27" s="50">
        <f t="shared" ca="1" si="848"/>
        <v>58175.063061075271</v>
      </c>
      <c r="ABO27" s="50">
        <f t="shared" ca="1" si="849"/>
        <v>53527.300544315389</v>
      </c>
      <c r="ABP27" s="50">
        <f t="shared" ca="1" si="850"/>
        <v>58880.620662604473</v>
      </c>
      <c r="ABQ27" s="50">
        <f t="shared" ca="1" si="851"/>
        <v>47544.41510215876</v>
      </c>
      <c r="ABR27" s="50">
        <f t="shared" ca="1" si="852"/>
        <v>57928.880872805901</v>
      </c>
      <c r="ABS27" s="50">
        <f t="shared" ca="1" si="853"/>
        <v>61518.267423813006</v>
      </c>
      <c r="ABT27" s="50">
        <f t="shared" ca="1" si="854"/>
        <v>56691.756927253096</v>
      </c>
      <c r="ABU27" s="50">
        <f t="shared" ca="1" si="855"/>
        <v>58085.075238516081</v>
      </c>
      <c r="ABV27" s="50">
        <f t="shared" ca="1" si="856"/>
        <v>60547.267471915016</v>
      </c>
      <c r="ABW27" s="50">
        <f t="shared" ca="1" si="857"/>
        <v>49060.949250270438</v>
      </c>
      <c r="ABX27" s="50">
        <f t="shared" ca="1" si="858"/>
        <v>61562.355035244764</v>
      </c>
      <c r="ABY27" s="50">
        <f t="shared" ca="1" si="859"/>
        <v>57581.685297272947</v>
      </c>
      <c r="ABZ27" s="50">
        <f t="shared" ca="1" si="860"/>
        <v>57166.398680539081</v>
      </c>
      <c r="ACA27" s="50">
        <f t="shared" ca="1" si="861"/>
        <v>69654.842898270537</v>
      </c>
      <c r="ACB27" s="50">
        <f t="shared" ca="1" si="862"/>
        <v>62950.770543840066</v>
      </c>
      <c r="ACC27" s="50">
        <f t="shared" ca="1" si="863"/>
        <v>53213.248885253379</v>
      </c>
      <c r="ACD27" s="50">
        <f t="shared" ca="1" si="864"/>
        <v>53819.62062368387</v>
      </c>
      <c r="ACE27" s="50">
        <f t="shared" ca="1" si="865"/>
        <v>67710.441021708699</v>
      </c>
      <c r="ACF27" s="50">
        <f t="shared" ca="1" si="866"/>
        <v>60228.704670265077</v>
      </c>
      <c r="ACG27" s="50">
        <f t="shared" ca="1" si="867"/>
        <v>66878.345213485329</v>
      </c>
      <c r="ACH27" s="50">
        <f t="shared" ca="1" si="868"/>
        <v>71671.222814352921</v>
      </c>
      <c r="ACI27" s="50">
        <f t="shared" ca="1" si="869"/>
        <v>61601.695725455829</v>
      </c>
      <c r="ACJ27" s="50">
        <f t="shared" ca="1" si="870"/>
        <v>82226.683004594277</v>
      </c>
      <c r="ACK27" s="50">
        <f t="shared" ca="1" si="871"/>
        <v>60568.834516855495</v>
      </c>
      <c r="ACL27" s="50">
        <f t="shared" ca="1" si="872"/>
        <v>47914.418217458449</v>
      </c>
      <c r="ACM27" s="50">
        <f t="shared" ca="1" si="873"/>
        <v>52689.397741080364</v>
      </c>
      <c r="ACN27" s="50">
        <f t="shared" ca="1" si="874"/>
        <v>58779.665427000837</v>
      </c>
      <c r="ACO27" s="50">
        <f t="shared" ca="1" si="875"/>
        <v>53677.79883700551</v>
      </c>
      <c r="ACP27" s="50">
        <f t="shared" ca="1" si="876"/>
        <v>56928.871236940271</v>
      </c>
      <c r="ACQ27" s="50">
        <f t="shared" ca="1" si="877"/>
        <v>51269.439609258778</v>
      </c>
      <c r="ACR27" s="50">
        <f t="shared" ca="1" si="878"/>
        <v>58414.685085354744</v>
      </c>
      <c r="ACS27" s="50">
        <f t="shared" ca="1" si="879"/>
        <v>52507.670753159298</v>
      </c>
      <c r="ACT27" s="50">
        <f t="shared" ca="1" si="880"/>
        <v>56828.09565102066</v>
      </c>
      <c r="ACU27" s="50">
        <f t="shared" ca="1" si="881"/>
        <v>50135.574585258481</v>
      </c>
      <c r="ACV27" s="50">
        <f t="shared" ca="1" si="882"/>
        <v>54314.666767071009</v>
      </c>
      <c r="ACW27" s="50">
        <f t="shared" ca="1" si="883"/>
        <v>59386.72289311677</v>
      </c>
      <c r="ACX27" s="50">
        <f t="shared" ca="1" si="884"/>
        <v>58673.162900721887</v>
      </c>
      <c r="ACY27" s="50">
        <f t="shared" ca="1" si="885"/>
        <v>50935.408398364438</v>
      </c>
      <c r="ACZ27" s="50">
        <f t="shared" ca="1" si="886"/>
        <v>68430.452608069856</v>
      </c>
      <c r="ADA27" s="50">
        <f t="shared" ca="1" si="887"/>
        <v>79823.429194454176</v>
      </c>
      <c r="ADB27" s="50">
        <f t="shared" ca="1" si="888"/>
        <v>57711.555862930363</v>
      </c>
      <c r="ADC27" s="50">
        <f t="shared" ca="1" si="889"/>
        <v>66529.855640684458</v>
      </c>
      <c r="ADD27" s="50">
        <f t="shared" ca="1" si="890"/>
        <v>46295.97724604456</v>
      </c>
      <c r="ADE27" s="50">
        <f t="shared" ca="1" si="891"/>
        <v>64520.258468283355</v>
      </c>
      <c r="ADF27" s="50">
        <f t="shared" ca="1" si="892"/>
        <v>63677.299647035659</v>
      </c>
      <c r="ADG27" s="50">
        <f t="shared" ca="1" si="893"/>
        <v>70549.633584315889</v>
      </c>
      <c r="ADH27" s="50">
        <f t="shared" ca="1" si="894"/>
        <v>49125.928851558754</v>
      </c>
      <c r="ADI27" s="50">
        <f t="shared" ca="1" si="895"/>
        <v>50481.169692343363</v>
      </c>
      <c r="ADJ27" s="50">
        <f t="shared" ca="1" si="896"/>
        <v>63781.011351359506</v>
      </c>
      <c r="ADK27" s="50">
        <f t="shared" ca="1" si="897"/>
        <v>54971.391343514922</v>
      </c>
      <c r="ADL27" s="50">
        <f t="shared" ca="1" si="898"/>
        <v>57887.332376450759</v>
      </c>
      <c r="ADM27" s="50">
        <f t="shared" ca="1" si="899"/>
        <v>57524.637395556485</v>
      </c>
      <c r="ADN27" s="50">
        <f t="shared" ca="1" si="900"/>
        <v>58365.697308626135</v>
      </c>
      <c r="ADO27" s="50">
        <f t="shared" ca="1" si="901"/>
        <v>51441.421124337583</v>
      </c>
      <c r="ADP27" s="50">
        <f t="shared" ca="1" si="902"/>
        <v>56660.091026783542</v>
      </c>
      <c r="ADQ27" s="50">
        <f t="shared" ca="1" si="903"/>
        <v>48711.120016370289</v>
      </c>
      <c r="ADR27" s="50">
        <f t="shared" ca="1" si="904"/>
        <v>59293.982869843639</v>
      </c>
      <c r="ADS27" s="50">
        <f t="shared" ca="1" si="905"/>
        <v>54777.564912685171</v>
      </c>
      <c r="ADT27" s="50">
        <f t="shared" ca="1" si="906"/>
        <v>65240.37250835717</v>
      </c>
      <c r="ADU27" s="50">
        <f t="shared" ca="1" si="907"/>
        <v>58882.857168036557</v>
      </c>
      <c r="ADV27" s="50">
        <f t="shared" ca="1" si="908"/>
        <v>68477.428153670611</v>
      </c>
      <c r="ADW27" s="50">
        <f t="shared" ca="1" si="909"/>
        <v>52671.482370275517</v>
      </c>
      <c r="ADX27" s="50">
        <f t="shared" ca="1" si="910"/>
        <v>62434.719327657993</v>
      </c>
      <c r="ADY27" s="50">
        <f t="shared" ca="1" si="911"/>
        <v>63869.945133435278</v>
      </c>
      <c r="ADZ27" s="50">
        <f t="shared" ca="1" si="912"/>
        <v>53411.28319952701</v>
      </c>
      <c r="AEA27" s="50">
        <f t="shared" ca="1" si="913"/>
        <v>56766.602587021414</v>
      </c>
      <c r="AEB27" s="50">
        <f t="shared" ca="1" si="914"/>
        <v>66382.364441257901</v>
      </c>
      <c r="AEC27" s="50">
        <f t="shared" ca="1" si="915"/>
        <v>69676.58491917215</v>
      </c>
      <c r="AED27" s="50">
        <f t="shared" ca="1" si="916"/>
        <v>64681.361949377591</v>
      </c>
      <c r="AEE27" s="50">
        <f t="shared" ca="1" si="917"/>
        <v>52967.520571223467</v>
      </c>
      <c r="AEF27" s="50">
        <f t="shared" ca="1" si="918"/>
        <v>61461.934864224801</v>
      </c>
      <c r="AEG27" s="50">
        <f t="shared" ca="1" si="919"/>
        <v>50111.41678729566</v>
      </c>
      <c r="AEH27" s="50">
        <f t="shared" ca="1" si="920"/>
        <v>65113.624364763426</v>
      </c>
      <c r="AEI27" s="50">
        <f t="shared" ca="1" si="921"/>
        <v>59336.013154908076</v>
      </c>
      <c r="AEJ27" s="50">
        <f t="shared" ca="1" si="922"/>
        <v>57070.790665339002</v>
      </c>
      <c r="AEK27" s="50">
        <f t="shared" ca="1" si="923"/>
        <v>67524.552463063024</v>
      </c>
      <c r="AEL27" s="50">
        <f t="shared" ca="1" si="924"/>
        <v>59538.854018197038</v>
      </c>
      <c r="AEM27" s="50">
        <f t="shared" ca="1" si="925"/>
        <v>64367.324034670506</v>
      </c>
      <c r="AEN27" s="50">
        <f t="shared" ca="1" si="926"/>
        <v>71545.885114937424</v>
      </c>
      <c r="AEO27" s="50">
        <f t="shared" ca="1" si="927"/>
        <v>74848.906330129612</v>
      </c>
      <c r="AEP27" s="50">
        <f t="shared" ca="1" si="928"/>
        <v>53063.386756084365</v>
      </c>
      <c r="AEQ27" s="50">
        <f t="shared" ca="1" si="929"/>
        <v>60633.403881069084</v>
      </c>
      <c r="AER27" s="50">
        <f t="shared" ca="1" si="930"/>
        <v>57665.819925924756</v>
      </c>
      <c r="AES27" s="50">
        <f t="shared" ca="1" si="931"/>
        <v>50269.542075651356</v>
      </c>
      <c r="AET27" s="50">
        <f t="shared" ca="1" si="932"/>
        <v>70193.911124945807</v>
      </c>
      <c r="AEU27" s="50">
        <f t="shared" ca="1" si="933"/>
        <v>70219.83119938556</v>
      </c>
      <c r="AEV27" s="50">
        <f t="shared" ca="1" si="934"/>
        <v>74860.058219561426</v>
      </c>
      <c r="AEW27" s="50">
        <f t="shared" ca="1" si="935"/>
        <v>71187.508361870059</v>
      </c>
      <c r="AEX27" s="50">
        <f t="shared" ca="1" si="936"/>
        <v>56590.424018358513</v>
      </c>
      <c r="AEY27" s="50">
        <f t="shared" ca="1" si="937"/>
        <v>52254.808473798963</v>
      </c>
      <c r="AEZ27" s="50">
        <f t="shared" ca="1" si="938"/>
        <v>64417.861660528441</v>
      </c>
      <c r="AFA27" s="50">
        <f t="shared" ca="1" si="939"/>
        <v>51849.006291176724</v>
      </c>
      <c r="AFB27" s="50">
        <f t="shared" ca="1" si="940"/>
        <v>56106.253310492139</v>
      </c>
      <c r="AFC27" s="50">
        <f t="shared" ca="1" si="941"/>
        <v>59631.115458161185</v>
      </c>
      <c r="AFD27" s="50">
        <f t="shared" ca="1" si="942"/>
        <v>57967.918457934007</v>
      </c>
      <c r="AFE27" s="50">
        <f t="shared" ca="1" si="943"/>
        <v>42508.531005800396</v>
      </c>
      <c r="AFF27" s="50">
        <f t="shared" ca="1" si="944"/>
        <v>64054.28978438404</v>
      </c>
      <c r="AFG27" s="50">
        <f t="shared" ca="1" si="945"/>
        <v>53046.285684969756</v>
      </c>
      <c r="AFH27" s="50">
        <f t="shared" ca="1" si="946"/>
        <v>57326.757481461864</v>
      </c>
      <c r="AFI27" s="50">
        <f t="shared" ca="1" si="947"/>
        <v>49435.303079914876</v>
      </c>
      <c r="AFJ27" s="50">
        <f t="shared" ca="1" si="948"/>
        <v>59232.9914671972</v>
      </c>
      <c r="AFK27" s="50">
        <f t="shared" ca="1" si="949"/>
        <v>54476.119339720455</v>
      </c>
      <c r="AFL27" s="50">
        <f t="shared" ca="1" si="950"/>
        <v>50940.431477411548</v>
      </c>
      <c r="AFM27" s="50">
        <f t="shared" ca="1" si="951"/>
        <v>53640.303217669105</v>
      </c>
      <c r="AFN27" s="50">
        <f t="shared" ca="1" si="952"/>
        <v>55521.17027703629</v>
      </c>
      <c r="AFO27" s="50">
        <f t="shared" ca="1" si="953"/>
        <v>61628.204326971718</v>
      </c>
      <c r="AFP27" s="50">
        <f t="shared" ca="1" si="954"/>
        <v>55807.590316788301</v>
      </c>
      <c r="AFQ27" s="50">
        <f t="shared" ca="1" si="955"/>
        <v>60590.626057989648</v>
      </c>
      <c r="AFR27" s="50">
        <f t="shared" ca="1" si="956"/>
        <v>57300.550785859996</v>
      </c>
      <c r="AFS27" s="50">
        <f t="shared" ca="1" si="957"/>
        <v>49890.912714144411</v>
      </c>
      <c r="AFT27" s="50">
        <f t="shared" ca="1" si="958"/>
        <v>65725.909475715831</v>
      </c>
      <c r="AFU27" s="50">
        <f t="shared" ca="1" si="959"/>
        <v>63675.571905377132</v>
      </c>
      <c r="AFV27" s="50">
        <f t="shared" ca="1" si="960"/>
        <v>62325.923228093459</v>
      </c>
      <c r="AFW27" s="50">
        <f t="shared" ca="1" si="961"/>
        <v>62708.283062724877</v>
      </c>
      <c r="AFX27" s="50">
        <f t="shared" ca="1" si="962"/>
        <v>56675.073742097207</v>
      </c>
      <c r="AFY27" s="50">
        <f t="shared" ca="1" si="963"/>
        <v>54921.308824298954</v>
      </c>
      <c r="AFZ27" s="50">
        <f t="shared" ca="1" si="964"/>
        <v>60345.257770506338</v>
      </c>
      <c r="AGA27" s="50">
        <f t="shared" ca="1" si="965"/>
        <v>71926.934533575593</v>
      </c>
      <c r="AGB27" s="50">
        <f t="shared" ca="1" si="966"/>
        <v>67887.995446793764</v>
      </c>
      <c r="AGC27" s="50">
        <f t="shared" ca="1" si="967"/>
        <v>67787.052503877523</v>
      </c>
      <c r="AGD27" s="50">
        <f t="shared" ca="1" si="968"/>
        <v>51316.215927656704</v>
      </c>
      <c r="AGE27" s="50">
        <f t="shared" ca="1" si="969"/>
        <v>57625.509859733917</v>
      </c>
      <c r="AGF27" s="50">
        <f t="shared" ca="1" si="970"/>
        <v>52722.944660492249</v>
      </c>
      <c r="AGG27" s="50">
        <f t="shared" ca="1" si="971"/>
        <v>66018.562652345514</v>
      </c>
      <c r="AGH27" s="50">
        <f t="shared" ca="1" si="972"/>
        <v>73900.622127626746</v>
      </c>
      <c r="AGI27" s="50">
        <f t="shared" ca="1" si="973"/>
        <v>55811.028252503922</v>
      </c>
      <c r="AGJ27" s="50">
        <f t="shared" ca="1" si="974"/>
        <v>63265.172982102638</v>
      </c>
      <c r="AGK27" s="50">
        <f t="shared" ca="1" si="975"/>
        <v>79592.846255059761</v>
      </c>
      <c r="AGL27" s="50">
        <f t="shared" ca="1" si="976"/>
        <v>47829.477638292687</v>
      </c>
      <c r="AGM27" s="50">
        <f t="shared" ca="1" si="977"/>
        <v>62635.278859556071</v>
      </c>
      <c r="AGN27" s="50">
        <f t="shared" ca="1" si="978"/>
        <v>69174.539639499955</v>
      </c>
      <c r="AGO27" s="50">
        <f t="shared" ca="1" si="979"/>
        <v>46592.979833618272</v>
      </c>
      <c r="AGP27" s="50">
        <f t="shared" ca="1" si="980"/>
        <v>60350.996272475168</v>
      </c>
      <c r="AGQ27" s="50">
        <f t="shared" ca="1" si="981"/>
        <v>63708.317639010966</v>
      </c>
      <c r="AGR27" s="50">
        <f t="shared" ca="1" si="982"/>
        <v>58820.850043275655</v>
      </c>
      <c r="AGS27" s="50">
        <f t="shared" ca="1" si="983"/>
        <v>61556.028931802946</v>
      </c>
      <c r="AGT27" s="50">
        <f t="shared" ca="1" si="984"/>
        <v>60882.116041270805</v>
      </c>
      <c r="AGU27" s="50">
        <f t="shared" ca="1" si="985"/>
        <v>61398.311614432721</v>
      </c>
      <c r="AGV27" s="50">
        <f t="shared" ca="1" si="986"/>
        <v>62137.561804429002</v>
      </c>
      <c r="AGW27" s="50">
        <f t="shared" ca="1" si="987"/>
        <v>50943.523567160744</v>
      </c>
      <c r="AGX27" s="50">
        <f t="shared" ca="1" si="988"/>
        <v>55980.881026776879</v>
      </c>
      <c r="AGY27" s="50">
        <f t="shared" ca="1" si="989"/>
        <v>65696.644376958066</v>
      </c>
      <c r="AGZ27" s="50">
        <f t="shared" ca="1" si="990"/>
        <v>53701.361532997536</v>
      </c>
      <c r="AHA27" s="50">
        <f t="shared" ca="1" si="991"/>
        <v>61977.025670294541</v>
      </c>
      <c r="AHB27" s="50">
        <f t="shared" ca="1" si="992"/>
        <v>54794.734223699328</v>
      </c>
      <c r="AHC27" s="50">
        <f t="shared" ca="1" si="993"/>
        <v>58838.74333364112</v>
      </c>
      <c r="AHD27" s="50">
        <f t="shared" ca="1" si="994"/>
        <v>48635.626860417389</v>
      </c>
      <c r="AHE27" s="50">
        <f t="shared" ca="1" si="995"/>
        <v>68361.385256080292</v>
      </c>
      <c r="AHF27" s="50">
        <f t="shared" ca="1" si="996"/>
        <v>65387.468516023568</v>
      </c>
      <c r="AHG27" s="50">
        <f t="shared" ca="1" si="997"/>
        <v>54800.122549786662</v>
      </c>
      <c r="AHH27" s="50">
        <f t="shared" ca="1" si="998"/>
        <v>62138.949717674273</v>
      </c>
      <c r="AHI27" s="50">
        <f t="shared" ca="1" si="999"/>
        <v>53557.5078892202</v>
      </c>
      <c r="AHJ27" s="50">
        <f t="shared" ca="1" si="1000"/>
        <v>78131.88632246395</v>
      </c>
      <c r="AHK27" s="50">
        <f t="shared" ca="1" si="1001"/>
        <v>54733.606146554426</v>
      </c>
      <c r="AHL27" s="50">
        <f t="shared" ca="1" si="1002"/>
        <v>56860.16971449829</v>
      </c>
      <c r="AHM27" s="50">
        <f t="shared" ca="1" si="1003"/>
        <v>64935.004414343013</v>
      </c>
      <c r="AHN27" s="50">
        <f t="shared" ca="1" si="1004"/>
        <v>63321.878031955566</v>
      </c>
      <c r="AHO27" s="50">
        <f t="shared" ca="1" si="1005"/>
        <v>56737.492170928541</v>
      </c>
      <c r="AHP27" s="50">
        <f t="shared" ca="1" si="1006"/>
        <v>52652.966272800099</v>
      </c>
      <c r="AHQ27" s="50">
        <f t="shared" ca="1" si="1007"/>
        <v>59677.863778814979</v>
      </c>
      <c r="AHR27" s="50">
        <f t="shared" ca="1" si="1008"/>
        <v>53556.106053789117</v>
      </c>
      <c r="AHS27" s="50">
        <f t="shared" ca="1" si="1009"/>
        <v>46231.447888283728</v>
      </c>
      <c r="AHT27" s="50">
        <f t="shared" ca="1" si="1010"/>
        <v>61799.923712063523</v>
      </c>
      <c r="AHU27" s="50">
        <f t="shared" ca="1" si="1011"/>
        <v>51349.129295447106</v>
      </c>
      <c r="AHV27" s="50">
        <f t="shared" ca="1" si="1012"/>
        <v>57926.735315025078</v>
      </c>
      <c r="AHW27" s="50">
        <f t="shared" ca="1" si="1013"/>
        <v>54861.788609939656</v>
      </c>
      <c r="AHX27" s="50">
        <f t="shared" ca="1" si="1014"/>
        <v>59202.08894595375</v>
      </c>
      <c r="AHY27" s="50">
        <f t="shared" ca="1" si="1015"/>
        <v>71399.399330111162</v>
      </c>
      <c r="AHZ27" s="50">
        <f t="shared" ca="1" si="1016"/>
        <v>64133.592323056087</v>
      </c>
      <c r="AIA27" s="50">
        <f t="shared" ca="1" si="1017"/>
        <v>55339.73148381892</v>
      </c>
      <c r="AIB27" s="50">
        <f t="shared" ca="1" si="1018"/>
        <v>51886.47595873705</v>
      </c>
      <c r="AIC27" s="50">
        <f t="shared" ca="1" si="1019"/>
        <v>60071.495226535699</v>
      </c>
      <c r="AID27" s="50">
        <f t="shared" ca="1" si="1020"/>
        <v>63955.895492372518</v>
      </c>
      <c r="AIE27" s="50">
        <f t="shared" ca="1" si="1021"/>
        <v>56526.764183790867</v>
      </c>
      <c r="AIF27" s="50">
        <f t="shared" ca="1" si="1022"/>
        <v>55011.498834857462</v>
      </c>
      <c r="AIG27" s="50">
        <f t="shared" ca="1" si="1023"/>
        <v>58333.5311081982</v>
      </c>
      <c r="AIH27" s="50">
        <f t="shared" ca="1" si="1024"/>
        <v>60515.970954572404</v>
      </c>
      <c r="AII27" s="50">
        <f t="shared" ca="1" si="1025"/>
        <v>60325.133964588895</v>
      </c>
      <c r="AIJ27" s="50">
        <f t="shared" ca="1" si="1026"/>
        <v>57184.151043195423</v>
      </c>
      <c r="AIK27" s="50">
        <f t="shared" ca="1" si="1027"/>
        <v>69772.352194884326</v>
      </c>
      <c r="AIL27" s="50">
        <f t="shared" ca="1" si="1028"/>
        <v>61077.938567932601</v>
      </c>
      <c r="AIM27" s="50">
        <f t="shared" ca="1" si="1029"/>
        <v>52135.450408649711</v>
      </c>
      <c r="AIN27" s="50">
        <f t="shared" ca="1" si="1030"/>
        <v>63027.240153832987</v>
      </c>
      <c r="AIO27" s="50">
        <f t="shared" ca="1" si="1031"/>
        <v>58566.349938931227</v>
      </c>
      <c r="AIP27" s="50">
        <f t="shared" ca="1" si="1032"/>
        <v>71827.215375637999</v>
      </c>
      <c r="AIQ27" s="50">
        <f t="shared" ca="1" si="1033"/>
        <v>47950.338671642618</v>
      </c>
      <c r="AIR27" s="50">
        <f t="shared" ca="1" si="1034"/>
        <v>50863.911228507881</v>
      </c>
      <c r="AIS27" s="50">
        <f t="shared" ca="1" si="1035"/>
        <v>53381.429435609563</v>
      </c>
      <c r="AIT27" s="50">
        <f t="shared" ca="1" si="1036"/>
        <v>44025.570946328466</v>
      </c>
      <c r="AIU27" s="50">
        <f t="shared" ca="1" si="1037"/>
        <v>59474.239371557611</v>
      </c>
      <c r="AIV27" s="50">
        <f t="shared" ca="1" si="1038"/>
        <v>56368.30579495649</v>
      </c>
      <c r="AIW27" s="50">
        <f t="shared" ca="1" si="1039"/>
        <v>60147.798186824592</v>
      </c>
      <c r="AIX27" s="50">
        <f t="shared" ca="1" si="1040"/>
        <v>66125.20133399684</v>
      </c>
      <c r="AIY27" s="50">
        <f t="shared" ca="1" si="1041"/>
        <v>46692.986581390964</v>
      </c>
      <c r="AIZ27" s="50">
        <f t="shared" ca="1" si="1042"/>
        <v>75198.174494231876</v>
      </c>
      <c r="AJA27" s="50">
        <f t="shared" ca="1" si="1043"/>
        <v>59594.739021354435</v>
      </c>
      <c r="AJB27" s="50">
        <f t="shared" ca="1" si="1044"/>
        <v>71855.951026865252</v>
      </c>
      <c r="AJC27" s="50">
        <f t="shared" ca="1" si="1045"/>
        <v>59921.847889170982</v>
      </c>
      <c r="AJD27" s="50">
        <f t="shared" ca="1" si="1046"/>
        <v>55292.667403044368</v>
      </c>
      <c r="AJE27" s="50">
        <f t="shared" ca="1" si="1047"/>
        <v>63448.221482426306</v>
      </c>
      <c r="AJF27" s="50">
        <f t="shared" ca="1" si="1048"/>
        <v>66972.633215638954</v>
      </c>
      <c r="AJG27" s="50">
        <f t="shared" ca="1" si="1049"/>
        <v>54156.345936803344</v>
      </c>
      <c r="AJH27" s="50">
        <f t="shared" ca="1" si="1050"/>
        <v>71055.612800666277</v>
      </c>
      <c r="AJI27" s="50">
        <f t="shared" ca="1" si="1051"/>
        <v>49821.487680947692</v>
      </c>
      <c r="AJJ27" s="50">
        <f t="shared" ca="1" si="1052"/>
        <v>65271.081330652865</v>
      </c>
      <c r="AJK27" s="50">
        <f t="shared" ca="1" si="1053"/>
        <v>54285.289186733506</v>
      </c>
      <c r="AJL27" s="50">
        <f t="shared" ca="1" si="1054"/>
        <v>59815.411983445549</v>
      </c>
      <c r="AJM27" s="50">
        <f t="shared" ca="1" si="1055"/>
        <v>54173.795848036454</v>
      </c>
      <c r="AJN27" s="50">
        <f t="shared" ca="1" si="1056"/>
        <v>67420.685127179007</v>
      </c>
      <c r="AJO27" s="50">
        <f t="shared" ca="1" si="1057"/>
        <v>50385.200861358579</v>
      </c>
      <c r="AJP27" s="50">
        <f t="shared" ca="1" si="1058"/>
        <v>62524.037336813533</v>
      </c>
      <c r="AJQ27" s="50">
        <f t="shared" ca="1" si="1059"/>
        <v>60784.017922994783</v>
      </c>
      <c r="AJR27" s="50">
        <f t="shared" ca="1" si="1060"/>
        <v>63336.200600595846</v>
      </c>
      <c r="AJS27" s="50">
        <f t="shared" ca="1" si="1061"/>
        <v>51579.066242138804</v>
      </c>
      <c r="AJT27" s="50">
        <f t="shared" ca="1" si="1062"/>
        <v>48696.594060770491</v>
      </c>
      <c r="AJU27" s="50">
        <f t="shared" ca="1" si="1063"/>
        <v>63125.858456380352</v>
      </c>
      <c r="AJV27" s="50">
        <f t="shared" ca="1" si="1064"/>
        <v>58425.755194835292</v>
      </c>
      <c r="AJW27" s="50">
        <f t="shared" ca="1" si="1065"/>
        <v>46009.830407143883</v>
      </c>
      <c r="AJX27" s="50">
        <f t="shared" ca="1" si="1066"/>
        <v>54130.37184287225</v>
      </c>
      <c r="AJY27" s="50">
        <f t="shared" ca="1" si="1067"/>
        <v>62141.712345332955</v>
      </c>
      <c r="AJZ27" s="50">
        <f t="shared" ca="1" si="1068"/>
        <v>67057.412027841376</v>
      </c>
      <c r="AKA27" s="50">
        <f t="shared" ca="1" si="1069"/>
        <v>65902.56284295459</v>
      </c>
      <c r="AKB27" s="50">
        <f t="shared" ca="1" si="1070"/>
        <v>54003.249207081841</v>
      </c>
      <c r="AKC27" s="50">
        <f t="shared" ca="1" si="1071"/>
        <v>57571.580496009519</v>
      </c>
      <c r="AKD27" s="50">
        <f t="shared" ca="1" si="1072"/>
        <v>56057.405424189405</v>
      </c>
      <c r="AKE27" s="50">
        <f t="shared" ca="1" si="1073"/>
        <v>53802.484354864071</v>
      </c>
      <c r="AKF27" s="50">
        <f t="shared" ca="1" si="1074"/>
        <v>53147.108445959049</v>
      </c>
      <c r="AKG27" s="50">
        <f t="shared" ca="1" si="1075"/>
        <v>56340.399684219417</v>
      </c>
      <c r="AKH27" s="50">
        <f t="shared" ca="1" si="1076"/>
        <v>58391.396002580193</v>
      </c>
      <c r="AKI27" s="50">
        <f t="shared" ca="1" si="1077"/>
        <v>65697.146039656756</v>
      </c>
      <c r="AKJ27" s="50">
        <f t="shared" ca="1" si="1078"/>
        <v>60007.565086676877</v>
      </c>
      <c r="AKK27" s="50">
        <f t="shared" ca="1" si="1079"/>
        <v>53729.885126510722</v>
      </c>
      <c r="AKL27" s="50">
        <f t="shared" ca="1" si="1080"/>
        <v>59147.948360079667</v>
      </c>
      <c r="AKM27" s="50">
        <f t="shared" ca="1" si="1081"/>
        <v>54570.057316218124</v>
      </c>
      <c r="AKN27" s="50">
        <f t="shared" ca="1" si="1082"/>
        <v>63931.370044244693</v>
      </c>
      <c r="AKO27" s="50">
        <f t="shared" ca="1" si="1083"/>
        <v>56337.940651530262</v>
      </c>
      <c r="AKP27" s="50">
        <f t="shared" ca="1" si="1084"/>
        <v>54666.801724916608</v>
      </c>
      <c r="AKQ27" s="50">
        <f t="shared" ca="1" si="1085"/>
        <v>49646.54416203568</v>
      </c>
      <c r="AKR27" s="50">
        <f t="shared" ca="1" si="1086"/>
        <v>46781.30297501506</v>
      </c>
      <c r="AKS27" s="50">
        <f t="shared" ca="1" si="1087"/>
        <v>53294.380313714471</v>
      </c>
      <c r="AKT27" s="50">
        <f t="shared" ca="1" si="1088"/>
        <v>53079.977412987471</v>
      </c>
      <c r="AKU27" s="50">
        <f t="shared" ca="1" si="1089"/>
        <v>52030.53588845257</v>
      </c>
      <c r="AKV27" s="50">
        <f t="shared" ca="1" si="1090"/>
        <v>54617.098709795559</v>
      </c>
      <c r="AKW27" s="50">
        <f t="shared" ca="1" si="1091"/>
        <v>64857.334884483891</v>
      </c>
      <c r="AKX27" s="50">
        <f t="shared" ca="1" si="1092"/>
        <v>66430.191528847121</v>
      </c>
      <c r="AKY27" s="50">
        <f t="shared" ca="1" si="1093"/>
        <v>57004.181973000515</v>
      </c>
      <c r="AKZ27" s="50">
        <f t="shared" ca="1" si="1094"/>
        <v>57662.218695550422</v>
      </c>
      <c r="ALA27" s="50">
        <f t="shared" ca="1" si="1095"/>
        <v>55446.976491689034</v>
      </c>
      <c r="ALB27" s="50">
        <f t="shared" ca="1" si="1096"/>
        <v>59893.615534229917</v>
      </c>
      <c r="ALC27" s="50">
        <f t="shared" ca="1" si="1097"/>
        <v>51314.026940817523</v>
      </c>
      <c r="ALD27" s="50">
        <f t="shared" ca="1" si="1098"/>
        <v>58359.333232901001</v>
      </c>
      <c r="ALE27" s="50">
        <f t="shared" ca="1" si="1099"/>
        <v>55727.141941487651</v>
      </c>
      <c r="ALF27" s="50">
        <f t="shared" ca="1" si="1100"/>
        <v>58579.600660889926</v>
      </c>
      <c r="ALG27" s="50">
        <f t="shared" ca="1" si="1101"/>
        <v>48661.909446207872</v>
      </c>
      <c r="ALH27" s="50">
        <f t="shared" ca="1" si="1102"/>
        <v>55654.085557244653</v>
      </c>
      <c r="ALI27" s="50">
        <f t="shared" ca="1" si="1103"/>
        <v>52704.799155703433</v>
      </c>
      <c r="ALJ27" s="50">
        <f t="shared" ca="1" si="1104"/>
        <v>57855.900950751071</v>
      </c>
      <c r="ALK27" s="50">
        <f t="shared" ca="1" si="1105"/>
        <v>64091.428856556384</v>
      </c>
      <c r="ALL27" s="50">
        <f t="shared" ca="1" si="1106"/>
        <v>56925.887426133733</v>
      </c>
      <c r="ALM27" s="50">
        <f t="shared" ca="1" si="1107"/>
        <v>46036.038979378973</v>
      </c>
      <c r="ALN27" s="50">
        <f t="shared" ca="1" si="1108"/>
        <v>62380.687420279901</v>
      </c>
      <c r="ALO27" s="50">
        <f t="shared" ca="1" si="1109"/>
        <v>68157.105446397312</v>
      </c>
      <c r="ALP27" s="50">
        <f t="shared" ca="1" si="1110"/>
        <v>44801.647578571276</v>
      </c>
      <c r="ALQ27" s="50">
        <f t="shared" ca="1" si="1111"/>
        <v>51274.376611877036</v>
      </c>
      <c r="ALR27" s="50">
        <f t="shared" ca="1" si="1112"/>
        <v>55213.613102008669</v>
      </c>
    </row>
    <row r="28" spans="1:1006" s="35" customFormat="1" x14ac:dyDescent="0.2">
      <c r="F28" s="32">
        <f t="shared" si="1114"/>
        <v>9</v>
      </c>
      <c r="G28" s="50">
        <f t="shared" ca="1" si="1115"/>
        <v>54822.135698372585</v>
      </c>
      <c r="H28" s="50">
        <f t="shared" ca="1" si="1113"/>
        <v>48800.495075516999</v>
      </c>
      <c r="I28" s="50">
        <f t="shared" ca="1" si="1113"/>
        <v>56178.467122317648</v>
      </c>
      <c r="J28" s="50">
        <f t="shared" ca="1" si="1113"/>
        <v>57531.997701211869</v>
      </c>
      <c r="K28" s="50">
        <f t="shared" ca="1" si="1113"/>
        <v>72658.399182023233</v>
      </c>
      <c r="L28" s="50">
        <f t="shared" ca="1" si="118"/>
        <v>69945.613009960318</v>
      </c>
      <c r="M28" s="50">
        <f t="shared" ca="1" si="119"/>
        <v>54361.188352655838</v>
      </c>
      <c r="N28" s="50">
        <f t="shared" ca="1" si="120"/>
        <v>59366.245602841853</v>
      </c>
      <c r="O28" s="50">
        <f t="shared" ca="1" si="121"/>
        <v>56776.095467107101</v>
      </c>
      <c r="P28" s="50">
        <f t="shared" ca="1" si="122"/>
        <v>62545.340003346333</v>
      </c>
      <c r="Q28" s="50">
        <f t="shared" ca="1" si="123"/>
        <v>55390.147100562564</v>
      </c>
      <c r="R28" s="50">
        <f t="shared" ca="1" si="124"/>
        <v>60317.957859834096</v>
      </c>
      <c r="S28" s="50">
        <f t="shared" ca="1" si="125"/>
        <v>74832.992435042048</v>
      </c>
      <c r="T28" s="50">
        <f t="shared" ca="1" si="126"/>
        <v>60664.336335283908</v>
      </c>
      <c r="U28" s="50">
        <f t="shared" ca="1" si="127"/>
        <v>58118.547894000258</v>
      </c>
      <c r="V28" s="50">
        <f t="shared" ca="1" si="128"/>
        <v>61681.686394242679</v>
      </c>
      <c r="W28" s="50">
        <f t="shared" ca="1" si="129"/>
        <v>54496.073816760691</v>
      </c>
      <c r="X28" s="50">
        <f t="shared" ca="1" si="130"/>
        <v>64774.66346544394</v>
      </c>
      <c r="Y28" s="50">
        <f t="shared" ca="1" si="131"/>
        <v>52984.373702578945</v>
      </c>
      <c r="Z28" s="50">
        <f t="shared" ca="1" si="132"/>
        <v>53334.134609316898</v>
      </c>
      <c r="AA28" s="50">
        <f t="shared" ca="1" si="133"/>
        <v>59094.518314463618</v>
      </c>
      <c r="AB28" s="50">
        <f t="shared" ca="1" si="134"/>
        <v>53185.181749258067</v>
      </c>
      <c r="AC28" s="50">
        <f t="shared" ca="1" si="135"/>
        <v>58360.032355553427</v>
      </c>
      <c r="AD28" s="50">
        <f t="shared" ca="1" si="136"/>
        <v>71205.12674813249</v>
      </c>
      <c r="AE28" s="50">
        <f t="shared" ca="1" si="137"/>
        <v>63665.666909214269</v>
      </c>
      <c r="AF28" s="50">
        <f t="shared" ca="1" si="138"/>
        <v>48375.303571847457</v>
      </c>
      <c r="AG28" s="50">
        <f t="shared" ca="1" si="139"/>
        <v>59359.263734036518</v>
      </c>
      <c r="AH28" s="50">
        <f t="shared" ca="1" si="140"/>
        <v>57234.018380350914</v>
      </c>
      <c r="AI28" s="50">
        <f t="shared" ca="1" si="141"/>
        <v>58023.146886713112</v>
      </c>
      <c r="AJ28" s="50">
        <f t="shared" ca="1" si="142"/>
        <v>58270.531625650132</v>
      </c>
      <c r="AK28" s="50">
        <f t="shared" ca="1" si="143"/>
        <v>55329.272126627206</v>
      </c>
      <c r="AL28" s="50">
        <f t="shared" ca="1" si="144"/>
        <v>53769.823156271355</v>
      </c>
      <c r="AM28" s="50">
        <f t="shared" ca="1" si="145"/>
        <v>59556.024158501859</v>
      </c>
      <c r="AN28" s="50">
        <f t="shared" ca="1" si="146"/>
        <v>51315.124482300074</v>
      </c>
      <c r="AO28" s="50">
        <f t="shared" ca="1" si="147"/>
        <v>60312.248094903895</v>
      </c>
      <c r="AP28" s="50">
        <f t="shared" ca="1" si="148"/>
        <v>62076.89185310102</v>
      </c>
      <c r="AQ28" s="50">
        <f t="shared" ca="1" si="149"/>
        <v>50147.786860132284</v>
      </c>
      <c r="AR28" s="50">
        <f t="shared" ca="1" si="150"/>
        <v>60830.9288155084</v>
      </c>
      <c r="AS28" s="50">
        <f t="shared" ca="1" si="151"/>
        <v>57772.584293394932</v>
      </c>
      <c r="AT28" s="50">
        <f t="shared" ca="1" si="152"/>
        <v>52347.150610885314</v>
      </c>
      <c r="AU28" s="50">
        <f t="shared" ca="1" si="153"/>
        <v>65281.278218414795</v>
      </c>
      <c r="AV28" s="50">
        <f t="shared" ca="1" si="154"/>
        <v>61531.321525194158</v>
      </c>
      <c r="AW28" s="50">
        <f t="shared" ca="1" si="155"/>
        <v>45051.90022110568</v>
      </c>
      <c r="AX28" s="50">
        <f t="shared" ca="1" si="156"/>
        <v>71243.512885746211</v>
      </c>
      <c r="AY28" s="50">
        <f t="shared" ca="1" si="157"/>
        <v>51819.108022883018</v>
      </c>
      <c r="AZ28" s="50">
        <f t="shared" ca="1" si="158"/>
        <v>54371.014725285408</v>
      </c>
      <c r="BA28" s="50">
        <f t="shared" ca="1" si="159"/>
        <v>61768.994827419068</v>
      </c>
      <c r="BB28" s="50">
        <f t="shared" ca="1" si="160"/>
        <v>70033.052753832089</v>
      </c>
      <c r="BC28" s="50">
        <f t="shared" ca="1" si="161"/>
        <v>54233.075094976033</v>
      </c>
      <c r="BD28" s="50">
        <f t="shared" ca="1" si="162"/>
        <v>54662.78019891517</v>
      </c>
      <c r="BE28" s="50">
        <f t="shared" ca="1" si="163"/>
        <v>55657.355135779653</v>
      </c>
      <c r="BF28" s="50">
        <f t="shared" ca="1" si="164"/>
        <v>58753.139750910232</v>
      </c>
      <c r="BG28" s="50">
        <f t="shared" ca="1" si="165"/>
        <v>46654.611752725017</v>
      </c>
      <c r="BH28" s="50">
        <f t="shared" ca="1" si="166"/>
        <v>55820.891519371282</v>
      </c>
      <c r="BI28" s="50">
        <f t="shared" ca="1" si="167"/>
        <v>62178.970140220044</v>
      </c>
      <c r="BJ28" s="50">
        <f t="shared" ca="1" si="168"/>
        <v>53555.930635112032</v>
      </c>
      <c r="BK28" s="50">
        <f t="shared" ca="1" si="169"/>
        <v>54427.030198400971</v>
      </c>
      <c r="BL28" s="50">
        <f t="shared" ca="1" si="170"/>
        <v>67221.379701122511</v>
      </c>
      <c r="BM28" s="50">
        <f t="shared" ca="1" si="171"/>
        <v>64093.719498474617</v>
      </c>
      <c r="BN28" s="50">
        <f t="shared" ca="1" si="172"/>
        <v>64258.256286290707</v>
      </c>
      <c r="BO28" s="50">
        <f t="shared" ca="1" si="173"/>
        <v>59079.481907232286</v>
      </c>
      <c r="BP28" s="50">
        <f t="shared" ca="1" si="174"/>
        <v>65177.095250749051</v>
      </c>
      <c r="BQ28" s="50">
        <f t="shared" ca="1" si="175"/>
        <v>54622.703356418722</v>
      </c>
      <c r="BR28" s="50">
        <f t="shared" ca="1" si="176"/>
        <v>59641.093431953617</v>
      </c>
      <c r="BS28" s="50">
        <f t="shared" ca="1" si="177"/>
        <v>49540.105956420077</v>
      </c>
      <c r="BT28" s="50">
        <f t="shared" ca="1" si="178"/>
        <v>57795.91952733574</v>
      </c>
      <c r="BU28" s="50">
        <f t="shared" ca="1" si="179"/>
        <v>58424.703977953723</v>
      </c>
      <c r="BV28" s="50">
        <f t="shared" ca="1" si="180"/>
        <v>52161.440035519139</v>
      </c>
      <c r="BW28" s="50">
        <f t="shared" ca="1" si="181"/>
        <v>52098.308731035373</v>
      </c>
      <c r="BX28" s="50">
        <f t="shared" ca="1" si="182"/>
        <v>62208.220862516391</v>
      </c>
      <c r="BY28" s="50">
        <f t="shared" ca="1" si="183"/>
        <v>54565.135040651978</v>
      </c>
      <c r="BZ28" s="50">
        <f t="shared" ca="1" si="184"/>
        <v>49659.085255915219</v>
      </c>
      <c r="CA28" s="50">
        <f t="shared" ca="1" si="185"/>
        <v>54387.808864324885</v>
      </c>
      <c r="CB28" s="50">
        <f t="shared" ca="1" si="186"/>
        <v>57276.29802665177</v>
      </c>
      <c r="CC28" s="50">
        <f t="shared" ca="1" si="187"/>
        <v>64626.884660353302</v>
      </c>
      <c r="CD28" s="50">
        <f t="shared" ca="1" si="188"/>
        <v>54201.153842750959</v>
      </c>
      <c r="CE28" s="50">
        <f t="shared" ca="1" si="189"/>
        <v>45644.00855330046</v>
      </c>
      <c r="CF28" s="50">
        <f t="shared" ca="1" si="190"/>
        <v>67281.429815848387</v>
      </c>
      <c r="CG28" s="50">
        <f t="shared" ca="1" si="191"/>
        <v>63670.43028630707</v>
      </c>
      <c r="CH28" s="50">
        <f t="shared" ca="1" si="192"/>
        <v>44049.437693463966</v>
      </c>
      <c r="CI28" s="50">
        <f t="shared" ca="1" si="193"/>
        <v>74142.342358652037</v>
      </c>
      <c r="CJ28" s="50">
        <f t="shared" ca="1" si="194"/>
        <v>54728.084793759524</v>
      </c>
      <c r="CK28" s="50">
        <f t="shared" ca="1" si="195"/>
        <v>61356.329037928757</v>
      </c>
      <c r="CL28" s="50">
        <f t="shared" ca="1" si="196"/>
        <v>67569.859505339788</v>
      </c>
      <c r="CM28" s="50">
        <f t="shared" ca="1" si="197"/>
        <v>65175.432610598466</v>
      </c>
      <c r="CN28" s="50">
        <f t="shared" ca="1" si="198"/>
        <v>60038.622095774619</v>
      </c>
      <c r="CO28" s="50">
        <f t="shared" ca="1" si="199"/>
        <v>59199.030047926877</v>
      </c>
      <c r="CP28" s="50">
        <f t="shared" ca="1" si="200"/>
        <v>54418.448627327598</v>
      </c>
      <c r="CQ28" s="50">
        <f t="shared" ca="1" si="201"/>
        <v>55283.877051237199</v>
      </c>
      <c r="CR28" s="50">
        <f t="shared" ca="1" si="202"/>
        <v>59757.815779211225</v>
      </c>
      <c r="CS28" s="50">
        <f t="shared" ca="1" si="203"/>
        <v>61799.257601413192</v>
      </c>
      <c r="CT28" s="50">
        <f t="shared" ca="1" si="204"/>
        <v>61839.07513109807</v>
      </c>
      <c r="CU28" s="50">
        <f t="shared" ca="1" si="205"/>
        <v>60980.927931799895</v>
      </c>
      <c r="CV28" s="50">
        <f t="shared" ca="1" si="206"/>
        <v>48236.331214362006</v>
      </c>
      <c r="CW28" s="50">
        <f t="shared" ca="1" si="207"/>
        <v>59395.408957083288</v>
      </c>
      <c r="CX28" s="50">
        <f t="shared" ca="1" si="208"/>
        <v>68988.497191512564</v>
      </c>
      <c r="CY28" s="50">
        <f t="shared" ca="1" si="209"/>
        <v>60054.041204189234</v>
      </c>
      <c r="CZ28" s="50">
        <f t="shared" ca="1" si="210"/>
        <v>66042.122195950476</v>
      </c>
      <c r="DA28" s="50">
        <f t="shared" ca="1" si="211"/>
        <v>58105.366669354349</v>
      </c>
      <c r="DB28" s="50">
        <f t="shared" ca="1" si="212"/>
        <v>56158.24964467917</v>
      </c>
      <c r="DC28" s="50">
        <f t="shared" ca="1" si="213"/>
        <v>54181.148824800264</v>
      </c>
      <c r="DD28" s="50">
        <f t="shared" ca="1" si="214"/>
        <v>56156.039872083202</v>
      </c>
      <c r="DE28" s="50">
        <f t="shared" ca="1" si="215"/>
        <v>60721.785750455405</v>
      </c>
      <c r="DF28" s="50">
        <f t="shared" ca="1" si="216"/>
        <v>58749.497151972799</v>
      </c>
      <c r="DG28" s="50">
        <f t="shared" ca="1" si="217"/>
        <v>48233.093578127518</v>
      </c>
      <c r="DH28" s="50">
        <f t="shared" ca="1" si="218"/>
        <v>64164.67246301283</v>
      </c>
      <c r="DI28" s="50">
        <f t="shared" ca="1" si="219"/>
        <v>48201.055488505437</v>
      </c>
      <c r="DJ28" s="50">
        <f t="shared" ca="1" si="220"/>
        <v>61217.770219984108</v>
      </c>
      <c r="DK28" s="50">
        <f t="shared" ca="1" si="221"/>
        <v>54236.662964796837</v>
      </c>
      <c r="DL28" s="50">
        <f t="shared" ca="1" si="222"/>
        <v>65747.452312407331</v>
      </c>
      <c r="DM28" s="50">
        <f t="shared" ca="1" si="223"/>
        <v>60549.790295430321</v>
      </c>
      <c r="DN28" s="50">
        <f t="shared" ca="1" si="224"/>
        <v>57472.915948616552</v>
      </c>
      <c r="DO28" s="50">
        <f t="shared" ca="1" si="225"/>
        <v>66877.732008815787</v>
      </c>
      <c r="DP28" s="50">
        <f t="shared" ca="1" si="226"/>
        <v>65186.070607274698</v>
      </c>
      <c r="DQ28" s="50">
        <f t="shared" ca="1" si="227"/>
        <v>55327.503837261109</v>
      </c>
      <c r="DR28" s="50">
        <f t="shared" ca="1" si="228"/>
        <v>52983.518153607321</v>
      </c>
      <c r="DS28" s="50">
        <f t="shared" ca="1" si="229"/>
        <v>55931.284478907524</v>
      </c>
      <c r="DT28" s="50">
        <f t="shared" ca="1" si="230"/>
        <v>74639.688699647959</v>
      </c>
      <c r="DU28" s="50">
        <f t="shared" ca="1" si="231"/>
        <v>64756.971916201794</v>
      </c>
      <c r="DV28" s="50">
        <f t="shared" ca="1" si="232"/>
        <v>53803.674800257191</v>
      </c>
      <c r="DW28" s="50">
        <f t="shared" ca="1" si="233"/>
        <v>52009.888656222254</v>
      </c>
      <c r="DX28" s="50">
        <f t="shared" ca="1" si="234"/>
        <v>56060.23681534257</v>
      </c>
      <c r="DY28" s="50">
        <f t="shared" ca="1" si="235"/>
        <v>65422.087378075434</v>
      </c>
      <c r="DZ28" s="50">
        <f t="shared" ca="1" si="236"/>
        <v>62871.111592758447</v>
      </c>
      <c r="EA28" s="50">
        <f t="shared" ca="1" si="237"/>
        <v>79102.187946261649</v>
      </c>
      <c r="EB28" s="50">
        <f t="shared" ca="1" si="238"/>
        <v>64422.567385188326</v>
      </c>
      <c r="EC28" s="50">
        <f t="shared" ca="1" si="239"/>
        <v>63974.033598084148</v>
      </c>
      <c r="ED28" s="50">
        <f t="shared" ca="1" si="240"/>
        <v>68047.175749149392</v>
      </c>
      <c r="EE28" s="50">
        <f t="shared" ca="1" si="241"/>
        <v>52647.036690920613</v>
      </c>
      <c r="EF28" s="50">
        <f t="shared" ca="1" si="242"/>
        <v>46768.845805410732</v>
      </c>
      <c r="EG28" s="50">
        <f t="shared" ca="1" si="243"/>
        <v>65714.482786949433</v>
      </c>
      <c r="EH28" s="50">
        <f t="shared" ca="1" si="244"/>
        <v>55504.143469795541</v>
      </c>
      <c r="EI28" s="50">
        <f t="shared" ca="1" si="245"/>
        <v>52483.797524989466</v>
      </c>
      <c r="EJ28" s="50">
        <f t="shared" ca="1" si="246"/>
        <v>58390.526331008085</v>
      </c>
      <c r="EK28" s="50">
        <f t="shared" ca="1" si="247"/>
        <v>54318.985214016975</v>
      </c>
      <c r="EL28" s="50">
        <f t="shared" ca="1" si="248"/>
        <v>65133.586595259039</v>
      </c>
      <c r="EM28" s="50">
        <f t="shared" ca="1" si="249"/>
        <v>64007.22281835875</v>
      </c>
      <c r="EN28" s="50">
        <f t="shared" ca="1" si="250"/>
        <v>68763.18260504253</v>
      </c>
      <c r="EO28" s="50">
        <f t="shared" ca="1" si="251"/>
        <v>55123.637429403636</v>
      </c>
      <c r="EP28" s="50">
        <f t="shared" ca="1" si="252"/>
        <v>55503.536853476529</v>
      </c>
      <c r="EQ28" s="50">
        <f t="shared" ca="1" si="253"/>
        <v>56629.438335134357</v>
      </c>
      <c r="ER28" s="50">
        <f t="shared" ca="1" si="254"/>
        <v>59366.808250184411</v>
      </c>
      <c r="ES28" s="50">
        <f t="shared" ca="1" si="255"/>
        <v>62877.709858420691</v>
      </c>
      <c r="ET28" s="50">
        <f t="shared" ca="1" si="256"/>
        <v>56321.290074607015</v>
      </c>
      <c r="EU28" s="50">
        <f t="shared" ca="1" si="257"/>
        <v>65913.221100113718</v>
      </c>
      <c r="EV28" s="50">
        <f t="shared" ca="1" si="258"/>
        <v>54504.008013504426</v>
      </c>
      <c r="EW28" s="50">
        <f t="shared" ca="1" si="259"/>
        <v>61446.960675743001</v>
      </c>
      <c r="EX28" s="50">
        <f t="shared" ca="1" si="260"/>
        <v>63408.731280390864</v>
      </c>
      <c r="EY28" s="50">
        <f t="shared" ca="1" si="261"/>
        <v>53889.620172231625</v>
      </c>
      <c r="EZ28" s="50">
        <f t="shared" ca="1" si="262"/>
        <v>51899.74657352057</v>
      </c>
      <c r="FA28" s="50">
        <f t="shared" ca="1" si="263"/>
        <v>48733.141372002014</v>
      </c>
      <c r="FB28" s="50">
        <f t="shared" ca="1" si="264"/>
        <v>63688.723497755993</v>
      </c>
      <c r="FC28" s="50">
        <f t="shared" ca="1" si="265"/>
        <v>53304.113334322727</v>
      </c>
      <c r="FD28" s="50">
        <f t="shared" ca="1" si="266"/>
        <v>58991.991457410382</v>
      </c>
      <c r="FE28" s="50">
        <f t="shared" ca="1" si="267"/>
        <v>64135.403104521763</v>
      </c>
      <c r="FF28" s="50">
        <f t="shared" ca="1" si="268"/>
        <v>56771.252833844126</v>
      </c>
      <c r="FG28" s="50">
        <f t="shared" ca="1" si="269"/>
        <v>52994.116842740528</v>
      </c>
      <c r="FH28" s="50">
        <f t="shared" ca="1" si="270"/>
        <v>63000.994317815799</v>
      </c>
      <c r="FI28" s="50">
        <f t="shared" ca="1" si="271"/>
        <v>76617.646662853906</v>
      </c>
      <c r="FJ28" s="50">
        <f t="shared" ca="1" si="272"/>
        <v>56343.644901254607</v>
      </c>
      <c r="FK28" s="50">
        <f t="shared" ca="1" si="273"/>
        <v>60465.080475654817</v>
      </c>
      <c r="FL28" s="50">
        <f t="shared" ca="1" si="274"/>
        <v>54943.689100030591</v>
      </c>
      <c r="FM28" s="50">
        <f t="shared" ca="1" si="275"/>
        <v>65055.067400390661</v>
      </c>
      <c r="FN28" s="50">
        <f t="shared" ca="1" si="276"/>
        <v>59202.327778111881</v>
      </c>
      <c r="FO28" s="50">
        <f t="shared" ca="1" si="277"/>
        <v>66603.964997019415</v>
      </c>
      <c r="FP28" s="50">
        <f t="shared" ca="1" si="278"/>
        <v>61200.987432781752</v>
      </c>
      <c r="FQ28" s="50">
        <f t="shared" ca="1" si="279"/>
        <v>68071.455415726537</v>
      </c>
      <c r="FR28" s="50">
        <f t="shared" ca="1" si="280"/>
        <v>68987.068193737083</v>
      </c>
      <c r="FS28" s="50">
        <f t="shared" ca="1" si="281"/>
        <v>62079.053352382907</v>
      </c>
      <c r="FT28" s="50">
        <f t="shared" ca="1" si="282"/>
        <v>55101.083557489481</v>
      </c>
      <c r="FU28" s="50">
        <f t="shared" ca="1" si="283"/>
        <v>59291.083163061761</v>
      </c>
      <c r="FV28" s="50">
        <f t="shared" ca="1" si="284"/>
        <v>48311.220155109993</v>
      </c>
      <c r="FW28" s="50">
        <f t="shared" ca="1" si="285"/>
        <v>72452.527046284522</v>
      </c>
      <c r="FX28" s="50">
        <f t="shared" ca="1" si="286"/>
        <v>56530.802382579473</v>
      </c>
      <c r="FY28" s="50">
        <f t="shared" ca="1" si="287"/>
        <v>62496.861036557631</v>
      </c>
      <c r="FZ28" s="50">
        <f t="shared" ca="1" si="288"/>
        <v>57121.630169810116</v>
      </c>
      <c r="GA28" s="50">
        <f t="shared" ca="1" si="289"/>
        <v>65559.86198672255</v>
      </c>
      <c r="GB28" s="50">
        <f t="shared" ca="1" si="290"/>
        <v>54562.913034546087</v>
      </c>
      <c r="GC28" s="50">
        <f t="shared" ca="1" si="291"/>
        <v>63220.216104928666</v>
      </c>
      <c r="GD28" s="50">
        <f t="shared" ca="1" si="292"/>
        <v>50104.968561052636</v>
      </c>
      <c r="GE28" s="50">
        <f t="shared" ca="1" si="293"/>
        <v>63674.536614316006</v>
      </c>
      <c r="GF28" s="50">
        <f t="shared" ca="1" si="294"/>
        <v>49923.26620789554</v>
      </c>
      <c r="GG28" s="50">
        <f t="shared" ca="1" si="295"/>
        <v>54675.866483013197</v>
      </c>
      <c r="GH28" s="50">
        <f t="shared" ca="1" si="296"/>
        <v>55393.851992700904</v>
      </c>
      <c r="GI28" s="50">
        <f t="shared" ca="1" si="297"/>
        <v>53413.285384477938</v>
      </c>
      <c r="GJ28" s="50">
        <f t="shared" ca="1" si="298"/>
        <v>64436.037368610356</v>
      </c>
      <c r="GK28" s="50">
        <f t="shared" ca="1" si="299"/>
        <v>53847.510212614165</v>
      </c>
      <c r="GL28" s="50">
        <f t="shared" ca="1" si="300"/>
        <v>51467.644092947048</v>
      </c>
      <c r="GM28" s="50">
        <f t="shared" ca="1" si="301"/>
        <v>42842.718424573664</v>
      </c>
      <c r="GN28" s="50">
        <f t="shared" ca="1" si="302"/>
        <v>58024.209823351965</v>
      </c>
      <c r="GO28" s="50">
        <f t="shared" ca="1" si="303"/>
        <v>72925.041693030551</v>
      </c>
      <c r="GP28" s="50">
        <f t="shared" ca="1" si="304"/>
        <v>66623.491777877003</v>
      </c>
      <c r="GQ28" s="50">
        <f t="shared" ca="1" si="305"/>
        <v>66390.437737729546</v>
      </c>
      <c r="GR28" s="50">
        <f t="shared" ca="1" si="306"/>
        <v>66779.451134589384</v>
      </c>
      <c r="GS28" s="50">
        <f t="shared" ca="1" si="307"/>
        <v>61477.88862048489</v>
      </c>
      <c r="GT28" s="50">
        <f t="shared" ca="1" si="308"/>
        <v>52040.132129997961</v>
      </c>
      <c r="GU28" s="50">
        <f t="shared" ca="1" si="309"/>
        <v>55409.513752411411</v>
      </c>
      <c r="GV28" s="50">
        <f t="shared" ca="1" si="310"/>
        <v>73219.482978957312</v>
      </c>
      <c r="GW28" s="50">
        <f t="shared" ca="1" si="311"/>
        <v>60404.862422672661</v>
      </c>
      <c r="GX28" s="50">
        <f t="shared" ca="1" si="312"/>
        <v>59312.542456276155</v>
      </c>
      <c r="GY28" s="50">
        <f t="shared" ca="1" si="313"/>
        <v>68152.266567641404</v>
      </c>
      <c r="GZ28" s="50">
        <f t="shared" ca="1" si="314"/>
        <v>55465.037095717002</v>
      </c>
      <c r="HA28" s="50">
        <f t="shared" ca="1" si="315"/>
        <v>54003.793350338776</v>
      </c>
      <c r="HB28" s="50">
        <f t="shared" ca="1" si="316"/>
        <v>49590.645182669381</v>
      </c>
      <c r="HC28" s="50">
        <f t="shared" ca="1" si="317"/>
        <v>63730.897248796551</v>
      </c>
      <c r="HD28" s="50">
        <f t="shared" ca="1" si="318"/>
        <v>44036.14057594027</v>
      </c>
      <c r="HE28" s="50">
        <f t="shared" ca="1" si="319"/>
        <v>52790.470799175841</v>
      </c>
      <c r="HF28" s="50">
        <f t="shared" ca="1" si="320"/>
        <v>51615.835809946846</v>
      </c>
      <c r="HG28" s="50">
        <f t="shared" ca="1" si="321"/>
        <v>56644.197088513502</v>
      </c>
      <c r="HH28" s="50">
        <f t="shared" ca="1" si="322"/>
        <v>65486.778862275627</v>
      </c>
      <c r="HI28" s="50">
        <f t="shared" ca="1" si="323"/>
        <v>58317.169687024871</v>
      </c>
      <c r="HJ28" s="50">
        <f t="shared" ca="1" si="324"/>
        <v>54899.68807061902</v>
      </c>
      <c r="HK28" s="50">
        <f t="shared" ca="1" si="325"/>
        <v>62327.395053441876</v>
      </c>
      <c r="HL28" s="50">
        <f t="shared" ca="1" si="326"/>
        <v>57843.972942118104</v>
      </c>
      <c r="HM28" s="50">
        <f t="shared" ca="1" si="327"/>
        <v>59338.558316681367</v>
      </c>
      <c r="HN28" s="50">
        <f t="shared" ca="1" si="328"/>
        <v>56526.948764487963</v>
      </c>
      <c r="HO28" s="50">
        <f t="shared" ca="1" si="329"/>
        <v>65813.36969550082</v>
      </c>
      <c r="HP28" s="50">
        <f t="shared" ca="1" si="330"/>
        <v>67108.31062110966</v>
      </c>
      <c r="HQ28" s="50">
        <f t="shared" ca="1" si="331"/>
        <v>60634.266668933858</v>
      </c>
      <c r="HR28" s="50">
        <f t="shared" ca="1" si="332"/>
        <v>63189.94798812519</v>
      </c>
      <c r="HS28" s="50">
        <f t="shared" ca="1" si="333"/>
        <v>63936.613015762821</v>
      </c>
      <c r="HT28" s="50">
        <f t="shared" ca="1" si="334"/>
        <v>51153.603409175943</v>
      </c>
      <c r="HU28" s="50">
        <f t="shared" ca="1" si="335"/>
        <v>55666.534152560816</v>
      </c>
      <c r="HV28" s="50">
        <f t="shared" ca="1" si="336"/>
        <v>54040.180232807616</v>
      </c>
      <c r="HW28" s="50">
        <f t="shared" ca="1" si="337"/>
        <v>50627.889350608413</v>
      </c>
      <c r="HX28" s="50">
        <f t="shared" ca="1" si="338"/>
        <v>71514.461801531143</v>
      </c>
      <c r="HY28" s="50">
        <f t="shared" ca="1" si="339"/>
        <v>47225.646017884894</v>
      </c>
      <c r="HZ28" s="50">
        <f t="shared" ca="1" si="340"/>
        <v>69271.894901613763</v>
      </c>
      <c r="IA28" s="50">
        <f t="shared" ca="1" si="341"/>
        <v>58916.991163386825</v>
      </c>
      <c r="IB28" s="50">
        <f t="shared" ca="1" si="342"/>
        <v>52772.303167170772</v>
      </c>
      <c r="IC28" s="50">
        <f t="shared" ca="1" si="343"/>
        <v>72608.85016981588</v>
      </c>
      <c r="ID28" s="50">
        <f t="shared" ca="1" si="344"/>
        <v>63564.51981365768</v>
      </c>
      <c r="IE28" s="50">
        <f t="shared" ca="1" si="345"/>
        <v>56047.612725448293</v>
      </c>
      <c r="IF28" s="50">
        <f t="shared" ca="1" si="346"/>
        <v>50856.091549907593</v>
      </c>
      <c r="IG28" s="50">
        <f t="shared" ca="1" si="347"/>
        <v>62452.325171907447</v>
      </c>
      <c r="IH28" s="50">
        <f t="shared" ca="1" si="348"/>
        <v>67713.87044595815</v>
      </c>
      <c r="II28" s="50">
        <f t="shared" ca="1" si="349"/>
        <v>63110.453826643832</v>
      </c>
      <c r="IJ28" s="50">
        <f t="shared" ca="1" si="350"/>
        <v>56959.811981650477</v>
      </c>
      <c r="IK28" s="50">
        <f t="shared" ca="1" si="351"/>
        <v>55779.652932528938</v>
      </c>
      <c r="IL28" s="50">
        <f t="shared" ca="1" si="352"/>
        <v>59632.613298543634</v>
      </c>
      <c r="IM28" s="50">
        <f t="shared" ca="1" si="353"/>
        <v>55440.126264388295</v>
      </c>
      <c r="IN28" s="50">
        <f t="shared" ca="1" si="354"/>
        <v>62673.434234405519</v>
      </c>
      <c r="IO28" s="50">
        <f t="shared" ca="1" si="355"/>
        <v>55494.120765818829</v>
      </c>
      <c r="IP28" s="50">
        <f t="shared" ca="1" si="356"/>
        <v>57944.893937243651</v>
      </c>
      <c r="IQ28" s="50">
        <f t="shared" ca="1" si="357"/>
        <v>56509.46583619601</v>
      </c>
      <c r="IR28" s="50">
        <f t="shared" ca="1" si="358"/>
        <v>54594.084223792743</v>
      </c>
      <c r="IS28" s="50">
        <f t="shared" ca="1" si="359"/>
        <v>68149.621341121412</v>
      </c>
      <c r="IT28" s="50">
        <f t="shared" ca="1" si="360"/>
        <v>57114.439849767652</v>
      </c>
      <c r="IU28" s="50">
        <f t="shared" ca="1" si="361"/>
        <v>66113.849080497719</v>
      </c>
      <c r="IV28" s="50">
        <f t="shared" ca="1" si="362"/>
        <v>59746.596324614322</v>
      </c>
      <c r="IW28" s="50">
        <f t="shared" ca="1" si="363"/>
        <v>44045.528097234717</v>
      </c>
      <c r="IX28" s="50">
        <f t="shared" ca="1" si="364"/>
        <v>68647.999850987078</v>
      </c>
      <c r="IY28" s="50">
        <f t="shared" ca="1" si="365"/>
        <v>56705.020379580696</v>
      </c>
      <c r="IZ28" s="50">
        <f t="shared" ca="1" si="366"/>
        <v>69793.555824177383</v>
      </c>
      <c r="JA28" s="50">
        <f t="shared" ca="1" si="367"/>
        <v>53789.858520376809</v>
      </c>
      <c r="JB28" s="50">
        <f t="shared" ca="1" si="368"/>
        <v>66308.204750125995</v>
      </c>
      <c r="JC28" s="50">
        <f t="shared" ca="1" si="369"/>
        <v>60725.336380566725</v>
      </c>
      <c r="JD28" s="50">
        <f t="shared" ca="1" si="370"/>
        <v>55448.410969279212</v>
      </c>
      <c r="JE28" s="50">
        <f t="shared" ca="1" si="371"/>
        <v>59168.863187591</v>
      </c>
      <c r="JF28" s="50">
        <f t="shared" ca="1" si="372"/>
        <v>70410.619166293269</v>
      </c>
      <c r="JG28" s="50">
        <f t="shared" ca="1" si="373"/>
        <v>64228.578862344875</v>
      </c>
      <c r="JH28" s="50">
        <f t="shared" ca="1" si="374"/>
        <v>58731.978450298338</v>
      </c>
      <c r="JI28" s="50">
        <f t="shared" ca="1" si="375"/>
        <v>60366.103038792906</v>
      </c>
      <c r="JJ28" s="50">
        <f t="shared" ca="1" si="376"/>
        <v>57424.843855717772</v>
      </c>
      <c r="JK28" s="50">
        <f t="shared" ca="1" si="377"/>
        <v>57209.398004863229</v>
      </c>
      <c r="JL28" s="50">
        <f t="shared" ca="1" si="378"/>
        <v>63546.695791099235</v>
      </c>
      <c r="JM28" s="50">
        <f t="shared" ca="1" si="379"/>
        <v>52795.401363076759</v>
      </c>
      <c r="JN28" s="50">
        <f t="shared" ca="1" si="380"/>
        <v>64529.853028919701</v>
      </c>
      <c r="JO28" s="50">
        <f t="shared" ca="1" si="381"/>
        <v>58909.167820692157</v>
      </c>
      <c r="JP28" s="50">
        <f t="shared" ca="1" si="382"/>
        <v>50131.94144846686</v>
      </c>
      <c r="JQ28" s="50">
        <f t="shared" ca="1" si="383"/>
        <v>58431.211370126875</v>
      </c>
      <c r="JR28" s="50">
        <f t="shared" ca="1" si="384"/>
        <v>71917.627414143164</v>
      </c>
      <c r="JS28" s="50">
        <f t="shared" ca="1" si="385"/>
        <v>62700.27146187771</v>
      </c>
      <c r="JT28" s="50">
        <f t="shared" ca="1" si="386"/>
        <v>64563.015997957365</v>
      </c>
      <c r="JU28" s="50">
        <f t="shared" ca="1" si="387"/>
        <v>53140.444597088077</v>
      </c>
      <c r="JV28" s="50">
        <f t="shared" ca="1" si="388"/>
        <v>50703.410979658212</v>
      </c>
      <c r="JW28" s="50">
        <f t="shared" ca="1" si="389"/>
        <v>66131.069164938977</v>
      </c>
      <c r="JX28" s="50">
        <f t="shared" ca="1" si="390"/>
        <v>55928.674645279461</v>
      </c>
      <c r="JY28" s="50">
        <f t="shared" ca="1" si="391"/>
        <v>66402.517016092854</v>
      </c>
      <c r="JZ28" s="50">
        <f t="shared" ca="1" si="392"/>
        <v>55459.058786218869</v>
      </c>
      <c r="KA28" s="50">
        <f t="shared" ca="1" si="393"/>
        <v>68026.554434230027</v>
      </c>
      <c r="KB28" s="50">
        <f t="shared" ca="1" si="394"/>
        <v>52269.38518603483</v>
      </c>
      <c r="KC28" s="50">
        <f t="shared" ca="1" si="395"/>
        <v>61672.84219508501</v>
      </c>
      <c r="KD28" s="50">
        <f t="shared" ca="1" si="396"/>
        <v>56668.769233026753</v>
      </c>
      <c r="KE28" s="50">
        <f t="shared" ca="1" si="397"/>
        <v>51252.588577973504</v>
      </c>
      <c r="KF28" s="50">
        <f t="shared" ca="1" si="398"/>
        <v>61162.451488875573</v>
      </c>
      <c r="KG28" s="50">
        <f t="shared" ca="1" si="399"/>
        <v>59414.324492097476</v>
      </c>
      <c r="KH28" s="50">
        <f t="shared" ca="1" si="400"/>
        <v>65942.254280814537</v>
      </c>
      <c r="KI28" s="50">
        <f t="shared" ca="1" si="401"/>
        <v>58377.578438313794</v>
      </c>
      <c r="KJ28" s="50">
        <f t="shared" ca="1" si="402"/>
        <v>62398.151765665418</v>
      </c>
      <c r="KK28" s="50">
        <f t="shared" ca="1" si="403"/>
        <v>63595.802941658534</v>
      </c>
      <c r="KL28" s="50">
        <f t="shared" ca="1" si="404"/>
        <v>58101.945567322546</v>
      </c>
      <c r="KM28" s="50">
        <f t="shared" ca="1" si="405"/>
        <v>67101.268026291029</v>
      </c>
      <c r="KN28" s="50">
        <f t="shared" ca="1" si="406"/>
        <v>48007.015782751027</v>
      </c>
      <c r="KO28" s="50">
        <f t="shared" ca="1" si="407"/>
        <v>51303.850135407578</v>
      </c>
      <c r="KP28" s="50">
        <f t="shared" ca="1" si="408"/>
        <v>55779.92121502907</v>
      </c>
      <c r="KQ28" s="50">
        <f t="shared" ca="1" si="409"/>
        <v>64306.938417595898</v>
      </c>
      <c r="KR28" s="50">
        <f t="shared" ca="1" si="410"/>
        <v>59652.357830517125</v>
      </c>
      <c r="KS28" s="50">
        <f t="shared" ca="1" si="411"/>
        <v>58968.364187933068</v>
      </c>
      <c r="KT28" s="50">
        <f t="shared" ca="1" si="412"/>
        <v>59702.248562059278</v>
      </c>
      <c r="KU28" s="50">
        <f t="shared" ca="1" si="413"/>
        <v>69710.455968362803</v>
      </c>
      <c r="KV28" s="50">
        <f t="shared" ca="1" si="414"/>
        <v>57021.553531564168</v>
      </c>
      <c r="KW28" s="50">
        <f t="shared" ca="1" si="415"/>
        <v>59389.051340999278</v>
      </c>
      <c r="KX28" s="50">
        <f t="shared" ca="1" si="416"/>
        <v>68313.636405055222</v>
      </c>
      <c r="KY28" s="50">
        <f t="shared" ca="1" si="417"/>
        <v>66595.252218217924</v>
      </c>
      <c r="KZ28" s="50">
        <f t="shared" ca="1" si="418"/>
        <v>61277.578898717969</v>
      </c>
      <c r="LA28" s="50">
        <f t="shared" ca="1" si="419"/>
        <v>50569.045764973678</v>
      </c>
      <c r="LB28" s="50">
        <f t="shared" ca="1" si="420"/>
        <v>65242.529204243583</v>
      </c>
      <c r="LC28" s="50">
        <f t="shared" ca="1" si="421"/>
        <v>61036.024505910704</v>
      </c>
      <c r="LD28" s="50">
        <f t="shared" ca="1" si="422"/>
        <v>52709.162965468349</v>
      </c>
      <c r="LE28" s="50">
        <f t="shared" ca="1" si="423"/>
        <v>80994.384588901317</v>
      </c>
      <c r="LF28" s="50">
        <f t="shared" ca="1" si="424"/>
        <v>69174.317283106677</v>
      </c>
      <c r="LG28" s="50">
        <f t="shared" ca="1" si="425"/>
        <v>63359.996074599039</v>
      </c>
      <c r="LH28" s="50">
        <f t="shared" ca="1" si="426"/>
        <v>61964.859847740619</v>
      </c>
      <c r="LI28" s="50">
        <f t="shared" ca="1" si="427"/>
        <v>60010.536413987829</v>
      </c>
      <c r="LJ28" s="50">
        <f t="shared" ca="1" si="428"/>
        <v>49298.063247376027</v>
      </c>
      <c r="LK28" s="50">
        <f t="shared" ca="1" si="429"/>
        <v>65195.330354477686</v>
      </c>
      <c r="LL28" s="50">
        <f t="shared" ca="1" si="430"/>
        <v>56154.615052391404</v>
      </c>
      <c r="LM28" s="50">
        <f t="shared" ca="1" si="431"/>
        <v>63981.838357394881</v>
      </c>
      <c r="LN28" s="50">
        <f t="shared" ca="1" si="432"/>
        <v>66734.301273653007</v>
      </c>
      <c r="LO28" s="50">
        <f t="shared" ca="1" si="433"/>
        <v>47348.72084747054</v>
      </c>
      <c r="LP28" s="50">
        <f t="shared" ca="1" si="434"/>
        <v>45848.371783389106</v>
      </c>
      <c r="LQ28" s="50">
        <f t="shared" ca="1" si="435"/>
        <v>42271.699095427262</v>
      </c>
      <c r="LR28" s="50">
        <f t="shared" ca="1" si="436"/>
        <v>54475.242284861088</v>
      </c>
      <c r="LS28" s="50">
        <f t="shared" ca="1" si="437"/>
        <v>63396.447131856818</v>
      </c>
      <c r="LT28" s="50">
        <f t="shared" ca="1" si="438"/>
        <v>64483.909689836342</v>
      </c>
      <c r="LU28" s="50">
        <f t="shared" ca="1" si="439"/>
        <v>74844.803004952148</v>
      </c>
      <c r="LV28" s="50">
        <f t="shared" ca="1" si="440"/>
        <v>56853.331698365982</v>
      </c>
      <c r="LW28" s="50">
        <f t="shared" ca="1" si="441"/>
        <v>39630.640120993972</v>
      </c>
      <c r="LX28" s="50">
        <f t="shared" ca="1" si="442"/>
        <v>61534.230909036414</v>
      </c>
      <c r="LY28" s="50">
        <f t="shared" ca="1" si="443"/>
        <v>65895.716093243725</v>
      </c>
      <c r="LZ28" s="50">
        <f t="shared" ca="1" si="444"/>
        <v>61607.784764892822</v>
      </c>
      <c r="MA28" s="50">
        <f t="shared" ca="1" si="445"/>
        <v>49095.93706790929</v>
      </c>
      <c r="MB28" s="50">
        <f t="shared" ca="1" si="446"/>
        <v>64675.019993432739</v>
      </c>
      <c r="MC28" s="50">
        <f t="shared" ca="1" si="447"/>
        <v>51908.914912082437</v>
      </c>
      <c r="MD28" s="50">
        <f t="shared" ca="1" si="448"/>
        <v>57488.603309906524</v>
      </c>
      <c r="ME28" s="50">
        <f t="shared" ca="1" si="449"/>
        <v>58213.119214143611</v>
      </c>
      <c r="MF28" s="50">
        <f t="shared" ca="1" si="450"/>
        <v>62421.565427881644</v>
      </c>
      <c r="MG28" s="50">
        <f t="shared" ca="1" si="451"/>
        <v>53907.878435360653</v>
      </c>
      <c r="MH28" s="50">
        <f t="shared" ca="1" si="452"/>
        <v>58659.613497789076</v>
      </c>
      <c r="MI28" s="50">
        <f t="shared" ca="1" si="453"/>
        <v>61762.006803842771</v>
      </c>
      <c r="MJ28" s="50">
        <f t="shared" ca="1" si="454"/>
        <v>49419.146244752839</v>
      </c>
      <c r="MK28" s="50">
        <f t="shared" ca="1" si="455"/>
        <v>69689.233157319934</v>
      </c>
      <c r="ML28" s="50">
        <f t="shared" ca="1" si="456"/>
        <v>60573.305040050058</v>
      </c>
      <c r="MM28" s="50">
        <f t="shared" ca="1" si="457"/>
        <v>53120.223570374626</v>
      </c>
      <c r="MN28" s="50">
        <f t="shared" ca="1" si="458"/>
        <v>61070.411614343953</v>
      </c>
      <c r="MO28" s="50">
        <f t="shared" ca="1" si="459"/>
        <v>58240.416453761376</v>
      </c>
      <c r="MP28" s="50">
        <f t="shared" ca="1" si="460"/>
        <v>59555.074641140316</v>
      </c>
      <c r="MQ28" s="50">
        <f t="shared" ca="1" si="461"/>
        <v>60354.72605340062</v>
      </c>
      <c r="MR28" s="50">
        <f t="shared" ca="1" si="462"/>
        <v>49747.672927728388</v>
      </c>
      <c r="MS28" s="50">
        <f t="shared" ca="1" si="463"/>
        <v>56578.392271106735</v>
      </c>
      <c r="MT28" s="50">
        <f t="shared" ca="1" si="464"/>
        <v>61539.378248607762</v>
      </c>
      <c r="MU28" s="50">
        <f t="shared" ca="1" si="465"/>
        <v>69721.052630424092</v>
      </c>
      <c r="MV28" s="50">
        <f t="shared" ca="1" si="466"/>
        <v>62104.970602302055</v>
      </c>
      <c r="MW28" s="50">
        <f t="shared" ca="1" si="467"/>
        <v>56444.380813695832</v>
      </c>
      <c r="MX28" s="50">
        <f t="shared" ca="1" si="468"/>
        <v>64471.456318134777</v>
      </c>
      <c r="MY28" s="50">
        <f t="shared" ca="1" si="469"/>
        <v>60347.906821759578</v>
      </c>
      <c r="MZ28" s="50">
        <f t="shared" ca="1" si="470"/>
        <v>60828.935714214393</v>
      </c>
      <c r="NA28" s="50">
        <f t="shared" ca="1" si="471"/>
        <v>70927.482260393488</v>
      </c>
      <c r="NB28" s="50">
        <f t="shared" ca="1" si="472"/>
        <v>59156.944933931649</v>
      </c>
      <c r="NC28" s="50">
        <f t="shared" ca="1" si="473"/>
        <v>56900.75024344858</v>
      </c>
      <c r="ND28" s="50">
        <f t="shared" ca="1" si="474"/>
        <v>54514.162342463889</v>
      </c>
      <c r="NE28" s="50">
        <f t="shared" ca="1" si="475"/>
        <v>52026.087629244175</v>
      </c>
      <c r="NF28" s="50">
        <f t="shared" ca="1" si="476"/>
        <v>67692.796723409556</v>
      </c>
      <c r="NG28" s="50">
        <f t="shared" ca="1" si="477"/>
        <v>71302.74447343465</v>
      </c>
      <c r="NH28" s="50">
        <f t="shared" ca="1" si="478"/>
        <v>54036.632277387544</v>
      </c>
      <c r="NI28" s="50">
        <f t="shared" ca="1" si="479"/>
        <v>58904.260653444791</v>
      </c>
      <c r="NJ28" s="50">
        <f t="shared" ca="1" si="480"/>
        <v>63042.026957909264</v>
      </c>
      <c r="NK28" s="50">
        <f t="shared" ca="1" si="481"/>
        <v>62878.52639153057</v>
      </c>
      <c r="NL28" s="50">
        <f t="shared" ca="1" si="482"/>
        <v>48728.86454729746</v>
      </c>
      <c r="NM28" s="50">
        <f t="shared" ca="1" si="483"/>
        <v>65224.251591659086</v>
      </c>
      <c r="NN28" s="50">
        <f t="shared" ca="1" si="484"/>
        <v>56378.607413922218</v>
      </c>
      <c r="NO28" s="50">
        <f t="shared" ca="1" si="485"/>
        <v>66017.613850630602</v>
      </c>
      <c r="NP28" s="50">
        <f t="shared" ca="1" si="486"/>
        <v>54710.364047199102</v>
      </c>
      <c r="NQ28" s="50">
        <f t="shared" ca="1" si="487"/>
        <v>48624.874715749735</v>
      </c>
      <c r="NR28" s="50">
        <f t="shared" ca="1" si="488"/>
        <v>59344.668434754742</v>
      </c>
      <c r="NS28" s="50">
        <f t="shared" ca="1" si="489"/>
        <v>52173.519394904673</v>
      </c>
      <c r="NT28" s="50">
        <f t="shared" ca="1" si="490"/>
        <v>73880.339344021733</v>
      </c>
      <c r="NU28" s="50">
        <f t="shared" ca="1" si="491"/>
        <v>68352.451976852637</v>
      </c>
      <c r="NV28" s="50">
        <f t="shared" ca="1" si="492"/>
        <v>50582.999735147823</v>
      </c>
      <c r="NW28" s="50">
        <f t="shared" ca="1" si="493"/>
        <v>50286.485342697815</v>
      </c>
      <c r="NX28" s="50">
        <f t="shared" ca="1" si="494"/>
        <v>71057.463592880129</v>
      </c>
      <c r="NY28" s="50">
        <f t="shared" ca="1" si="495"/>
        <v>62278.494730830811</v>
      </c>
      <c r="NZ28" s="50">
        <f t="shared" ca="1" si="496"/>
        <v>64034.89494026787</v>
      </c>
      <c r="OA28" s="50">
        <f t="shared" ca="1" si="497"/>
        <v>51746.202929427593</v>
      </c>
      <c r="OB28" s="50">
        <f t="shared" ca="1" si="498"/>
        <v>71377.261442034025</v>
      </c>
      <c r="OC28" s="50">
        <f t="shared" ca="1" si="499"/>
        <v>51950.547949749875</v>
      </c>
      <c r="OD28" s="50">
        <f t="shared" ca="1" si="500"/>
        <v>55106.966938294776</v>
      </c>
      <c r="OE28" s="50">
        <f t="shared" ca="1" si="501"/>
        <v>67801.454729377598</v>
      </c>
      <c r="OF28" s="50">
        <f t="shared" ca="1" si="502"/>
        <v>67055.840884191595</v>
      </c>
      <c r="OG28" s="50">
        <f t="shared" ca="1" si="503"/>
        <v>68146.438769176908</v>
      </c>
      <c r="OH28" s="50">
        <f t="shared" ca="1" si="504"/>
        <v>65809.038502752621</v>
      </c>
      <c r="OI28" s="50">
        <f t="shared" ca="1" si="505"/>
        <v>56217.756381872918</v>
      </c>
      <c r="OJ28" s="50">
        <f t="shared" ca="1" si="506"/>
        <v>61296.44551324434</v>
      </c>
      <c r="OK28" s="50">
        <f t="shared" ca="1" si="507"/>
        <v>57008.531797203708</v>
      </c>
      <c r="OL28" s="50">
        <f t="shared" ca="1" si="508"/>
        <v>63784.142453379027</v>
      </c>
      <c r="OM28" s="50">
        <f t="shared" ca="1" si="509"/>
        <v>51869.781497080941</v>
      </c>
      <c r="ON28" s="50">
        <f t="shared" ca="1" si="510"/>
        <v>64875.875699157492</v>
      </c>
      <c r="OO28" s="50">
        <f t="shared" ca="1" si="511"/>
        <v>61150.591596936982</v>
      </c>
      <c r="OP28" s="50">
        <f t="shared" ca="1" si="512"/>
        <v>63308.770554465947</v>
      </c>
      <c r="OQ28" s="50">
        <f t="shared" ca="1" si="513"/>
        <v>59434.962218989029</v>
      </c>
      <c r="OR28" s="50">
        <f t="shared" ca="1" si="514"/>
        <v>67503.355640711103</v>
      </c>
      <c r="OS28" s="50">
        <f t="shared" ca="1" si="515"/>
        <v>52382.017484722877</v>
      </c>
      <c r="OT28" s="50">
        <f t="shared" ca="1" si="516"/>
        <v>53924.16407433492</v>
      </c>
      <c r="OU28" s="50">
        <f t="shared" ca="1" si="517"/>
        <v>49630.763599676087</v>
      </c>
      <c r="OV28" s="50">
        <f t="shared" ca="1" si="518"/>
        <v>59405.956878154291</v>
      </c>
      <c r="OW28" s="50">
        <f t="shared" ca="1" si="519"/>
        <v>55015.849090729105</v>
      </c>
      <c r="OX28" s="50">
        <f t="shared" ca="1" si="520"/>
        <v>75828.151679309041</v>
      </c>
      <c r="OY28" s="50">
        <f t="shared" ca="1" si="521"/>
        <v>56625.422379840333</v>
      </c>
      <c r="OZ28" s="50">
        <f t="shared" ca="1" si="522"/>
        <v>63382.15330896333</v>
      </c>
      <c r="PA28" s="50">
        <f t="shared" ca="1" si="523"/>
        <v>56259.103169292255</v>
      </c>
      <c r="PB28" s="50">
        <f t="shared" ca="1" si="524"/>
        <v>58925.474411831288</v>
      </c>
      <c r="PC28" s="50">
        <f t="shared" ca="1" si="525"/>
        <v>55721.257881412268</v>
      </c>
      <c r="PD28" s="50">
        <f t="shared" ca="1" si="526"/>
        <v>53662.719777280225</v>
      </c>
      <c r="PE28" s="50">
        <f t="shared" ca="1" si="527"/>
        <v>66334.965663474111</v>
      </c>
      <c r="PF28" s="50">
        <f t="shared" ca="1" si="528"/>
        <v>61255.865757199994</v>
      </c>
      <c r="PG28" s="50">
        <f t="shared" ca="1" si="529"/>
        <v>54248.980220000027</v>
      </c>
      <c r="PH28" s="50">
        <f t="shared" ca="1" si="530"/>
        <v>44149.520289703782</v>
      </c>
      <c r="PI28" s="50">
        <f t="shared" ca="1" si="531"/>
        <v>55459.589209089114</v>
      </c>
      <c r="PJ28" s="50">
        <f t="shared" ca="1" si="532"/>
        <v>58965.68723016834</v>
      </c>
      <c r="PK28" s="50">
        <f t="shared" ca="1" si="533"/>
        <v>63932.854420921729</v>
      </c>
      <c r="PL28" s="50">
        <f t="shared" ca="1" si="534"/>
        <v>70699.690547920778</v>
      </c>
      <c r="PM28" s="50">
        <f t="shared" ca="1" si="535"/>
        <v>59736.353508685337</v>
      </c>
      <c r="PN28" s="50">
        <f t="shared" ca="1" si="536"/>
        <v>53494.391989481279</v>
      </c>
      <c r="PO28" s="50">
        <f t="shared" ca="1" si="537"/>
        <v>68272.231351664261</v>
      </c>
      <c r="PP28" s="50">
        <f t="shared" ca="1" si="538"/>
        <v>56454.858483858465</v>
      </c>
      <c r="PQ28" s="50">
        <f t="shared" ca="1" si="539"/>
        <v>54547.238728169425</v>
      </c>
      <c r="PR28" s="50">
        <f t="shared" ca="1" si="540"/>
        <v>62522.488349791442</v>
      </c>
      <c r="PS28" s="50">
        <f t="shared" ca="1" si="541"/>
        <v>68139.400352520475</v>
      </c>
      <c r="PT28" s="50">
        <f t="shared" ca="1" si="542"/>
        <v>52272.247333753185</v>
      </c>
      <c r="PU28" s="50">
        <f t="shared" ca="1" si="543"/>
        <v>62571.896958145575</v>
      </c>
      <c r="PV28" s="50">
        <f t="shared" ca="1" si="544"/>
        <v>58559.669207249666</v>
      </c>
      <c r="PW28" s="50">
        <f t="shared" ca="1" si="545"/>
        <v>55719.888243233407</v>
      </c>
      <c r="PX28" s="50">
        <f t="shared" ca="1" si="546"/>
        <v>69171.822280561566</v>
      </c>
      <c r="PY28" s="50">
        <f t="shared" ca="1" si="547"/>
        <v>62689.821818559642</v>
      </c>
      <c r="PZ28" s="50">
        <f t="shared" ca="1" si="548"/>
        <v>62236.478088199015</v>
      </c>
      <c r="QA28" s="50">
        <f t="shared" ca="1" si="549"/>
        <v>48814.616112983764</v>
      </c>
      <c r="QB28" s="50">
        <f t="shared" ca="1" si="550"/>
        <v>58584.613903716127</v>
      </c>
      <c r="QC28" s="50">
        <f t="shared" ca="1" si="551"/>
        <v>66100.474881173781</v>
      </c>
      <c r="QD28" s="50">
        <f t="shared" ca="1" si="552"/>
        <v>62283.875325976558</v>
      </c>
      <c r="QE28" s="50">
        <f t="shared" ca="1" si="553"/>
        <v>63014.193314080163</v>
      </c>
      <c r="QF28" s="50">
        <f t="shared" ca="1" si="554"/>
        <v>49728.758601768182</v>
      </c>
      <c r="QG28" s="50">
        <f t="shared" ca="1" si="555"/>
        <v>50465.564040470759</v>
      </c>
      <c r="QH28" s="50">
        <f t="shared" ca="1" si="556"/>
        <v>55386.001309298634</v>
      </c>
      <c r="QI28" s="50">
        <f t="shared" ca="1" si="557"/>
        <v>53891.149409942082</v>
      </c>
      <c r="QJ28" s="50">
        <f t="shared" ca="1" si="558"/>
        <v>50451.508945697577</v>
      </c>
      <c r="QK28" s="50">
        <f t="shared" ca="1" si="559"/>
        <v>54434.326206403246</v>
      </c>
      <c r="QL28" s="50">
        <f t="shared" ca="1" si="560"/>
        <v>71380.339696118419</v>
      </c>
      <c r="QM28" s="50">
        <f t="shared" ca="1" si="561"/>
        <v>48181.786068645692</v>
      </c>
      <c r="QN28" s="50">
        <f t="shared" ca="1" si="562"/>
        <v>50276.040953029522</v>
      </c>
      <c r="QO28" s="50">
        <f t="shared" ca="1" si="563"/>
        <v>69367.866660227795</v>
      </c>
      <c r="QP28" s="50">
        <f t="shared" ca="1" si="564"/>
        <v>55461.668800214058</v>
      </c>
      <c r="QQ28" s="50">
        <f t="shared" ca="1" si="565"/>
        <v>50441.853393093043</v>
      </c>
      <c r="QR28" s="50">
        <f t="shared" ca="1" si="566"/>
        <v>57075.350113504857</v>
      </c>
      <c r="QS28" s="50">
        <f t="shared" ca="1" si="567"/>
        <v>56137.883882110713</v>
      </c>
      <c r="QT28" s="50">
        <f t="shared" ca="1" si="568"/>
        <v>48836.908880180803</v>
      </c>
      <c r="QU28" s="50">
        <f t="shared" ca="1" si="569"/>
        <v>55527.976508244392</v>
      </c>
      <c r="QV28" s="50">
        <f t="shared" ca="1" si="570"/>
        <v>53605.761070332817</v>
      </c>
      <c r="QW28" s="50">
        <f t="shared" ca="1" si="571"/>
        <v>59586.822454090398</v>
      </c>
      <c r="QX28" s="50">
        <f t="shared" ca="1" si="572"/>
        <v>67360.129593253005</v>
      </c>
      <c r="QY28" s="50">
        <f t="shared" ca="1" si="573"/>
        <v>51859.701310021177</v>
      </c>
      <c r="QZ28" s="50">
        <f t="shared" ca="1" si="574"/>
        <v>61188.813715104108</v>
      </c>
      <c r="RA28" s="50">
        <f t="shared" ca="1" si="575"/>
        <v>52769.084177781573</v>
      </c>
      <c r="RB28" s="50">
        <f t="shared" ca="1" si="576"/>
        <v>81092.801368076092</v>
      </c>
      <c r="RC28" s="50">
        <f t="shared" ca="1" si="577"/>
        <v>59696.034914511438</v>
      </c>
      <c r="RD28" s="50">
        <f t="shared" ca="1" si="578"/>
        <v>48127.702471272503</v>
      </c>
      <c r="RE28" s="50">
        <f t="shared" ca="1" si="579"/>
        <v>61231.262575647808</v>
      </c>
      <c r="RF28" s="50">
        <f t="shared" ca="1" si="580"/>
        <v>59359.986766372065</v>
      </c>
      <c r="RG28" s="50">
        <f t="shared" ca="1" si="581"/>
        <v>51337.350054601724</v>
      </c>
      <c r="RH28" s="50">
        <f t="shared" ca="1" si="582"/>
        <v>68434.2172425233</v>
      </c>
      <c r="RI28" s="50">
        <f t="shared" ca="1" si="583"/>
        <v>73553.101963071342</v>
      </c>
      <c r="RJ28" s="50">
        <f t="shared" ca="1" si="584"/>
        <v>49825.184351981625</v>
      </c>
      <c r="RK28" s="50">
        <f t="shared" ca="1" si="585"/>
        <v>69202.715493628028</v>
      </c>
      <c r="RL28" s="50">
        <f t="shared" ca="1" si="586"/>
        <v>62670.646572137543</v>
      </c>
      <c r="RM28" s="50">
        <f t="shared" ca="1" si="587"/>
        <v>56270.242397201531</v>
      </c>
      <c r="RN28" s="50">
        <f t="shared" ca="1" si="588"/>
        <v>56826.823012494504</v>
      </c>
      <c r="RO28" s="50">
        <f t="shared" ca="1" si="589"/>
        <v>49299.28259606674</v>
      </c>
      <c r="RP28" s="50">
        <f t="shared" ca="1" si="590"/>
        <v>58164.400570816033</v>
      </c>
      <c r="RQ28" s="50">
        <f t="shared" ca="1" si="591"/>
        <v>55594.875777686473</v>
      </c>
      <c r="RR28" s="50">
        <f t="shared" ca="1" si="592"/>
        <v>55957.110256338019</v>
      </c>
      <c r="RS28" s="50">
        <f t="shared" ca="1" si="593"/>
        <v>77353.464855123457</v>
      </c>
      <c r="RT28" s="50">
        <f t="shared" ca="1" si="594"/>
        <v>59735.437533591845</v>
      </c>
      <c r="RU28" s="50">
        <f t="shared" ca="1" si="595"/>
        <v>54902.579953343346</v>
      </c>
      <c r="RV28" s="50">
        <f t="shared" ca="1" si="596"/>
        <v>60240.473656878174</v>
      </c>
      <c r="RW28" s="50">
        <f t="shared" ca="1" si="597"/>
        <v>70506.298816027411</v>
      </c>
      <c r="RX28" s="50">
        <f t="shared" ca="1" si="598"/>
        <v>63066.205439233578</v>
      </c>
      <c r="RY28" s="50">
        <f t="shared" ca="1" si="599"/>
        <v>58215.782373124071</v>
      </c>
      <c r="RZ28" s="50">
        <f t="shared" ca="1" si="600"/>
        <v>57979.325810198643</v>
      </c>
      <c r="SA28" s="50">
        <f t="shared" ca="1" si="601"/>
        <v>59271.236952096515</v>
      </c>
      <c r="SB28" s="50">
        <f t="shared" ca="1" si="602"/>
        <v>63953.770632818443</v>
      </c>
      <c r="SC28" s="50">
        <f t="shared" ca="1" si="603"/>
        <v>56356.922340756217</v>
      </c>
      <c r="SD28" s="50">
        <f t="shared" ca="1" si="604"/>
        <v>50415.627920025741</v>
      </c>
      <c r="SE28" s="50">
        <f t="shared" ca="1" si="605"/>
        <v>67905.247318169044</v>
      </c>
      <c r="SF28" s="50">
        <f t="shared" ca="1" si="606"/>
        <v>60911.874029235725</v>
      </c>
      <c r="SG28" s="50">
        <f t="shared" ca="1" si="607"/>
        <v>57580.195726319515</v>
      </c>
      <c r="SH28" s="50">
        <f t="shared" ca="1" si="608"/>
        <v>60709.397978263318</v>
      </c>
      <c r="SI28" s="50">
        <f t="shared" ca="1" si="609"/>
        <v>68313.51454087389</v>
      </c>
      <c r="SJ28" s="50">
        <f t="shared" ca="1" si="610"/>
        <v>57264.502873678801</v>
      </c>
      <c r="SK28" s="50">
        <f t="shared" ca="1" si="611"/>
        <v>66201.217586855128</v>
      </c>
      <c r="SL28" s="50">
        <f t="shared" ca="1" si="612"/>
        <v>51791.0520765002</v>
      </c>
      <c r="SM28" s="50">
        <f t="shared" ca="1" si="613"/>
        <v>55248.613069872248</v>
      </c>
      <c r="SN28" s="50">
        <f t="shared" ca="1" si="614"/>
        <v>65590.574794132044</v>
      </c>
      <c r="SO28" s="50">
        <f t="shared" ca="1" si="615"/>
        <v>55314.400185882732</v>
      </c>
      <c r="SP28" s="50">
        <f t="shared" ca="1" si="616"/>
        <v>64106.254309134471</v>
      </c>
      <c r="SQ28" s="50">
        <f t="shared" ca="1" si="617"/>
        <v>55503.147024992461</v>
      </c>
      <c r="SR28" s="50">
        <f t="shared" ca="1" si="618"/>
        <v>59003.206858282763</v>
      </c>
      <c r="SS28" s="50">
        <f t="shared" ca="1" si="619"/>
        <v>59089.225926346153</v>
      </c>
      <c r="ST28" s="50">
        <f t="shared" ca="1" si="620"/>
        <v>68657.672189733159</v>
      </c>
      <c r="SU28" s="50">
        <f t="shared" ca="1" si="621"/>
        <v>58240.248621646671</v>
      </c>
      <c r="SV28" s="50">
        <f t="shared" ca="1" si="622"/>
        <v>64824.563899617096</v>
      </c>
      <c r="SW28" s="50">
        <f t="shared" ca="1" si="623"/>
        <v>44071.178957521886</v>
      </c>
      <c r="SX28" s="50">
        <f t="shared" ca="1" si="624"/>
        <v>50506.103358039385</v>
      </c>
      <c r="SY28" s="50">
        <f t="shared" ca="1" si="625"/>
        <v>54949.048214550603</v>
      </c>
      <c r="SZ28" s="50">
        <f t="shared" ca="1" si="626"/>
        <v>59257.515827239433</v>
      </c>
      <c r="TA28" s="50">
        <f t="shared" ca="1" si="627"/>
        <v>52189.678096005169</v>
      </c>
      <c r="TB28" s="50">
        <f t="shared" ca="1" si="628"/>
        <v>53765.039874440503</v>
      </c>
      <c r="TC28" s="50">
        <f t="shared" ca="1" si="629"/>
        <v>54523.995951760517</v>
      </c>
      <c r="TD28" s="50">
        <f t="shared" ca="1" si="630"/>
        <v>62456.886495517618</v>
      </c>
      <c r="TE28" s="50">
        <f t="shared" ca="1" si="631"/>
        <v>51724.41089447483</v>
      </c>
      <c r="TF28" s="50">
        <f t="shared" ca="1" si="632"/>
        <v>72207.304646178003</v>
      </c>
      <c r="TG28" s="50">
        <f t="shared" ca="1" si="633"/>
        <v>60190.896187930543</v>
      </c>
      <c r="TH28" s="50">
        <f t="shared" ca="1" si="634"/>
        <v>47876.497142885615</v>
      </c>
      <c r="TI28" s="50">
        <f t="shared" ca="1" si="635"/>
        <v>53663.004047327282</v>
      </c>
      <c r="TJ28" s="50">
        <f t="shared" ca="1" si="636"/>
        <v>66567.061928568699</v>
      </c>
      <c r="TK28" s="50">
        <f t="shared" ca="1" si="637"/>
        <v>53417.895942410054</v>
      </c>
      <c r="TL28" s="50">
        <f t="shared" ca="1" si="638"/>
        <v>60475.024635699207</v>
      </c>
      <c r="TM28" s="50">
        <f t="shared" ca="1" si="639"/>
        <v>59732.286744082558</v>
      </c>
      <c r="TN28" s="50">
        <f t="shared" ca="1" si="640"/>
        <v>49529.949925261419</v>
      </c>
      <c r="TO28" s="50">
        <f t="shared" ca="1" si="641"/>
        <v>57433.902188746135</v>
      </c>
      <c r="TP28" s="50">
        <f t="shared" ca="1" si="642"/>
        <v>52120.247910062775</v>
      </c>
      <c r="TQ28" s="50">
        <f t="shared" ca="1" si="643"/>
        <v>53107.340174181409</v>
      </c>
      <c r="TR28" s="50">
        <f t="shared" ca="1" si="644"/>
        <v>54268.370454362259</v>
      </c>
      <c r="TS28" s="50">
        <f t="shared" ca="1" si="645"/>
        <v>52231.566777833912</v>
      </c>
      <c r="TT28" s="50">
        <f t="shared" ca="1" si="646"/>
        <v>52424.449756387316</v>
      </c>
      <c r="TU28" s="50">
        <f t="shared" ca="1" si="647"/>
        <v>75241.351473913994</v>
      </c>
      <c r="TV28" s="50">
        <f t="shared" ca="1" si="648"/>
        <v>65316.774192087309</v>
      </c>
      <c r="TW28" s="50">
        <f t="shared" ca="1" si="649"/>
        <v>47275.969804234475</v>
      </c>
      <c r="TX28" s="50">
        <f t="shared" ca="1" si="650"/>
        <v>56148.34158832096</v>
      </c>
      <c r="TY28" s="50">
        <f t="shared" ca="1" si="651"/>
        <v>67099.199930004412</v>
      </c>
      <c r="TZ28" s="50">
        <f t="shared" ca="1" si="652"/>
        <v>61078.380782002911</v>
      </c>
      <c r="UA28" s="50">
        <f t="shared" ca="1" si="653"/>
        <v>53439.016497287688</v>
      </c>
      <c r="UB28" s="50">
        <f t="shared" ca="1" si="654"/>
        <v>67272.432776367627</v>
      </c>
      <c r="UC28" s="50">
        <f t="shared" ca="1" si="655"/>
        <v>54059.490123075702</v>
      </c>
      <c r="UD28" s="50">
        <f t="shared" ca="1" si="656"/>
        <v>57471.491059486463</v>
      </c>
      <c r="UE28" s="50">
        <f t="shared" ca="1" si="657"/>
        <v>48510.843231367144</v>
      </c>
      <c r="UF28" s="50">
        <f t="shared" ca="1" si="658"/>
        <v>68007.829923849902</v>
      </c>
      <c r="UG28" s="50">
        <f t="shared" ca="1" si="659"/>
        <v>51358.394531647835</v>
      </c>
      <c r="UH28" s="50">
        <f t="shared" ca="1" si="660"/>
        <v>54370.220842489711</v>
      </c>
      <c r="UI28" s="50">
        <f t="shared" ca="1" si="661"/>
        <v>57942.713509896297</v>
      </c>
      <c r="UJ28" s="50">
        <f t="shared" ca="1" si="662"/>
        <v>62635.758104000161</v>
      </c>
      <c r="UK28" s="50">
        <f t="shared" ca="1" si="663"/>
        <v>55085.493130651688</v>
      </c>
      <c r="UL28" s="50">
        <f t="shared" ca="1" si="664"/>
        <v>52951.522739826461</v>
      </c>
      <c r="UM28" s="50">
        <f t="shared" ca="1" si="665"/>
        <v>62393.157065289968</v>
      </c>
      <c r="UN28" s="50">
        <f t="shared" ca="1" si="666"/>
        <v>47272.055400984471</v>
      </c>
      <c r="UO28" s="50">
        <f t="shared" ca="1" si="667"/>
        <v>49716.312533233191</v>
      </c>
      <c r="UP28" s="50">
        <f t="shared" ca="1" si="668"/>
        <v>59634.348259444589</v>
      </c>
      <c r="UQ28" s="50">
        <f t="shared" ca="1" si="669"/>
        <v>58518.342116761341</v>
      </c>
      <c r="UR28" s="50">
        <f t="shared" ca="1" si="670"/>
        <v>67612.667899093591</v>
      </c>
      <c r="US28" s="50">
        <f t="shared" ca="1" si="671"/>
        <v>48997.644077186917</v>
      </c>
      <c r="UT28" s="50">
        <f t="shared" ca="1" si="672"/>
        <v>44931.432376081764</v>
      </c>
      <c r="UU28" s="50">
        <f t="shared" ca="1" si="673"/>
        <v>53931.071162844179</v>
      </c>
      <c r="UV28" s="50">
        <f t="shared" ca="1" si="674"/>
        <v>55481.428936070421</v>
      </c>
      <c r="UW28" s="50">
        <f t="shared" ca="1" si="675"/>
        <v>58990.048490429392</v>
      </c>
      <c r="UX28" s="50">
        <f t="shared" ca="1" si="676"/>
        <v>56319.480983362009</v>
      </c>
      <c r="UY28" s="50">
        <f t="shared" ca="1" si="677"/>
        <v>53932.41001915477</v>
      </c>
      <c r="UZ28" s="50">
        <f t="shared" ca="1" si="678"/>
        <v>63182.048728143403</v>
      </c>
      <c r="VA28" s="50">
        <f t="shared" ca="1" si="679"/>
        <v>81288.133726939312</v>
      </c>
      <c r="VB28" s="50">
        <f t="shared" ca="1" si="680"/>
        <v>53246.748365669693</v>
      </c>
      <c r="VC28" s="50">
        <f t="shared" ca="1" si="681"/>
        <v>53618.869980704418</v>
      </c>
      <c r="VD28" s="50">
        <f t="shared" ca="1" si="682"/>
        <v>65875.002560098859</v>
      </c>
      <c r="VE28" s="50">
        <f t="shared" ca="1" si="683"/>
        <v>52774.748324453154</v>
      </c>
      <c r="VF28" s="50">
        <f t="shared" ca="1" si="684"/>
        <v>54834.245559904783</v>
      </c>
      <c r="VG28" s="50">
        <f t="shared" ca="1" si="685"/>
        <v>48677.9404037403</v>
      </c>
      <c r="VH28" s="50">
        <f t="shared" ca="1" si="686"/>
        <v>52954.495299645103</v>
      </c>
      <c r="VI28" s="50">
        <f t="shared" ca="1" si="687"/>
        <v>63266.373992838584</v>
      </c>
      <c r="VJ28" s="50">
        <f t="shared" ca="1" si="688"/>
        <v>59270.375946438951</v>
      </c>
      <c r="VK28" s="50">
        <f t="shared" ca="1" si="689"/>
        <v>57195.478530519285</v>
      </c>
      <c r="VL28" s="50">
        <f t="shared" ca="1" si="690"/>
        <v>54797.645912760105</v>
      </c>
      <c r="VM28" s="50">
        <f t="shared" ca="1" si="691"/>
        <v>68058.731944579107</v>
      </c>
      <c r="VN28" s="50">
        <f t="shared" ca="1" si="692"/>
        <v>65783.299966602077</v>
      </c>
      <c r="VO28" s="50">
        <f t="shared" ca="1" si="693"/>
        <v>61322.713230007779</v>
      </c>
      <c r="VP28" s="50">
        <f t="shared" ca="1" si="694"/>
        <v>64780.722171183457</v>
      </c>
      <c r="VQ28" s="50">
        <f t="shared" ca="1" si="695"/>
        <v>60273.076880097564</v>
      </c>
      <c r="VR28" s="50">
        <f t="shared" ca="1" si="696"/>
        <v>65147.417597637628</v>
      </c>
      <c r="VS28" s="50">
        <f t="shared" ca="1" si="697"/>
        <v>82430.901053592606</v>
      </c>
      <c r="VT28" s="50">
        <f t="shared" ca="1" si="698"/>
        <v>62588.73984432366</v>
      </c>
      <c r="VU28" s="50">
        <f t="shared" ca="1" si="699"/>
        <v>57943.430002903922</v>
      </c>
      <c r="VV28" s="50">
        <f t="shared" ca="1" si="700"/>
        <v>57312.582272153813</v>
      </c>
      <c r="VW28" s="50">
        <f t="shared" ca="1" si="701"/>
        <v>60786.957069680851</v>
      </c>
      <c r="VX28" s="50">
        <f t="shared" ca="1" si="702"/>
        <v>65360.245264574347</v>
      </c>
      <c r="VY28" s="50">
        <f t="shared" ca="1" si="703"/>
        <v>49329.229051041126</v>
      </c>
      <c r="VZ28" s="50">
        <f t="shared" ca="1" si="704"/>
        <v>52865.455505296588</v>
      </c>
      <c r="WA28" s="50">
        <f t="shared" ca="1" si="705"/>
        <v>50135.5696926483</v>
      </c>
      <c r="WB28" s="50">
        <f t="shared" ca="1" si="706"/>
        <v>56448.223464517134</v>
      </c>
      <c r="WC28" s="50">
        <f t="shared" ca="1" si="707"/>
        <v>60334.915830302256</v>
      </c>
      <c r="WD28" s="50">
        <f t="shared" ca="1" si="708"/>
        <v>55134.115605847313</v>
      </c>
      <c r="WE28" s="50">
        <f t="shared" ca="1" si="709"/>
        <v>64645.68805669032</v>
      </c>
      <c r="WF28" s="50">
        <f t="shared" ca="1" si="710"/>
        <v>64494.935223886321</v>
      </c>
      <c r="WG28" s="50">
        <f t="shared" ca="1" si="711"/>
        <v>56906.131938052888</v>
      </c>
      <c r="WH28" s="50">
        <f t="shared" ca="1" si="712"/>
        <v>62413.094059987496</v>
      </c>
      <c r="WI28" s="50">
        <f t="shared" ca="1" si="713"/>
        <v>56884.876907901591</v>
      </c>
      <c r="WJ28" s="50">
        <f t="shared" ca="1" si="714"/>
        <v>51072.443942787948</v>
      </c>
      <c r="WK28" s="50">
        <f t="shared" ca="1" si="715"/>
        <v>63494.00944663355</v>
      </c>
      <c r="WL28" s="50">
        <f t="shared" ca="1" si="716"/>
        <v>65275.833155988679</v>
      </c>
      <c r="WM28" s="50">
        <f t="shared" ca="1" si="717"/>
        <v>57721.982865476268</v>
      </c>
      <c r="WN28" s="50">
        <f t="shared" ca="1" si="718"/>
        <v>55017.891233998795</v>
      </c>
      <c r="WO28" s="50">
        <f t="shared" ca="1" si="719"/>
        <v>59763.842081073657</v>
      </c>
      <c r="WP28" s="50">
        <f t="shared" ca="1" si="720"/>
        <v>63390.530604985273</v>
      </c>
      <c r="WQ28" s="50">
        <f t="shared" ca="1" si="721"/>
        <v>54170.322061101098</v>
      </c>
      <c r="WR28" s="50">
        <f t="shared" ca="1" si="722"/>
        <v>55629.976897912653</v>
      </c>
      <c r="WS28" s="50">
        <f t="shared" ca="1" si="723"/>
        <v>53391.358127894113</v>
      </c>
      <c r="WT28" s="50">
        <f t="shared" ca="1" si="724"/>
        <v>76579.489698761841</v>
      </c>
      <c r="WU28" s="50">
        <f t="shared" ca="1" si="725"/>
        <v>66541.917225292884</v>
      </c>
      <c r="WV28" s="50">
        <f t="shared" ca="1" si="726"/>
        <v>54370.006516717687</v>
      </c>
      <c r="WW28" s="50">
        <f t="shared" ca="1" si="727"/>
        <v>58588.6186376607</v>
      </c>
      <c r="WX28" s="50">
        <f t="shared" ca="1" si="728"/>
        <v>54572.427971596007</v>
      </c>
      <c r="WY28" s="50">
        <f t="shared" ca="1" si="729"/>
        <v>68048.638929570909</v>
      </c>
      <c r="WZ28" s="50">
        <f t="shared" ca="1" si="730"/>
        <v>67085.476009669903</v>
      </c>
      <c r="XA28" s="50">
        <f t="shared" ca="1" si="731"/>
        <v>60142.524550705857</v>
      </c>
      <c r="XB28" s="50">
        <f t="shared" ca="1" si="732"/>
        <v>55743.787024236721</v>
      </c>
      <c r="XC28" s="50">
        <f t="shared" ca="1" si="733"/>
        <v>76168.949805552955</v>
      </c>
      <c r="XD28" s="50">
        <f t="shared" ca="1" si="734"/>
        <v>50020.641964808841</v>
      </c>
      <c r="XE28" s="50">
        <f t="shared" ca="1" si="735"/>
        <v>66383.336109052805</v>
      </c>
      <c r="XF28" s="50">
        <f t="shared" ca="1" si="736"/>
        <v>69413.045827702488</v>
      </c>
      <c r="XG28" s="50">
        <f t="shared" ca="1" si="737"/>
        <v>51176.980485226421</v>
      </c>
      <c r="XH28" s="50">
        <f t="shared" ca="1" si="738"/>
        <v>65208.301516445339</v>
      </c>
      <c r="XI28" s="50">
        <f t="shared" ca="1" si="739"/>
        <v>53769.985333884935</v>
      </c>
      <c r="XJ28" s="50">
        <f t="shared" ca="1" si="740"/>
        <v>49308.215901665426</v>
      </c>
      <c r="XK28" s="50">
        <f t="shared" ca="1" si="741"/>
        <v>50120.134669412633</v>
      </c>
      <c r="XL28" s="50">
        <f t="shared" ca="1" si="742"/>
        <v>70650.781287089514</v>
      </c>
      <c r="XM28" s="50">
        <f t="shared" ca="1" si="743"/>
        <v>61807.22600364143</v>
      </c>
      <c r="XN28" s="50">
        <f t="shared" ca="1" si="744"/>
        <v>55142.776652533146</v>
      </c>
      <c r="XO28" s="50">
        <f t="shared" ca="1" si="745"/>
        <v>52902.949595296988</v>
      </c>
      <c r="XP28" s="50">
        <f t="shared" ca="1" si="746"/>
        <v>73405.788387443085</v>
      </c>
      <c r="XQ28" s="50">
        <f t="shared" ca="1" si="747"/>
        <v>53471.752168262879</v>
      </c>
      <c r="XR28" s="50">
        <f t="shared" ca="1" si="748"/>
        <v>67633.004131180933</v>
      </c>
      <c r="XS28" s="50">
        <f t="shared" ca="1" si="749"/>
        <v>53428.042129409005</v>
      </c>
      <c r="XT28" s="50">
        <f t="shared" ca="1" si="750"/>
        <v>64308.597726479107</v>
      </c>
      <c r="XU28" s="50">
        <f t="shared" ca="1" si="751"/>
        <v>49158.773777227201</v>
      </c>
      <c r="XV28" s="50">
        <f t="shared" ca="1" si="752"/>
        <v>55812.15223741658</v>
      </c>
      <c r="XW28" s="50">
        <f t="shared" ca="1" si="753"/>
        <v>47198.582082468733</v>
      </c>
      <c r="XX28" s="50">
        <f t="shared" ca="1" si="754"/>
        <v>66293.126374387561</v>
      </c>
      <c r="XY28" s="50">
        <f t="shared" ca="1" si="755"/>
        <v>47204.661015733182</v>
      </c>
      <c r="XZ28" s="50">
        <f t="shared" ca="1" si="756"/>
        <v>72356.750000224827</v>
      </c>
      <c r="YA28" s="50">
        <f t="shared" ca="1" si="757"/>
        <v>56898.770829944558</v>
      </c>
      <c r="YB28" s="50">
        <f t="shared" ca="1" si="758"/>
        <v>59335.876203507571</v>
      </c>
      <c r="YC28" s="50">
        <f t="shared" ca="1" si="759"/>
        <v>63051.761096348513</v>
      </c>
      <c r="YD28" s="50">
        <f t="shared" ca="1" si="760"/>
        <v>63726.356917906494</v>
      </c>
      <c r="YE28" s="50">
        <f t="shared" ca="1" si="761"/>
        <v>52471.544107556096</v>
      </c>
      <c r="YF28" s="50">
        <f t="shared" ca="1" si="762"/>
        <v>68335.70417101089</v>
      </c>
      <c r="YG28" s="50">
        <f t="shared" ca="1" si="763"/>
        <v>77632.105479467282</v>
      </c>
      <c r="YH28" s="50">
        <f t="shared" ca="1" si="764"/>
        <v>68606.780122404438</v>
      </c>
      <c r="YI28" s="50">
        <f t="shared" ca="1" si="765"/>
        <v>58476.487823906682</v>
      </c>
      <c r="YJ28" s="50">
        <f t="shared" ca="1" si="766"/>
        <v>60216.653211849421</v>
      </c>
      <c r="YK28" s="50">
        <f t="shared" ca="1" si="767"/>
        <v>50566.934010048004</v>
      </c>
      <c r="YL28" s="50">
        <f t="shared" ca="1" si="768"/>
        <v>57924.317925400719</v>
      </c>
      <c r="YM28" s="50">
        <f t="shared" ca="1" si="769"/>
        <v>55313.11326464892</v>
      </c>
      <c r="YN28" s="50">
        <f t="shared" ca="1" si="770"/>
        <v>55574.056612354885</v>
      </c>
      <c r="YO28" s="50">
        <f t="shared" ca="1" si="771"/>
        <v>48446.878772968623</v>
      </c>
      <c r="YP28" s="50">
        <f t="shared" ca="1" si="772"/>
        <v>48043.492751846992</v>
      </c>
      <c r="YQ28" s="50">
        <f t="shared" ca="1" si="773"/>
        <v>63458.598916698415</v>
      </c>
      <c r="YR28" s="50">
        <f t="shared" ca="1" si="774"/>
        <v>58138.841180289477</v>
      </c>
      <c r="YS28" s="50">
        <f t="shared" ca="1" si="775"/>
        <v>62230.584620416441</v>
      </c>
      <c r="YT28" s="50">
        <f t="shared" ca="1" si="776"/>
        <v>53284.669932081873</v>
      </c>
      <c r="YU28" s="50">
        <f t="shared" ca="1" si="777"/>
        <v>68286.484567214997</v>
      </c>
      <c r="YV28" s="50">
        <f t="shared" ca="1" si="778"/>
        <v>50224.367025611762</v>
      </c>
      <c r="YW28" s="50">
        <f t="shared" ca="1" si="779"/>
        <v>48345.508545762765</v>
      </c>
      <c r="YX28" s="50">
        <f t="shared" ca="1" si="780"/>
        <v>63477.562258868165</v>
      </c>
      <c r="YY28" s="50">
        <f t="shared" ca="1" si="781"/>
        <v>60150.868143329215</v>
      </c>
      <c r="YZ28" s="50">
        <f t="shared" ca="1" si="782"/>
        <v>55893.305981398742</v>
      </c>
      <c r="ZA28" s="50">
        <f t="shared" ca="1" si="783"/>
        <v>70064.392966255371</v>
      </c>
      <c r="ZB28" s="50">
        <f t="shared" ca="1" si="784"/>
        <v>59811.843404135041</v>
      </c>
      <c r="ZC28" s="50">
        <f t="shared" ca="1" si="785"/>
        <v>55931.816223515925</v>
      </c>
      <c r="ZD28" s="50">
        <f t="shared" ca="1" si="786"/>
        <v>56825.604166536061</v>
      </c>
      <c r="ZE28" s="50">
        <f t="shared" ca="1" si="787"/>
        <v>51632.956088163439</v>
      </c>
      <c r="ZF28" s="50">
        <f t="shared" ca="1" si="788"/>
        <v>72474.172100331372</v>
      </c>
      <c r="ZG28" s="50">
        <f t="shared" ca="1" si="789"/>
        <v>56438.216900982305</v>
      </c>
      <c r="ZH28" s="50">
        <f t="shared" ca="1" si="790"/>
        <v>54111.904937438114</v>
      </c>
      <c r="ZI28" s="50">
        <f t="shared" ca="1" si="791"/>
        <v>50571.872139529783</v>
      </c>
      <c r="ZJ28" s="50">
        <f t="shared" ca="1" si="792"/>
        <v>62756.938261445153</v>
      </c>
      <c r="ZK28" s="50">
        <f t="shared" ca="1" si="793"/>
        <v>56855.229014418714</v>
      </c>
      <c r="ZL28" s="50">
        <f t="shared" ca="1" si="794"/>
        <v>58209.241539628114</v>
      </c>
      <c r="ZM28" s="50">
        <f t="shared" ca="1" si="795"/>
        <v>62064.014425093286</v>
      </c>
      <c r="ZN28" s="50">
        <f t="shared" ca="1" si="796"/>
        <v>49318.323708535434</v>
      </c>
      <c r="ZO28" s="50">
        <f t="shared" ca="1" si="797"/>
        <v>53729.406140719562</v>
      </c>
      <c r="ZP28" s="50">
        <f t="shared" ca="1" si="798"/>
        <v>63412.117959814605</v>
      </c>
      <c r="ZQ28" s="50">
        <f t="shared" ca="1" si="799"/>
        <v>71181.441807866635</v>
      </c>
      <c r="ZR28" s="50">
        <f t="shared" ca="1" si="800"/>
        <v>53072.013274963188</v>
      </c>
      <c r="ZS28" s="50">
        <f t="shared" ca="1" si="801"/>
        <v>61382.389789844783</v>
      </c>
      <c r="ZT28" s="50">
        <f t="shared" ca="1" si="802"/>
        <v>52360.494365138482</v>
      </c>
      <c r="ZU28" s="50">
        <f t="shared" ca="1" si="803"/>
        <v>61911.732030632185</v>
      </c>
      <c r="ZV28" s="50">
        <f t="shared" ca="1" si="804"/>
        <v>69199.820819192144</v>
      </c>
      <c r="ZW28" s="50">
        <f t="shared" ca="1" si="805"/>
        <v>62953.489395482698</v>
      </c>
      <c r="ZX28" s="50">
        <f t="shared" ca="1" si="806"/>
        <v>63988.352506303316</v>
      </c>
      <c r="ZY28" s="50">
        <f t="shared" ca="1" si="807"/>
        <v>50773.427422058121</v>
      </c>
      <c r="ZZ28" s="50">
        <f t="shared" ca="1" si="808"/>
        <v>68293.522947389269</v>
      </c>
      <c r="AAA28" s="50">
        <f t="shared" ca="1" si="809"/>
        <v>55636.352190867154</v>
      </c>
      <c r="AAB28" s="50">
        <f t="shared" ca="1" si="810"/>
        <v>65602.743927778996</v>
      </c>
      <c r="AAC28" s="50">
        <f t="shared" ca="1" si="811"/>
        <v>57135.207407856025</v>
      </c>
      <c r="AAD28" s="50">
        <f t="shared" ca="1" si="812"/>
        <v>42545.612161498022</v>
      </c>
      <c r="AAE28" s="50">
        <f t="shared" ca="1" si="813"/>
        <v>60618.982396045809</v>
      </c>
      <c r="AAF28" s="50">
        <f t="shared" ca="1" si="814"/>
        <v>45637.126812236114</v>
      </c>
      <c r="AAG28" s="50">
        <f t="shared" ca="1" si="815"/>
        <v>67403.958790032179</v>
      </c>
      <c r="AAH28" s="50">
        <f t="shared" ca="1" si="816"/>
        <v>55627.542261170296</v>
      </c>
      <c r="AAI28" s="50">
        <f t="shared" ca="1" si="817"/>
        <v>73686.641142264241</v>
      </c>
      <c r="AAJ28" s="50">
        <f t="shared" ca="1" si="818"/>
        <v>67928.776085901554</v>
      </c>
      <c r="AAK28" s="50">
        <f t="shared" ca="1" si="819"/>
        <v>63181.94385025333</v>
      </c>
      <c r="AAL28" s="50">
        <f t="shared" ca="1" si="820"/>
        <v>56753.758211660774</v>
      </c>
      <c r="AAM28" s="50">
        <f t="shared" ca="1" si="821"/>
        <v>61332.825449872857</v>
      </c>
      <c r="AAN28" s="50">
        <f t="shared" ca="1" si="822"/>
        <v>62721.026315013645</v>
      </c>
      <c r="AAO28" s="50">
        <f t="shared" ca="1" si="823"/>
        <v>53572.527912980666</v>
      </c>
      <c r="AAP28" s="50">
        <f t="shared" ca="1" si="824"/>
        <v>58181.41909335932</v>
      </c>
      <c r="AAQ28" s="50">
        <f t="shared" ca="1" si="825"/>
        <v>57016.764605841803</v>
      </c>
      <c r="AAR28" s="50">
        <f t="shared" ca="1" si="826"/>
        <v>58208.925293730492</v>
      </c>
      <c r="AAS28" s="50">
        <f t="shared" ca="1" si="827"/>
        <v>74159.051608028676</v>
      </c>
      <c r="AAT28" s="50">
        <f t="shared" ca="1" si="828"/>
        <v>51830.765943606326</v>
      </c>
      <c r="AAU28" s="50">
        <f t="shared" ca="1" si="829"/>
        <v>59390.238929257641</v>
      </c>
      <c r="AAV28" s="50">
        <f t="shared" ca="1" si="830"/>
        <v>55483.823467536713</v>
      </c>
      <c r="AAW28" s="50">
        <f t="shared" ca="1" si="831"/>
        <v>56983.732406992574</v>
      </c>
      <c r="AAX28" s="50">
        <f t="shared" ca="1" si="832"/>
        <v>68486.684430699184</v>
      </c>
      <c r="AAY28" s="50">
        <f t="shared" ca="1" si="833"/>
        <v>59683.682216097135</v>
      </c>
      <c r="AAZ28" s="50">
        <f t="shared" ca="1" si="834"/>
        <v>62132.211535911949</v>
      </c>
      <c r="ABA28" s="50">
        <f t="shared" ca="1" si="835"/>
        <v>62019.60609049601</v>
      </c>
      <c r="ABB28" s="50">
        <f t="shared" ca="1" si="836"/>
        <v>50532.719640532428</v>
      </c>
      <c r="ABC28" s="50">
        <f t="shared" ca="1" si="837"/>
        <v>65004.044640365239</v>
      </c>
      <c r="ABD28" s="50">
        <f t="shared" ca="1" si="838"/>
        <v>47502.095434497423</v>
      </c>
      <c r="ABE28" s="50">
        <f t="shared" ca="1" si="839"/>
        <v>65824.114854264524</v>
      </c>
      <c r="ABF28" s="50">
        <f t="shared" ca="1" si="840"/>
        <v>59729.183700363094</v>
      </c>
      <c r="ABG28" s="50">
        <f t="shared" ca="1" si="841"/>
        <v>57665.358999137927</v>
      </c>
      <c r="ABH28" s="50">
        <f t="shared" ca="1" si="842"/>
        <v>64390.726884594085</v>
      </c>
      <c r="ABI28" s="50">
        <f t="shared" ca="1" si="843"/>
        <v>54225.157993999877</v>
      </c>
      <c r="ABJ28" s="50">
        <f t="shared" ca="1" si="844"/>
        <v>51354.097007284174</v>
      </c>
      <c r="ABK28" s="50">
        <f t="shared" ca="1" si="845"/>
        <v>63938.737560903843</v>
      </c>
      <c r="ABL28" s="50">
        <f t="shared" ca="1" si="846"/>
        <v>59512.926380781857</v>
      </c>
      <c r="ABM28" s="50">
        <f t="shared" ca="1" si="847"/>
        <v>60705.160880713032</v>
      </c>
      <c r="ABN28" s="50">
        <f t="shared" ca="1" si="848"/>
        <v>57413.877467424849</v>
      </c>
      <c r="ABO28" s="50">
        <f t="shared" ca="1" si="849"/>
        <v>49744.307449784035</v>
      </c>
      <c r="ABP28" s="50">
        <f t="shared" ca="1" si="850"/>
        <v>62890.099682296772</v>
      </c>
      <c r="ABQ28" s="50">
        <f t="shared" ca="1" si="851"/>
        <v>46801.739261352217</v>
      </c>
      <c r="ABR28" s="50">
        <f t="shared" ca="1" si="852"/>
        <v>59674.608159956573</v>
      </c>
      <c r="ABS28" s="50">
        <f t="shared" ca="1" si="853"/>
        <v>59432.665130475463</v>
      </c>
      <c r="ABT28" s="50">
        <f t="shared" ca="1" si="854"/>
        <v>58401.898828339246</v>
      </c>
      <c r="ABU28" s="50">
        <f t="shared" ca="1" si="855"/>
        <v>61216.790546955679</v>
      </c>
      <c r="ABV28" s="50">
        <f t="shared" ca="1" si="856"/>
        <v>57765.265195652821</v>
      </c>
      <c r="ABW28" s="50">
        <f t="shared" ca="1" si="857"/>
        <v>49146.362437850476</v>
      </c>
      <c r="ABX28" s="50">
        <f t="shared" ca="1" si="858"/>
        <v>59462.408790378598</v>
      </c>
      <c r="ABY28" s="50">
        <f t="shared" ca="1" si="859"/>
        <v>62743.790233964311</v>
      </c>
      <c r="ABZ28" s="50">
        <f t="shared" ca="1" si="860"/>
        <v>61190.52780695977</v>
      </c>
      <c r="ACA28" s="50">
        <f t="shared" ca="1" si="861"/>
        <v>68730.501244462677</v>
      </c>
      <c r="ACB28" s="50">
        <f t="shared" ca="1" si="862"/>
        <v>58494.911445722653</v>
      </c>
      <c r="ACC28" s="50">
        <f t="shared" ca="1" si="863"/>
        <v>53622.115121760929</v>
      </c>
      <c r="ACD28" s="50">
        <f t="shared" ca="1" si="864"/>
        <v>52296.121601879335</v>
      </c>
      <c r="ACE28" s="50">
        <f t="shared" ca="1" si="865"/>
        <v>67621.510765888699</v>
      </c>
      <c r="ACF28" s="50">
        <f t="shared" ca="1" si="866"/>
        <v>56932.061782642435</v>
      </c>
      <c r="ACG28" s="50">
        <f t="shared" ca="1" si="867"/>
        <v>62747.270077744113</v>
      </c>
      <c r="ACH28" s="50">
        <f t="shared" ca="1" si="868"/>
        <v>70557.701168614847</v>
      </c>
      <c r="ACI28" s="50">
        <f t="shared" ca="1" si="869"/>
        <v>62315.654725228662</v>
      </c>
      <c r="ACJ28" s="50">
        <f t="shared" ca="1" si="870"/>
        <v>89331.587979396063</v>
      </c>
      <c r="ACK28" s="50">
        <f t="shared" ca="1" si="871"/>
        <v>57127.236082618947</v>
      </c>
      <c r="ACL28" s="50">
        <f t="shared" ca="1" si="872"/>
        <v>48979.120790228473</v>
      </c>
      <c r="ACM28" s="50">
        <f t="shared" ca="1" si="873"/>
        <v>52760.385038802197</v>
      </c>
      <c r="ACN28" s="50">
        <f t="shared" ca="1" si="874"/>
        <v>60080.979549721713</v>
      </c>
      <c r="ACO28" s="50">
        <f t="shared" ca="1" si="875"/>
        <v>53388.340667456352</v>
      </c>
      <c r="ACP28" s="50">
        <f t="shared" ca="1" si="876"/>
        <v>61177.501273537862</v>
      </c>
      <c r="ACQ28" s="50">
        <f t="shared" ca="1" si="877"/>
        <v>50474.904485889558</v>
      </c>
      <c r="ACR28" s="50">
        <f t="shared" ca="1" si="878"/>
        <v>57781.359417333719</v>
      </c>
      <c r="ACS28" s="50">
        <f t="shared" ca="1" si="879"/>
        <v>51545.240342106146</v>
      </c>
      <c r="ACT28" s="50">
        <f t="shared" ca="1" si="880"/>
        <v>60269.681070579689</v>
      </c>
      <c r="ACU28" s="50">
        <f t="shared" ca="1" si="881"/>
        <v>51531.270717024978</v>
      </c>
      <c r="ACV28" s="50">
        <f t="shared" ca="1" si="882"/>
        <v>55886.050894950771</v>
      </c>
      <c r="ACW28" s="50">
        <f t="shared" ca="1" si="883"/>
        <v>60511.071467829941</v>
      </c>
      <c r="ACX28" s="50">
        <f t="shared" ca="1" si="884"/>
        <v>57467.728329811107</v>
      </c>
      <c r="ACY28" s="50">
        <f t="shared" ca="1" si="885"/>
        <v>54429.769244778465</v>
      </c>
      <c r="ACZ28" s="50">
        <f t="shared" ca="1" si="886"/>
        <v>71152.430509312893</v>
      </c>
      <c r="ADA28" s="50">
        <f t="shared" ca="1" si="887"/>
        <v>83450.616264399185</v>
      </c>
      <c r="ADB28" s="50">
        <f t="shared" ca="1" si="888"/>
        <v>60911.552263558355</v>
      </c>
      <c r="ADC28" s="50">
        <f t="shared" ca="1" si="889"/>
        <v>63013.455720371894</v>
      </c>
      <c r="ADD28" s="50">
        <f t="shared" ca="1" si="890"/>
        <v>47955.701692447932</v>
      </c>
      <c r="ADE28" s="50">
        <f t="shared" ca="1" si="891"/>
        <v>64943.459844042212</v>
      </c>
      <c r="ADF28" s="50">
        <f t="shared" ca="1" si="892"/>
        <v>66481.060113346495</v>
      </c>
      <c r="ADG28" s="50">
        <f t="shared" ca="1" si="893"/>
        <v>67892.368374614161</v>
      </c>
      <c r="ADH28" s="50">
        <f t="shared" ca="1" si="894"/>
        <v>48246.937633155008</v>
      </c>
      <c r="ADI28" s="50">
        <f t="shared" ca="1" si="895"/>
        <v>48070.002777396956</v>
      </c>
      <c r="ADJ28" s="50">
        <f t="shared" ca="1" si="896"/>
        <v>60864.28539137241</v>
      </c>
      <c r="ADK28" s="50">
        <f t="shared" ca="1" si="897"/>
        <v>56037.539024196463</v>
      </c>
      <c r="ADL28" s="50">
        <f t="shared" ca="1" si="898"/>
        <v>53992.414233245348</v>
      </c>
      <c r="ADM28" s="50">
        <f t="shared" ca="1" si="899"/>
        <v>57084.911775935347</v>
      </c>
      <c r="ADN28" s="50">
        <f t="shared" ca="1" si="900"/>
        <v>59998.331590002024</v>
      </c>
      <c r="ADO28" s="50">
        <f t="shared" ca="1" si="901"/>
        <v>54503.512528688188</v>
      </c>
      <c r="ADP28" s="50">
        <f t="shared" ca="1" si="902"/>
        <v>57446.403954142334</v>
      </c>
      <c r="ADQ28" s="50">
        <f t="shared" ca="1" si="903"/>
        <v>50844.694579632494</v>
      </c>
      <c r="ADR28" s="50">
        <f t="shared" ca="1" si="904"/>
        <v>58027.518713296195</v>
      </c>
      <c r="ADS28" s="50">
        <f t="shared" ca="1" si="905"/>
        <v>52447.400706404536</v>
      </c>
      <c r="ADT28" s="50">
        <f t="shared" ca="1" si="906"/>
        <v>65954.336432506592</v>
      </c>
      <c r="ADU28" s="50">
        <f t="shared" ca="1" si="907"/>
        <v>62027.881893365156</v>
      </c>
      <c r="ADV28" s="50">
        <f t="shared" ca="1" si="908"/>
        <v>70755.031776555799</v>
      </c>
      <c r="ADW28" s="50">
        <f t="shared" ca="1" si="909"/>
        <v>50233.721765889328</v>
      </c>
      <c r="ADX28" s="50">
        <f t="shared" ca="1" si="910"/>
        <v>60998.39912308372</v>
      </c>
      <c r="ADY28" s="50">
        <f t="shared" ca="1" si="911"/>
        <v>68216.284623644882</v>
      </c>
      <c r="ADZ28" s="50">
        <f t="shared" ca="1" si="912"/>
        <v>52361.565726019209</v>
      </c>
      <c r="AEA28" s="50">
        <f t="shared" ca="1" si="913"/>
        <v>56673.525078561601</v>
      </c>
      <c r="AEB28" s="50">
        <f t="shared" ca="1" si="914"/>
        <v>64047.089753327717</v>
      </c>
      <c r="AEC28" s="50">
        <f t="shared" ca="1" si="915"/>
        <v>71507.692740060404</v>
      </c>
      <c r="AED28" s="50">
        <f t="shared" ca="1" si="916"/>
        <v>62803.461815822382</v>
      </c>
      <c r="AEE28" s="50">
        <f t="shared" ca="1" si="917"/>
        <v>53626.936077254257</v>
      </c>
      <c r="AEF28" s="50">
        <f t="shared" ca="1" si="918"/>
        <v>64696.140252940153</v>
      </c>
      <c r="AEG28" s="50">
        <f t="shared" ca="1" si="919"/>
        <v>50195.423739060614</v>
      </c>
      <c r="AEH28" s="50">
        <f t="shared" ca="1" si="920"/>
        <v>63004.399492953904</v>
      </c>
      <c r="AEI28" s="50">
        <f t="shared" ca="1" si="921"/>
        <v>59481.172755736967</v>
      </c>
      <c r="AEJ28" s="50">
        <f t="shared" ca="1" si="922"/>
        <v>53141.51655401718</v>
      </c>
      <c r="AEK28" s="50">
        <f t="shared" ca="1" si="923"/>
        <v>64454.716240045746</v>
      </c>
      <c r="AEL28" s="50">
        <f t="shared" ca="1" si="924"/>
        <v>56575.509863093386</v>
      </c>
      <c r="AEM28" s="50">
        <f t="shared" ca="1" si="925"/>
        <v>66899.893915270586</v>
      </c>
      <c r="AEN28" s="50">
        <f t="shared" ca="1" si="926"/>
        <v>70852.995699384686</v>
      </c>
      <c r="AEO28" s="50">
        <f t="shared" ca="1" si="927"/>
        <v>73084.541707710043</v>
      </c>
      <c r="AEP28" s="50">
        <f t="shared" ca="1" si="928"/>
        <v>55202.816105205151</v>
      </c>
      <c r="AEQ28" s="50">
        <f t="shared" ca="1" si="929"/>
        <v>60698.50275150963</v>
      </c>
      <c r="AER28" s="50">
        <f t="shared" ca="1" si="930"/>
        <v>55273.172994854984</v>
      </c>
      <c r="AES28" s="50">
        <f t="shared" ca="1" si="931"/>
        <v>51904.963463477383</v>
      </c>
      <c r="AET28" s="50">
        <f t="shared" ca="1" si="932"/>
        <v>70542.032949853878</v>
      </c>
      <c r="AEU28" s="50">
        <f t="shared" ca="1" si="933"/>
        <v>77675.218536092172</v>
      </c>
      <c r="AEV28" s="50">
        <f t="shared" ca="1" si="934"/>
        <v>71961.086220587982</v>
      </c>
      <c r="AEW28" s="50">
        <f t="shared" ca="1" si="935"/>
        <v>73780.346523112457</v>
      </c>
      <c r="AEX28" s="50">
        <f t="shared" ca="1" si="936"/>
        <v>57145.389074832223</v>
      </c>
      <c r="AEY28" s="50">
        <f t="shared" ca="1" si="937"/>
        <v>51573.632530244162</v>
      </c>
      <c r="AEZ28" s="50">
        <f t="shared" ca="1" si="938"/>
        <v>65864.709333854218</v>
      </c>
      <c r="AFA28" s="50">
        <f t="shared" ca="1" si="939"/>
        <v>53844.28026960951</v>
      </c>
      <c r="AFB28" s="50">
        <f t="shared" ca="1" si="940"/>
        <v>57057.821672828533</v>
      </c>
      <c r="AFC28" s="50">
        <f t="shared" ca="1" si="941"/>
        <v>56124.699656126795</v>
      </c>
      <c r="AFD28" s="50">
        <f t="shared" ca="1" si="942"/>
        <v>58613.853893338659</v>
      </c>
      <c r="AFE28" s="50">
        <f t="shared" ca="1" si="943"/>
        <v>42719.862225004821</v>
      </c>
      <c r="AFF28" s="50">
        <f t="shared" ca="1" si="944"/>
        <v>62406.291069173902</v>
      </c>
      <c r="AFG28" s="50">
        <f t="shared" ca="1" si="945"/>
        <v>51998.782402364624</v>
      </c>
      <c r="AFH28" s="50">
        <f t="shared" ca="1" si="946"/>
        <v>54799.025424356849</v>
      </c>
      <c r="AFI28" s="50">
        <f t="shared" ca="1" si="947"/>
        <v>53060.013022721803</v>
      </c>
      <c r="AFJ28" s="50">
        <f t="shared" ca="1" si="948"/>
        <v>59337.014739130325</v>
      </c>
      <c r="AFK28" s="50">
        <f t="shared" ca="1" si="949"/>
        <v>57465.019673122195</v>
      </c>
      <c r="AFL28" s="50">
        <f t="shared" ca="1" si="950"/>
        <v>51322.962363506012</v>
      </c>
      <c r="AFM28" s="50">
        <f t="shared" ca="1" si="951"/>
        <v>56458.265094075679</v>
      </c>
      <c r="AFN28" s="50">
        <f t="shared" ca="1" si="952"/>
        <v>55360.4803346884</v>
      </c>
      <c r="AFO28" s="50">
        <f t="shared" ca="1" si="953"/>
        <v>60730.389794715826</v>
      </c>
      <c r="AFP28" s="50">
        <f t="shared" ca="1" si="954"/>
        <v>57563.749219373691</v>
      </c>
      <c r="AFQ28" s="50">
        <f t="shared" ca="1" si="955"/>
        <v>58990.437309057306</v>
      </c>
      <c r="AFR28" s="50">
        <f t="shared" ca="1" si="956"/>
        <v>52323.866000777467</v>
      </c>
      <c r="AFS28" s="50">
        <f t="shared" ca="1" si="957"/>
        <v>47495.047475876978</v>
      </c>
      <c r="AFT28" s="50">
        <f t="shared" ca="1" si="958"/>
        <v>66542.73400246352</v>
      </c>
      <c r="AFU28" s="50">
        <f t="shared" ca="1" si="959"/>
        <v>61242.637934187158</v>
      </c>
      <c r="AFV28" s="50">
        <f t="shared" ca="1" si="960"/>
        <v>61249.956305207903</v>
      </c>
      <c r="AFW28" s="50">
        <f t="shared" ca="1" si="961"/>
        <v>63652.520679774607</v>
      </c>
      <c r="AFX28" s="50">
        <f t="shared" ca="1" si="962"/>
        <v>59611.901132385188</v>
      </c>
      <c r="AFY28" s="50">
        <f t="shared" ca="1" si="963"/>
        <v>59574.620699350227</v>
      </c>
      <c r="AFZ28" s="50">
        <f t="shared" ca="1" si="964"/>
        <v>58688.540325699061</v>
      </c>
      <c r="AGA28" s="50">
        <f t="shared" ca="1" si="965"/>
        <v>75880.545541594387</v>
      </c>
      <c r="AGB28" s="50">
        <f t="shared" ca="1" si="966"/>
        <v>66881.040094601311</v>
      </c>
      <c r="AGC28" s="50">
        <f t="shared" ca="1" si="967"/>
        <v>65839.812930214335</v>
      </c>
      <c r="AGD28" s="50">
        <f t="shared" ca="1" si="968"/>
        <v>51453.020828679051</v>
      </c>
      <c r="AGE28" s="50">
        <f t="shared" ca="1" si="969"/>
        <v>56218.515097069467</v>
      </c>
      <c r="AGF28" s="50">
        <f t="shared" ca="1" si="970"/>
        <v>50933.65332488266</v>
      </c>
      <c r="AGG28" s="50">
        <f t="shared" ca="1" si="971"/>
        <v>61635.018155186597</v>
      </c>
      <c r="AGH28" s="50">
        <f t="shared" ca="1" si="972"/>
        <v>69854.916652953165</v>
      </c>
      <c r="AGI28" s="50">
        <f t="shared" ca="1" si="973"/>
        <v>53558.132258440695</v>
      </c>
      <c r="AGJ28" s="50">
        <f t="shared" ca="1" si="974"/>
        <v>59875.250755810222</v>
      </c>
      <c r="AGK28" s="50">
        <f t="shared" ca="1" si="975"/>
        <v>77493.254320641354</v>
      </c>
      <c r="AGL28" s="50">
        <f t="shared" ca="1" si="976"/>
        <v>51948.935057181894</v>
      </c>
      <c r="AGM28" s="50">
        <f t="shared" ca="1" si="977"/>
        <v>61394.388450448605</v>
      </c>
      <c r="AGN28" s="50">
        <f t="shared" ca="1" si="978"/>
        <v>67672.707266340149</v>
      </c>
      <c r="AGO28" s="50">
        <f t="shared" ca="1" si="979"/>
        <v>42696.489128480178</v>
      </c>
      <c r="AGP28" s="50">
        <f t="shared" ca="1" si="980"/>
        <v>60128.652693560616</v>
      </c>
      <c r="AGQ28" s="50">
        <f t="shared" ca="1" si="981"/>
        <v>70728.313147230976</v>
      </c>
      <c r="AGR28" s="50">
        <f t="shared" ca="1" si="982"/>
        <v>60728.488498349994</v>
      </c>
      <c r="AGS28" s="50">
        <f t="shared" ca="1" si="983"/>
        <v>62579.249228406319</v>
      </c>
      <c r="AGT28" s="50">
        <f t="shared" ca="1" si="984"/>
        <v>60375.932518223584</v>
      </c>
      <c r="AGU28" s="50">
        <f t="shared" ca="1" si="985"/>
        <v>62155.721367701219</v>
      </c>
      <c r="AGV28" s="50">
        <f t="shared" ca="1" si="986"/>
        <v>59984.224313416227</v>
      </c>
      <c r="AGW28" s="50">
        <f t="shared" ca="1" si="987"/>
        <v>53528.862215643843</v>
      </c>
      <c r="AGX28" s="50">
        <f t="shared" ca="1" si="988"/>
        <v>56844.895309719876</v>
      </c>
      <c r="AGY28" s="50">
        <f t="shared" ca="1" si="989"/>
        <v>61325.810966120967</v>
      </c>
      <c r="AGZ28" s="50">
        <f t="shared" ca="1" si="990"/>
        <v>55492.269060597304</v>
      </c>
      <c r="AHA28" s="50">
        <f t="shared" ca="1" si="991"/>
        <v>60658.208054663228</v>
      </c>
      <c r="AHB28" s="50">
        <f t="shared" ca="1" si="992"/>
        <v>54977.963695903629</v>
      </c>
      <c r="AHC28" s="50">
        <f t="shared" ca="1" si="993"/>
        <v>59154.56520225494</v>
      </c>
      <c r="AHD28" s="50">
        <f t="shared" ca="1" si="994"/>
        <v>47716.653710107988</v>
      </c>
      <c r="AHE28" s="50">
        <f t="shared" ca="1" si="995"/>
        <v>64780.577284657564</v>
      </c>
      <c r="AHF28" s="50">
        <f t="shared" ca="1" si="996"/>
        <v>64176.305694407274</v>
      </c>
      <c r="AHG28" s="50">
        <f t="shared" ca="1" si="997"/>
        <v>55747.033301595053</v>
      </c>
      <c r="AHH28" s="50">
        <f t="shared" ca="1" si="998"/>
        <v>61974.896150273053</v>
      </c>
      <c r="AHI28" s="50">
        <f t="shared" ca="1" si="999"/>
        <v>56303.045231861332</v>
      </c>
      <c r="AHJ28" s="50">
        <f t="shared" ca="1" si="1000"/>
        <v>81074.344257524252</v>
      </c>
      <c r="AHK28" s="50">
        <f t="shared" ca="1" si="1001"/>
        <v>55413.977962500197</v>
      </c>
      <c r="AHL28" s="50">
        <f t="shared" ca="1" si="1002"/>
        <v>53819.372691417397</v>
      </c>
      <c r="AHM28" s="50">
        <f t="shared" ca="1" si="1003"/>
        <v>64591.907253293051</v>
      </c>
      <c r="AHN28" s="50">
        <f t="shared" ca="1" si="1004"/>
        <v>67895.685343023026</v>
      </c>
      <c r="AHO28" s="50">
        <f t="shared" ca="1" si="1005"/>
        <v>57560.974935015853</v>
      </c>
      <c r="AHP28" s="50">
        <f t="shared" ca="1" si="1006"/>
        <v>53596.19438939244</v>
      </c>
      <c r="AHQ28" s="50">
        <f t="shared" ca="1" si="1007"/>
        <v>61042.089257897438</v>
      </c>
      <c r="AHR28" s="50">
        <f t="shared" ca="1" si="1008"/>
        <v>52610.949482962526</v>
      </c>
      <c r="AHS28" s="50">
        <f t="shared" ca="1" si="1009"/>
        <v>47583.278433271495</v>
      </c>
      <c r="AHT28" s="50">
        <f t="shared" ca="1" si="1010"/>
        <v>56992.971380943578</v>
      </c>
      <c r="AHU28" s="50">
        <f t="shared" ca="1" si="1011"/>
        <v>52605.167532182051</v>
      </c>
      <c r="AHV28" s="50">
        <f t="shared" ca="1" si="1012"/>
        <v>57073.794764513135</v>
      </c>
      <c r="AHW28" s="50">
        <f t="shared" ca="1" si="1013"/>
        <v>55417.362454758528</v>
      </c>
      <c r="AHX28" s="50">
        <f t="shared" ca="1" si="1014"/>
        <v>58914.397875621849</v>
      </c>
      <c r="AHY28" s="50">
        <f t="shared" ca="1" si="1015"/>
        <v>73093.129619621759</v>
      </c>
      <c r="AHZ28" s="50">
        <f t="shared" ca="1" si="1016"/>
        <v>63794.08377411159</v>
      </c>
      <c r="AIA28" s="50">
        <f t="shared" ca="1" si="1017"/>
        <v>55522.100606842818</v>
      </c>
      <c r="AIB28" s="50">
        <f t="shared" ca="1" si="1018"/>
        <v>51918.815795331429</v>
      </c>
      <c r="AIC28" s="50">
        <f t="shared" ca="1" si="1019"/>
        <v>63061.874687867261</v>
      </c>
      <c r="AID28" s="50">
        <f t="shared" ca="1" si="1020"/>
        <v>65368.359817623234</v>
      </c>
      <c r="AIE28" s="50">
        <f t="shared" ca="1" si="1021"/>
        <v>54642.642261906338</v>
      </c>
      <c r="AIF28" s="50">
        <f t="shared" ca="1" si="1022"/>
        <v>55954.552659472582</v>
      </c>
      <c r="AIG28" s="50">
        <f t="shared" ca="1" si="1023"/>
        <v>59440.647343126257</v>
      </c>
      <c r="AIH28" s="50">
        <f t="shared" ca="1" si="1024"/>
        <v>60312.442468532048</v>
      </c>
      <c r="AII28" s="50">
        <f t="shared" ca="1" si="1025"/>
        <v>57485.568868262388</v>
      </c>
      <c r="AIJ28" s="50">
        <f t="shared" ca="1" si="1026"/>
        <v>59416.105751695977</v>
      </c>
      <c r="AIK28" s="50">
        <f t="shared" ca="1" si="1027"/>
        <v>73183.036813947838</v>
      </c>
      <c r="AIL28" s="50">
        <f t="shared" ca="1" si="1028"/>
        <v>60815.60173495955</v>
      </c>
      <c r="AIM28" s="50">
        <f t="shared" ca="1" si="1029"/>
        <v>52711.419469469976</v>
      </c>
      <c r="AIN28" s="50">
        <f t="shared" ca="1" si="1030"/>
        <v>63030.139136135469</v>
      </c>
      <c r="AIO28" s="50">
        <f t="shared" ca="1" si="1031"/>
        <v>56356.198697793479</v>
      </c>
      <c r="AIP28" s="50">
        <f t="shared" ca="1" si="1032"/>
        <v>72876.553933044459</v>
      </c>
      <c r="AIQ28" s="50">
        <f t="shared" ca="1" si="1033"/>
        <v>48633.368287701334</v>
      </c>
      <c r="AIR28" s="50">
        <f t="shared" ca="1" si="1034"/>
        <v>51607.718860288056</v>
      </c>
      <c r="AIS28" s="50">
        <f t="shared" ca="1" si="1035"/>
        <v>53929.878253768969</v>
      </c>
      <c r="AIT28" s="50">
        <f t="shared" ca="1" si="1036"/>
        <v>44872.847521208867</v>
      </c>
      <c r="AIU28" s="50">
        <f t="shared" ca="1" si="1037"/>
        <v>60404.702730339901</v>
      </c>
      <c r="AIV28" s="50">
        <f t="shared" ca="1" si="1038"/>
        <v>54898.105558215982</v>
      </c>
      <c r="AIW28" s="50">
        <f t="shared" ca="1" si="1039"/>
        <v>58583.473922287631</v>
      </c>
      <c r="AIX28" s="50">
        <f t="shared" ca="1" si="1040"/>
        <v>68102.612989185043</v>
      </c>
      <c r="AIY28" s="50">
        <f t="shared" ca="1" si="1041"/>
        <v>47330.507590185611</v>
      </c>
      <c r="AIZ28" s="50">
        <f t="shared" ca="1" si="1042"/>
        <v>75981.189498576481</v>
      </c>
      <c r="AJA28" s="50">
        <f t="shared" ca="1" si="1043"/>
        <v>63816.617773647464</v>
      </c>
      <c r="AJB28" s="50">
        <f t="shared" ca="1" si="1044"/>
        <v>75659.219018964621</v>
      </c>
      <c r="AJC28" s="50">
        <f t="shared" ca="1" si="1045"/>
        <v>58819.593883464644</v>
      </c>
      <c r="AJD28" s="50">
        <f t="shared" ca="1" si="1046"/>
        <v>55648.979564234804</v>
      </c>
      <c r="AJE28" s="50">
        <f t="shared" ca="1" si="1047"/>
        <v>62629.203880076471</v>
      </c>
      <c r="AJF28" s="50">
        <f t="shared" ca="1" si="1048"/>
        <v>68236.437440329813</v>
      </c>
      <c r="AJG28" s="50">
        <f t="shared" ca="1" si="1049"/>
        <v>59978.195821096902</v>
      </c>
      <c r="AJH28" s="50">
        <f t="shared" ca="1" si="1050"/>
        <v>72423.984980514913</v>
      </c>
      <c r="AJI28" s="50">
        <f t="shared" ca="1" si="1051"/>
        <v>50731.299255364203</v>
      </c>
      <c r="AJJ28" s="50">
        <f t="shared" ca="1" si="1052"/>
        <v>61304.651108032114</v>
      </c>
      <c r="AJK28" s="50">
        <f t="shared" ca="1" si="1053"/>
        <v>56689.225103174133</v>
      </c>
      <c r="AJL28" s="50">
        <f t="shared" ca="1" si="1054"/>
        <v>62997.410357630622</v>
      </c>
      <c r="AJM28" s="50">
        <f t="shared" ca="1" si="1055"/>
        <v>53584.911522735572</v>
      </c>
      <c r="AJN28" s="50">
        <f t="shared" ca="1" si="1056"/>
        <v>69811.551343229206</v>
      </c>
      <c r="AJO28" s="50">
        <f t="shared" ca="1" si="1057"/>
        <v>50507.267661223399</v>
      </c>
      <c r="AJP28" s="50">
        <f t="shared" ca="1" si="1058"/>
        <v>62438.450947728641</v>
      </c>
      <c r="AJQ28" s="50">
        <f t="shared" ca="1" si="1059"/>
        <v>61150.151775130777</v>
      </c>
      <c r="AJR28" s="50">
        <f t="shared" ca="1" si="1060"/>
        <v>68527.134864104519</v>
      </c>
      <c r="AJS28" s="50">
        <f t="shared" ca="1" si="1061"/>
        <v>53517.342897040042</v>
      </c>
      <c r="AJT28" s="50">
        <f t="shared" ca="1" si="1062"/>
        <v>50820.691711447085</v>
      </c>
      <c r="AJU28" s="50">
        <f t="shared" ca="1" si="1063"/>
        <v>64984.224297312903</v>
      </c>
      <c r="AJV28" s="50">
        <f t="shared" ca="1" si="1064"/>
        <v>56669.903465396877</v>
      </c>
      <c r="AJW28" s="50">
        <f t="shared" ca="1" si="1065"/>
        <v>42965.394123906968</v>
      </c>
      <c r="AJX28" s="50">
        <f t="shared" ca="1" si="1066"/>
        <v>57652.496172655527</v>
      </c>
      <c r="AJY28" s="50">
        <f t="shared" ca="1" si="1067"/>
        <v>62674.496696670889</v>
      </c>
      <c r="AJZ28" s="50">
        <f t="shared" ca="1" si="1068"/>
        <v>63401.460553415571</v>
      </c>
      <c r="AKA28" s="50">
        <f t="shared" ca="1" si="1069"/>
        <v>63898.030364477185</v>
      </c>
      <c r="AKB28" s="50">
        <f t="shared" ca="1" si="1070"/>
        <v>56327.58146999406</v>
      </c>
      <c r="AKC28" s="50">
        <f t="shared" ca="1" si="1071"/>
        <v>58134.289256343676</v>
      </c>
      <c r="AKD28" s="50">
        <f t="shared" ca="1" si="1072"/>
        <v>59511.710764533826</v>
      </c>
      <c r="AKE28" s="50">
        <f t="shared" ca="1" si="1073"/>
        <v>53755.665816445216</v>
      </c>
      <c r="AKF28" s="50">
        <f t="shared" ca="1" si="1074"/>
        <v>54241.319159867446</v>
      </c>
      <c r="AKG28" s="50">
        <f t="shared" ca="1" si="1075"/>
        <v>57402.619202673457</v>
      </c>
      <c r="AKH28" s="50">
        <f t="shared" ca="1" si="1076"/>
        <v>58334.979246306204</v>
      </c>
      <c r="AKI28" s="50">
        <f t="shared" ca="1" si="1077"/>
        <v>62099.773874683029</v>
      </c>
      <c r="AKJ28" s="50">
        <f t="shared" ca="1" si="1078"/>
        <v>55620.612317760133</v>
      </c>
      <c r="AKK28" s="50">
        <f t="shared" ca="1" si="1079"/>
        <v>52255.940064716982</v>
      </c>
      <c r="AKL28" s="50">
        <f t="shared" ca="1" si="1080"/>
        <v>61342.47289223937</v>
      </c>
      <c r="AKM28" s="50">
        <f t="shared" ca="1" si="1081"/>
        <v>54615.155651021298</v>
      </c>
      <c r="AKN28" s="50">
        <f t="shared" ca="1" si="1082"/>
        <v>63940.241799396797</v>
      </c>
      <c r="AKO28" s="50">
        <f t="shared" ca="1" si="1083"/>
        <v>56792.090808692075</v>
      </c>
      <c r="AKP28" s="50">
        <f t="shared" ca="1" si="1084"/>
        <v>58485.986946613535</v>
      </c>
      <c r="AKQ28" s="50">
        <f t="shared" ca="1" si="1085"/>
        <v>48846.267021555839</v>
      </c>
      <c r="AKR28" s="50">
        <f t="shared" ca="1" si="1086"/>
        <v>51154.177362712559</v>
      </c>
      <c r="AKS28" s="50">
        <f t="shared" ca="1" si="1087"/>
        <v>54898.205059355751</v>
      </c>
      <c r="AKT28" s="50">
        <f t="shared" ca="1" si="1088"/>
        <v>56242.786389413915</v>
      </c>
      <c r="AKU28" s="50">
        <f t="shared" ca="1" si="1089"/>
        <v>55072.193775613319</v>
      </c>
      <c r="AKV28" s="50">
        <f t="shared" ca="1" si="1090"/>
        <v>52497.884796584593</v>
      </c>
      <c r="AKW28" s="50">
        <f t="shared" ca="1" si="1091"/>
        <v>63824.352060076097</v>
      </c>
      <c r="AKX28" s="50">
        <f t="shared" ca="1" si="1092"/>
        <v>61452.784603793283</v>
      </c>
      <c r="AKY28" s="50">
        <f t="shared" ca="1" si="1093"/>
        <v>56563.281671689569</v>
      </c>
      <c r="AKZ28" s="50">
        <f t="shared" ca="1" si="1094"/>
        <v>59343.261759613197</v>
      </c>
      <c r="ALA28" s="50">
        <f t="shared" ca="1" si="1095"/>
        <v>53642.131761626144</v>
      </c>
      <c r="ALB28" s="50">
        <f t="shared" ca="1" si="1096"/>
        <v>59910.171425556684</v>
      </c>
      <c r="ALC28" s="50">
        <f t="shared" ca="1" si="1097"/>
        <v>48657.877422780904</v>
      </c>
      <c r="ALD28" s="50">
        <f t="shared" ca="1" si="1098"/>
        <v>61694.027010209975</v>
      </c>
      <c r="ALE28" s="50">
        <f t="shared" ca="1" si="1099"/>
        <v>53074.22297271491</v>
      </c>
      <c r="ALF28" s="50">
        <f t="shared" ca="1" si="1100"/>
        <v>57757.159755771085</v>
      </c>
      <c r="ALG28" s="50">
        <f t="shared" ca="1" si="1101"/>
        <v>50253.910193496878</v>
      </c>
      <c r="ALH28" s="50">
        <f t="shared" ca="1" si="1102"/>
        <v>54809.900734555544</v>
      </c>
      <c r="ALI28" s="50">
        <f t="shared" ca="1" si="1103"/>
        <v>54554.536305139118</v>
      </c>
      <c r="ALJ28" s="50">
        <f t="shared" ca="1" si="1104"/>
        <v>60502.38685996901</v>
      </c>
      <c r="ALK28" s="50">
        <f t="shared" ca="1" si="1105"/>
        <v>65506.143312689535</v>
      </c>
      <c r="ALL28" s="50">
        <f t="shared" ca="1" si="1106"/>
        <v>57767.106607206872</v>
      </c>
      <c r="ALM28" s="50">
        <f t="shared" ca="1" si="1107"/>
        <v>45544.280707781982</v>
      </c>
      <c r="ALN28" s="50">
        <f t="shared" ca="1" si="1108"/>
        <v>59752.749033743035</v>
      </c>
      <c r="ALO28" s="50">
        <f t="shared" ca="1" si="1109"/>
        <v>66369.445858306688</v>
      </c>
      <c r="ALP28" s="50">
        <f t="shared" ca="1" si="1110"/>
        <v>43264.678198075482</v>
      </c>
      <c r="ALQ28" s="50">
        <f t="shared" ca="1" si="1111"/>
        <v>54169.681111655584</v>
      </c>
      <c r="ALR28" s="50">
        <f t="shared" ca="1" si="1112"/>
        <v>58065.339240295521</v>
      </c>
    </row>
    <row r="29" spans="1:1006" s="35" customFormat="1" x14ac:dyDescent="0.2">
      <c r="F29" s="32">
        <f t="shared" si="1114"/>
        <v>10</v>
      </c>
      <c r="G29" s="50">
        <f t="shared" ca="1" si="1115"/>
        <v>55130.923215072937</v>
      </c>
      <c r="H29" s="50">
        <f t="shared" ca="1" si="1113"/>
        <v>51527.139157670812</v>
      </c>
      <c r="I29" s="50">
        <f t="shared" ca="1" si="1113"/>
        <v>54836.473887548222</v>
      </c>
      <c r="J29" s="50">
        <f t="shared" ca="1" si="1113"/>
        <v>56616.346691508879</v>
      </c>
      <c r="K29" s="50">
        <f t="shared" ca="1" si="1113"/>
        <v>76487.17401145176</v>
      </c>
      <c r="L29" s="50">
        <f t="shared" ca="1" si="118"/>
        <v>69375.438410801653</v>
      </c>
      <c r="M29" s="50">
        <f t="shared" ca="1" si="119"/>
        <v>54508.610368712267</v>
      </c>
      <c r="N29" s="50">
        <f t="shared" ca="1" si="120"/>
        <v>58610.405859956809</v>
      </c>
      <c r="O29" s="50">
        <f t="shared" ca="1" si="121"/>
        <v>57721.394543423216</v>
      </c>
      <c r="P29" s="50">
        <f t="shared" ca="1" si="122"/>
        <v>60299.920424644937</v>
      </c>
      <c r="Q29" s="50">
        <f t="shared" ca="1" si="123"/>
        <v>54974.338764546592</v>
      </c>
      <c r="R29" s="50">
        <f t="shared" ca="1" si="124"/>
        <v>61755.290023754729</v>
      </c>
      <c r="S29" s="50">
        <f t="shared" ca="1" si="125"/>
        <v>74619.831211207376</v>
      </c>
      <c r="T29" s="50">
        <f t="shared" ca="1" si="126"/>
        <v>60199.302611330248</v>
      </c>
      <c r="U29" s="50">
        <f t="shared" ca="1" si="127"/>
        <v>56763.909913629301</v>
      </c>
      <c r="V29" s="50">
        <f t="shared" ca="1" si="128"/>
        <v>63786.2854041834</v>
      </c>
      <c r="W29" s="50">
        <f t="shared" ca="1" si="129"/>
        <v>54951.244756730346</v>
      </c>
      <c r="X29" s="50">
        <f t="shared" ca="1" si="130"/>
        <v>65247.129839379057</v>
      </c>
      <c r="Y29" s="50">
        <f t="shared" ca="1" si="131"/>
        <v>48080.587892358482</v>
      </c>
      <c r="Z29" s="50">
        <f t="shared" ca="1" si="132"/>
        <v>53279.354851960328</v>
      </c>
      <c r="AA29" s="50">
        <f t="shared" ca="1" si="133"/>
        <v>58053.412914102948</v>
      </c>
      <c r="AB29" s="50">
        <f t="shared" ca="1" si="134"/>
        <v>55744.921559960305</v>
      </c>
      <c r="AC29" s="50">
        <f t="shared" ca="1" si="135"/>
        <v>58031.158643982577</v>
      </c>
      <c r="AD29" s="50">
        <f t="shared" ca="1" si="136"/>
        <v>70793.057415608258</v>
      </c>
      <c r="AE29" s="50">
        <f t="shared" ca="1" si="137"/>
        <v>62081.139388815434</v>
      </c>
      <c r="AF29" s="50">
        <f t="shared" ca="1" si="138"/>
        <v>47301.200674942971</v>
      </c>
      <c r="AG29" s="50">
        <f t="shared" ca="1" si="139"/>
        <v>56904.761579939885</v>
      </c>
      <c r="AH29" s="50">
        <f t="shared" ca="1" si="140"/>
        <v>59446.909989160842</v>
      </c>
      <c r="AI29" s="50">
        <f t="shared" ca="1" si="141"/>
        <v>57295.655044751358</v>
      </c>
      <c r="AJ29" s="50">
        <f t="shared" ca="1" si="142"/>
        <v>58175.195487256831</v>
      </c>
      <c r="AK29" s="50">
        <f t="shared" ca="1" si="143"/>
        <v>54541.863385233119</v>
      </c>
      <c r="AL29" s="50">
        <f t="shared" ca="1" si="144"/>
        <v>54307.505098706279</v>
      </c>
      <c r="AM29" s="50">
        <f t="shared" ca="1" si="145"/>
        <v>57675.842620498261</v>
      </c>
      <c r="AN29" s="50">
        <f t="shared" ca="1" si="146"/>
        <v>48801.332222630961</v>
      </c>
      <c r="AO29" s="50">
        <f t="shared" ca="1" si="147"/>
        <v>55875.894719289419</v>
      </c>
      <c r="AP29" s="50">
        <f t="shared" ca="1" si="148"/>
        <v>64745.104351203692</v>
      </c>
      <c r="AQ29" s="50">
        <f t="shared" ca="1" si="149"/>
        <v>52282.050883206008</v>
      </c>
      <c r="AR29" s="50">
        <f t="shared" ca="1" si="150"/>
        <v>62929.892271862016</v>
      </c>
      <c r="AS29" s="50">
        <f t="shared" ca="1" si="151"/>
        <v>60841.932332501332</v>
      </c>
      <c r="AT29" s="50">
        <f t="shared" ca="1" si="152"/>
        <v>50475.845561892333</v>
      </c>
      <c r="AU29" s="50">
        <f t="shared" ca="1" si="153"/>
        <v>63165.552437546998</v>
      </c>
      <c r="AV29" s="50">
        <f t="shared" ca="1" si="154"/>
        <v>70402.479813307451</v>
      </c>
      <c r="AW29" s="50">
        <f t="shared" ca="1" si="155"/>
        <v>46587.735780544623</v>
      </c>
      <c r="AX29" s="50">
        <f t="shared" ca="1" si="156"/>
        <v>69402.201606792907</v>
      </c>
      <c r="AY29" s="50">
        <f t="shared" ca="1" si="157"/>
        <v>51952.063102365762</v>
      </c>
      <c r="AZ29" s="50">
        <f t="shared" ca="1" si="158"/>
        <v>51902.075547812194</v>
      </c>
      <c r="BA29" s="50">
        <f t="shared" ca="1" si="159"/>
        <v>58534.610046090122</v>
      </c>
      <c r="BB29" s="50">
        <f t="shared" ca="1" si="160"/>
        <v>73578.050479498721</v>
      </c>
      <c r="BC29" s="50">
        <f t="shared" ca="1" si="161"/>
        <v>52717.25665156485</v>
      </c>
      <c r="BD29" s="50">
        <f t="shared" ca="1" si="162"/>
        <v>59028.027476517193</v>
      </c>
      <c r="BE29" s="50">
        <f t="shared" ca="1" si="163"/>
        <v>59706.79962091038</v>
      </c>
      <c r="BF29" s="50">
        <f t="shared" ca="1" si="164"/>
        <v>58782.557380080259</v>
      </c>
      <c r="BG29" s="50">
        <f t="shared" ca="1" si="165"/>
        <v>46144.000209270431</v>
      </c>
      <c r="BH29" s="50">
        <f t="shared" ca="1" si="166"/>
        <v>59406.561937503851</v>
      </c>
      <c r="BI29" s="50">
        <f t="shared" ca="1" si="167"/>
        <v>63623.600608039873</v>
      </c>
      <c r="BJ29" s="50">
        <f t="shared" ca="1" si="168"/>
        <v>56455.08763295017</v>
      </c>
      <c r="BK29" s="50">
        <f t="shared" ca="1" si="169"/>
        <v>55389.601020671835</v>
      </c>
      <c r="BL29" s="50">
        <f t="shared" ca="1" si="170"/>
        <v>67745.250990017477</v>
      </c>
      <c r="BM29" s="50">
        <f t="shared" ca="1" si="171"/>
        <v>68321.67266636416</v>
      </c>
      <c r="BN29" s="50">
        <f t="shared" ca="1" si="172"/>
        <v>65007.984889042578</v>
      </c>
      <c r="BO29" s="50">
        <f t="shared" ca="1" si="173"/>
        <v>59452.475452419327</v>
      </c>
      <c r="BP29" s="50">
        <f t="shared" ca="1" si="174"/>
        <v>68883.814017702563</v>
      </c>
      <c r="BQ29" s="50">
        <f t="shared" ca="1" si="175"/>
        <v>57137.062152551014</v>
      </c>
      <c r="BR29" s="50">
        <f t="shared" ca="1" si="176"/>
        <v>62060.070894644807</v>
      </c>
      <c r="BS29" s="50">
        <f t="shared" ca="1" si="177"/>
        <v>49776.161643054409</v>
      </c>
      <c r="BT29" s="50">
        <f t="shared" ca="1" si="178"/>
        <v>60747.792236501111</v>
      </c>
      <c r="BU29" s="50">
        <f t="shared" ca="1" si="179"/>
        <v>60204.270847993219</v>
      </c>
      <c r="BV29" s="50">
        <f t="shared" ca="1" si="180"/>
        <v>52763.841590000731</v>
      </c>
      <c r="BW29" s="50">
        <f t="shared" ca="1" si="181"/>
        <v>52942.663068071095</v>
      </c>
      <c r="BX29" s="50">
        <f t="shared" ca="1" si="182"/>
        <v>59612.485490077052</v>
      </c>
      <c r="BY29" s="50">
        <f t="shared" ca="1" si="183"/>
        <v>56484.640198691814</v>
      </c>
      <c r="BZ29" s="50">
        <f t="shared" ca="1" si="184"/>
        <v>48527.922847918053</v>
      </c>
      <c r="CA29" s="50">
        <f t="shared" ca="1" si="185"/>
        <v>49363.109258183606</v>
      </c>
      <c r="CB29" s="50">
        <f t="shared" ca="1" si="186"/>
        <v>59664.831463491493</v>
      </c>
      <c r="CC29" s="50">
        <f t="shared" ca="1" si="187"/>
        <v>61353.171177308635</v>
      </c>
      <c r="CD29" s="50">
        <f t="shared" ca="1" si="188"/>
        <v>55529.196205656655</v>
      </c>
      <c r="CE29" s="50">
        <f t="shared" ca="1" si="189"/>
        <v>45377.700541360755</v>
      </c>
      <c r="CF29" s="50">
        <f t="shared" ca="1" si="190"/>
        <v>66182.78033989809</v>
      </c>
      <c r="CG29" s="50">
        <f t="shared" ca="1" si="191"/>
        <v>58793.391693538528</v>
      </c>
      <c r="CH29" s="50">
        <f t="shared" ca="1" si="192"/>
        <v>47200.402748346489</v>
      </c>
      <c r="CI29" s="50">
        <f t="shared" ca="1" si="193"/>
        <v>74185.541360826552</v>
      </c>
      <c r="CJ29" s="50">
        <f t="shared" ca="1" si="194"/>
        <v>51221.446374139749</v>
      </c>
      <c r="CK29" s="50">
        <f t="shared" ca="1" si="195"/>
        <v>59966.225743620176</v>
      </c>
      <c r="CL29" s="50">
        <f t="shared" ca="1" si="196"/>
        <v>73618.766700651366</v>
      </c>
      <c r="CM29" s="50">
        <f t="shared" ca="1" si="197"/>
        <v>63530.628072004278</v>
      </c>
      <c r="CN29" s="50">
        <f t="shared" ca="1" si="198"/>
        <v>57880.137804180515</v>
      </c>
      <c r="CO29" s="50">
        <f t="shared" ca="1" si="199"/>
        <v>58290.019499682669</v>
      </c>
      <c r="CP29" s="50">
        <f t="shared" ca="1" si="200"/>
        <v>56404.216534167892</v>
      </c>
      <c r="CQ29" s="50">
        <f t="shared" ca="1" si="201"/>
        <v>56025.101938014632</v>
      </c>
      <c r="CR29" s="50">
        <f t="shared" ca="1" si="202"/>
        <v>58493.99629766788</v>
      </c>
      <c r="CS29" s="50">
        <f t="shared" ca="1" si="203"/>
        <v>65116.393711471937</v>
      </c>
      <c r="CT29" s="50">
        <f t="shared" ca="1" si="204"/>
        <v>61244.075188782946</v>
      </c>
      <c r="CU29" s="50">
        <f t="shared" ca="1" si="205"/>
        <v>55420.545521324202</v>
      </c>
      <c r="CV29" s="50">
        <f t="shared" ca="1" si="206"/>
        <v>48548.189167189121</v>
      </c>
      <c r="CW29" s="50">
        <f t="shared" ca="1" si="207"/>
        <v>56805.939814770711</v>
      </c>
      <c r="CX29" s="50">
        <f t="shared" ca="1" si="208"/>
        <v>68632.344705224867</v>
      </c>
      <c r="CY29" s="50">
        <f t="shared" ca="1" si="209"/>
        <v>61019.412491786476</v>
      </c>
      <c r="CZ29" s="50">
        <f t="shared" ca="1" si="210"/>
        <v>65983.682745876155</v>
      </c>
      <c r="DA29" s="50">
        <f t="shared" ca="1" si="211"/>
        <v>59243.749046842342</v>
      </c>
      <c r="DB29" s="50">
        <f t="shared" ca="1" si="212"/>
        <v>57290.927235526135</v>
      </c>
      <c r="DC29" s="50">
        <f t="shared" ca="1" si="213"/>
        <v>53399.90782146834</v>
      </c>
      <c r="DD29" s="50">
        <f t="shared" ca="1" si="214"/>
        <v>56708.103811391273</v>
      </c>
      <c r="DE29" s="50">
        <f t="shared" ca="1" si="215"/>
        <v>58072.305253012259</v>
      </c>
      <c r="DF29" s="50">
        <f t="shared" ca="1" si="216"/>
        <v>64997.955138802368</v>
      </c>
      <c r="DG29" s="50">
        <f t="shared" ca="1" si="217"/>
        <v>48482.660288830812</v>
      </c>
      <c r="DH29" s="50">
        <f t="shared" ca="1" si="218"/>
        <v>65322.244618566488</v>
      </c>
      <c r="DI29" s="50">
        <f t="shared" ca="1" si="219"/>
        <v>50185.236815650154</v>
      </c>
      <c r="DJ29" s="50">
        <f t="shared" ca="1" si="220"/>
        <v>64033.333956119517</v>
      </c>
      <c r="DK29" s="50">
        <f t="shared" ca="1" si="221"/>
        <v>53649.500312886907</v>
      </c>
      <c r="DL29" s="50">
        <f t="shared" ca="1" si="222"/>
        <v>62300.745206260799</v>
      </c>
      <c r="DM29" s="50">
        <f t="shared" ca="1" si="223"/>
        <v>62052.072544181545</v>
      </c>
      <c r="DN29" s="50">
        <f t="shared" ca="1" si="224"/>
        <v>57689.237022370282</v>
      </c>
      <c r="DO29" s="50">
        <f t="shared" ca="1" si="225"/>
        <v>67309.343864169321</v>
      </c>
      <c r="DP29" s="50">
        <f t="shared" ca="1" si="226"/>
        <v>68354.130117259207</v>
      </c>
      <c r="DQ29" s="50">
        <f t="shared" ca="1" si="227"/>
        <v>51646.084121270338</v>
      </c>
      <c r="DR29" s="50">
        <f t="shared" ca="1" si="228"/>
        <v>52097.335601967941</v>
      </c>
      <c r="DS29" s="50">
        <f t="shared" ca="1" si="229"/>
        <v>54188.884943269317</v>
      </c>
      <c r="DT29" s="50">
        <f t="shared" ca="1" si="230"/>
        <v>71712.616323079317</v>
      </c>
      <c r="DU29" s="50">
        <f t="shared" ca="1" si="231"/>
        <v>72216.07208107585</v>
      </c>
      <c r="DV29" s="50">
        <f t="shared" ca="1" si="232"/>
        <v>57743.677501683844</v>
      </c>
      <c r="DW29" s="50">
        <f t="shared" ca="1" si="233"/>
        <v>55224.16038871184</v>
      </c>
      <c r="DX29" s="50">
        <f t="shared" ca="1" si="234"/>
        <v>54665.829568329311</v>
      </c>
      <c r="DY29" s="50">
        <f t="shared" ca="1" si="235"/>
        <v>61323.824369835507</v>
      </c>
      <c r="DZ29" s="50">
        <f t="shared" ca="1" si="236"/>
        <v>67813.381759101918</v>
      </c>
      <c r="EA29" s="50">
        <f t="shared" ca="1" si="237"/>
        <v>80496.178544317168</v>
      </c>
      <c r="EB29" s="50">
        <f t="shared" ca="1" si="238"/>
        <v>64034.546199011922</v>
      </c>
      <c r="EC29" s="50">
        <f t="shared" ca="1" si="239"/>
        <v>68804.167303947994</v>
      </c>
      <c r="ED29" s="50">
        <f t="shared" ca="1" si="240"/>
        <v>66707.879559027671</v>
      </c>
      <c r="EE29" s="50">
        <f t="shared" ca="1" si="241"/>
        <v>55379.31569285092</v>
      </c>
      <c r="EF29" s="50">
        <f t="shared" ca="1" si="242"/>
        <v>47583.535937138855</v>
      </c>
      <c r="EG29" s="50">
        <f t="shared" ca="1" si="243"/>
        <v>60877.007649024221</v>
      </c>
      <c r="EH29" s="50">
        <f t="shared" ca="1" si="244"/>
        <v>56719.429912836473</v>
      </c>
      <c r="EI29" s="50">
        <f t="shared" ca="1" si="245"/>
        <v>49278.454850794318</v>
      </c>
      <c r="EJ29" s="50">
        <f t="shared" ca="1" si="246"/>
        <v>56805.642781641989</v>
      </c>
      <c r="EK29" s="50">
        <f t="shared" ca="1" si="247"/>
        <v>55267.518233266055</v>
      </c>
      <c r="EL29" s="50">
        <f t="shared" ca="1" si="248"/>
        <v>70443.486410254365</v>
      </c>
      <c r="EM29" s="50">
        <f t="shared" ca="1" si="249"/>
        <v>60744.930859122833</v>
      </c>
      <c r="EN29" s="50">
        <f t="shared" ca="1" si="250"/>
        <v>67863.544952743337</v>
      </c>
      <c r="EO29" s="50">
        <f t="shared" ca="1" si="251"/>
        <v>52306.498974509057</v>
      </c>
      <c r="EP29" s="50">
        <f t="shared" ca="1" si="252"/>
        <v>59920.436241405965</v>
      </c>
      <c r="EQ29" s="50">
        <f t="shared" ca="1" si="253"/>
        <v>57003.631200821561</v>
      </c>
      <c r="ER29" s="50">
        <f t="shared" ca="1" si="254"/>
        <v>58479.389134377459</v>
      </c>
      <c r="ES29" s="50">
        <f t="shared" ca="1" si="255"/>
        <v>71553.1378939555</v>
      </c>
      <c r="ET29" s="50">
        <f t="shared" ca="1" si="256"/>
        <v>57400.740035404313</v>
      </c>
      <c r="EU29" s="50">
        <f t="shared" ca="1" si="257"/>
        <v>74252.983886462913</v>
      </c>
      <c r="EV29" s="50">
        <f t="shared" ca="1" si="258"/>
        <v>51368.812050488566</v>
      </c>
      <c r="EW29" s="50">
        <f t="shared" ca="1" si="259"/>
        <v>61180.018017586466</v>
      </c>
      <c r="EX29" s="50">
        <f t="shared" ca="1" si="260"/>
        <v>58765.410545292347</v>
      </c>
      <c r="EY29" s="50">
        <f t="shared" ca="1" si="261"/>
        <v>50427.017799381923</v>
      </c>
      <c r="EZ29" s="50">
        <f t="shared" ca="1" si="262"/>
        <v>51213.394790224149</v>
      </c>
      <c r="FA29" s="50">
        <f t="shared" ca="1" si="263"/>
        <v>51080.646294925689</v>
      </c>
      <c r="FB29" s="50">
        <f t="shared" ca="1" si="264"/>
        <v>68694.868894559229</v>
      </c>
      <c r="FC29" s="50">
        <f t="shared" ca="1" si="265"/>
        <v>54298.059018933447</v>
      </c>
      <c r="FD29" s="50">
        <f t="shared" ca="1" si="266"/>
        <v>59565.713211837137</v>
      </c>
      <c r="FE29" s="50">
        <f t="shared" ca="1" si="267"/>
        <v>61782.143724951922</v>
      </c>
      <c r="FF29" s="50">
        <f t="shared" ca="1" si="268"/>
        <v>57186.871463629541</v>
      </c>
      <c r="FG29" s="50">
        <f t="shared" ca="1" si="269"/>
        <v>53036.794050936143</v>
      </c>
      <c r="FH29" s="50">
        <f t="shared" ca="1" si="270"/>
        <v>61739.042986862936</v>
      </c>
      <c r="FI29" s="50">
        <f t="shared" ca="1" si="271"/>
        <v>70927.925879726827</v>
      </c>
      <c r="FJ29" s="50">
        <f t="shared" ca="1" si="272"/>
        <v>58013.557146828149</v>
      </c>
      <c r="FK29" s="50">
        <f t="shared" ca="1" si="273"/>
        <v>60123.708913065675</v>
      </c>
      <c r="FL29" s="50">
        <f t="shared" ca="1" si="274"/>
        <v>52148.784685044673</v>
      </c>
      <c r="FM29" s="50">
        <f t="shared" ca="1" si="275"/>
        <v>65356.893333362044</v>
      </c>
      <c r="FN29" s="50">
        <f t="shared" ca="1" si="276"/>
        <v>61281.431160332359</v>
      </c>
      <c r="FO29" s="50">
        <f t="shared" ca="1" si="277"/>
        <v>67537.888239494583</v>
      </c>
      <c r="FP29" s="50">
        <f t="shared" ca="1" si="278"/>
        <v>65452.978997486731</v>
      </c>
      <c r="FQ29" s="50">
        <f t="shared" ca="1" si="279"/>
        <v>68192.221995533764</v>
      </c>
      <c r="FR29" s="50">
        <f t="shared" ca="1" si="280"/>
        <v>66875.714765117344</v>
      </c>
      <c r="FS29" s="50">
        <f t="shared" ca="1" si="281"/>
        <v>59744.604446875186</v>
      </c>
      <c r="FT29" s="50">
        <f t="shared" ca="1" si="282"/>
        <v>53481.01984909091</v>
      </c>
      <c r="FU29" s="50">
        <f t="shared" ca="1" si="283"/>
        <v>58717.256036046769</v>
      </c>
      <c r="FV29" s="50">
        <f t="shared" ca="1" si="284"/>
        <v>46295.811690846625</v>
      </c>
      <c r="FW29" s="50">
        <f t="shared" ca="1" si="285"/>
        <v>69655.899440432928</v>
      </c>
      <c r="FX29" s="50">
        <f t="shared" ca="1" si="286"/>
        <v>55361.939961092648</v>
      </c>
      <c r="FY29" s="50">
        <f t="shared" ca="1" si="287"/>
        <v>56059.320158595976</v>
      </c>
      <c r="FZ29" s="50">
        <f t="shared" ca="1" si="288"/>
        <v>56289.096208108844</v>
      </c>
      <c r="GA29" s="50">
        <f t="shared" ca="1" si="289"/>
        <v>66452.642366462736</v>
      </c>
      <c r="GB29" s="50">
        <f t="shared" ca="1" si="290"/>
        <v>51341.449409414963</v>
      </c>
      <c r="GC29" s="50">
        <f t="shared" ca="1" si="291"/>
        <v>61499.739808474085</v>
      </c>
      <c r="GD29" s="50">
        <f t="shared" ca="1" si="292"/>
        <v>49604.958888476707</v>
      </c>
      <c r="GE29" s="50">
        <f t="shared" ca="1" si="293"/>
        <v>64421.084617568638</v>
      </c>
      <c r="GF29" s="50">
        <f t="shared" ca="1" si="294"/>
        <v>48771.267252795224</v>
      </c>
      <c r="GG29" s="50">
        <f t="shared" ca="1" si="295"/>
        <v>53545.888282153377</v>
      </c>
      <c r="GH29" s="50">
        <f t="shared" ca="1" si="296"/>
        <v>56903.380390061786</v>
      </c>
      <c r="GI29" s="50">
        <f t="shared" ca="1" si="297"/>
        <v>53425.978868693244</v>
      </c>
      <c r="GJ29" s="50">
        <f t="shared" ca="1" si="298"/>
        <v>65723.284533402766</v>
      </c>
      <c r="GK29" s="50">
        <f t="shared" ca="1" si="299"/>
        <v>53612.157079710611</v>
      </c>
      <c r="GL29" s="50">
        <f t="shared" ca="1" si="300"/>
        <v>50717.718469358988</v>
      </c>
      <c r="GM29" s="50">
        <f t="shared" ca="1" si="301"/>
        <v>46529.334858420429</v>
      </c>
      <c r="GN29" s="50">
        <f t="shared" ca="1" si="302"/>
        <v>57396.305347965732</v>
      </c>
      <c r="GO29" s="50">
        <f t="shared" ca="1" si="303"/>
        <v>72763.012450216876</v>
      </c>
      <c r="GP29" s="50">
        <f t="shared" ca="1" si="304"/>
        <v>66402.209097372601</v>
      </c>
      <c r="GQ29" s="50">
        <f t="shared" ca="1" si="305"/>
        <v>69454.037184191722</v>
      </c>
      <c r="GR29" s="50">
        <f t="shared" ca="1" si="306"/>
        <v>64696.95024407153</v>
      </c>
      <c r="GS29" s="50">
        <f t="shared" ca="1" si="307"/>
        <v>60732.011012524992</v>
      </c>
      <c r="GT29" s="50">
        <f t="shared" ca="1" si="308"/>
        <v>53989.807771787207</v>
      </c>
      <c r="GU29" s="50">
        <f t="shared" ca="1" si="309"/>
        <v>57698.830432191775</v>
      </c>
      <c r="GV29" s="50">
        <f t="shared" ca="1" si="310"/>
        <v>72994.984346688623</v>
      </c>
      <c r="GW29" s="50">
        <f t="shared" ca="1" si="311"/>
        <v>59448.697235231622</v>
      </c>
      <c r="GX29" s="50">
        <f t="shared" ca="1" si="312"/>
        <v>60812.146919537445</v>
      </c>
      <c r="GY29" s="50">
        <f t="shared" ca="1" si="313"/>
        <v>61554.844883713056</v>
      </c>
      <c r="GZ29" s="50">
        <f t="shared" ca="1" si="314"/>
        <v>54478.130153438884</v>
      </c>
      <c r="HA29" s="50">
        <f t="shared" ca="1" si="315"/>
        <v>53679.46793990663</v>
      </c>
      <c r="HB29" s="50">
        <f t="shared" ca="1" si="316"/>
        <v>51457.934354461562</v>
      </c>
      <c r="HC29" s="50">
        <f t="shared" ca="1" si="317"/>
        <v>61710.653617525844</v>
      </c>
      <c r="HD29" s="50">
        <f t="shared" ca="1" si="318"/>
        <v>43122.613885090112</v>
      </c>
      <c r="HE29" s="50">
        <f t="shared" ca="1" si="319"/>
        <v>55057.721783808149</v>
      </c>
      <c r="HF29" s="50">
        <f t="shared" ca="1" si="320"/>
        <v>50625.820742120777</v>
      </c>
      <c r="HG29" s="50">
        <f t="shared" ca="1" si="321"/>
        <v>54263.618229044841</v>
      </c>
      <c r="HH29" s="50">
        <f t="shared" ca="1" si="322"/>
        <v>66589.754133350318</v>
      </c>
      <c r="HI29" s="50">
        <f t="shared" ca="1" si="323"/>
        <v>57677.112530063969</v>
      </c>
      <c r="HJ29" s="50">
        <f t="shared" ca="1" si="324"/>
        <v>56696.393657985573</v>
      </c>
      <c r="HK29" s="50">
        <f t="shared" ca="1" si="325"/>
        <v>59746.646430809436</v>
      </c>
      <c r="HL29" s="50">
        <f t="shared" ca="1" si="326"/>
        <v>58143.975395676505</v>
      </c>
      <c r="HM29" s="50">
        <f t="shared" ca="1" si="327"/>
        <v>60299.683976665139</v>
      </c>
      <c r="HN29" s="50">
        <f t="shared" ca="1" si="328"/>
        <v>54591.607934600383</v>
      </c>
      <c r="HO29" s="50">
        <f t="shared" ca="1" si="329"/>
        <v>64454.047797097519</v>
      </c>
      <c r="HP29" s="50">
        <f t="shared" ca="1" si="330"/>
        <v>73538.23261234563</v>
      </c>
      <c r="HQ29" s="50">
        <f t="shared" ca="1" si="331"/>
        <v>64176.117614077986</v>
      </c>
      <c r="HR29" s="50">
        <f t="shared" ca="1" si="332"/>
        <v>59958.113685294942</v>
      </c>
      <c r="HS29" s="50">
        <f t="shared" ca="1" si="333"/>
        <v>66122.033273105611</v>
      </c>
      <c r="HT29" s="50">
        <f t="shared" ca="1" si="334"/>
        <v>52015.723204458511</v>
      </c>
      <c r="HU29" s="50">
        <f t="shared" ca="1" si="335"/>
        <v>58574.688322779366</v>
      </c>
      <c r="HV29" s="50">
        <f t="shared" ca="1" si="336"/>
        <v>58194.410044030708</v>
      </c>
      <c r="HW29" s="50">
        <f t="shared" ca="1" si="337"/>
        <v>50667.644610157244</v>
      </c>
      <c r="HX29" s="50">
        <f t="shared" ca="1" si="338"/>
        <v>71428.683767102499</v>
      </c>
      <c r="HY29" s="50">
        <f t="shared" ca="1" si="339"/>
        <v>48423.206791750054</v>
      </c>
      <c r="HZ29" s="50">
        <f t="shared" ca="1" si="340"/>
        <v>70394.980758045174</v>
      </c>
      <c r="IA29" s="50">
        <f t="shared" ca="1" si="341"/>
        <v>59699.42231195794</v>
      </c>
      <c r="IB29" s="50">
        <f t="shared" ca="1" si="342"/>
        <v>54112.982616142937</v>
      </c>
      <c r="IC29" s="50">
        <f t="shared" ca="1" si="343"/>
        <v>76588.397605326216</v>
      </c>
      <c r="ID29" s="50">
        <f t="shared" ca="1" si="344"/>
        <v>63638.515151933876</v>
      </c>
      <c r="IE29" s="50">
        <f t="shared" ca="1" si="345"/>
        <v>58308.873309263414</v>
      </c>
      <c r="IF29" s="50">
        <f t="shared" ca="1" si="346"/>
        <v>49726.613715008389</v>
      </c>
      <c r="IG29" s="50">
        <f t="shared" ca="1" si="347"/>
        <v>61043.194767473913</v>
      </c>
      <c r="IH29" s="50">
        <f t="shared" ca="1" si="348"/>
        <v>68249.162021002339</v>
      </c>
      <c r="II29" s="50">
        <f t="shared" ca="1" si="349"/>
        <v>68351.201013544152</v>
      </c>
      <c r="IJ29" s="50">
        <f t="shared" ca="1" si="350"/>
        <v>58273.44301053034</v>
      </c>
      <c r="IK29" s="50">
        <f t="shared" ca="1" si="351"/>
        <v>60867.778497715968</v>
      </c>
      <c r="IL29" s="50">
        <f t="shared" ca="1" si="352"/>
        <v>62566.352045720691</v>
      </c>
      <c r="IM29" s="50">
        <f t="shared" ca="1" si="353"/>
        <v>55263.819298880844</v>
      </c>
      <c r="IN29" s="50">
        <f t="shared" ca="1" si="354"/>
        <v>61981.852047286084</v>
      </c>
      <c r="IO29" s="50">
        <f t="shared" ca="1" si="355"/>
        <v>59647.454348353916</v>
      </c>
      <c r="IP29" s="50">
        <f t="shared" ca="1" si="356"/>
        <v>58729.694922648414</v>
      </c>
      <c r="IQ29" s="50">
        <f t="shared" ca="1" si="357"/>
        <v>55696.765368138214</v>
      </c>
      <c r="IR29" s="50">
        <f t="shared" ca="1" si="358"/>
        <v>60113.188588733421</v>
      </c>
      <c r="IS29" s="50">
        <f t="shared" ca="1" si="359"/>
        <v>65934.227648584987</v>
      </c>
      <c r="IT29" s="50">
        <f t="shared" ca="1" si="360"/>
        <v>59939.314126350837</v>
      </c>
      <c r="IU29" s="50">
        <f t="shared" ca="1" si="361"/>
        <v>69472.132695500928</v>
      </c>
      <c r="IV29" s="50">
        <f t="shared" ca="1" si="362"/>
        <v>59587.711244225509</v>
      </c>
      <c r="IW29" s="50">
        <f t="shared" ca="1" si="363"/>
        <v>46826.574355733806</v>
      </c>
      <c r="IX29" s="50">
        <f t="shared" ca="1" si="364"/>
        <v>70445.602759795525</v>
      </c>
      <c r="IY29" s="50">
        <f t="shared" ca="1" si="365"/>
        <v>53663.067772093542</v>
      </c>
      <c r="IZ29" s="50">
        <f t="shared" ca="1" si="366"/>
        <v>71559.491257762216</v>
      </c>
      <c r="JA29" s="50">
        <f t="shared" ca="1" si="367"/>
        <v>52609.021911198673</v>
      </c>
      <c r="JB29" s="50">
        <f t="shared" ca="1" si="368"/>
        <v>61354.955768570617</v>
      </c>
      <c r="JC29" s="50">
        <f t="shared" ca="1" si="369"/>
        <v>61793.839222139752</v>
      </c>
      <c r="JD29" s="50">
        <f t="shared" ca="1" si="370"/>
        <v>54157.102516937382</v>
      </c>
      <c r="JE29" s="50">
        <f t="shared" ca="1" si="371"/>
        <v>60602.896267095013</v>
      </c>
      <c r="JF29" s="50">
        <f t="shared" ca="1" si="372"/>
        <v>66446.1858626092</v>
      </c>
      <c r="JG29" s="50">
        <f t="shared" ca="1" si="373"/>
        <v>64673.435776564613</v>
      </c>
      <c r="JH29" s="50">
        <f t="shared" ca="1" si="374"/>
        <v>59415.883506558159</v>
      </c>
      <c r="JI29" s="50">
        <f t="shared" ca="1" si="375"/>
        <v>58311.022724073482</v>
      </c>
      <c r="JJ29" s="50">
        <f t="shared" ca="1" si="376"/>
        <v>62989.088819932418</v>
      </c>
      <c r="JK29" s="50">
        <f t="shared" ca="1" si="377"/>
        <v>56178.498418365532</v>
      </c>
      <c r="JL29" s="50">
        <f t="shared" ca="1" si="378"/>
        <v>65586.888200362271</v>
      </c>
      <c r="JM29" s="50">
        <f t="shared" ca="1" si="379"/>
        <v>52167.97037664344</v>
      </c>
      <c r="JN29" s="50">
        <f t="shared" ca="1" si="380"/>
        <v>66377.193983153222</v>
      </c>
      <c r="JO29" s="50">
        <f t="shared" ca="1" si="381"/>
        <v>58195.006181989658</v>
      </c>
      <c r="JP29" s="50">
        <f t="shared" ca="1" si="382"/>
        <v>49661.318870461648</v>
      </c>
      <c r="JQ29" s="50">
        <f t="shared" ca="1" si="383"/>
        <v>54132.915056370199</v>
      </c>
      <c r="JR29" s="50">
        <f t="shared" ca="1" si="384"/>
        <v>70807.190026089913</v>
      </c>
      <c r="JS29" s="50">
        <f t="shared" ca="1" si="385"/>
        <v>63831.88651342551</v>
      </c>
      <c r="JT29" s="50">
        <f t="shared" ca="1" si="386"/>
        <v>61375.098482753609</v>
      </c>
      <c r="JU29" s="50">
        <f t="shared" ca="1" si="387"/>
        <v>51582.992926431543</v>
      </c>
      <c r="JV29" s="50">
        <f t="shared" ca="1" si="388"/>
        <v>49801.440694309196</v>
      </c>
      <c r="JW29" s="50">
        <f t="shared" ca="1" si="389"/>
        <v>69125.436363202534</v>
      </c>
      <c r="JX29" s="50">
        <f t="shared" ca="1" si="390"/>
        <v>51891.165940358573</v>
      </c>
      <c r="JY29" s="50">
        <f t="shared" ca="1" si="391"/>
        <v>72094.45396452921</v>
      </c>
      <c r="JZ29" s="50">
        <f t="shared" ca="1" si="392"/>
        <v>57769.656047460507</v>
      </c>
      <c r="KA29" s="50">
        <f t="shared" ca="1" si="393"/>
        <v>70449.346430501784</v>
      </c>
      <c r="KB29" s="50">
        <f t="shared" ca="1" si="394"/>
        <v>55578.626278654061</v>
      </c>
      <c r="KC29" s="50">
        <f t="shared" ca="1" si="395"/>
        <v>63889.102231241399</v>
      </c>
      <c r="KD29" s="50">
        <f t="shared" ca="1" si="396"/>
        <v>59044.487174602931</v>
      </c>
      <c r="KE29" s="50">
        <f t="shared" ca="1" si="397"/>
        <v>50818.450505364672</v>
      </c>
      <c r="KF29" s="50">
        <f t="shared" ca="1" si="398"/>
        <v>55580.212634220181</v>
      </c>
      <c r="KG29" s="50">
        <f t="shared" ca="1" si="399"/>
        <v>63110.497379513887</v>
      </c>
      <c r="KH29" s="50">
        <f t="shared" ca="1" si="400"/>
        <v>71766.098241176718</v>
      </c>
      <c r="KI29" s="50">
        <f t="shared" ca="1" si="401"/>
        <v>56457.314697020149</v>
      </c>
      <c r="KJ29" s="50">
        <f t="shared" ca="1" si="402"/>
        <v>65132.370355465602</v>
      </c>
      <c r="KK29" s="50">
        <f t="shared" ca="1" si="403"/>
        <v>64182.804301160453</v>
      </c>
      <c r="KL29" s="50">
        <f t="shared" ca="1" si="404"/>
        <v>57645.460358913311</v>
      </c>
      <c r="KM29" s="50">
        <f t="shared" ca="1" si="405"/>
        <v>68645.388193097097</v>
      </c>
      <c r="KN29" s="50">
        <f t="shared" ca="1" si="406"/>
        <v>51268.210955594514</v>
      </c>
      <c r="KO29" s="50">
        <f t="shared" ca="1" si="407"/>
        <v>52572.023225136443</v>
      </c>
      <c r="KP29" s="50">
        <f t="shared" ca="1" si="408"/>
        <v>56346.977017779966</v>
      </c>
      <c r="KQ29" s="50">
        <f t="shared" ca="1" si="409"/>
        <v>65115.932814270047</v>
      </c>
      <c r="KR29" s="50">
        <f t="shared" ca="1" si="410"/>
        <v>60785.753897301722</v>
      </c>
      <c r="KS29" s="50">
        <f t="shared" ca="1" si="411"/>
        <v>57412.169901583082</v>
      </c>
      <c r="KT29" s="50">
        <f t="shared" ca="1" si="412"/>
        <v>59275.915670715753</v>
      </c>
      <c r="KU29" s="50">
        <f t="shared" ca="1" si="413"/>
        <v>68826.257801645101</v>
      </c>
      <c r="KV29" s="50">
        <f t="shared" ca="1" si="414"/>
        <v>55294.491934931</v>
      </c>
      <c r="KW29" s="50">
        <f t="shared" ca="1" si="415"/>
        <v>58215.687399382376</v>
      </c>
      <c r="KX29" s="50">
        <f t="shared" ca="1" si="416"/>
        <v>69912.174817133884</v>
      </c>
      <c r="KY29" s="50">
        <f t="shared" ca="1" si="417"/>
        <v>66557.575172502577</v>
      </c>
      <c r="KZ29" s="50">
        <f t="shared" ca="1" si="418"/>
        <v>65840.48558197463</v>
      </c>
      <c r="LA29" s="50">
        <f t="shared" ca="1" si="419"/>
        <v>49132.253310202432</v>
      </c>
      <c r="LB29" s="50">
        <f t="shared" ca="1" si="420"/>
        <v>67558.027821907395</v>
      </c>
      <c r="LC29" s="50">
        <f t="shared" ca="1" si="421"/>
        <v>63617.589577692583</v>
      </c>
      <c r="LD29" s="50">
        <f t="shared" ca="1" si="422"/>
        <v>54751.739044425041</v>
      </c>
      <c r="LE29" s="50">
        <f t="shared" ca="1" si="423"/>
        <v>78833.388399563046</v>
      </c>
      <c r="LF29" s="50">
        <f t="shared" ca="1" si="424"/>
        <v>68909.016372702987</v>
      </c>
      <c r="LG29" s="50">
        <f t="shared" ca="1" si="425"/>
        <v>61618.798429784103</v>
      </c>
      <c r="LH29" s="50">
        <f t="shared" ca="1" si="426"/>
        <v>67283.038788091901</v>
      </c>
      <c r="LI29" s="50">
        <f t="shared" ca="1" si="427"/>
        <v>57255.495607788274</v>
      </c>
      <c r="LJ29" s="50">
        <f t="shared" ca="1" si="428"/>
        <v>51417.95836553289</v>
      </c>
      <c r="LK29" s="50">
        <f t="shared" ca="1" si="429"/>
        <v>67332.906551855078</v>
      </c>
      <c r="LL29" s="50">
        <f t="shared" ca="1" si="430"/>
        <v>60686.482486163142</v>
      </c>
      <c r="LM29" s="50">
        <f t="shared" ca="1" si="431"/>
        <v>62250.226549229461</v>
      </c>
      <c r="LN29" s="50">
        <f t="shared" ca="1" si="432"/>
        <v>70589.170007916327</v>
      </c>
      <c r="LO29" s="50">
        <f t="shared" ca="1" si="433"/>
        <v>46828.563647064053</v>
      </c>
      <c r="LP29" s="50">
        <f t="shared" ca="1" si="434"/>
        <v>45849.914012287329</v>
      </c>
      <c r="LQ29" s="50">
        <f t="shared" ca="1" si="435"/>
        <v>40508.185302978578</v>
      </c>
      <c r="LR29" s="50">
        <f t="shared" ca="1" si="436"/>
        <v>53439.363623428668</v>
      </c>
      <c r="LS29" s="50">
        <f t="shared" ca="1" si="437"/>
        <v>58711.220373318807</v>
      </c>
      <c r="LT29" s="50">
        <f t="shared" ca="1" si="438"/>
        <v>64690.73281829527</v>
      </c>
      <c r="LU29" s="50">
        <f t="shared" ca="1" si="439"/>
        <v>79093.485274507781</v>
      </c>
      <c r="LV29" s="50">
        <f t="shared" ca="1" si="440"/>
        <v>59475.773602850197</v>
      </c>
      <c r="LW29" s="50">
        <f t="shared" ca="1" si="441"/>
        <v>35992.732538864373</v>
      </c>
      <c r="LX29" s="50">
        <f t="shared" ca="1" si="442"/>
        <v>58377.434488412349</v>
      </c>
      <c r="LY29" s="50">
        <f t="shared" ca="1" si="443"/>
        <v>66751.666325430182</v>
      </c>
      <c r="LZ29" s="50">
        <f t="shared" ca="1" si="444"/>
        <v>64410.450611276923</v>
      </c>
      <c r="MA29" s="50">
        <f t="shared" ca="1" si="445"/>
        <v>48760.400999588499</v>
      </c>
      <c r="MB29" s="50">
        <f t="shared" ca="1" si="446"/>
        <v>62483.803805195676</v>
      </c>
      <c r="MC29" s="50">
        <f t="shared" ca="1" si="447"/>
        <v>55155.226193484654</v>
      </c>
      <c r="MD29" s="50">
        <f t="shared" ca="1" si="448"/>
        <v>59413.57946652727</v>
      </c>
      <c r="ME29" s="50">
        <f t="shared" ca="1" si="449"/>
        <v>56084.858325904628</v>
      </c>
      <c r="MF29" s="50">
        <f t="shared" ca="1" si="450"/>
        <v>61467.69120419024</v>
      </c>
      <c r="MG29" s="50">
        <f t="shared" ca="1" si="451"/>
        <v>53086.077137368935</v>
      </c>
      <c r="MH29" s="50">
        <f t="shared" ca="1" si="452"/>
        <v>60256.683773883335</v>
      </c>
      <c r="MI29" s="50">
        <f t="shared" ca="1" si="453"/>
        <v>59497.812250644325</v>
      </c>
      <c r="MJ29" s="50">
        <f t="shared" ca="1" si="454"/>
        <v>49052.394433078618</v>
      </c>
      <c r="MK29" s="50">
        <f t="shared" ca="1" si="455"/>
        <v>66055.985663599407</v>
      </c>
      <c r="ML29" s="50">
        <f t="shared" ca="1" si="456"/>
        <v>65193.109193725853</v>
      </c>
      <c r="MM29" s="50">
        <f t="shared" ca="1" si="457"/>
        <v>54732.576216337242</v>
      </c>
      <c r="MN29" s="50">
        <f t="shared" ca="1" si="458"/>
        <v>63666.702865746978</v>
      </c>
      <c r="MO29" s="50">
        <f t="shared" ca="1" si="459"/>
        <v>57092.576545893819</v>
      </c>
      <c r="MP29" s="50">
        <f t="shared" ca="1" si="460"/>
        <v>55563.614035180362</v>
      </c>
      <c r="MQ29" s="50">
        <f t="shared" ca="1" si="461"/>
        <v>61429.608508372978</v>
      </c>
      <c r="MR29" s="50">
        <f t="shared" ca="1" si="462"/>
        <v>48494.802954091087</v>
      </c>
      <c r="MS29" s="50">
        <f t="shared" ca="1" si="463"/>
        <v>54290.395897792354</v>
      </c>
      <c r="MT29" s="50">
        <f t="shared" ca="1" si="464"/>
        <v>65877.922636368501</v>
      </c>
      <c r="MU29" s="50">
        <f t="shared" ca="1" si="465"/>
        <v>69806.401657176437</v>
      </c>
      <c r="MV29" s="50">
        <f t="shared" ca="1" si="466"/>
        <v>66244.425302608259</v>
      </c>
      <c r="MW29" s="50">
        <f t="shared" ca="1" si="467"/>
        <v>57672.216841943977</v>
      </c>
      <c r="MX29" s="50">
        <f t="shared" ca="1" si="468"/>
        <v>59031.081398577138</v>
      </c>
      <c r="MY29" s="50">
        <f t="shared" ca="1" si="469"/>
        <v>63575.283808892149</v>
      </c>
      <c r="MZ29" s="50">
        <f t="shared" ca="1" si="470"/>
        <v>60022.838994520745</v>
      </c>
      <c r="NA29" s="50">
        <f t="shared" ca="1" si="471"/>
        <v>63318.399382305666</v>
      </c>
      <c r="NB29" s="50">
        <f t="shared" ca="1" si="472"/>
        <v>57016.99286278605</v>
      </c>
      <c r="NC29" s="50">
        <f t="shared" ca="1" si="473"/>
        <v>61684.329101452866</v>
      </c>
      <c r="ND29" s="50">
        <f t="shared" ca="1" si="474"/>
        <v>53493.818559533705</v>
      </c>
      <c r="NE29" s="50">
        <f t="shared" ca="1" si="475"/>
        <v>54518.511996867048</v>
      </c>
      <c r="NF29" s="50">
        <f t="shared" ca="1" si="476"/>
        <v>65995.87600139367</v>
      </c>
      <c r="NG29" s="50">
        <f t="shared" ca="1" si="477"/>
        <v>75479.968023024034</v>
      </c>
      <c r="NH29" s="50">
        <f t="shared" ca="1" si="478"/>
        <v>55130.684466256171</v>
      </c>
      <c r="NI29" s="50">
        <f t="shared" ca="1" si="479"/>
        <v>59574.718826529781</v>
      </c>
      <c r="NJ29" s="50">
        <f t="shared" ca="1" si="480"/>
        <v>64201.18007691262</v>
      </c>
      <c r="NK29" s="50">
        <f t="shared" ca="1" si="481"/>
        <v>66057.399602790611</v>
      </c>
      <c r="NL29" s="50">
        <f t="shared" ca="1" si="482"/>
        <v>51062.285692111713</v>
      </c>
      <c r="NM29" s="50">
        <f t="shared" ca="1" si="483"/>
        <v>65517.529046070493</v>
      </c>
      <c r="NN29" s="50">
        <f t="shared" ca="1" si="484"/>
        <v>56766.256077870537</v>
      </c>
      <c r="NO29" s="50">
        <f t="shared" ca="1" si="485"/>
        <v>67836.695809527999</v>
      </c>
      <c r="NP29" s="50">
        <f t="shared" ca="1" si="486"/>
        <v>54072.209366250798</v>
      </c>
      <c r="NQ29" s="50">
        <f t="shared" ca="1" si="487"/>
        <v>48026.589792870131</v>
      </c>
      <c r="NR29" s="50">
        <f t="shared" ca="1" si="488"/>
        <v>58867.070170802654</v>
      </c>
      <c r="NS29" s="50">
        <f t="shared" ca="1" si="489"/>
        <v>49717.512336944674</v>
      </c>
      <c r="NT29" s="50">
        <f t="shared" ca="1" si="490"/>
        <v>71517.291078590191</v>
      </c>
      <c r="NU29" s="50">
        <f t="shared" ca="1" si="491"/>
        <v>68147.893567023275</v>
      </c>
      <c r="NV29" s="50">
        <f t="shared" ca="1" si="492"/>
        <v>48050.682003848604</v>
      </c>
      <c r="NW29" s="50">
        <f t="shared" ca="1" si="493"/>
        <v>47802.93957233979</v>
      </c>
      <c r="NX29" s="50">
        <f t="shared" ca="1" si="494"/>
        <v>70945.097977472498</v>
      </c>
      <c r="NY29" s="50">
        <f t="shared" ca="1" si="495"/>
        <v>61927.203255769629</v>
      </c>
      <c r="NZ29" s="50">
        <f t="shared" ca="1" si="496"/>
        <v>64349.869605271044</v>
      </c>
      <c r="OA29" s="50">
        <f t="shared" ca="1" si="497"/>
        <v>54925.457376328435</v>
      </c>
      <c r="OB29" s="50">
        <f t="shared" ca="1" si="498"/>
        <v>72068.373888270813</v>
      </c>
      <c r="OC29" s="50">
        <f t="shared" ca="1" si="499"/>
        <v>54970.15095792315</v>
      </c>
      <c r="OD29" s="50">
        <f t="shared" ca="1" si="500"/>
        <v>53618.364590226083</v>
      </c>
      <c r="OE29" s="50">
        <f t="shared" ca="1" si="501"/>
        <v>66899.238777558247</v>
      </c>
      <c r="OF29" s="50">
        <f t="shared" ca="1" si="502"/>
        <v>68483.342590865577</v>
      </c>
      <c r="OG29" s="50">
        <f t="shared" ca="1" si="503"/>
        <v>73140.733889930882</v>
      </c>
      <c r="OH29" s="50">
        <f t="shared" ca="1" si="504"/>
        <v>69522.187803390465</v>
      </c>
      <c r="OI29" s="50">
        <f t="shared" ca="1" si="505"/>
        <v>58761.70613716379</v>
      </c>
      <c r="OJ29" s="50">
        <f t="shared" ca="1" si="506"/>
        <v>58755.746593945099</v>
      </c>
      <c r="OK29" s="50">
        <f t="shared" ca="1" si="507"/>
        <v>53695.849279632879</v>
      </c>
      <c r="OL29" s="50">
        <f t="shared" ca="1" si="508"/>
        <v>62550.982879798532</v>
      </c>
      <c r="OM29" s="50">
        <f t="shared" ca="1" si="509"/>
        <v>52700.545016229582</v>
      </c>
      <c r="ON29" s="50">
        <f t="shared" ca="1" si="510"/>
        <v>64017.257921677141</v>
      </c>
      <c r="OO29" s="50">
        <f t="shared" ca="1" si="511"/>
        <v>63616.07051364339</v>
      </c>
      <c r="OP29" s="50">
        <f t="shared" ca="1" si="512"/>
        <v>58718.56398108475</v>
      </c>
      <c r="OQ29" s="50">
        <f t="shared" ca="1" si="513"/>
        <v>62724.378421107926</v>
      </c>
      <c r="OR29" s="50">
        <f t="shared" ca="1" si="514"/>
        <v>63959.360223782714</v>
      </c>
      <c r="OS29" s="50">
        <f t="shared" ca="1" si="515"/>
        <v>53450.819091700192</v>
      </c>
      <c r="OT29" s="50">
        <f t="shared" ca="1" si="516"/>
        <v>53492.848325874038</v>
      </c>
      <c r="OU29" s="50">
        <f t="shared" ca="1" si="517"/>
        <v>48256.885066601659</v>
      </c>
      <c r="OV29" s="50">
        <f t="shared" ca="1" si="518"/>
        <v>62042.736974044616</v>
      </c>
      <c r="OW29" s="50">
        <f t="shared" ca="1" si="519"/>
        <v>53837.941301761413</v>
      </c>
      <c r="OX29" s="50">
        <f t="shared" ca="1" si="520"/>
        <v>77042.389264936268</v>
      </c>
      <c r="OY29" s="50">
        <f t="shared" ca="1" si="521"/>
        <v>56985.194058253939</v>
      </c>
      <c r="OZ29" s="50">
        <f t="shared" ca="1" si="522"/>
        <v>64331.638537643856</v>
      </c>
      <c r="PA29" s="50">
        <f t="shared" ca="1" si="523"/>
        <v>55511.550560253876</v>
      </c>
      <c r="PB29" s="50">
        <f t="shared" ca="1" si="524"/>
        <v>57458.371230185738</v>
      </c>
      <c r="PC29" s="50">
        <f t="shared" ca="1" si="525"/>
        <v>55575.968560922658</v>
      </c>
      <c r="PD29" s="50">
        <f t="shared" ca="1" si="526"/>
        <v>55070.123048019719</v>
      </c>
      <c r="PE29" s="50">
        <f t="shared" ca="1" si="527"/>
        <v>70728.120168405949</v>
      </c>
      <c r="PF29" s="50">
        <f t="shared" ca="1" si="528"/>
        <v>64762.12194561521</v>
      </c>
      <c r="PG29" s="50">
        <f t="shared" ca="1" si="529"/>
        <v>55449.973728239733</v>
      </c>
      <c r="PH29" s="50">
        <f t="shared" ca="1" si="530"/>
        <v>46323.465263465274</v>
      </c>
      <c r="PI29" s="50">
        <f t="shared" ca="1" si="531"/>
        <v>55197.37351387924</v>
      </c>
      <c r="PJ29" s="50">
        <f t="shared" ca="1" si="532"/>
        <v>63796.379696397889</v>
      </c>
      <c r="PK29" s="50">
        <f t="shared" ca="1" si="533"/>
        <v>64214.659662334379</v>
      </c>
      <c r="PL29" s="50">
        <f t="shared" ca="1" si="534"/>
        <v>72074.11873949341</v>
      </c>
      <c r="PM29" s="50">
        <f t="shared" ca="1" si="535"/>
        <v>61715.83698878374</v>
      </c>
      <c r="PN29" s="50">
        <f t="shared" ca="1" si="536"/>
        <v>51503.564929345928</v>
      </c>
      <c r="PO29" s="50">
        <f t="shared" ca="1" si="537"/>
        <v>72933.50470686912</v>
      </c>
      <c r="PP29" s="50">
        <f t="shared" ca="1" si="538"/>
        <v>58689.433311859211</v>
      </c>
      <c r="PQ29" s="50">
        <f t="shared" ca="1" si="539"/>
        <v>63679.547898843128</v>
      </c>
      <c r="PR29" s="50">
        <f t="shared" ca="1" si="540"/>
        <v>62107.905340286772</v>
      </c>
      <c r="PS29" s="50">
        <f t="shared" ca="1" si="541"/>
        <v>66906.127399888501</v>
      </c>
      <c r="PT29" s="50">
        <f t="shared" ca="1" si="542"/>
        <v>54950.000766988938</v>
      </c>
      <c r="PU29" s="50">
        <f t="shared" ca="1" si="543"/>
        <v>61231.186284889038</v>
      </c>
      <c r="PV29" s="50">
        <f t="shared" ca="1" si="544"/>
        <v>60855.895536901255</v>
      </c>
      <c r="PW29" s="50">
        <f t="shared" ca="1" si="545"/>
        <v>60383.734564830287</v>
      </c>
      <c r="PX29" s="50">
        <f t="shared" ca="1" si="546"/>
        <v>69538.918250783914</v>
      </c>
      <c r="PY29" s="50">
        <f t="shared" ca="1" si="547"/>
        <v>67617.384238348968</v>
      </c>
      <c r="PZ29" s="50">
        <f t="shared" ca="1" si="548"/>
        <v>68950.371707715138</v>
      </c>
      <c r="QA29" s="50">
        <f t="shared" ca="1" si="549"/>
        <v>48994.014087530479</v>
      </c>
      <c r="QB29" s="50">
        <f t="shared" ca="1" si="550"/>
        <v>62202.579983752068</v>
      </c>
      <c r="QC29" s="50">
        <f t="shared" ca="1" si="551"/>
        <v>62853.329191765304</v>
      </c>
      <c r="QD29" s="50">
        <f t="shared" ca="1" si="552"/>
        <v>63556.231771487481</v>
      </c>
      <c r="QE29" s="50">
        <f t="shared" ca="1" si="553"/>
        <v>58274.771537702611</v>
      </c>
      <c r="QF29" s="50">
        <f t="shared" ca="1" si="554"/>
        <v>49109.027573795669</v>
      </c>
      <c r="QG29" s="50">
        <f t="shared" ca="1" si="555"/>
        <v>52060.131609718796</v>
      </c>
      <c r="QH29" s="50">
        <f t="shared" ca="1" si="556"/>
        <v>51702.441566290967</v>
      </c>
      <c r="QI29" s="50">
        <f t="shared" ca="1" si="557"/>
        <v>51376.009103979748</v>
      </c>
      <c r="QJ29" s="50">
        <f t="shared" ca="1" si="558"/>
        <v>49707.895431737656</v>
      </c>
      <c r="QK29" s="50">
        <f t="shared" ca="1" si="559"/>
        <v>57326.933604028418</v>
      </c>
      <c r="QL29" s="50">
        <f t="shared" ca="1" si="560"/>
        <v>70589.162306358689</v>
      </c>
      <c r="QM29" s="50">
        <f t="shared" ca="1" si="561"/>
        <v>49989.262566802441</v>
      </c>
      <c r="QN29" s="50">
        <f t="shared" ca="1" si="562"/>
        <v>50278.458858978127</v>
      </c>
      <c r="QO29" s="50">
        <f t="shared" ca="1" si="563"/>
        <v>65252.610292146273</v>
      </c>
      <c r="QP29" s="50">
        <f t="shared" ca="1" si="564"/>
        <v>54435.531814631024</v>
      </c>
      <c r="QQ29" s="50">
        <f t="shared" ca="1" si="565"/>
        <v>52310.838233575996</v>
      </c>
      <c r="QR29" s="50">
        <f t="shared" ca="1" si="566"/>
        <v>56271.441016124561</v>
      </c>
      <c r="QS29" s="50">
        <f t="shared" ca="1" si="567"/>
        <v>57138.651008264584</v>
      </c>
      <c r="QT29" s="50">
        <f t="shared" ca="1" si="568"/>
        <v>46231.050028872247</v>
      </c>
      <c r="QU29" s="50">
        <f t="shared" ca="1" si="569"/>
        <v>56385.470391117764</v>
      </c>
      <c r="QV29" s="50">
        <f t="shared" ca="1" si="570"/>
        <v>55020.77500593273</v>
      </c>
      <c r="QW29" s="50">
        <f t="shared" ca="1" si="571"/>
        <v>57400.177843908488</v>
      </c>
      <c r="QX29" s="50">
        <f t="shared" ca="1" si="572"/>
        <v>65395.773919504536</v>
      </c>
      <c r="QY29" s="50">
        <f t="shared" ca="1" si="573"/>
        <v>53405.09638803995</v>
      </c>
      <c r="QZ29" s="50">
        <f t="shared" ca="1" si="574"/>
        <v>57421.83359398241</v>
      </c>
      <c r="RA29" s="50">
        <f t="shared" ca="1" si="575"/>
        <v>51311.321522529164</v>
      </c>
      <c r="RB29" s="50">
        <f t="shared" ca="1" si="576"/>
        <v>82481.891565928541</v>
      </c>
      <c r="RC29" s="50">
        <f t="shared" ca="1" si="577"/>
        <v>60441.065205508334</v>
      </c>
      <c r="RD29" s="50">
        <f t="shared" ca="1" si="578"/>
        <v>46685.990784613379</v>
      </c>
      <c r="RE29" s="50">
        <f t="shared" ca="1" si="579"/>
        <v>56994.587345545799</v>
      </c>
      <c r="RF29" s="50">
        <f t="shared" ca="1" si="580"/>
        <v>58160.108840390087</v>
      </c>
      <c r="RG29" s="50">
        <f t="shared" ca="1" si="581"/>
        <v>51051.848558523314</v>
      </c>
      <c r="RH29" s="50">
        <f t="shared" ca="1" si="582"/>
        <v>71197.011373490532</v>
      </c>
      <c r="RI29" s="50">
        <f t="shared" ca="1" si="583"/>
        <v>71780.60602817632</v>
      </c>
      <c r="RJ29" s="50">
        <f t="shared" ca="1" si="584"/>
        <v>50157.263416025351</v>
      </c>
      <c r="RK29" s="50">
        <f t="shared" ca="1" si="585"/>
        <v>68922.017324860295</v>
      </c>
      <c r="RL29" s="50">
        <f t="shared" ca="1" si="586"/>
        <v>65307.199054714962</v>
      </c>
      <c r="RM29" s="50">
        <f t="shared" ca="1" si="587"/>
        <v>56728.437325185296</v>
      </c>
      <c r="RN29" s="50">
        <f t="shared" ca="1" si="588"/>
        <v>58768.438679167237</v>
      </c>
      <c r="RO29" s="50">
        <f t="shared" ca="1" si="589"/>
        <v>47445.732785339991</v>
      </c>
      <c r="RP29" s="50">
        <f t="shared" ca="1" si="590"/>
        <v>56066.21484777968</v>
      </c>
      <c r="RQ29" s="50">
        <f t="shared" ca="1" si="591"/>
        <v>61289.935641902273</v>
      </c>
      <c r="RR29" s="50">
        <f t="shared" ca="1" si="592"/>
        <v>55447.150690685565</v>
      </c>
      <c r="RS29" s="50">
        <f t="shared" ca="1" si="593"/>
        <v>76139.792225436628</v>
      </c>
      <c r="RT29" s="50">
        <f t="shared" ca="1" si="594"/>
        <v>65255.132062125987</v>
      </c>
      <c r="RU29" s="50">
        <f t="shared" ca="1" si="595"/>
        <v>53983.765280140244</v>
      </c>
      <c r="RV29" s="50">
        <f t="shared" ca="1" si="596"/>
        <v>63651.37107483187</v>
      </c>
      <c r="RW29" s="50">
        <f t="shared" ca="1" si="597"/>
        <v>67654.624388936354</v>
      </c>
      <c r="RX29" s="50">
        <f t="shared" ca="1" si="598"/>
        <v>64421.889209979017</v>
      </c>
      <c r="RY29" s="50">
        <f t="shared" ca="1" si="599"/>
        <v>58359.286253890728</v>
      </c>
      <c r="RZ29" s="50">
        <f t="shared" ca="1" si="600"/>
        <v>57269.827520317631</v>
      </c>
      <c r="SA29" s="50">
        <f t="shared" ca="1" si="601"/>
        <v>60851.997014430752</v>
      </c>
      <c r="SB29" s="50">
        <f t="shared" ca="1" si="602"/>
        <v>66777.359112388498</v>
      </c>
      <c r="SC29" s="50">
        <f t="shared" ca="1" si="603"/>
        <v>58033.614217168724</v>
      </c>
      <c r="SD29" s="50">
        <f t="shared" ca="1" si="604"/>
        <v>47260.935927994644</v>
      </c>
      <c r="SE29" s="50">
        <f t="shared" ca="1" si="605"/>
        <v>65962.780449247832</v>
      </c>
      <c r="SF29" s="50">
        <f t="shared" ca="1" si="606"/>
        <v>63515.004085850254</v>
      </c>
      <c r="SG29" s="50">
        <f t="shared" ca="1" si="607"/>
        <v>57894.634712225532</v>
      </c>
      <c r="SH29" s="50">
        <f t="shared" ca="1" si="608"/>
        <v>57913.089304934438</v>
      </c>
      <c r="SI29" s="50">
        <f t="shared" ca="1" si="609"/>
        <v>68274.810946908125</v>
      </c>
      <c r="SJ29" s="50">
        <f t="shared" ca="1" si="610"/>
        <v>60206.529888552504</v>
      </c>
      <c r="SK29" s="50">
        <f t="shared" ca="1" si="611"/>
        <v>67930.828916840808</v>
      </c>
      <c r="SL29" s="50">
        <f t="shared" ca="1" si="612"/>
        <v>50237.73868413017</v>
      </c>
      <c r="SM29" s="50">
        <f t="shared" ca="1" si="613"/>
        <v>55294.750532314283</v>
      </c>
      <c r="SN29" s="50">
        <f t="shared" ca="1" si="614"/>
        <v>61701.848229238203</v>
      </c>
      <c r="SO29" s="50">
        <f t="shared" ca="1" si="615"/>
        <v>55174.62204275946</v>
      </c>
      <c r="SP29" s="50">
        <f t="shared" ca="1" si="616"/>
        <v>65901.259498809246</v>
      </c>
      <c r="SQ29" s="50">
        <f t="shared" ca="1" si="617"/>
        <v>56929.80158703206</v>
      </c>
      <c r="SR29" s="50">
        <f t="shared" ca="1" si="618"/>
        <v>63269.456941142591</v>
      </c>
      <c r="SS29" s="50">
        <f t="shared" ca="1" si="619"/>
        <v>59315.833084177568</v>
      </c>
      <c r="ST29" s="50">
        <f t="shared" ca="1" si="620"/>
        <v>67847.289149188306</v>
      </c>
      <c r="SU29" s="50">
        <f t="shared" ca="1" si="621"/>
        <v>58978.36301961822</v>
      </c>
      <c r="SV29" s="50">
        <f t="shared" ca="1" si="622"/>
        <v>63361.899841718681</v>
      </c>
      <c r="SW29" s="50">
        <f t="shared" ca="1" si="623"/>
        <v>40657.439960545889</v>
      </c>
      <c r="SX29" s="50">
        <f t="shared" ca="1" si="624"/>
        <v>50244.936444187319</v>
      </c>
      <c r="SY29" s="50">
        <f t="shared" ca="1" si="625"/>
        <v>56887.832406768925</v>
      </c>
      <c r="SZ29" s="50">
        <f t="shared" ca="1" si="626"/>
        <v>57882.268228402267</v>
      </c>
      <c r="TA29" s="50">
        <f t="shared" ca="1" si="627"/>
        <v>49422.531943440976</v>
      </c>
      <c r="TB29" s="50">
        <f t="shared" ca="1" si="628"/>
        <v>52027.70922880157</v>
      </c>
      <c r="TC29" s="50">
        <f t="shared" ca="1" si="629"/>
        <v>54124.089095354422</v>
      </c>
      <c r="TD29" s="50">
        <f t="shared" ca="1" si="630"/>
        <v>62324.820503510477</v>
      </c>
      <c r="TE29" s="50">
        <f t="shared" ca="1" si="631"/>
        <v>56942.023990831382</v>
      </c>
      <c r="TF29" s="50">
        <f t="shared" ca="1" si="632"/>
        <v>69213.136802418594</v>
      </c>
      <c r="TG29" s="50">
        <f t="shared" ca="1" si="633"/>
        <v>58421.81082251601</v>
      </c>
      <c r="TH29" s="50">
        <f t="shared" ca="1" si="634"/>
        <v>50531.375190552506</v>
      </c>
      <c r="TI29" s="50">
        <f t="shared" ca="1" si="635"/>
        <v>60041.769986044223</v>
      </c>
      <c r="TJ29" s="50">
        <f t="shared" ca="1" si="636"/>
        <v>67490.018706701361</v>
      </c>
      <c r="TK29" s="50">
        <f t="shared" ca="1" si="637"/>
        <v>49755.973135182372</v>
      </c>
      <c r="TL29" s="50">
        <f t="shared" ca="1" si="638"/>
        <v>56734.104398649863</v>
      </c>
      <c r="TM29" s="50">
        <f t="shared" ca="1" si="639"/>
        <v>56038.320769076236</v>
      </c>
      <c r="TN29" s="50">
        <f t="shared" ca="1" si="640"/>
        <v>49905.108509999423</v>
      </c>
      <c r="TO29" s="50">
        <f t="shared" ca="1" si="641"/>
        <v>55668.612931761163</v>
      </c>
      <c r="TP29" s="50">
        <f t="shared" ca="1" si="642"/>
        <v>53067.436628016563</v>
      </c>
      <c r="TQ29" s="50">
        <f t="shared" ca="1" si="643"/>
        <v>55209.674826122136</v>
      </c>
      <c r="TR29" s="50">
        <f t="shared" ca="1" si="644"/>
        <v>56737.196562444922</v>
      </c>
      <c r="TS29" s="50">
        <f t="shared" ca="1" si="645"/>
        <v>49242.583223703339</v>
      </c>
      <c r="TT29" s="50">
        <f t="shared" ca="1" si="646"/>
        <v>51972.892696194082</v>
      </c>
      <c r="TU29" s="50">
        <f t="shared" ca="1" si="647"/>
        <v>72069.078845681885</v>
      </c>
      <c r="TV29" s="50">
        <f t="shared" ca="1" si="648"/>
        <v>58717.349638155843</v>
      </c>
      <c r="TW29" s="50">
        <f t="shared" ca="1" si="649"/>
        <v>47798.511371701912</v>
      </c>
      <c r="TX29" s="50">
        <f t="shared" ca="1" si="650"/>
        <v>57072.277096938575</v>
      </c>
      <c r="TY29" s="50">
        <f t="shared" ca="1" si="651"/>
        <v>67127.83618870785</v>
      </c>
      <c r="TZ29" s="50">
        <f t="shared" ca="1" si="652"/>
        <v>60782.012310658938</v>
      </c>
      <c r="UA29" s="50">
        <f t="shared" ca="1" si="653"/>
        <v>54607.807069650145</v>
      </c>
      <c r="UB29" s="50">
        <f t="shared" ca="1" si="654"/>
        <v>62462.159700711869</v>
      </c>
      <c r="UC29" s="50">
        <f t="shared" ca="1" si="655"/>
        <v>57317.204287480701</v>
      </c>
      <c r="UD29" s="50">
        <f t="shared" ca="1" si="656"/>
        <v>59229.662183569162</v>
      </c>
      <c r="UE29" s="50">
        <f t="shared" ca="1" si="657"/>
        <v>44672.142256188614</v>
      </c>
      <c r="UF29" s="50">
        <f t="shared" ca="1" si="658"/>
        <v>65098.169187687548</v>
      </c>
      <c r="UG29" s="50">
        <f t="shared" ca="1" si="659"/>
        <v>53713.883838475434</v>
      </c>
      <c r="UH29" s="50">
        <f t="shared" ca="1" si="660"/>
        <v>52974.720856920481</v>
      </c>
      <c r="UI29" s="50">
        <f t="shared" ca="1" si="661"/>
        <v>57670.980207578104</v>
      </c>
      <c r="UJ29" s="50">
        <f t="shared" ca="1" si="662"/>
        <v>71876.5742481739</v>
      </c>
      <c r="UK29" s="50">
        <f t="shared" ca="1" si="663"/>
        <v>55630.931242711667</v>
      </c>
      <c r="UL29" s="50">
        <f t="shared" ca="1" si="664"/>
        <v>48485.611257873352</v>
      </c>
      <c r="UM29" s="50">
        <f t="shared" ca="1" si="665"/>
        <v>61884.142298900602</v>
      </c>
      <c r="UN29" s="50">
        <f t="shared" ca="1" si="666"/>
        <v>49864.44377209089</v>
      </c>
      <c r="UO29" s="50">
        <f t="shared" ca="1" si="667"/>
        <v>50863.420102535252</v>
      </c>
      <c r="UP29" s="50">
        <f t="shared" ca="1" si="668"/>
        <v>64431.293422596646</v>
      </c>
      <c r="UQ29" s="50">
        <f t="shared" ca="1" si="669"/>
        <v>60193.104078471566</v>
      </c>
      <c r="UR29" s="50">
        <f t="shared" ca="1" si="670"/>
        <v>66875.094057392402</v>
      </c>
      <c r="US29" s="50">
        <f t="shared" ca="1" si="671"/>
        <v>49139.54708520518</v>
      </c>
      <c r="UT29" s="50">
        <f t="shared" ca="1" si="672"/>
        <v>42097.424036605727</v>
      </c>
      <c r="UU29" s="50">
        <f t="shared" ca="1" si="673"/>
        <v>51802.742485422925</v>
      </c>
      <c r="UV29" s="50">
        <f t="shared" ca="1" si="674"/>
        <v>56933.896848073477</v>
      </c>
      <c r="UW29" s="50">
        <f t="shared" ca="1" si="675"/>
        <v>59393.102584367822</v>
      </c>
      <c r="UX29" s="50">
        <f t="shared" ca="1" si="676"/>
        <v>54713.354480946218</v>
      </c>
      <c r="UY29" s="50">
        <f t="shared" ca="1" si="677"/>
        <v>53543.483482478216</v>
      </c>
      <c r="UZ29" s="50">
        <f t="shared" ca="1" si="678"/>
        <v>61741.623716184607</v>
      </c>
      <c r="VA29" s="50">
        <f t="shared" ca="1" si="679"/>
        <v>82551.912577939976</v>
      </c>
      <c r="VB29" s="50">
        <f t="shared" ca="1" si="680"/>
        <v>51828.190339789107</v>
      </c>
      <c r="VC29" s="50">
        <f t="shared" ca="1" si="681"/>
        <v>49682.611343164914</v>
      </c>
      <c r="VD29" s="50">
        <f t="shared" ca="1" si="682"/>
        <v>71348.88844083529</v>
      </c>
      <c r="VE29" s="50">
        <f t="shared" ca="1" si="683"/>
        <v>49171.111129586396</v>
      </c>
      <c r="VF29" s="50">
        <f t="shared" ca="1" si="684"/>
        <v>53050.143435054</v>
      </c>
      <c r="VG29" s="50">
        <f t="shared" ca="1" si="685"/>
        <v>49462.368050105259</v>
      </c>
      <c r="VH29" s="50">
        <f t="shared" ca="1" si="686"/>
        <v>52708.138584588683</v>
      </c>
      <c r="VI29" s="50">
        <f t="shared" ca="1" si="687"/>
        <v>67869.98771270804</v>
      </c>
      <c r="VJ29" s="50">
        <f t="shared" ca="1" si="688"/>
        <v>57948.523028239273</v>
      </c>
      <c r="VK29" s="50">
        <f t="shared" ca="1" si="689"/>
        <v>61917.699188880288</v>
      </c>
      <c r="VL29" s="50">
        <f t="shared" ca="1" si="690"/>
        <v>58824.509969605046</v>
      </c>
      <c r="VM29" s="50">
        <f t="shared" ca="1" si="691"/>
        <v>72378.71784163962</v>
      </c>
      <c r="VN29" s="50">
        <f t="shared" ca="1" si="692"/>
        <v>63540.183836716846</v>
      </c>
      <c r="VO29" s="50">
        <f t="shared" ca="1" si="693"/>
        <v>62696.077573964212</v>
      </c>
      <c r="VP29" s="50">
        <f t="shared" ca="1" si="694"/>
        <v>65665.613363985627</v>
      </c>
      <c r="VQ29" s="50">
        <f t="shared" ca="1" si="695"/>
        <v>64832.125837060572</v>
      </c>
      <c r="VR29" s="50">
        <f t="shared" ca="1" si="696"/>
        <v>65567.813763427228</v>
      </c>
      <c r="VS29" s="50">
        <f t="shared" ca="1" si="697"/>
        <v>83647.618218442381</v>
      </c>
      <c r="VT29" s="50">
        <f t="shared" ca="1" si="698"/>
        <v>64773.967374036838</v>
      </c>
      <c r="VU29" s="50">
        <f t="shared" ca="1" si="699"/>
        <v>57085.143020516305</v>
      </c>
      <c r="VV29" s="50">
        <f t="shared" ca="1" si="700"/>
        <v>57439.580900615394</v>
      </c>
      <c r="VW29" s="50">
        <f t="shared" ca="1" si="701"/>
        <v>64457.429030552223</v>
      </c>
      <c r="VX29" s="50">
        <f t="shared" ca="1" si="702"/>
        <v>57199.413774409739</v>
      </c>
      <c r="VY29" s="50">
        <f t="shared" ca="1" si="703"/>
        <v>48088.584888926074</v>
      </c>
      <c r="VZ29" s="50">
        <f t="shared" ca="1" si="704"/>
        <v>52671.234840585588</v>
      </c>
      <c r="WA29" s="50">
        <f t="shared" ca="1" si="705"/>
        <v>47893.48430253323</v>
      </c>
      <c r="WB29" s="50">
        <f t="shared" ca="1" si="706"/>
        <v>54877.775615113045</v>
      </c>
      <c r="WC29" s="50">
        <f t="shared" ca="1" si="707"/>
        <v>57920.79509691662</v>
      </c>
      <c r="WD29" s="50">
        <f t="shared" ca="1" si="708"/>
        <v>54490.56066189846</v>
      </c>
      <c r="WE29" s="50">
        <f t="shared" ca="1" si="709"/>
        <v>66650.369943661906</v>
      </c>
      <c r="WF29" s="50">
        <f t="shared" ca="1" si="710"/>
        <v>62902.383937840954</v>
      </c>
      <c r="WG29" s="50">
        <f t="shared" ca="1" si="711"/>
        <v>59105.981932057301</v>
      </c>
      <c r="WH29" s="50">
        <f t="shared" ca="1" si="712"/>
        <v>64570.716599068459</v>
      </c>
      <c r="WI29" s="50">
        <f t="shared" ca="1" si="713"/>
        <v>52774.417173787821</v>
      </c>
      <c r="WJ29" s="50">
        <f t="shared" ca="1" si="714"/>
        <v>52560.908048802572</v>
      </c>
      <c r="WK29" s="50">
        <f t="shared" ca="1" si="715"/>
        <v>65490.980541954043</v>
      </c>
      <c r="WL29" s="50">
        <f t="shared" ca="1" si="716"/>
        <v>61404.008848567486</v>
      </c>
      <c r="WM29" s="50">
        <f t="shared" ca="1" si="717"/>
        <v>55925.248537656233</v>
      </c>
      <c r="WN29" s="50">
        <f t="shared" ca="1" si="718"/>
        <v>52907.687808818977</v>
      </c>
      <c r="WO29" s="50">
        <f t="shared" ca="1" si="719"/>
        <v>59133.867815868209</v>
      </c>
      <c r="WP29" s="50">
        <f t="shared" ca="1" si="720"/>
        <v>65575.768405854789</v>
      </c>
      <c r="WQ29" s="50">
        <f t="shared" ca="1" si="721"/>
        <v>51793.793807474933</v>
      </c>
      <c r="WR29" s="50">
        <f t="shared" ca="1" si="722"/>
        <v>55678.056522455387</v>
      </c>
      <c r="WS29" s="50">
        <f t="shared" ca="1" si="723"/>
        <v>52348.355871044871</v>
      </c>
      <c r="WT29" s="50">
        <f t="shared" ca="1" si="724"/>
        <v>74492.899032813861</v>
      </c>
      <c r="WU29" s="50">
        <f t="shared" ca="1" si="725"/>
        <v>68012.563632270321</v>
      </c>
      <c r="WV29" s="50">
        <f t="shared" ca="1" si="726"/>
        <v>48333.609270352274</v>
      </c>
      <c r="WW29" s="50">
        <f t="shared" ca="1" si="727"/>
        <v>60195.74191532746</v>
      </c>
      <c r="WX29" s="50">
        <f t="shared" ca="1" si="728"/>
        <v>52274.219008202897</v>
      </c>
      <c r="WY29" s="50">
        <f t="shared" ca="1" si="729"/>
        <v>71100.196421977045</v>
      </c>
      <c r="WZ29" s="50">
        <f t="shared" ca="1" si="730"/>
        <v>64662.238244660155</v>
      </c>
      <c r="XA29" s="50">
        <f t="shared" ca="1" si="731"/>
        <v>56061.274280423168</v>
      </c>
      <c r="XB29" s="50">
        <f t="shared" ca="1" si="732"/>
        <v>55552.239932655328</v>
      </c>
      <c r="XC29" s="50">
        <f t="shared" ca="1" si="733"/>
        <v>75732.497746324938</v>
      </c>
      <c r="XD29" s="50">
        <f t="shared" ca="1" si="734"/>
        <v>47304.534928831832</v>
      </c>
      <c r="XE29" s="50">
        <f t="shared" ca="1" si="735"/>
        <v>67288.948031584921</v>
      </c>
      <c r="XF29" s="50">
        <f t="shared" ca="1" si="736"/>
        <v>72190.906796120951</v>
      </c>
      <c r="XG29" s="50">
        <f t="shared" ca="1" si="737"/>
        <v>52439.260302781571</v>
      </c>
      <c r="XH29" s="50">
        <f t="shared" ca="1" si="738"/>
        <v>63455.815531233035</v>
      </c>
      <c r="XI29" s="50">
        <f t="shared" ca="1" si="739"/>
        <v>49083.221075000773</v>
      </c>
      <c r="XJ29" s="50">
        <f t="shared" ca="1" si="740"/>
        <v>50769.883894031613</v>
      </c>
      <c r="XK29" s="50">
        <f t="shared" ca="1" si="741"/>
        <v>51724.81113027579</v>
      </c>
      <c r="XL29" s="50">
        <f t="shared" ca="1" si="742"/>
        <v>65300.665275640669</v>
      </c>
      <c r="XM29" s="50">
        <f t="shared" ca="1" si="743"/>
        <v>64448.041303089369</v>
      </c>
      <c r="XN29" s="50">
        <f t="shared" ca="1" si="744"/>
        <v>50176.859164779766</v>
      </c>
      <c r="XO29" s="50">
        <f t="shared" ca="1" si="745"/>
        <v>52557.099222436736</v>
      </c>
      <c r="XP29" s="50">
        <f t="shared" ca="1" si="746"/>
        <v>69988.893693468883</v>
      </c>
      <c r="XQ29" s="50">
        <f t="shared" ca="1" si="747"/>
        <v>54147.157681514167</v>
      </c>
      <c r="XR29" s="50">
        <f t="shared" ca="1" si="748"/>
        <v>69941.786284985385</v>
      </c>
      <c r="XS29" s="50">
        <f t="shared" ca="1" si="749"/>
        <v>51979.601836178772</v>
      </c>
      <c r="XT29" s="50">
        <f t="shared" ca="1" si="750"/>
        <v>67239.048323411247</v>
      </c>
      <c r="XU29" s="50">
        <f t="shared" ca="1" si="751"/>
        <v>49996.073375189037</v>
      </c>
      <c r="XV29" s="50">
        <f t="shared" ca="1" si="752"/>
        <v>54008.010408108872</v>
      </c>
      <c r="XW29" s="50">
        <f t="shared" ca="1" si="753"/>
        <v>47238.307834934341</v>
      </c>
      <c r="XX29" s="50">
        <f t="shared" ca="1" si="754"/>
        <v>66195.102064280465</v>
      </c>
      <c r="XY29" s="50">
        <f t="shared" ca="1" si="755"/>
        <v>47845.241010610647</v>
      </c>
      <c r="XZ29" s="50">
        <f t="shared" ca="1" si="756"/>
        <v>69453.715348281796</v>
      </c>
      <c r="YA29" s="50">
        <f t="shared" ca="1" si="757"/>
        <v>55380.975428325146</v>
      </c>
      <c r="YB29" s="50">
        <f t="shared" ca="1" si="758"/>
        <v>64055.264189172522</v>
      </c>
      <c r="YC29" s="50">
        <f t="shared" ca="1" si="759"/>
        <v>64532.355226777872</v>
      </c>
      <c r="YD29" s="50">
        <f t="shared" ca="1" si="760"/>
        <v>66196.480374897292</v>
      </c>
      <c r="YE29" s="50">
        <f t="shared" ca="1" si="761"/>
        <v>56482.981132667315</v>
      </c>
      <c r="YF29" s="50">
        <f t="shared" ca="1" si="762"/>
        <v>64264.265363108381</v>
      </c>
      <c r="YG29" s="50">
        <f t="shared" ca="1" si="763"/>
        <v>85563.905895136821</v>
      </c>
      <c r="YH29" s="50">
        <f t="shared" ca="1" si="764"/>
        <v>69191.204771966659</v>
      </c>
      <c r="YI29" s="50">
        <f t="shared" ca="1" si="765"/>
        <v>54518.57939914563</v>
      </c>
      <c r="YJ29" s="50">
        <f t="shared" ca="1" si="766"/>
        <v>53173.456963009638</v>
      </c>
      <c r="YK29" s="50">
        <f t="shared" ca="1" si="767"/>
        <v>50961.184962001244</v>
      </c>
      <c r="YL29" s="50">
        <f t="shared" ca="1" si="768"/>
        <v>57409.407975622154</v>
      </c>
      <c r="YM29" s="50">
        <f t="shared" ca="1" si="769"/>
        <v>54716.873255505328</v>
      </c>
      <c r="YN29" s="50">
        <f t="shared" ca="1" si="770"/>
        <v>57660.582562733049</v>
      </c>
      <c r="YO29" s="50">
        <f t="shared" ca="1" si="771"/>
        <v>47651.418506185291</v>
      </c>
      <c r="YP29" s="50">
        <f t="shared" ca="1" si="772"/>
        <v>50031.137312603816</v>
      </c>
      <c r="YQ29" s="50">
        <f t="shared" ca="1" si="773"/>
        <v>66877.836683332833</v>
      </c>
      <c r="YR29" s="50">
        <f t="shared" ca="1" si="774"/>
        <v>57881.540844104449</v>
      </c>
      <c r="YS29" s="50">
        <f t="shared" ca="1" si="775"/>
        <v>57650.674009559538</v>
      </c>
      <c r="YT29" s="50">
        <f t="shared" ca="1" si="776"/>
        <v>49457.170318110962</v>
      </c>
      <c r="YU29" s="50">
        <f t="shared" ca="1" si="777"/>
        <v>68520.823375153312</v>
      </c>
      <c r="YV29" s="50">
        <f t="shared" ca="1" si="778"/>
        <v>48489.379638158913</v>
      </c>
      <c r="YW29" s="50">
        <f t="shared" ca="1" si="779"/>
        <v>44357.251756389313</v>
      </c>
      <c r="YX29" s="50">
        <f t="shared" ca="1" si="780"/>
        <v>61810.132014126852</v>
      </c>
      <c r="YY29" s="50">
        <f t="shared" ca="1" si="781"/>
        <v>60728.820361114362</v>
      </c>
      <c r="YZ29" s="50">
        <f t="shared" ca="1" si="782"/>
        <v>54231.841322706481</v>
      </c>
      <c r="ZA29" s="50">
        <f t="shared" ca="1" si="783"/>
        <v>68256.489598296568</v>
      </c>
      <c r="ZB29" s="50">
        <f t="shared" ca="1" si="784"/>
        <v>58393.655485778254</v>
      </c>
      <c r="ZC29" s="50">
        <f t="shared" ca="1" si="785"/>
        <v>53076.624993400015</v>
      </c>
      <c r="ZD29" s="50">
        <f t="shared" ca="1" si="786"/>
        <v>55670.874929766971</v>
      </c>
      <c r="ZE29" s="50">
        <f t="shared" ca="1" si="787"/>
        <v>52959.352061872378</v>
      </c>
      <c r="ZF29" s="50">
        <f t="shared" ca="1" si="788"/>
        <v>74549.393697243242</v>
      </c>
      <c r="ZG29" s="50">
        <f t="shared" ca="1" si="789"/>
        <v>54509.723904400147</v>
      </c>
      <c r="ZH29" s="50">
        <f t="shared" ca="1" si="790"/>
        <v>51770.42535215729</v>
      </c>
      <c r="ZI29" s="50">
        <f t="shared" ca="1" si="791"/>
        <v>49655.979224605915</v>
      </c>
      <c r="ZJ29" s="50">
        <f t="shared" ca="1" si="792"/>
        <v>63374.813903222544</v>
      </c>
      <c r="ZK29" s="50">
        <f t="shared" ca="1" si="793"/>
        <v>56492.295570330971</v>
      </c>
      <c r="ZL29" s="50">
        <f t="shared" ca="1" si="794"/>
        <v>60252.700682402428</v>
      </c>
      <c r="ZM29" s="50">
        <f t="shared" ca="1" si="795"/>
        <v>60387.363007520362</v>
      </c>
      <c r="ZN29" s="50">
        <f t="shared" ca="1" si="796"/>
        <v>49716.097334209066</v>
      </c>
      <c r="ZO29" s="50">
        <f t="shared" ca="1" si="797"/>
        <v>55759.179295844551</v>
      </c>
      <c r="ZP29" s="50">
        <f t="shared" ca="1" si="798"/>
        <v>66523.635504240025</v>
      </c>
      <c r="ZQ29" s="50">
        <f t="shared" ca="1" si="799"/>
        <v>70414.995720533232</v>
      </c>
      <c r="ZR29" s="50">
        <f t="shared" ca="1" si="800"/>
        <v>57159.05099336624</v>
      </c>
      <c r="ZS29" s="50">
        <f t="shared" ca="1" si="801"/>
        <v>66143.654460575446</v>
      </c>
      <c r="ZT29" s="50">
        <f t="shared" ca="1" si="802"/>
        <v>49315.345811219457</v>
      </c>
      <c r="ZU29" s="50">
        <f t="shared" ca="1" si="803"/>
        <v>59201.772179050771</v>
      </c>
      <c r="ZV29" s="50">
        <f t="shared" ca="1" si="804"/>
        <v>68391.794044878261</v>
      </c>
      <c r="ZW29" s="50">
        <f t="shared" ca="1" si="805"/>
        <v>63478.4016936025</v>
      </c>
      <c r="ZX29" s="50">
        <f t="shared" ca="1" si="806"/>
        <v>62939.582083766589</v>
      </c>
      <c r="ZY29" s="50">
        <f t="shared" ca="1" si="807"/>
        <v>51985.106500399117</v>
      </c>
      <c r="ZZ29" s="50">
        <f t="shared" ca="1" si="808"/>
        <v>63262.09535137887</v>
      </c>
      <c r="AAA29" s="50">
        <f t="shared" ca="1" si="809"/>
        <v>55454.574966341497</v>
      </c>
      <c r="AAB29" s="50">
        <f t="shared" ca="1" si="810"/>
        <v>61118.172848475609</v>
      </c>
      <c r="AAC29" s="50">
        <f t="shared" ca="1" si="811"/>
        <v>59895.735064928587</v>
      </c>
      <c r="AAD29" s="50">
        <f t="shared" ca="1" si="812"/>
        <v>42866.82684042125</v>
      </c>
      <c r="AAE29" s="50">
        <f t="shared" ca="1" si="813"/>
        <v>61062.744305820881</v>
      </c>
      <c r="AAF29" s="50">
        <f t="shared" ca="1" si="814"/>
        <v>45311.049811338919</v>
      </c>
      <c r="AAG29" s="50">
        <f t="shared" ca="1" si="815"/>
        <v>70992.934948006616</v>
      </c>
      <c r="AAH29" s="50">
        <f t="shared" ca="1" si="816"/>
        <v>59540.369868892732</v>
      </c>
      <c r="AAI29" s="50">
        <f t="shared" ca="1" si="817"/>
        <v>81861.308626196464</v>
      </c>
      <c r="AAJ29" s="50">
        <f t="shared" ca="1" si="818"/>
        <v>66412.958677875213</v>
      </c>
      <c r="AAK29" s="50">
        <f t="shared" ca="1" si="819"/>
        <v>66200.781303084455</v>
      </c>
      <c r="AAL29" s="50">
        <f t="shared" ca="1" si="820"/>
        <v>56688.623768132013</v>
      </c>
      <c r="AAM29" s="50">
        <f t="shared" ca="1" si="821"/>
        <v>59734.079847906127</v>
      </c>
      <c r="AAN29" s="50">
        <f t="shared" ca="1" si="822"/>
        <v>64923.292225599565</v>
      </c>
      <c r="AAO29" s="50">
        <f t="shared" ca="1" si="823"/>
        <v>52681.178139698954</v>
      </c>
      <c r="AAP29" s="50">
        <f t="shared" ca="1" si="824"/>
        <v>59261.803069493799</v>
      </c>
      <c r="AAQ29" s="50">
        <f t="shared" ca="1" si="825"/>
        <v>57263.357936017201</v>
      </c>
      <c r="AAR29" s="50">
        <f t="shared" ca="1" si="826"/>
        <v>56396.04646494356</v>
      </c>
      <c r="AAS29" s="50">
        <f t="shared" ca="1" si="827"/>
        <v>78502.394177742754</v>
      </c>
      <c r="AAT29" s="50">
        <f t="shared" ca="1" si="828"/>
        <v>47629.845501401222</v>
      </c>
      <c r="AAU29" s="50">
        <f t="shared" ca="1" si="829"/>
        <v>58502.794622922615</v>
      </c>
      <c r="AAV29" s="50">
        <f t="shared" ca="1" si="830"/>
        <v>56844.990423507763</v>
      </c>
      <c r="AAW29" s="50">
        <f t="shared" ca="1" si="831"/>
        <v>60298.060564779538</v>
      </c>
      <c r="AAX29" s="50">
        <f t="shared" ca="1" si="832"/>
        <v>69695.522334253867</v>
      </c>
      <c r="AAY29" s="50">
        <f t="shared" ca="1" si="833"/>
        <v>65473.198787308182</v>
      </c>
      <c r="AAZ29" s="50">
        <f t="shared" ca="1" si="834"/>
        <v>64942.31281799783</v>
      </c>
      <c r="ABA29" s="50">
        <f t="shared" ca="1" si="835"/>
        <v>62009.716955420372</v>
      </c>
      <c r="ABB29" s="50">
        <f t="shared" ca="1" si="836"/>
        <v>52451.519737446913</v>
      </c>
      <c r="ABC29" s="50">
        <f t="shared" ca="1" si="837"/>
        <v>66099.642845017064</v>
      </c>
      <c r="ABD29" s="50">
        <f t="shared" ca="1" si="838"/>
        <v>46323.929889070198</v>
      </c>
      <c r="ABE29" s="50">
        <f t="shared" ca="1" si="839"/>
        <v>65660.86309883192</v>
      </c>
      <c r="ABF29" s="50">
        <f t="shared" ca="1" si="840"/>
        <v>57992.254628551222</v>
      </c>
      <c r="ABG29" s="50">
        <f t="shared" ca="1" si="841"/>
        <v>60835.01906414573</v>
      </c>
      <c r="ABH29" s="50">
        <f t="shared" ca="1" si="842"/>
        <v>65906.794748100205</v>
      </c>
      <c r="ABI29" s="50">
        <f t="shared" ca="1" si="843"/>
        <v>52843.600340892073</v>
      </c>
      <c r="ABJ29" s="50">
        <f t="shared" ca="1" si="844"/>
        <v>54725.910377711232</v>
      </c>
      <c r="ABK29" s="50">
        <f t="shared" ca="1" si="845"/>
        <v>67451.374321697062</v>
      </c>
      <c r="ABL29" s="50">
        <f t="shared" ca="1" si="846"/>
        <v>59953.296544062432</v>
      </c>
      <c r="ABM29" s="50">
        <f t="shared" ca="1" si="847"/>
        <v>58540.4340434736</v>
      </c>
      <c r="ABN29" s="50">
        <f t="shared" ca="1" si="848"/>
        <v>56059.326877200678</v>
      </c>
      <c r="ABO29" s="50">
        <f t="shared" ca="1" si="849"/>
        <v>51738.545364326215</v>
      </c>
      <c r="ABP29" s="50">
        <f t="shared" ca="1" si="850"/>
        <v>63091.432553864659</v>
      </c>
      <c r="ABQ29" s="50">
        <f t="shared" ca="1" si="851"/>
        <v>46312.630612912777</v>
      </c>
      <c r="ABR29" s="50">
        <f t="shared" ca="1" si="852"/>
        <v>58759.105320695802</v>
      </c>
      <c r="ABS29" s="50">
        <f t="shared" ca="1" si="853"/>
        <v>58140.599313923303</v>
      </c>
      <c r="ABT29" s="50">
        <f t="shared" ca="1" si="854"/>
        <v>58622.738924113866</v>
      </c>
      <c r="ABU29" s="50">
        <f t="shared" ca="1" si="855"/>
        <v>60496.417180455472</v>
      </c>
      <c r="ABV29" s="50">
        <f t="shared" ca="1" si="856"/>
        <v>57002.650241688883</v>
      </c>
      <c r="ABW29" s="50">
        <f t="shared" ca="1" si="857"/>
        <v>47449.516089578814</v>
      </c>
      <c r="ABX29" s="50">
        <f t="shared" ca="1" si="858"/>
        <v>64095.30712345388</v>
      </c>
      <c r="ABY29" s="50">
        <f t="shared" ca="1" si="859"/>
        <v>65515.882913313784</v>
      </c>
      <c r="ABZ29" s="50">
        <f t="shared" ca="1" si="860"/>
        <v>62418.35769466449</v>
      </c>
      <c r="ACA29" s="50">
        <f t="shared" ca="1" si="861"/>
        <v>74598.3901584259</v>
      </c>
      <c r="ACB29" s="50">
        <f t="shared" ca="1" si="862"/>
        <v>55880.372297041307</v>
      </c>
      <c r="ACC29" s="50">
        <f t="shared" ca="1" si="863"/>
        <v>54386.926291767428</v>
      </c>
      <c r="ACD29" s="50">
        <f t="shared" ca="1" si="864"/>
        <v>50647.262022780458</v>
      </c>
      <c r="ACE29" s="50">
        <f t="shared" ca="1" si="865"/>
        <v>66128.271228156955</v>
      </c>
      <c r="ACF29" s="50">
        <f t="shared" ca="1" si="866"/>
        <v>56749.067394604906</v>
      </c>
      <c r="ACG29" s="50">
        <f t="shared" ca="1" si="867"/>
        <v>60642.366203934842</v>
      </c>
      <c r="ACH29" s="50">
        <f t="shared" ca="1" si="868"/>
        <v>70813.388707754799</v>
      </c>
      <c r="ACI29" s="50">
        <f t="shared" ca="1" si="869"/>
        <v>56587.563193218055</v>
      </c>
      <c r="ACJ29" s="50">
        <f t="shared" ca="1" si="870"/>
        <v>82576.975387646002</v>
      </c>
      <c r="ACK29" s="50">
        <f t="shared" ca="1" si="871"/>
        <v>58664.602244973721</v>
      </c>
      <c r="ACL29" s="50">
        <f t="shared" ca="1" si="872"/>
        <v>51245.306612419605</v>
      </c>
      <c r="ACM29" s="50">
        <f t="shared" ca="1" si="873"/>
        <v>55270.959277873604</v>
      </c>
      <c r="ACN29" s="50">
        <f t="shared" ca="1" si="874"/>
        <v>60017.963231477253</v>
      </c>
      <c r="ACO29" s="50">
        <f t="shared" ca="1" si="875"/>
        <v>50899.776876338699</v>
      </c>
      <c r="ACP29" s="50">
        <f t="shared" ca="1" si="876"/>
        <v>61440.158398434134</v>
      </c>
      <c r="ACQ29" s="50">
        <f t="shared" ca="1" si="877"/>
        <v>50067.347370683783</v>
      </c>
      <c r="ACR29" s="50">
        <f t="shared" ca="1" si="878"/>
        <v>57662.023770027023</v>
      </c>
      <c r="ACS29" s="50">
        <f t="shared" ca="1" si="879"/>
        <v>56908.813955036923</v>
      </c>
      <c r="ACT29" s="50">
        <f t="shared" ca="1" si="880"/>
        <v>64676.990852677547</v>
      </c>
      <c r="ACU29" s="50">
        <f t="shared" ca="1" si="881"/>
        <v>53155.873661015576</v>
      </c>
      <c r="ACV29" s="50">
        <f t="shared" ca="1" si="882"/>
        <v>55325.922798681509</v>
      </c>
      <c r="ACW29" s="50">
        <f t="shared" ca="1" si="883"/>
        <v>63197.022173217207</v>
      </c>
      <c r="ACX29" s="50">
        <f t="shared" ca="1" si="884"/>
        <v>59430.553737455055</v>
      </c>
      <c r="ACY29" s="50">
        <f t="shared" ca="1" si="885"/>
        <v>52165.003214219505</v>
      </c>
      <c r="ACZ29" s="50">
        <f t="shared" ca="1" si="886"/>
        <v>73531.808623513323</v>
      </c>
      <c r="ADA29" s="50">
        <f t="shared" ca="1" si="887"/>
        <v>84801.422207507625</v>
      </c>
      <c r="ADB29" s="50">
        <f t="shared" ca="1" si="888"/>
        <v>56312.388693052606</v>
      </c>
      <c r="ADC29" s="50">
        <f t="shared" ca="1" si="889"/>
        <v>59134.069439220497</v>
      </c>
      <c r="ADD29" s="50">
        <f t="shared" ca="1" si="890"/>
        <v>50585.931000140234</v>
      </c>
      <c r="ADE29" s="50">
        <f t="shared" ca="1" si="891"/>
        <v>64822.823018896932</v>
      </c>
      <c r="ADF29" s="50">
        <f t="shared" ca="1" si="892"/>
        <v>67405.694938406654</v>
      </c>
      <c r="ADG29" s="50">
        <f t="shared" ca="1" si="893"/>
        <v>69236.521746008148</v>
      </c>
      <c r="ADH29" s="50">
        <f t="shared" ca="1" si="894"/>
        <v>53490.396550498575</v>
      </c>
      <c r="ADI29" s="50">
        <f t="shared" ca="1" si="895"/>
        <v>44399.012560315197</v>
      </c>
      <c r="ADJ29" s="50">
        <f t="shared" ca="1" si="896"/>
        <v>59483.257887225896</v>
      </c>
      <c r="ADK29" s="50">
        <f t="shared" ca="1" si="897"/>
        <v>57687.632528407943</v>
      </c>
      <c r="ADL29" s="50">
        <f t="shared" ca="1" si="898"/>
        <v>53809.5326633113</v>
      </c>
      <c r="ADM29" s="50">
        <f t="shared" ca="1" si="899"/>
        <v>57932.680664760512</v>
      </c>
      <c r="ADN29" s="50">
        <f t="shared" ca="1" si="900"/>
        <v>64547.21729791096</v>
      </c>
      <c r="ADO29" s="50">
        <f t="shared" ca="1" si="901"/>
        <v>59644.085481103102</v>
      </c>
      <c r="ADP29" s="50">
        <f t="shared" ca="1" si="902"/>
        <v>55334.720983410705</v>
      </c>
      <c r="ADQ29" s="50">
        <f t="shared" ca="1" si="903"/>
        <v>53308.663361478306</v>
      </c>
      <c r="ADR29" s="50">
        <f t="shared" ca="1" si="904"/>
        <v>57291.228684570291</v>
      </c>
      <c r="ADS29" s="50">
        <f t="shared" ca="1" si="905"/>
        <v>55620.117259975857</v>
      </c>
      <c r="ADT29" s="50">
        <f t="shared" ca="1" si="906"/>
        <v>66779.966434494097</v>
      </c>
      <c r="ADU29" s="50">
        <f t="shared" ca="1" si="907"/>
        <v>65160.156666558112</v>
      </c>
      <c r="ADV29" s="50">
        <f t="shared" ca="1" si="908"/>
        <v>69615.17467346412</v>
      </c>
      <c r="ADW29" s="50">
        <f t="shared" ca="1" si="909"/>
        <v>52490.287323200268</v>
      </c>
      <c r="ADX29" s="50">
        <f t="shared" ca="1" si="910"/>
        <v>60507.392189707745</v>
      </c>
      <c r="ADY29" s="50">
        <f t="shared" ca="1" si="911"/>
        <v>70230.183701589922</v>
      </c>
      <c r="ADZ29" s="50">
        <f t="shared" ca="1" si="912"/>
        <v>54474.548773194481</v>
      </c>
      <c r="AEA29" s="50">
        <f t="shared" ca="1" si="913"/>
        <v>52959.059498957089</v>
      </c>
      <c r="AEB29" s="50">
        <f t="shared" ca="1" si="914"/>
        <v>60607.720371607502</v>
      </c>
      <c r="AEC29" s="50">
        <f t="shared" ca="1" si="915"/>
        <v>75881.278562122214</v>
      </c>
      <c r="AED29" s="50">
        <f t="shared" ca="1" si="916"/>
        <v>69717.278360064665</v>
      </c>
      <c r="AEE29" s="50">
        <f t="shared" ca="1" si="917"/>
        <v>52666.963053165513</v>
      </c>
      <c r="AEF29" s="50">
        <f t="shared" ca="1" si="918"/>
        <v>63611.940237710565</v>
      </c>
      <c r="AEG29" s="50">
        <f t="shared" ca="1" si="919"/>
        <v>49031.176846209542</v>
      </c>
      <c r="AEH29" s="50">
        <f t="shared" ca="1" si="920"/>
        <v>64810.065381974986</v>
      </c>
      <c r="AEI29" s="50">
        <f t="shared" ca="1" si="921"/>
        <v>60700.245458713165</v>
      </c>
      <c r="AEJ29" s="50">
        <f t="shared" ca="1" si="922"/>
        <v>51192.33964780908</v>
      </c>
      <c r="AEK29" s="50">
        <f t="shared" ca="1" si="923"/>
        <v>65352.115501301749</v>
      </c>
      <c r="AEL29" s="50">
        <f t="shared" ca="1" si="924"/>
        <v>57746.614119411919</v>
      </c>
      <c r="AEM29" s="50">
        <f t="shared" ca="1" si="925"/>
        <v>68658.010956190847</v>
      </c>
      <c r="AEN29" s="50">
        <f t="shared" ca="1" si="926"/>
        <v>68247.283779646968</v>
      </c>
      <c r="AEO29" s="50">
        <f t="shared" ca="1" si="927"/>
        <v>71520.592106281008</v>
      </c>
      <c r="AEP29" s="50">
        <f t="shared" ca="1" si="928"/>
        <v>56553.565924251088</v>
      </c>
      <c r="AEQ29" s="50">
        <f t="shared" ca="1" si="929"/>
        <v>61548.778495534301</v>
      </c>
      <c r="AER29" s="50">
        <f t="shared" ca="1" si="930"/>
        <v>56278.880363696277</v>
      </c>
      <c r="AES29" s="50">
        <f t="shared" ca="1" si="931"/>
        <v>53102.340566040526</v>
      </c>
      <c r="AET29" s="50">
        <f t="shared" ca="1" si="932"/>
        <v>68877.190125460547</v>
      </c>
      <c r="AEU29" s="50">
        <f t="shared" ca="1" si="933"/>
        <v>79410.084479465571</v>
      </c>
      <c r="AEV29" s="50">
        <f t="shared" ca="1" si="934"/>
        <v>71744.691759787704</v>
      </c>
      <c r="AEW29" s="50">
        <f t="shared" ca="1" si="935"/>
        <v>75660.085139007366</v>
      </c>
      <c r="AEX29" s="50">
        <f t="shared" ca="1" si="936"/>
        <v>57465.150690168441</v>
      </c>
      <c r="AEY29" s="50">
        <f t="shared" ca="1" si="937"/>
        <v>51277.560681359733</v>
      </c>
      <c r="AEZ29" s="50">
        <f t="shared" ca="1" si="938"/>
        <v>61175.377932626077</v>
      </c>
      <c r="AFA29" s="50">
        <f t="shared" ca="1" si="939"/>
        <v>53926.859386802913</v>
      </c>
      <c r="AFB29" s="50">
        <f t="shared" ca="1" si="940"/>
        <v>55696.212335231707</v>
      </c>
      <c r="AFC29" s="50">
        <f t="shared" ca="1" si="941"/>
        <v>52033.823887625898</v>
      </c>
      <c r="AFD29" s="50">
        <f t="shared" ca="1" si="942"/>
        <v>58155.138552427561</v>
      </c>
      <c r="AFE29" s="50">
        <f t="shared" ca="1" si="943"/>
        <v>42698.146078031015</v>
      </c>
      <c r="AFF29" s="50">
        <f t="shared" ca="1" si="944"/>
        <v>59753.935790587893</v>
      </c>
      <c r="AFG29" s="50">
        <f t="shared" ca="1" si="945"/>
        <v>57103.462139057767</v>
      </c>
      <c r="AFH29" s="50">
        <f t="shared" ca="1" si="946"/>
        <v>53695.820737558992</v>
      </c>
      <c r="AFI29" s="50">
        <f t="shared" ca="1" si="947"/>
        <v>56108.453502373552</v>
      </c>
      <c r="AFJ29" s="50">
        <f t="shared" ca="1" si="948"/>
        <v>58987.915837147317</v>
      </c>
      <c r="AFK29" s="50">
        <f t="shared" ca="1" si="949"/>
        <v>56481.237604369926</v>
      </c>
      <c r="AFL29" s="50">
        <f t="shared" ca="1" si="950"/>
        <v>49988.372603079893</v>
      </c>
      <c r="AFM29" s="50">
        <f t="shared" ca="1" si="951"/>
        <v>58880.941675060865</v>
      </c>
      <c r="AFN29" s="50">
        <f t="shared" ca="1" si="952"/>
        <v>57073.428625247274</v>
      </c>
      <c r="AFO29" s="50">
        <f t="shared" ca="1" si="953"/>
        <v>56017.979792464605</v>
      </c>
      <c r="AFP29" s="50">
        <f t="shared" ca="1" si="954"/>
        <v>54682.330080386942</v>
      </c>
      <c r="AFQ29" s="50">
        <f t="shared" ca="1" si="955"/>
        <v>62129.644821573529</v>
      </c>
      <c r="AFR29" s="50">
        <f t="shared" ca="1" si="956"/>
        <v>58076.776309467583</v>
      </c>
      <c r="AFS29" s="50">
        <f t="shared" ca="1" si="957"/>
        <v>46943.420176222033</v>
      </c>
      <c r="AFT29" s="50">
        <f t="shared" ca="1" si="958"/>
        <v>61615.656835561269</v>
      </c>
      <c r="AFU29" s="50">
        <f t="shared" ca="1" si="959"/>
        <v>59109.823590048298</v>
      </c>
      <c r="AFV29" s="50">
        <f t="shared" ca="1" si="960"/>
        <v>62055.248639895712</v>
      </c>
      <c r="AFW29" s="50">
        <f t="shared" ca="1" si="961"/>
        <v>63534.468607426097</v>
      </c>
      <c r="AFX29" s="50">
        <f t="shared" ca="1" si="962"/>
        <v>62924.077022416568</v>
      </c>
      <c r="AFY29" s="50">
        <f t="shared" ca="1" si="963"/>
        <v>57099.981495054926</v>
      </c>
      <c r="AFZ29" s="50">
        <f t="shared" ca="1" si="964"/>
        <v>56231.610470954096</v>
      </c>
      <c r="AGA29" s="50">
        <f t="shared" ca="1" si="965"/>
        <v>76233.363090722312</v>
      </c>
      <c r="AGB29" s="50">
        <f t="shared" ca="1" si="966"/>
        <v>66582.546458130892</v>
      </c>
      <c r="AGC29" s="50">
        <f t="shared" ca="1" si="967"/>
        <v>65282.476466223299</v>
      </c>
      <c r="AGD29" s="50">
        <f t="shared" ca="1" si="968"/>
        <v>51872.555310005591</v>
      </c>
      <c r="AGE29" s="50">
        <f t="shared" ca="1" si="969"/>
        <v>53723.747147773531</v>
      </c>
      <c r="AGF29" s="50">
        <f t="shared" ca="1" si="970"/>
        <v>48808.989646594098</v>
      </c>
      <c r="AGG29" s="50">
        <f t="shared" ca="1" si="971"/>
        <v>60488.300385323637</v>
      </c>
      <c r="AGH29" s="50">
        <f t="shared" ca="1" si="972"/>
        <v>70536.537648474477</v>
      </c>
      <c r="AGI29" s="50">
        <f t="shared" ca="1" si="973"/>
        <v>51416.151307544191</v>
      </c>
      <c r="AGJ29" s="50">
        <f t="shared" ca="1" si="974"/>
        <v>62936.688081592139</v>
      </c>
      <c r="AGK29" s="50">
        <f t="shared" ca="1" si="975"/>
        <v>74769.686016308158</v>
      </c>
      <c r="AGL29" s="50">
        <f t="shared" ca="1" si="976"/>
        <v>57536.554796155353</v>
      </c>
      <c r="AGM29" s="50">
        <f t="shared" ca="1" si="977"/>
        <v>59070.770389479236</v>
      </c>
      <c r="AGN29" s="50">
        <f t="shared" ca="1" si="978"/>
        <v>68117.548103595633</v>
      </c>
      <c r="AGO29" s="50">
        <f t="shared" ca="1" si="979"/>
        <v>41841.308001157653</v>
      </c>
      <c r="AGP29" s="50">
        <f t="shared" ca="1" si="980"/>
        <v>59692.939344948711</v>
      </c>
      <c r="AGQ29" s="50">
        <f t="shared" ca="1" si="981"/>
        <v>70460.004472388406</v>
      </c>
      <c r="AGR29" s="50">
        <f t="shared" ca="1" si="982"/>
        <v>60271.994076404342</v>
      </c>
      <c r="AGS29" s="50">
        <f t="shared" ca="1" si="983"/>
        <v>64814.383499153853</v>
      </c>
      <c r="AGT29" s="50">
        <f t="shared" ca="1" si="984"/>
        <v>62125.740922941935</v>
      </c>
      <c r="AGU29" s="50">
        <f t="shared" ca="1" si="985"/>
        <v>64115.944616327506</v>
      </c>
      <c r="AGV29" s="50">
        <f t="shared" ca="1" si="986"/>
        <v>61223.814289854876</v>
      </c>
      <c r="AGW29" s="50">
        <f t="shared" ca="1" si="987"/>
        <v>56204.226411596137</v>
      </c>
      <c r="AGX29" s="50">
        <f t="shared" ca="1" si="988"/>
        <v>57275.31368416745</v>
      </c>
      <c r="AGY29" s="50">
        <f t="shared" ca="1" si="989"/>
        <v>61832.060563660809</v>
      </c>
      <c r="AGZ29" s="50">
        <f t="shared" ca="1" si="990"/>
        <v>55302.497950751109</v>
      </c>
      <c r="AHA29" s="50">
        <f t="shared" ca="1" si="991"/>
        <v>63052.195585434463</v>
      </c>
      <c r="AHB29" s="50">
        <f t="shared" ca="1" si="992"/>
        <v>53621.212574042984</v>
      </c>
      <c r="AHC29" s="50">
        <f t="shared" ca="1" si="993"/>
        <v>59841.129494650617</v>
      </c>
      <c r="AHD29" s="50">
        <f t="shared" ca="1" si="994"/>
        <v>46043.224111564588</v>
      </c>
      <c r="AHE29" s="50">
        <f t="shared" ca="1" si="995"/>
        <v>61991.725184030693</v>
      </c>
      <c r="AHF29" s="50">
        <f t="shared" ca="1" si="996"/>
        <v>62889.981508694887</v>
      </c>
      <c r="AHG29" s="50">
        <f t="shared" ca="1" si="997"/>
        <v>55164.166234707161</v>
      </c>
      <c r="AHH29" s="50">
        <f t="shared" ca="1" si="998"/>
        <v>64186.060160912493</v>
      </c>
      <c r="AHI29" s="50">
        <f t="shared" ca="1" si="999"/>
        <v>54843.659249682489</v>
      </c>
      <c r="AHJ29" s="50">
        <f t="shared" ca="1" si="1000"/>
        <v>84937.7827905624</v>
      </c>
      <c r="AHK29" s="50">
        <f t="shared" ca="1" si="1001"/>
        <v>52399.802127545103</v>
      </c>
      <c r="AHL29" s="50">
        <f t="shared" ca="1" si="1002"/>
        <v>56775.132768045412</v>
      </c>
      <c r="AHM29" s="50">
        <f t="shared" ca="1" si="1003"/>
        <v>65354.2840762782</v>
      </c>
      <c r="AHN29" s="50">
        <f t="shared" ca="1" si="1004"/>
        <v>66241.021198761999</v>
      </c>
      <c r="AHO29" s="50">
        <f t="shared" ca="1" si="1005"/>
        <v>56058.462097005606</v>
      </c>
      <c r="AHP29" s="50">
        <f t="shared" ca="1" si="1006"/>
        <v>54372.233795710847</v>
      </c>
      <c r="AHQ29" s="50">
        <f t="shared" ca="1" si="1007"/>
        <v>64265.785346851597</v>
      </c>
      <c r="AHR29" s="50">
        <f t="shared" ca="1" si="1008"/>
        <v>58596.958900245023</v>
      </c>
      <c r="AHS29" s="50">
        <f t="shared" ca="1" si="1009"/>
        <v>46378.771079903017</v>
      </c>
      <c r="AHT29" s="50">
        <f t="shared" ca="1" si="1010"/>
        <v>56299.972769979329</v>
      </c>
      <c r="AHU29" s="50">
        <f t="shared" ca="1" si="1011"/>
        <v>54308.850487749849</v>
      </c>
      <c r="AHV29" s="50">
        <f t="shared" ca="1" si="1012"/>
        <v>59258.18601794861</v>
      </c>
      <c r="AHW29" s="50">
        <f t="shared" ca="1" si="1013"/>
        <v>54694.052906083722</v>
      </c>
      <c r="AHX29" s="50">
        <f t="shared" ca="1" si="1014"/>
        <v>57067.675358745306</v>
      </c>
      <c r="AHY29" s="50">
        <f t="shared" ca="1" si="1015"/>
        <v>71739.346496348429</v>
      </c>
      <c r="AHZ29" s="50">
        <f t="shared" ca="1" si="1016"/>
        <v>60994.099153850657</v>
      </c>
      <c r="AIA29" s="50">
        <f t="shared" ca="1" si="1017"/>
        <v>56343.686602543261</v>
      </c>
      <c r="AIB29" s="50">
        <f t="shared" ca="1" si="1018"/>
        <v>52570.376770606119</v>
      </c>
      <c r="AIC29" s="50">
        <f t="shared" ca="1" si="1019"/>
        <v>62027.039905094833</v>
      </c>
      <c r="AID29" s="50">
        <f t="shared" ca="1" si="1020"/>
        <v>64519.699133884678</v>
      </c>
      <c r="AIE29" s="50">
        <f t="shared" ca="1" si="1021"/>
        <v>56425.200360606214</v>
      </c>
      <c r="AIF29" s="50">
        <f t="shared" ca="1" si="1022"/>
        <v>56606.428694984083</v>
      </c>
      <c r="AIG29" s="50">
        <f t="shared" ca="1" si="1023"/>
        <v>62030.452982840208</v>
      </c>
      <c r="AIH29" s="50">
        <f t="shared" ca="1" si="1024"/>
        <v>65489.429000432516</v>
      </c>
      <c r="AII29" s="50">
        <f t="shared" ca="1" si="1025"/>
        <v>60941.245792440684</v>
      </c>
      <c r="AIJ29" s="50">
        <f t="shared" ca="1" si="1026"/>
        <v>60941.282353539362</v>
      </c>
      <c r="AIK29" s="50">
        <f t="shared" ca="1" si="1027"/>
        <v>74482.476732599927</v>
      </c>
      <c r="AIL29" s="50">
        <f t="shared" ca="1" si="1028"/>
        <v>66080.316819621657</v>
      </c>
      <c r="AIM29" s="50">
        <f t="shared" ca="1" si="1029"/>
        <v>52329.696941100272</v>
      </c>
      <c r="AIN29" s="50">
        <f t="shared" ca="1" si="1030"/>
        <v>60102.931641631469</v>
      </c>
      <c r="AIO29" s="50">
        <f t="shared" ca="1" si="1031"/>
        <v>57422.933844731284</v>
      </c>
      <c r="AIP29" s="50">
        <f t="shared" ca="1" si="1032"/>
        <v>75550.790896659906</v>
      </c>
      <c r="AIQ29" s="50">
        <f t="shared" ca="1" si="1033"/>
        <v>47818.835218023916</v>
      </c>
      <c r="AIR29" s="50">
        <f t="shared" ca="1" si="1034"/>
        <v>54730.234769273135</v>
      </c>
      <c r="AIS29" s="50">
        <f t="shared" ca="1" si="1035"/>
        <v>48796.113321291486</v>
      </c>
      <c r="AIT29" s="50">
        <f t="shared" ca="1" si="1036"/>
        <v>41976.388667919004</v>
      </c>
      <c r="AIU29" s="50">
        <f t="shared" ca="1" si="1037"/>
        <v>57028.32602536006</v>
      </c>
      <c r="AIV29" s="50">
        <f t="shared" ca="1" si="1038"/>
        <v>52987.960818055246</v>
      </c>
      <c r="AIW29" s="50">
        <f t="shared" ca="1" si="1039"/>
        <v>63928.890589177165</v>
      </c>
      <c r="AIX29" s="50">
        <f t="shared" ca="1" si="1040"/>
        <v>74101.417716041527</v>
      </c>
      <c r="AIY29" s="50">
        <f t="shared" ca="1" si="1041"/>
        <v>48931.721234904137</v>
      </c>
      <c r="AIZ29" s="50">
        <f t="shared" ca="1" si="1042"/>
        <v>71044.146224736076</v>
      </c>
      <c r="AJA29" s="50">
        <f t="shared" ca="1" si="1043"/>
        <v>63749.049094735747</v>
      </c>
      <c r="AJB29" s="50">
        <f t="shared" ca="1" si="1044"/>
        <v>72847.427126379625</v>
      </c>
      <c r="AJC29" s="50">
        <f t="shared" ca="1" si="1045"/>
        <v>58040.017987768406</v>
      </c>
      <c r="AJD29" s="50">
        <f t="shared" ca="1" si="1046"/>
        <v>57315.338831993075</v>
      </c>
      <c r="AJE29" s="50">
        <f t="shared" ca="1" si="1047"/>
        <v>56647.491491554159</v>
      </c>
      <c r="AJF29" s="50">
        <f t="shared" ca="1" si="1048"/>
        <v>65430.034035335986</v>
      </c>
      <c r="AJG29" s="50">
        <f t="shared" ca="1" si="1049"/>
        <v>59647.614633667086</v>
      </c>
      <c r="AJH29" s="50">
        <f t="shared" ca="1" si="1050"/>
        <v>75260.599127255351</v>
      </c>
      <c r="AJI29" s="50">
        <f t="shared" ca="1" si="1051"/>
        <v>51901.8116854443</v>
      </c>
      <c r="AJJ29" s="50">
        <f t="shared" ca="1" si="1052"/>
        <v>61134.032171045234</v>
      </c>
      <c r="AJK29" s="50">
        <f t="shared" ca="1" si="1053"/>
        <v>54728.002453255052</v>
      </c>
      <c r="AJL29" s="50">
        <f t="shared" ca="1" si="1054"/>
        <v>60756.225110715219</v>
      </c>
      <c r="AJM29" s="50">
        <f t="shared" ca="1" si="1055"/>
        <v>56574.201737523457</v>
      </c>
      <c r="AJN29" s="50">
        <f t="shared" ca="1" si="1056"/>
        <v>68683.576180139731</v>
      </c>
      <c r="AJO29" s="50">
        <f t="shared" ca="1" si="1057"/>
        <v>55733.429210691451</v>
      </c>
      <c r="AJP29" s="50">
        <f t="shared" ca="1" si="1058"/>
        <v>62902.85870583378</v>
      </c>
      <c r="AJQ29" s="50">
        <f t="shared" ca="1" si="1059"/>
        <v>60581.745261450218</v>
      </c>
      <c r="AJR29" s="50">
        <f t="shared" ca="1" si="1060"/>
        <v>66487.595633953519</v>
      </c>
      <c r="AJS29" s="50">
        <f t="shared" ca="1" si="1061"/>
        <v>51586.96821712875</v>
      </c>
      <c r="AJT29" s="50">
        <f t="shared" ca="1" si="1062"/>
        <v>47734.52486364427</v>
      </c>
      <c r="AJU29" s="50">
        <f t="shared" ca="1" si="1063"/>
        <v>71926.986885882012</v>
      </c>
      <c r="AJV29" s="50">
        <f t="shared" ca="1" si="1064"/>
        <v>55465.566515811661</v>
      </c>
      <c r="AJW29" s="50">
        <f t="shared" ca="1" si="1065"/>
        <v>42307.270827285756</v>
      </c>
      <c r="AJX29" s="50">
        <f t="shared" ca="1" si="1066"/>
        <v>57462.750868884534</v>
      </c>
      <c r="AJY29" s="50">
        <f t="shared" ca="1" si="1067"/>
        <v>63392.415434433984</v>
      </c>
      <c r="AJZ29" s="50">
        <f t="shared" ca="1" si="1068"/>
        <v>60795.930782746414</v>
      </c>
      <c r="AKA29" s="50">
        <f t="shared" ca="1" si="1069"/>
        <v>63975.827145994881</v>
      </c>
      <c r="AKB29" s="50">
        <f t="shared" ca="1" si="1070"/>
        <v>58294.430300143234</v>
      </c>
      <c r="AKC29" s="50">
        <f t="shared" ca="1" si="1071"/>
        <v>60941.906604216587</v>
      </c>
      <c r="AKD29" s="50">
        <f t="shared" ca="1" si="1072"/>
        <v>56100.469809206166</v>
      </c>
      <c r="AKE29" s="50">
        <f t="shared" ca="1" si="1073"/>
        <v>56290.136814833917</v>
      </c>
      <c r="AKF29" s="50">
        <f t="shared" ca="1" si="1074"/>
        <v>51498.142071429713</v>
      </c>
      <c r="AKG29" s="50">
        <f t="shared" ca="1" si="1075"/>
        <v>59170.595770161999</v>
      </c>
      <c r="AKH29" s="50">
        <f t="shared" ca="1" si="1076"/>
        <v>61226.565261374126</v>
      </c>
      <c r="AKI29" s="50">
        <f t="shared" ca="1" si="1077"/>
        <v>63171.205809336709</v>
      </c>
      <c r="AKJ29" s="50">
        <f t="shared" ca="1" si="1078"/>
        <v>55228.869000380917</v>
      </c>
      <c r="AKK29" s="50">
        <f t="shared" ca="1" si="1079"/>
        <v>52861.696075454616</v>
      </c>
      <c r="AKL29" s="50">
        <f t="shared" ca="1" si="1080"/>
        <v>60089.538008502655</v>
      </c>
      <c r="AKM29" s="50">
        <f t="shared" ca="1" si="1081"/>
        <v>60285.415204558849</v>
      </c>
      <c r="AKN29" s="50">
        <f t="shared" ca="1" si="1082"/>
        <v>63304.834019027803</v>
      </c>
      <c r="AKO29" s="50">
        <f t="shared" ca="1" si="1083"/>
        <v>59187.525379357379</v>
      </c>
      <c r="AKP29" s="50">
        <f t="shared" ca="1" si="1084"/>
        <v>57670.911687763597</v>
      </c>
      <c r="AKQ29" s="50">
        <f t="shared" ca="1" si="1085"/>
        <v>48805.379533866115</v>
      </c>
      <c r="AKR29" s="50">
        <f t="shared" ca="1" si="1086"/>
        <v>50596.41742378944</v>
      </c>
      <c r="AKS29" s="50">
        <f t="shared" ca="1" si="1087"/>
        <v>52767.651780896282</v>
      </c>
      <c r="AKT29" s="50">
        <f t="shared" ca="1" si="1088"/>
        <v>52598.937608692213</v>
      </c>
      <c r="AKU29" s="50">
        <f t="shared" ca="1" si="1089"/>
        <v>54476.478391009136</v>
      </c>
      <c r="AKV29" s="50">
        <f t="shared" ca="1" si="1090"/>
        <v>48865.013542066445</v>
      </c>
      <c r="AKW29" s="50">
        <f t="shared" ca="1" si="1091"/>
        <v>61989.163977511453</v>
      </c>
      <c r="AKX29" s="50">
        <f t="shared" ca="1" si="1092"/>
        <v>60278.03606694458</v>
      </c>
      <c r="AKY29" s="50">
        <f t="shared" ca="1" si="1093"/>
        <v>58021.846601467056</v>
      </c>
      <c r="AKZ29" s="50">
        <f t="shared" ca="1" si="1094"/>
        <v>60354.415488990191</v>
      </c>
      <c r="ALA29" s="50">
        <f t="shared" ca="1" si="1095"/>
        <v>53773.028883248633</v>
      </c>
      <c r="ALB29" s="50">
        <f t="shared" ca="1" si="1096"/>
        <v>59911.793023779821</v>
      </c>
      <c r="ALC29" s="50">
        <f t="shared" ca="1" si="1097"/>
        <v>49035.413854862651</v>
      </c>
      <c r="ALD29" s="50">
        <f t="shared" ca="1" si="1098"/>
        <v>58633.146487968515</v>
      </c>
      <c r="ALE29" s="50">
        <f t="shared" ca="1" si="1099"/>
        <v>55500.374922220486</v>
      </c>
      <c r="ALF29" s="50">
        <f t="shared" ca="1" si="1100"/>
        <v>55360.353037031738</v>
      </c>
      <c r="ALG29" s="50">
        <f t="shared" ca="1" si="1101"/>
        <v>47763.503913701999</v>
      </c>
      <c r="ALH29" s="50">
        <f t="shared" ca="1" si="1102"/>
        <v>55548.989833056214</v>
      </c>
      <c r="ALI29" s="50">
        <f t="shared" ca="1" si="1103"/>
        <v>53919.460432680426</v>
      </c>
      <c r="ALJ29" s="50">
        <f t="shared" ca="1" si="1104"/>
        <v>63665.662530350535</v>
      </c>
      <c r="ALK29" s="50">
        <f t="shared" ca="1" si="1105"/>
        <v>63943.727029899965</v>
      </c>
      <c r="ALL29" s="50">
        <f t="shared" ca="1" si="1106"/>
        <v>53687.842411991383</v>
      </c>
      <c r="ALM29" s="50">
        <f t="shared" ca="1" si="1107"/>
        <v>43078.564170592865</v>
      </c>
      <c r="ALN29" s="50">
        <f t="shared" ca="1" si="1108"/>
        <v>59343.789511826173</v>
      </c>
      <c r="ALO29" s="50">
        <f t="shared" ca="1" si="1109"/>
        <v>68809.469317830983</v>
      </c>
      <c r="ALP29" s="50">
        <f t="shared" ca="1" si="1110"/>
        <v>45341.379834107545</v>
      </c>
      <c r="ALQ29" s="50">
        <f t="shared" ca="1" si="1111"/>
        <v>50082.281959379055</v>
      </c>
      <c r="ALR29" s="50">
        <f t="shared" ca="1" si="1112"/>
        <v>59524.349407159672</v>
      </c>
    </row>
    <row r="30" spans="1:1006" s="35" customFormat="1" x14ac:dyDescent="0.2">
      <c r="F30" s="32">
        <f t="shared" si="1114"/>
        <v>11</v>
      </c>
      <c r="G30" s="50">
        <f t="shared" ca="1" si="1115"/>
        <v>52551.987106277164</v>
      </c>
      <c r="H30" s="50">
        <f t="shared" ca="1" si="1113"/>
        <v>50366.033716740392</v>
      </c>
      <c r="I30" s="50">
        <f t="shared" ca="1" si="1113"/>
        <v>60555.554333501947</v>
      </c>
      <c r="J30" s="50">
        <f t="shared" ca="1" si="1113"/>
        <v>59109.138374661772</v>
      </c>
      <c r="K30" s="50">
        <f t="shared" ca="1" si="1113"/>
        <v>81653.087471747247</v>
      </c>
      <c r="L30" s="50">
        <f t="shared" ca="1" si="118"/>
        <v>77776.549841517044</v>
      </c>
      <c r="M30" s="50">
        <f t="shared" ca="1" si="119"/>
        <v>51192.029691174219</v>
      </c>
      <c r="N30" s="50">
        <f t="shared" ca="1" si="120"/>
        <v>52689.34767795416</v>
      </c>
      <c r="O30" s="50">
        <f t="shared" ca="1" si="121"/>
        <v>61802.717476417296</v>
      </c>
      <c r="P30" s="50">
        <f t="shared" ca="1" si="122"/>
        <v>58288.965042145042</v>
      </c>
      <c r="Q30" s="50">
        <f t="shared" ca="1" si="123"/>
        <v>53710.01798106452</v>
      </c>
      <c r="R30" s="50">
        <f t="shared" ca="1" si="124"/>
        <v>63888.588311253894</v>
      </c>
      <c r="S30" s="50">
        <f t="shared" ca="1" si="125"/>
        <v>73050.982972542712</v>
      </c>
      <c r="T30" s="50">
        <f t="shared" ca="1" si="126"/>
        <v>63419.435952468564</v>
      </c>
      <c r="U30" s="50">
        <f t="shared" ca="1" si="127"/>
        <v>57203.522252243536</v>
      </c>
      <c r="V30" s="50">
        <f t="shared" ca="1" si="128"/>
        <v>64141.65473648264</v>
      </c>
      <c r="W30" s="50">
        <f t="shared" ca="1" si="129"/>
        <v>56130.921240940283</v>
      </c>
      <c r="X30" s="50">
        <f t="shared" ca="1" si="130"/>
        <v>69677.012816045215</v>
      </c>
      <c r="Y30" s="50">
        <f t="shared" ca="1" si="131"/>
        <v>47797.019829863959</v>
      </c>
      <c r="Z30" s="50">
        <f t="shared" ca="1" si="132"/>
        <v>54285.893896540503</v>
      </c>
      <c r="AA30" s="50">
        <f t="shared" ca="1" si="133"/>
        <v>55609.30342518125</v>
      </c>
      <c r="AB30" s="50">
        <f t="shared" ca="1" si="134"/>
        <v>57349.34376378762</v>
      </c>
      <c r="AC30" s="50">
        <f t="shared" ca="1" si="135"/>
        <v>55422.884694336346</v>
      </c>
      <c r="AD30" s="50">
        <f t="shared" ca="1" si="136"/>
        <v>67264.884943554745</v>
      </c>
      <c r="AE30" s="50">
        <f t="shared" ca="1" si="137"/>
        <v>65560.816926401691</v>
      </c>
      <c r="AF30" s="50">
        <f t="shared" ca="1" si="138"/>
        <v>48807.670177407213</v>
      </c>
      <c r="AG30" s="50">
        <f t="shared" ca="1" si="139"/>
        <v>58047.832573790431</v>
      </c>
      <c r="AH30" s="50">
        <f t="shared" ca="1" si="140"/>
        <v>61631.703246158926</v>
      </c>
      <c r="AI30" s="50">
        <f t="shared" ca="1" si="141"/>
        <v>54384.915611680546</v>
      </c>
      <c r="AJ30" s="50">
        <f t="shared" ca="1" si="142"/>
        <v>56578.331163162358</v>
      </c>
      <c r="AK30" s="50">
        <f t="shared" ca="1" si="143"/>
        <v>54460.37667201642</v>
      </c>
      <c r="AL30" s="50">
        <f t="shared" ca="1" si="144"/>
        <v>56644.523232307547</v>
      </c>
      <c r="AM30" s="50">
        <f t="shared" ca="1" si="145"/>
        <v>61105.807847974356</v>
      </c>
      <c r="AN30" s="50">
        <f t="shared" ca="1" si="146"/>
        <v>49625.157379814736</v>
      </c>
      <c r="AO30" s="50">
        <f t="shared" ca="1" si="147"/>
        <v>56031.322665465967</v>
      </c>
      <c r="AP30" s="50">
        <f t="shared" ca="1" si="148"/>
        <v>64546.367957469862</v>
      </c>
      <c r="AQ30" s="50">
        <f t="shared" ca="1" si="149"/>
        <v>52101.103491500588</v>
      </c>
      <c r="AR30" s="50">
        <f t="shared" ca="1" si="150"/>
        <v>64075.35315295215</v>
      </c>
      <c r="AS30" s="50">
        <f t="shared" ca="1" si="151"/>
        <v>59519.443368969645</v>
      </c>
      <c r="AT30" s="50">
        <f t="shared" ca="1" si="152"/>
        <v>52285.240350491091</v>
      </c>
      <c r="AU30" s="50">
        <f t="shared" ca="1" si="153"/>
        <v>62614.880692816951</v>
      </c>
      <c r="AV30" s="50">
        <f t="shared" ca="1" si="154"/>
        <v>68725.520893449109</v>
      </c>
      <c r="AW30" s="50">
        <f t="shared" ca="1" si="155"/>
        <v>45508.940815323513</v>
      </c>
      <c r="AX30" s="50">
        <f t="shared" ca="1" si="156"/>
        <v>68305.6470067107</v>
      </c>
      <c r="AY30" s="50">
        <f t="shared" ca="1" si="157"/>
        <v>48373.381415594362</v>
      </c>
      <c r="AZ30" s="50">
        <f t="shared" ca="1" si="158"/>
        <v>52003.964934978147</v>
      </c>
      <c r="BA30" s="50">
        <f t="shared" ca="1" si="159"/>
        <v>52853.660568812214</v>
      </c>
      <c r="BB30" s="50">
        <f t="shared" ca="1" si="160"/>
        <v>73501.236808985486</v>
      </c>
      <c r="BC30" s="50">
        <f t="shared" ca="1" si="161"/>
        <v>54967.489784682519</v>
      </c>
      <c r="BD30" s="50">
        <f t="shared" ca="1" si="162"/>
        <v>55715.642060475235</v>
      </c>
      <c r="BE30" s="50">
        <f t="shared" ca="1" si="163"/>
        <v>57660.899354308356</v>
      </c>
      <c r="BF30" s="50">
        <f t="shared" ca="1" si="164"/>
        <v>58084.152643776433</v>
      </c>
      <c r="BG30" s="50">
        <f t="shared" ca="1" si="165"/>
        <v>48751.402802579796</v>
      </c>
      <c r="BH30" s="50">
        <f t="shared" ca="1" si="166"/>
        <v>56932.713100534071</v>
      </c>
      <c r="BI30" s="50">
        <f t="shared" ca="1" si="167"/>
        <v>60731.877910403753</v>
      </c>
      <c r="BJ30" s="50">
        <f t="shared" ca="1" si="168"/>
        <v>57297.340720518667</v>
      </c>
      <c r="BK30" s="50">
        <f t="shared" ca="1" si="169"/>
        <v>56322.686123355634</v>
      </c>
      <c r="BL30" s="50">
        <f t="shared" ca="1" si="170"/>
        <v>63914.840933334926</v>
      </c>
      <c r="BM30" s="50">
        <f t="shared" ca="1" si="171"/>
        <v>68538.128731598699</v>
      </c>
      <c r="BN30" s="50">
        <f t="shared" ca="1" si="172"/>
        <v>65193.148911376833</v>
      </c>
      <c r="BO30" s="50">
        <f t="shared" ca="1" si="173"/>
        <v>53074.724025888579</v>
      </c>
      <c r="BP30" s="50">
        <f t="shared" ca="1" si="174"/>
        <v>68746.992067076324</v>
      </c>
      <c r="BQ30" s="50">
        <f t="shared" ca="1" si="175"/>
        <v>59546.417097901322</v>
      </c>
      <c r="BR30" s="50">
        <f t="shared" ca="1" si="176"/>
        <v>58479.223893920476</v>
      </c>
      <c r="BS30" s="50">
        <f t="shared" ca="1" si="177"/>
        <v>47312.99560764405</v>
      </c>
      <c r="BT30" s="50">
        <f t="shared" ca="1" si="178"/>
        <v>60999.565871736173</v>
      </c>
      <c r="BU30" s="50">
        <f t="shared" ca="1" si="179"/>
        <v>59831.795258463193</v>
      </c>
      <c r="BV30" s="50">
        <f t="shared" ca="1" si="180"/>
        <v>47133.747339045891</v>
      </c>
      <c r="BW30" s="50">
        <f t="shared" ca="1" si="181"/>
        <v>53246.703702034203</v>
      </c>
      <c r="BX30" s="50">
        <f t="shared" ca="1" si="182"/>
        <v>57433.806641761163</v>
      </c>
      <c r="BY30" s="50">
        <f t="shared" ca="1" si="183"/>
        <v>57314.093740231023</v>
      </c>
      <c r="BZ30" s="50">
        <f t="shared" ca="1" si="184"/>
        <v>50875.738613360016</v>
      </c>
      <c r="CA30" s="50">
        <f t="shared" ca="1" si="185"/>
        <v>51249.006034487102</v>
      </c>
      <c r="CB30" s="50">
        <f t="shared" ca="1" si="186"/>
        <v>58651.044595681924</v>
      </c>
      <c r="CC30" s="50">
        <f t="shared" ca="1" si="187"/>
        <v>62413.139527693973</v>
      </c>
      <c r="CD30" s="50">
        <f t="shared" ca="1" si="188"/>
        <v>57669.539743020097</v>
      </c>
      <c r="CE30" s="50">
        <f t="shared" ca="1" si="189"/>
        <v>45311.022700643858</v>
      </c>
      <c r="CF30" s="50">
        <f t="shared" ca="1" si="190"/>
        <v>66645.647132335755</v>
      </c>
      <c r="CG30" s="50">
        <f t="shared" ca="1" si="191"/>
        <v>59370.21526583931</v>
      </c>
      <c r="CH30" s="50">
        <f t="shared" ca="1" si="192"/>
        <v>45815.002607268885</v>
      </c>
      <c r="CI30" s="50">
        <f t="shared" ca="1" si="193"/>
        <v>76635.686496176728</v>
      </c>
      <c r="CJ30" s="50">
        <f t="shared" ca="1" si="194"/>
        <v>52627.793040078788</v>
      </c>
      <c r="CK30" s="50">
        <f t="shared" ca="1" si="195"/>
        <v>59944.779696938684</v>
      </c>
      <c r="CL30" s="50">
        <f t="shared" ca="1" si="196"/>
        <v>68670.481645349733</v>
      </c>
      <c r="CM30" s="50">
        <f t="shared" ca="1" si="197"/>
        <v>61884.525458319033</v>
      </c>
      <c r="CN30" s="50">
        <f t="shared" ca="1" si="198"/>
        <v>56810.448879636417</v>
      </c>
      <c r="CO30" s="50">
        <f t="shared" ca="1" si="199"/>
        <v>56740.555882994304</v>
      </c>
      <c r="CP30" s="50">
        <f t="shared" ca="1" si="200"/>
        <v>58810.580648810137</v>
      </c>
      <c r="CQ30" s="50">
        <f t="shared" ca="1" si="201"/>
        <v>59230.002697794785</v>
      </c>
      <c r="CR30" s="50">
        <f t="shared" ca="1" si="202"/>
        <v>54478.882651512307</v>
      </c>
      <c r="CS30" s="50">
        <f t="shared" ca="1" si="203"/>
        <v>64497.680247085649</v>
      </c>
      <c r="CT30" s="50">
        <f t="shared" ca="1" si="204"/>
        <v>58874.976797673691</v>
      </c>
      <c r="CU30" s="50">
        <f t="shared" ca="1" si="205"/>
        <v>55170.988598736352</v>
      </c>
      <c r="CV30" s="50">
        <f t="shared" ca="1" si="206"/>
        <v>46523.354927914799</v>
      </c>
      <c r="CW30" s="50">
        <f t="shared" ca="1" si="207"/>
        <v>54397.404644508824</v>
      </c>
      <c r="CX30" s="50">
        <f t="shared" ca="1" si="208"/>
        <v>70197.868809416192</v>
      </c>
      <c r="CY30" s="50">
        <f t="shared" ca="1" si="209"/>
        <v>63034.44885513957</v>
      </c>
      <c r="CZ30" s="50">
        <f t="shared" ca="1" si="210"/>
        <v>66197.048435906821</v>
      </c>
      <c r="DA30" s="50">
        <f t="shared" ca="1" si="211"/>
        <v>62220.579801067193</v>
      </c>
      <c r="DB30" s="50">
        <f t="shared" ca="1" si="212"/>
        <v>51595.006645759589</v>
      </c>
      <c r="DC30" s="50">
        <f t="shared" ca="1" si="213"/>
        <v>54554.01838918453</v>
      </c>
      <c r="DD30" s="50">
        <f t="shared" ca="1" si="214"/>
        <v>59254.697277518921</v>
      </c>
      <c r="DE30" s="50">
        <f t="shared" ca="1" si="215"/>
        <v>60694.782776898435</v>
      </c>
      <c r="DF30" s="50">
        <f t="shared" ca="1" si="216"/>
        <v>68032.802786229178</v>
      </c>
      <c r="DG30" s="50">
        <f t="shared" ca="1" si="217"/>
        <v>47493.223907175212</v>
      </c>
      <c r="DH30" s="50">
        <f t="shared" ca="1" si="218"/>
        <v>63146.636637794603</v>
      </c>
      <c r="DI30" s="50">
        <f t="shared" ca="1" si="219"/>
        <v>47215.991875520333</v>
      </c>
      <c r="DJ30" s="50">
        <f t="shared" ca="1" si="220"/>
        <v>61235.656731489224</v>
      </c>
      <c r="DK30" s="50">
        <f t="shared" ca="1" si="221"/>
        <v>58179.159173807602</v>
      </c>
      <c r="DL30" s="50">
        <f t="shared" ca="1" si="222"/>
        <v>65180.863002519764</v>
      </c>
      <c r="DM30" s="50">
        <f t="shared" ca="1" si="223"/>
        <v>62718.395955216612</v>
      </c>
      <c r="DN30" s="50">
        <f t="shared" ca="1" si="224"/>
        <v>56690.321584021804</v>
      </c>
      <c r="DO30" s="50">
        <f t="shared" ca="1" si="225"/>
        <v>70009.363011921654</v>
      </c>
      <c r="DP30" s="50">
        <f t="shared" ca="1" si="226"/>
        <v>71976.646531338498</v>
      </c>
      <c r="DQ30" s="50">
        <f t="shared" ca="1" si="227"/>
        <v>52106.123490222846</v>
      </c>
      <c r="DR30" s="50">
        <f t="shared" ca="1" si="228"/>
        <v>51897.019115501927</v>
      </c>
      <c r="DS30" s="50">
        <f t="shared" ca="1" si="229"/>
        <v>55434.253937665679</v>
      </c>
      <c r="DT30" s="50">
        <f t="shared" ca="1" si="230"/>
        <v>75882.825067379395</v>
      </c>
      <c r="DU30" s="50">
        <f t="shared" ca="1" si="231"/>
        <v>70742.39971460872</v>
      </c>
      <c r="DV30" s="50">
        <f t="shared" ca="1" si="232"/>
        <v>55208.704693228705</v>
      </c>
      <c r="DW30" s="50">
        <f t="shared" ca="1" si="233"/>
        <v>55366.184548314399</v>
      </c>
      <c r="DX30" s="50">
        <f t="shared" ca="1" si="234"/>
        <v>56998.32883901165</v>
      </c>
      <c r="DY30" s="50">
        <f t="shared" ca="1" si="235"/>
        <v>59186.050451930518</v>
      </c>
      <c r="DZ30" s="50">
        <f t="shared" ca="1" si="236"/>
        <v>68306.677168999202</v>
      </c>
      <c r="EA30" s="50">
        <f t="shared" ca="1" si="237"/>
        <v>81017.115120916889</v>
      </c>
      <c r="EB30" s="50">
        <f t="shared" ca="1" si="238"/>
        <v>63718.452481809909</v>
      </c>
      <c r="EC30" s="50">
        <f t="shared" ca="1" si="239"/>
        <v>70905.268039136441</v>
      </c>
      <c r="ED30" s="50">
        <f t="shared" ca="1" si="240"/>
        <v>64723.186005825963</v>
      </c>
      <c r="EE30" s="50">
        <f t="shared" ca="1" si="241"/>
        <v>55556.828880388013</v>
      </c>
      <c r="EF30" s="50">
        <f t="shared" ca="1" si="242"/>
        <v>46759.516105654206</v>
      </c>
      <c r="EG30" s="50">
        <f t="shared" ca="1" si="243"/>
        <v>61810.940874296466</v>
      </c>
      <c r="EH30" s="50">
        <f t="shared" ca="1" si="244"/>
        <v>57668.05700205711</v>
      </c>
      <c r="EI30" s="50">
        <f t="shared" ca="1" si="245"/>
        <v>50384.06032887863</v>
      </c>
      <c r="EJ30" s="50">
        <f t="shared" ca="1" si="246"/>
        <v>56533.378781532279</v>
      </c>
      <c r="EK30" s="50">
        <f t="shared" ca="1" si="247"/>
        <v>54770.921185812433</v>
      </c>
      <c r="EL30" s="50">
        <f t="shared" ca="1" si="248"/>
        <v>70869.81505639544</v>
      </c>
      <c r="EM30" s="50">
        <f t="shared" ca="1" si="249"/>
        <v>57028.705972153824</v>
      </c>
      <c r="EN30" s="50">
        <f t="shared" ca="1" si="250"/>
        <v>66699.328978532838</v>
      </c>
      <c r="EO30" s="50">
        <f t="shared" ca="1" si="251"/>
        <v>51663.256167385152</v>
      </c>
      <c r="EP30" s="50">
        <f t="shared" ca="1" si="252"/>
        <v>56416.640944441904</v>
      </c>
      <c r="EQ30" s="50">
        <f t="shared" ca="1" si="253"/>
        <v>52069.022202686392</v>
      </c>
      <c r="ER30" s="50">
        <f t="shared" ca="1" si="254"/>
        <v>62208.142198654175</v>
      </c>
      <c r="ES30" s="50">
        <f t="shared" ca="1" si="255"/>
        <v>77288.704222303073</v>
      </c>
      <c r="ET30" s="50">
        <f t="shared" ca="1" si="256"/>
        <v>56966.041408847566</v>
      </c>
      <c r="EU30" s="50">
        <f t="shared" ca="1" si="257"/>
        <v>77525.038046012283</v>
      </c>
      <c r="EV30" s="50">
        <f t="shared" ca="1" si="258"/>
        <v>50015.231681298312</v>
      </c>
      <c r="EW30" s="50">
        <f t="shared" ca="1" si="259"/>
        <v>57659.788729458414</v>
      </c>
      <c r="EX30" s="50">
        <f t="shared" ca="1" si="260"/>
        <v>62577.002942846324</v>
      </c>
      <c r="EY30" s="50">
        <f t="shared" ca="1" si="261"/>
        <v>49362.832879932641</v>
      </c>
      <c r="EZ30" s="50">
        <f t="shared" ca="1" si="262"/>
        <v>52256.315176048156</v>
      </c>
      <c r="FA30" s="50">
        <f t="shared" ca="1" si="263"/>
        <v>52517.335903582527</v>
      </c>
      <c r="FB30" s="50">
        <f t="shared" ca="1" si="264"/>
        <v>74006.420791379787</v>
      </c>
      <c r="FC30" s="50">
        <f t="shared" ca="1" si="265"/>
        <v>51225.480034933382</v>
      </c>
      <c r="FD30" s="50">
        <f t="shared" ca="1" si="266"/>
        <v>63361.511837875762</v>
      </c>
      <c r="FE30" s="50">
        <f t="shared" ca="1" si="267"/>
        <v>59638.882151655896</v>
      </c>
      <c r="FF30" s="50">
        <f t="shared" ca="1" si="268"/>
        <v>57042.899140201022</v>
      </c>
      <c r="FG30" s="50">
        <f t="shared" ca="1" si="269"/>
        <v>54211.236949593134</v>
      </c>
      <c r="FH30" s="50">
        <f t="shared" ca="1" si="270"/>
        <v>60717.23864538483</v>
      </c>
      <c r="FI30" s="50">
        <f t="shared" ca="1" si="271"/>
        <v>69547.681371884435</v>
      </c>
      <c r="FJ30" s="50">
        <f t="shared" ca="1" si="272"/>
        <v>57328.320808059747</v>
      </c>
      <c r="FK30" s="50">
        <f t="shared" ca="1" si="273"/>
        <v>62005.295224700298</v>
      </c>
      <c r="FL30" s="50">
        <f t="shared" ca="1" si="274"/>
        <v>53362.948132628262</v>
      </c>
      <c r="FM30" s="50">
        <f t="shared" ca="1" si="275"/>
        <v>63040.050496652155</v>
      </c>
      <c r="FN30" s="50">
        <f t="shared" ca="1" si="276"/>
        <v>62201.549117482879</v>
      </c>
      <c r="FO30" s="50">
        <f t="shared" ca="1" si="277"/>
        <v>64898.166063474018</v>
      </c>
      <c r="FP30" s="50">
        <f t="shared" ca="1" si="278"/>
        <v>68110.557772834916</v>
      </c>
      <c r="FQ30" s="50">
        <f t="shared" ca="1" si="279"/>
        <v>64971.180028874667</v>
      </c>
      <c r="FR30" s="50">
        <f t="shared" ca="1" si="280"/>
        <v>68353.334226688065</v>
      </c>
      <c r="FS30" s="50">
        <f t="shared" ca="1" si="281"/>
        <v>59428.607188267255</v>
      </c>
      <c r="FT30" s="50">
        <f t="shared" ca="1" si="282"/>
        <v>55421.781954712969</v>
      </c>
      <c r="FU30" s="50">
        <f t="shared" ca="1" si="283"/>
        <v>58254.657237542604</v>
      </c>
      <c r="FV30" s="50">
        <f t="shared" ca="1" si="284"/>
        <v>47351.028739422902</v>
      </c>
      <c r="FW30" s="50">
        <f t="shared" ca="1" si="285"/>
        <v>67063.289046095873</v>
      </c>
      <c r="FX30" s="50">
        <f t="shared" ca="1" si="286"/>
        <v>56966.140433673754</v>
      </c>
      <c r="FY30" s="50">
        <f t="shared" ca="1" si="287"/>
        <v>53875.154143006941</v>
      </c>
      <c r="FZ30" s="50">
        <f t="shared" ca="1" si="288"/>
        <v>55269.838789085981</v>
      </c>
      <c r="GA30" s="50">
        <f t="shared" ca="1" si="289"/>
        <v>65516.652692264281</v>
      </c>
      <c r="GB30" s="50">
        <f t="shared" ca="1" si="290"/>
        <v>49763.928730371816</v>
      </c>
      <c r="GC30" s="50">
        <f t="shared" ca="1" si="291"/>
        <v>59942.294670421805</v>
      </c>
      <c r="GD30" s="50">
        <f t="shared" ca="1" si="292"/>
        <v>50637.675432605385</v>
      </c>
      <c r="GE30" s="50">
        <f t="shared" ca="1" si="293"/>
        <v>62196.457056292762</v>
      </c>
      <c r="GF30" s="50">
        <f t="shared" ca="1" si="294"/>
        <v>48863.512706450711</v>
      </c>
      <c r="GG30" s="50">
        <f t="shared" ca="1" si="295"/>
        <v>48619.342881991448</v>
      </c>
      <c r="GH30" s="50">
        <f t="shared" ca="1" si="296"/>
        <v>53568.680284894392</v>
      </c>
      <c r="GI30" s="50">
        <f t="shared" ca="1" si="297"/>
        <v>52352.450170174365</v>
      </c>
      <c r="GJ30" s="50">
        <f t="shared" ca="1" si="298"/>
        <v>64919.954694601161</v>
      </c>
      <c r="GK30" s="50">
        <f t="shared" ca="1" si="299"/>
        <v>53862.554004037585</v>
      </c>
      <c r="GL30" s="50">
        <f t="shared" ca="1" si="300"/>
        <v>49083.034669114793</v>
      </c>
      <c r="GM30" s="50">
        <f t="shared" ca="1" si="301"/>
        <v>46725.474168449102</v>
      </c>
      <c r="GN30" s="50">
        <f t="shared" ca="1" si="302"/>
        <v>57464.467237222423</v>
      </c>
      <c r="GO30" s="50">
        <f t="shared" ca="1" si="303"/>
        <v>73247.086688441137</v>
      </c>
      <c r="GP30" s="50">
        <f t="shared" ca="1" si="304"/>
        <v>64232.516841479737</v>
      </c>
      <c r="GQ30" s="50">
        <f t="shared" ca="1" si="305"/>
        <v>68409.527420510989</v>
      </c>
      <c r="GR30" s="50">
        <f t="shared" ca="1" si="306"/>
        <v>61659.542368009468</v>
      </c>
      <c r="GS30" s="50">
        <f t="shared" ca="1" si="307"/>
        <v>59032.324268746277</v>
      </c>
      <c r="GT30" s="50">
        <f t="shared" ca="1" si="308"/>
        <v>55028.147093656953</v>
      </c>
      <c r="GU30" s="50">
        <f t="shared" ca="1" si="309"/>
        <v>57602.071885699464</v>
      </c>
      <c r="GV30" s="50">
        <f t="shared" ca="1" si="310"/>
        <v>68822.504853987703</v>
      </c>
      <c r="GW30" s="50">
        <f t="shared" ca="1" si="311"/>
        <v>62450.647603349775</v>
      </c>
      <c r="GX30" s="50">
        <f t="shared" ca="1" si="312"/>
        <v>61400.809601176465</v>
      </c>
      <c r="GY30" s="50">
        <f t="shared" ca="1" si="313"/>
        <v>65628.03386359608</v>
      </c>
      <c r="GZ30" s="50">
        <f t="shared" ca="1" si="314"/>
        <v>56567.361866562991</v>
      </c>
      <c r="HA30" s="50">
        <f t="shared" ca="1" si="315"/>
        <v>53335.79868056604</v>
      </c>
      <c r="HB30" s="50">
        <f t="shared" ca="1" si="316"/>
        <v>56063.440385376125</v>
      </c>
      <c r="HC30" s="50">
        <f t="shared" ca="1" si="317"/>
        <v>66433.921484176419</v>
      </c>
      <c r="HD30" s="50">
        <f t="shared" ca="1" si="318"/>
        <v>41758.298297575675</v>
      </c>
      <c r="HE30" s="50">
        <f t="shared" ca="1" si="319"/>
        <v>53997.92088468447</v>
      </c>
      <c r="HF30" s="50">
        <f t="shared" ca="1" si="320"/>
        <v>50447.725711902749</v>
      </c>
      <c r="HG30" s="50">
        <f t="shared" ca="1" si="321"/>
        <v>53199.614620746099</v>
      </c>
      <c r="HH30" s="50">
        <f t="shared" ca="1" si="322"/>
        <v>64068.28625887516</v>
      </c>
      <c r="HI30" s="50">
        <f t="shared" ca="1" si="323"/>
        <v>59803.036764346427</v>
      </c>
      <c r="HJ30" s="50">
        <f t="shared" ca="1" si="324"/>
        <v>57694.944920096175</v>
      </c>
      <c r="HK30" s="50">
        <f t="shared" ca="1" si="325"/>
        <v>64423.284846872921</v>
      </c>
      <c r="HL30" s="50">
        <f t="shared" ca="1" si="326"/>
        <v>60513.361132481143</v>
      </c>
      <c r="HM30" s="50">
        <f t="shared" ca="1" si="327"/>
        <v>64073.776180163251</v>
      </c>
      <c r="HN30" s="50">
        <f t="shared" ca="1" si="328"/>
        <v>54047.970683141895</v>
      </c>
      <c r="HO30" s="50">
        <f t="shared" ca="1" si="329"/>
        <v>65432.889119518746</v>
      </c>
      <c r="HP30" s="50">
        <f t="shared" ca="1" si="330"/>
        <v>70927.79346680078</v>
      </c>
      <c r="HQ30" s="50">
        <f t="shared" ca="1" si="331"/>
        <v>73977.219916139788</v>
      </c>
      <c r="HR30" s="50">
        <f t="shared" ca="1" si="332"/>
        <v>59012.408378339118</v>
      </c>
      <c r="HS30" s="50">
        <f t="shared" ca="1" si="333"/>
        <v>65638.241515054338</v>
      </c>
      <c r="HT30" s="50">
        <f t="shared" ca="1" si="334"/>
        <v>54145.729854816847</v>
      </c>
      <c r="HU30" s="50">
        <f t="shared" ca="1" si="335"/>
        <v>56104.548148092581</v>
      </c>
      <c r="HV30" s="50">
        <f t="shared" ca="1" si="336"/>
        <v>57555.747897865935</v>
      </c>
      <c r="HW30" s="50">
        <f t="shared" ca="1" si="337"/>
        <v>50050.633400203704</v>
      </c>
      <c r="HX30" s="50">
        <f t="shared" ca="1" si="338"/>
        <v>71097.057779327588</v>
      </c>
      <c r="HY30" s="50">
        <f t="shared" ca="1" si="339"/>
        <v>46787.966436290597</v>
      </c>
      <c r="HZ30" s="50">
        <f t="shared" ca="1" si="340"/>
        <v>72906.607531709029</v>
      </c>
      <c r="IA30" s="50">
        <f t="shared" ca="1" si="341"/>
        <v>60359.620845883321</v>
      </c>
      <c r="IB30" s="50">
        <f t="shared" ca="1" si="342"/>
        <v>55934.703461545891</v>
      </c>
      <c r="IC30" s="50">
        <f t="shared" ca="1" si="343"/>
        <v>75344.987367584865</v>
      </c>
      <c r="ID30" s="50">
        <f t="shared" ca="1" si="344"/>
        <v>66224.192920760688</v>
      </c>
      <c r="IE30" s="50">
        <f t="shared" ca="1" si="345"/>
        <v>59948.721866520733</v>
      </c>
      <c r="IF30" s="50">
        <f t="shared" ca="1" si="346"/>
        <v>49205.738373792585</v>
      </c>
      <c r="IG30" s="50">
        <f t="shared" ca="1" si="347"/>
        <v>57253.037678961169</v>
      </c>
      <c r="IH30" s="50">
        <f t="shared" ca="1" si="348"/>
        <v>68136.733485714765</v>
      </c>
      <c r="II30" s="50">
        <f t="shared" ca="1" si="349"/>
        <v>69233.717535229516</v>
      </c>
      <c r="IJ30" s="50">
        <f t="shared" ca="1" si="350"/>
        <v>56345.207845969941</v>
      </c>
      <c r="IK30" s="50">
        <f t="shared" ca="1" si="351"/>
        <v>62384.987417591416</v>
      </c>
      <c r="IL30" s="50">
        <f t="shared" ca="1" si="352"/>
        <v>61491.912694026891</v>
      </c>
      <c r="IM30" s="50">
        <f t="shared" ca="1" si="353"/>
        <v>52377.851643651047</v>
      </c>
      <c r="IN30" s="50">
        <f t="shared" ca="1" si="354"/>
        <v>66896.253451120851</v>
      </c>
      <c r="IO30" s="50">
        <f t="shared" ca="1" si="355"/>
        <v>58149.651846940033</v>
      </c>
      <c r="IP30" s="50">
        <f t="shared" ca="1" si="356"/>
        <v>59866.915483479723</v>
      </c>
      <c r="IQ30" s="50">
        <f t="shared" ca="1" si="357"/>
        <v>55971.559017647793</v>
      </c>
      <c r="IR30" s="50">
        <f t="shared" ca="1" si="358"/>
        <v>63088.151245785324</v>
      </c>
      <c r="IS30" s="50">
        <f t="shared" ca="1" si="359"/>
        <v>64836.39317579745</v>
      </c>
      <c r="IT30" s="50">
        <f t="shared" ca="1" si="360"/>
        <v>62026.366078598243</v>
      </c>
      <c r="IU30" s="50">
        <f t="shared" ca="1" si="361"/>
        <v>72006.083095646987</v>
      </c>
      <c r="IV30" s="50">
        <f t="shared" ca="1" si="362"/>
        <v>56990.194892882995</v>
      </c>
      <c r="IW30" s="50">
        <f t="shared" ca="1" si="363"/>
        <v>49884.946071410486</v>
      </c>
      <c r="IX30" s="50">
        <f t="shared" ca="1" si="364"/>
        <v>72302.474410482246</v>
      </c>
      <c r="IY30" s="50">
        <f t="shared" ca="1" si="365"/>
        <v>54537.060371861015</v>
      </c>
      <c r="IZ30" s="50">
        <f t="shared" ca="1" si="366"/>
        <v>74341.492466541487</v>
      </c>
      <c r="JA30" s="50">
        <f t="shared" ca="1" si="367"/>
        <v>52044.401553204501</v>
      </c>
      <c r="JB30" s="50">
        <f t="shared" ca="1" si="368"/>
        <v>61416.213728022267</v>
      </c>
      <c r="JC30" s="50">
        <f t="shared" ca="1" si="369"/>
        <v>59915.095769541949</v>
      </c>
      <c r="JD30" s="50">
        <f t="shared" ca="1" si="370"/>
        <v>56758.737233594969</v>
      </c>
      <c r="JE30" s="50">
        <f t="shared" ca="1" si="371"/>
        <v>62671.267187525504</v>
      </c>
      <c r="JF30" s="50">
        <f t="shared" ca="1" si="372"/>
        <v>68909.260481532416</v>
      </c>
      <c r="JG30" s="50">
        <f t="shared" ca="1" si="373"/>
        <v>64832.637220540302</v>
      </c>
      <c r="JH30" s="50">
        <f t="shared" ca="1" si="374"/>
        <v>61239.031344852017</v>
      </c>
      <c r="JI30" s="50">
        <f t="shared" ca="1" si="375"/>
        <v>59576.198105663396</v>
      </c>
      <c r="JJ30" s="50">
        <f t="shared" ca="1" si="376"/>
        <v>61492.457381452805</v>
      </c>
      <c r="JK30" s="50">
        <f t="shared" ca="1" si="377"/>
        <v>56340.069922730429</v>
      </c>
      <c r="JL30" s="50">
        <f t="shared" ca="1" si="378"/>
        <v>64867.836712141638</v>
      </c>
      <c r="JM30" s="50">
        <f t="shared" ca="1" si="379"/>
        <v>53987.469524630753</v>
      </c>
      <c r="JN30" s="50">
        <f t="shared" ca="1" si="380"/>
        <v>67114.789913829212</v>
      </c>
      <c r="JO30" s="50">
        <f t="shared" ca="1" si="381"/>
        <v>57270.083541320419</v>
      </c>
      <c r="JP30" s="50">
        <f t="shared" ca="1" si="382"/>
        <v>48739.301451071697</v>
      </c>
      <c r="JQ30" s="50">
        <f t="shared" ca="1" si="383"/>
        <v>52849.616334877595</v>
      </c>
      <c r="JR30" s="50">
        <f t="shared" ca="1" si="384"/>
        <v>73713.655083234597</v>
      </c>
      <c r="JS30" s="50">
        <f t="shared" ca="1" si="385"/>
        <v>64953.541411650949</v>
      </c>
      <c r="JT30" s="50">
        <f t="shared" ca="1" si="386"/>
        <v>65243.029654483536</v>
      </c>
      <c r="JU30" s="50">
        <f t="shared" ca="1" si="387"/>
        <v>54057.739470168439</v>
      </c>
      <c r="JV30" s="50">
        <f t="shared" ca="1" si="388"/>
        <v>47888.09416952615</v>
      </c>
      <c r="JW30" s="50">
        <f t="shared" ca="1" si="389"/>
        <v>69194.404416476231</v>
      </c>
      <c r="JX30" s="50">
        <f t="shared" ca="1" si="390"/>
        <v>55819.849613962571</v>
      </c>
      <c r="JY30" s="50">
        <f t="shared" ca="1" si="391"/>
        <v>71069.456971856722</v>
      </c>
      <c r="JZ30" s="50">
        <f t="shared" ca="1" si="392"/>
        <v>57863.724859629336</v>
      </c>
      <c r="KA30" s="50">
        <f t="shared" ca="1" si="393"/>
        <v>71724.679520813545</v>
      </c>
      <c r="KB30" s="50">
        <f t="shared" ca="1" si="394"/>
        <v>53506.008662290558</v>
      </c>
      <c r="KC30" s="50">
        <f t="shared" ca="1" si="395"/>
        <v>62395.591404199266</v>
      </c>
      <c r="KD30" s="50">
        <f t="shared" ca="1" si="396"/>
        <v>61315.97011039457</v>
      </c>
      <c r="KE30" s="50">
        <f t="shared" ca="1" si="397"/>
        <v>49035.409690640816</v>
      </c>
      <c r="KF30" s="50">
        <f t="shared" ca="1" si="398"/>
        <v>56043.631776738323</v>
      </c>
      <c r="KG30" s="50">
        <f t="shared" ca="1" si="399"/>
        <v>63141.590881168318</v>
      </c>
      <c r="KH30" s="50">
        <f t="shared" ca="1" si="400"/>
        <v>74363.774572657348</v>
      </c>
      <c r="KI30" s="50">
        <f t="shared" ca="1" si="401"/>
        <v>60513.634915426082</v>
      </c>
      <c r="KJ30" s="50">
        <f t="shared" ca="1" si="402"/>
        <v>67429.199394920841</v>
      </c>
      <c r="KK30" s="50">
        <f t="shared" ca="1" si="403"/>
        <v>62945.267203759555</v>
      </c>
      <c r="KL30" s="50">
        <f t="shared" ca="1" si="404"/>
        <v>58407.756338530737</v>
      </c>
      <c r="KM30" s="50">
        <f t="shared" ca="1" si="405"/>
        <v>72199.607991316967</v>
      </c>
      <c r="KN30" s="50">
        <f t="shared" ca="1" si="406"/>
        <v>58669.205030175392</v>
      </c>
      <c r="KO30" s="50">
        <f t="shared" ca="1" si="407"/>
        <v>54079.458537504368</v>
      </c>
      <c r="KP30" s="50">
        <f t="shared" ca="1" si="408"/>
        <v>54843.415181349708</v>
      </c>
      <c r="KQ30" s="50">
        <f t="shared" ca="1" si="409"/>
        <v>63778.856839954162</v>
      </c>
      <c r="KR30" s="50">
        <f t="shared" ca="1" si="410"/>
        <v>63822.616580327653</v>
      </c>
      <c r="KS30" s="50">
        <f t="shared" ca="1" si="411"/>
        <v>56186.040561171874</v>
      </c>
      <c r="KT30" s="50">
        <f t="shared" ca="1" si="412"/>
        <v>63442.340890741005</v>
      </c>
      <c r="KU30" s="50">
        <f t="shared" ca="1" si="413"/>
        <v>71302.64949994917</v>
      </c>
      <c r="KV30" s="50">
        <f t="shared" ca="1" si="414"/>
        <v>54258.009001025413</v>
      </c>
      <c r="KW30" s="50">
        <f t="shared" ca="1" si="415"/>
        <v>59000.963078139699</v>
      </c>
      <c r="KX30" s="50">
        <f t="shared" ca="1" si="416"/>
        <v>66446.302385524992</v>
      </c>
      <c r="KY30" s="50">
        <f t="shared" ca="1" si="417"/>
        <v>68785.403700083669</v>
      </c>
      <c r="KZ30" s="50">
        <f t="shared" ca="1" si="418"/>
        <v>65184.093247383287</v>
      </c>
      <c r="LA30" s="50">
        <f t="shared" ca="1" si="419"/>
        <v>49491.386764192423</v>
      </c>
      <c r="LB30" s="50">
        <f t="shared" ca="1" si="420"/>
        <v>69952.197395543029</v>
      </c>
      <c r="LC30" s="50">
        <f t="shared" ca="1" si="421"/>
        <v>61591.305161620825</v>
      </c>
      <c r="LD30" s="50">
        <f t="shared" ca="1" si="422"/>
        <v>57822.708034721159</v>
      </c>
      <c r="LE30" s="50">
        <f t="shared" ca="1" si="423"/>
        <v>76790.052683635586</v>
      </c>
      <c r="LF30" s="50">
        <f t="shared" ca="1" si="424"/>
        <v>75502.695969571825</v>
      </c>
      <c r="LG30" s="50">
        <f t="shared" ca="1" si="425"/>
        <v>61805.202779627412</v>
      </c>
      <c r="LH30" s="50">
        <f t="shared" ca="1" si="426"/>
        <v>68876.003442529953</v>
      </c>
      <c r="LI30" s="50">
        <f t="shared" ca="1" si="427"/>
        <v>60881.545965935067</v>
      </c>
      <c r="LJ30" s="50">
        <f t="shared" ca="1" si="428"/>
        <v>50320.832966572125</v>
      </c>
      <c r="LK30" s="50">
        <f t="shared" ca="1" si="429"/>
        <v>71340.479010203911</v>
      </c>
      <c r="LL30" s="50">
        <f t="shared" ca="1" si="430"/>
        <v>58913.898961716011</v>
      </c>
      <c r="LM30" s="50">
        <f t="shared" ca="1" si="431"/>
        <v>60482.177272288209</v>
      </c>
      <c r="LN30" s="50">
        <f t="shared" ca="1" si="432"/>
        <v>70838.190363674294</v>
      </c>
      <c r="LO30" s="50">
        <f t="shared" ca="1" si="433"/>
        <v>47097.602286154084</v>
      </c>
      <c r="LP30" s="50">
        <f t="shared" ca="1" si="434"/>
        <v>45817.964997222669</v>
      </c>
      <c r="LQ30" s="50">
        <f t="shared" ca="1" si="435"/>
        <v>39272.857918966278</v>
      </c>
      <c r="LR30" s="50">
        <f t="shared" ca="1" si="436"/>
        <v>53054.795385141988</v>
      </c>
      <c r="LS30" s="50">
        <f t="shared" ca="1" si="437"/>
        <v>54139.206867469482</v>
      </c>
      <c r="LT30" s="50">
        <f t="shared" ca="1" si="438"/>
        <v>65571.354727078389</v>
      </c>
      <c r="LU30" s="50">
        <f t="shared" ca="1" si="439"/>
        <v>84975.182865883107</v>
      </c>
      <c r="LV30" s="50">
        <f t="shared" ca="1" si="440"/>
        <v>59582.549009629518</v>
      </c>
      <c r="LW30" s="50">
        <f t="shared" ca="1" si="441"/>
        <v>36061.512184873602</v>
      </c>
      <c r="LX30" s="50">
        <f t="shared" ca="1" si="442"/>
        <v>59921.978352900434</v>
      </c>
      <c r="LY30" s="50">
        <f t="shared" ca="1" si="443"/>
        <v>70217.612832860628</v>
      </c>
      <c r="LZ30" s="50">
        <f t="shared" ca="1" si="444"/>
        <v>66431.41489988401</v>
      </c>
      <c r="MA30" s="50">
        <f t="shared" ca="1" si="445"/>
        <v>48084.252406820342</v>
      </c>
      <c r="MB30" s="50">
        <f t="shared" ca="1" si="446"/>
        <v>61767.853035246895</v>
      </c>
      <c r="MC30" s="50">
        <f t="shared" ca="1" si="447"/>
        <v>52772.426967507265</v>
      </c>
      <c r="MD30" s="50">
        <f t="shared" ca="1" si="448"/>
        <v>61835.363550605274</v>
      </c>
      <c r="ME30" s="50">
        <f t="shared" ca="1" si="449"/>
        <v>55259.809334708087</v>
      </c>
      <c r="MF30" s="50">
        <f t="shared" ca="1" si="450"/>
        <v>63592.768488576468</v>
      </c>
      <c r="MG30" s="50">
        <f t="shared" ca="1" si="451"/>
        <v>53133.076163326834</v>
      </c>
      <c r="MH30" s="50">
        <f t="shared" ca="1" si="452"/>
        <v>62417.500080917758</v>
      </c>
      <c r="MI30" s="50">
        <f t="shared" ca="1" si="453"/>
        <v>59579.820871403543</v>
      </c>
      <c r="MJ30" s="50">
        <f t="shared" ca="1" si="454"/>
        <v>47855.573404295777</v>
      </c>
      <c r="MK30" s="50">
        <f t="shared" ca="1" si="455"/>
        <v>73823.087476889588</v>
      </c>
      <c r="ML30" s="50">
        <f t="shared" ca="1" si="456"/>
        <v>64495.645838564989</v>
      </c>
      <c r="MM30" s="50">
        <f t="shared" ca="1" si="457"/>
        <v>50782.327739686392</v>
      </c>
      <c r="MN30" s="50">
        <f t="shared" ca="1" si="458"/>
        <v>65766.599679723367</v>
      </c>
      <c r="MO30" s="50">
        <f t="shared" ca="1" si="459"/>
        <v>58075.966455969879</v>
      </c>
      <c r="MP30" s="50">
        <f t="shared" ca="1" si="460"/>
        <v>52026.65368192926</v>
      </c>
      <c r="MQ30" s="50">
        <f t="shared" ca="1" si="461"/>
        <v>64833.965432823694</v>
      </c>
      <c r="MR30" s="50">
        <f t="shared" ca="1" si="462"/>
        <v>46728.973974312699</v>
      </c>
      <c r="MS30" s="50">
        <f t="shared" ca="1" si="463"/>
        <v>54629.782672898291</v>
      </c>
      <c r="MT30" s="50">
        <f t="shared" ca="1" si="464"/>
        <v>67216.11024442027</v>
      </c>
      <c r="MU30" s="50">
        <f t="shared" ca="1" si="465"/>
        <v>70764.654813421366</v>
      </c>
      <c r="MV30" s="50">
        <f t="shared" ca="1" si="466"/>
        <v>64138.84614599347</v>
      </c>
      <c r="MW30" s="50">
        <f t="shared" ca="1" si="467"/>
        <v>62301.168589823843</v>
      </c>
      <c r="MX30" s="50">
        <f t="shared" ca="1" si="468"/>
        <v>65241.423112986435</v>
      </c>
      <c r="MY30" s="50">
        <f t="shared" ca="1" si="469"/>
        <v>59255.907695043417</v>
      </c>
      <c r="MZ30" s="50">
        <f t="shared" ca="1" si="470"/>
        <v>60459.729467797239</v>
      </c>
      <c r="NA30" s="50">
        <f t="shared" ca="1" si="471"/>
        <v>63760.36382070696</v>
      </c>
      <c r="NB30" s="50">
        <f t="shared" ca="1" si="472"/>
        <v>56639.721009650624</v>
      </c>
      <c r="NC30" s="50">
        <f t="shared" ca="1" si="473"/>
        <v>67747.938723080981</v>
      </c>
      <c r="ND30" s="50">
        <f t="shared" ca="1" si="474"/>
        <v>55027.666018640339</v>
      </c>
      <c r="NE30" s="50">
        <f t="shared" ca="1" si="475"/>
        <v>55493.27957815431</v>
      </c>
      <c r="NF30" s="50">
        <f t="shared" ca="1" si="476"/>
        <v>68199.393071420869</v>
      </c>
      <c r="NG30" s="50">
        <f t="shared" ca="1" si="477"/>
        <v>73196.497679236854</v>
      </c>
      <c r="NH30" s="50">
        <f t="shared" ca="1" si="478"/>
        <v>53065.859085967735</v>
      </c>
      <c r="NI30" s="50">
        <f t="shared" ca="1" si="479"/>
        <v>59305.892948006382</v>
      </c>
      <c r="NJ30" s="50">
        <f t="shared" ca="1" si="480"/>
        <v>65835.896579191583</v>
      </c>
      <c r="NK30" s="50">
        <f t="shared" ca="1" si="481"/>
        <v>68440.282180084498</v>
      </c>
      <c r="NL30" s="50">
        <f t="shared" ca="1" si="482"/>
        <v>50172.406154215467</v>
      </c>
      <c r="NM30" s="50">
        <f t="shared" ca="1" si="483"/>
        <v>62092.651119112554</v>
      </c>
      <c r="NN30" s="50">
        <f t="shared" ca="1" si="484"/>
        <v>57130.753699235051</v>
      </c>
      <c r="NO30" s="50">
        <f t="shared" ca="1" si="485"/>
        <v>65090.403116933507</v>
      </c>
      <c r="NP30" s="50">
        <f t="shared" ca="1" si="486"/>
        <v>52766.265884867025</v>
      </c>
      <c r="NQ30" s="50">
        <f t="shared" ca="1" si="487"/>
        <v>49277.846904397418</v>
      </c>
      <c r="NR30" s="50">
        <f t="shared" ca="1" si="488"/>
        <v>59657.318646011678</v>
      </c>
      <c r="NS30" s="50">
        <f t="shared" ca="1" si="489"/>
        <v>50822.348008174435</v>
      </c>
      <c r="NT30" s="50">
        <f t="shared" ca="1" si="490"/>
        <v>77998.945088940061</v>
      </c>
      <c r="NU30" s="50">
        <f t="shared" ca="1" si="491"/>
        <v>65323.205737158212</v>
      </c>
      <c r="NV30" s="50">
        <f t="shared" ca="1" si="492"/>
        <v>46103.063496306306</v>
      </c>
      <c r="NW30" s="50">
        <f t="shared" ca="1" si="493"/>
        <v>49984.176261052344</v>
      </c>
      <c r="NX30" s="50">
        <f t="shared" ca="1" si="494"/>
        <v>70641.15586247576</v>
      </c>
      <c r="NY30" s="50">
        <f t="shared" ca="1" si="495"/>
        <v>58876.65014000333</v>
      </c>
      <c r="NZ30" s="50">
        <f t="shared" ca="1" si="496"/>
        <v>65393.908758684353</v>
      </c>
      <c r="OA30" s="50">
        <f t="shared" ca="1" si="497"/>
        <v>49546.667641082233</v>
      </c>
      <c r="OB30" s="50">
        <f t="shared" ca="1" si="498"/>
        <v>75544.203088827271</v>
      </c>
      <c r="OC30" s="50">
        <f t="shared" ca="1" si="499"/>
        <v>53906.346372118765</v>
      </c>
      <c r="OD30" s="50">
        <f t="shared" ca="1" si="500"/>
        <v>52202.857794099051</v>
      </c>
      <c r="OE30" s="50">
        <f t="shared" ca="1" si="501"/>
        <v>68568.239217819864</v>
      </c>
      <c r="OF30" s="50">
        <f t="shared" ca="1" si="502"/>
        <v>68831.138585539185</v>
      </c>
      <c r="OG30" s="50">
        <f t="shared" ca="1" si="503"/>
        <v>71324.558748689175</v>
      </c>
      <c r="OH30" s="50">
        <f t="shared" ca="1" si="504"/>
        <v>72769.642646177235</v>
      </c>
      <c r="OI30" s="50">
        <f t="shared" ca="1" si="505"/>
        <v>57529.819226436171</v>
      </c>
      <c r="OJ30" s="50">
        <f t="shared" ca="1" si="506"/>
        <v>57670.490069144158</v>
      </c>
      <c r="OK30" s="50">
        <f t="shared" ca="1" si="507"/>
        <v>51454.54282414828</v>
      </c>
      <c r="OL30" s="50">
        <f t="shared" ca="1" si="508"/>
        <v>62089.852763307317</v>
      </c>
      <c r="OM30" s="50">
        <f t="shared" ca="1" si="509"/>
        <v>51409.139392310251</v>
      </c>
      <c r="ON30" s="50">
        <f t="shared" ca="1" si="510"/>
        <v>68287.335907375527</v>
      </c>
      <c r="OO30" s="50">
        <f t="shared" ca="1" si="511"/>
        <v>63613.706034189243</v>
      </c>
      <c r="OP30" s="50">
        <f t="shared" ca="1" si="512"/>
        <v>56968.526990404702</v>
      </c>
      <c r="OQ30" s="50">
        <f t="shared" ca="1" si="513"/>
        <v>61770.688899050154</v>
      </c>
      <c r="OR30" s="50">
        <f t="shared" ca="1" si="514"/>
        <v>61967.662615318513</v>
      </c>
      <c r="OS30" s="50">
        <f t="shared" ca="1" si="515"/>
        <v>55971.22016223758</v>
      </c>
      <c r="OT30" s="50">
        <f t="shared" ca="1" si="516"/>
        <v>53913.169277078698</v>
      </c>
      <c r="OU30" s="50">
        <f t="shared" ca="1" si="517"/>
        <v>46531.545933306857</v>
      </c>
      <c r="OV30" s="50">
        <f t="shared" ca="1" si="518"/>
        <v>60014.397762657565</v>
      </c>
      <c r="OW30" s="50">
        <f t="shared" ca="1" si="519"/>
        <v>56077.868327687363</v>
      </c>
      <c r="OX30" s="50">
        <f t="shared" ca="1" si="520"/>
        <v>77606.454085162113</v>
      </c>
      <c r="OY30" s="50">
        <f t="shared" ca="1" si="521"/>
        <v>53266.420333605303</v>
      </c>
      <c r="OZ30" s="50">
        <f t="shared" ca="1" si="522"/>
        <v>70219.703469513741</v>
      </c>
      <c r="PA30" s="50">
        <f t="shared" ca="1" si="523"/>
        <v>57566.884187771648</v>
      </c>
      <c r="PB30" s="50">
        <f t="shared" ca="1" si="524"/>
        <v>54474.981470994207</v>
      </c>
      <c r="PC30" s="50">
        <f t="shared" ca="1" si="525"/>
        <v>52201.544707051027</v>
      </c>
      <c r="PD30" s="50">
        <f t="shared" ca="1" si="526"/>
        <v>55544.437908125699</v>
      </c>
      <c r="PE30" s="50">
        <f t="shared" ca="1" si="527"/>
        <v>73896.617086560655</v>
      </c>
      <c r="PF30" s="50">
        <f t="shared" ca="1" si="528"/>
        <v>64363.447837419131</v>
      </c>
      <c r="PG30" s="50">
        <f t="shared" ca="1" si="529"/>
        <v>54735.843595605351</v>
      </c>
      <c r="PH30" s="50">
        <f t="shared" ca="1" si="530"/>
        <v>46507.645188495342</v>
      </c>
      <c r="PI30" s="50">
        <f t="shared" ca="1" si="531"/>
        <v>52548.720359393672</v>
      </c>
      <c r="PJ30" s="50">
        <f t="shared" ca="1" si="532"/>
        <v>67991.835318207857</v>
      </c>
      <c r="PK30" s="50">
        <f t="shared" ca="1" si="533"/>
        <v>65292.157580326755</v>
      </c>
      <c r="PL30" s="50">
        <f t="shared" ca="1" si="534"/>
        <v>72767.938886417251</v>
      </c>
      <c r="PM30" s="50">
        <f t="shared" ca="1" si="535"/>
        <v>65277.893378615721</v>
      </c>
      <c r="PN30" s="50">
        <f t="shared" ca="1" si="536"/>
        <v>53119.028978569746</v>
      </c>
      <c r="PO30" s="50">
        <f t="shared" ca="1" si="537"/>
        <v>72138.892392508205</v>
      </c>
      <c r="PP30" s="50">
        <f t="shared" ca="1" si="538"/>
        <v>56043.553973826369</v>
      </c>
      <c r="PQ30" s="50">
        <f t="shared" ca="1" si="539"/>
        <v>66025.353569871368</v>
      </c>
      <c r="PR30" s="50">
        <f t="shared" ca="1" si="540"/>
        <v>60900.733423506565</v>
      </c>
      <c r="PS30" s="50">
        <f t="shared" ca="1" si="541"/>
        <v>68625.74392380676</v>
      </c>
      <c r="PT30" s="50">
        <f t="shared" ca="1" si="542"/>
        <v>53465.276948042709</v>
      </c>
      <c r="PU30" s="50">
        <f t="shared" ca="1" si="543"/>
        <v>60702.111480987893</v>
      </c>
      <c r="PV30" s="50">
        <f t="shared" ca="1" si="544"/>
        <v>63394.03762596743</v>
      </c>
      <c r="PW30" s="50">
        <f t="shared" ca="1" si="545"/>
        <v>56345.426804942304</v>
      </c>
      <c r="PX30" s="50">
        <f t="shared" ca="1" si="546"/>
        <v>66502.259923295496</v>
      </c>
      <c r="PY30" s="50">
        <f t="shared" ca="1" si="547"/>
        <v>67725.678048790913</v>
      </c>
      <c r="PZ30" s="50">
        <f t="shared" ca="1" si="548"/>
        <v>71335.430206587931</v>
      </c>
      <c r="QA30" s="50">
        <f t="shared" ca="1" si="549"/>
        <v>53414.652818318922</v>
      </c>
      <c r="QB30" s="50">
        <f t="shared" ca="1" si="550"/>
        <v>64604.293891528709</v>
      </c>
      <c r="QC30" s="50">
        <f t="shared" ca="1" si="551"/>
        <v>66858.853320959359</v>
      </c>
      <c r="QD30" s="50">
        <f t="shared" ca="1" si="552"/>
        <v>63005.08913057582</v>
      </c>
      <c r="QE30" s="50">
        <f t="shared" ca="1" si="553"/>
        <v>60295.84601703837</v>
      </c>
      <c r="QF30" s="50">
        <f t="shared" ca="1" si="554"/>
        <v>49493.929523642648</v>
      </c>
      <c r="QG30" s="50">
        <f t="shared" ca="1" si="555"/>
        <v>51273.171396207639</v>
      </c>
      <c r="QH30" s="50">
        <f t="shared" ca="1" si="556"/>
        <v>49991.292149964262</v>
      </c>
      <c r="QI30" s="50">
        <f t="shared" ca="1" si="557"/>
        <v>49369.427730691052</v>
      </c>
      <c r="QJ30" s="50">
        <f t="shared" ca="1" si="558"/>
        <v>49680.81371014769</v>
      </c>
      <c r="QK30" s="50">
        <f t="shared" ca="1" si="559"/>
        <v>55911.891589785679</v>
      </c>
      <c r="QL30" s="50">
        <f t="shared" ca="1" si="560"/>
        <v>73458.049077500094</v>
      </c>
      <c r="QM30" s="50">
        <f t="shared" ca="1" si="561"/>
        <v>48534.720599549837</v>
      </c>
      <c r="QN30" s="50">
        <f t="shared" ca="1" si="562"/>
        <v>50277.779813645531</v>
      </c>
      <c r="QO30" s="50">
        <f t="shared" ca="1" si="563"/>
        <v>67279.611540330181</v>
      </c>
      <c r="QP30" s="50">
        <f t="shared" ca="1" si="564"/>
        <v>57884.028176928383</v>
      </c>
      <c r="QQ30" s="50">
        <f t="shared" ca="1" si="565"/>
        <v>53186.033182888015</v>
      </c>
      <c r="QR30" s="50">
        <f t="shared" ca="1" si="566"/>
        <v>58832.549250567507</v>
      </c>
      <c r="QS30" s="50">
        <f t="shared" ca="1" si="567"/>
        <v>61788.810645267971</v>
      </c>
      <c r="QT30" s="50">
        <f t="shared" ca="1" si="568"/>
        <v>44902.82402289912</v>
      </c>
      <c r="QU30" s="50">
        <f t="shared" ca="1" si="569"/>
        <v>52026.066884525906</v>
      </c>
      <c r="QV30" s="50">
        <f t="shared" ca="1" si="570"/>
        <v>58513.59782094774</v>
      </c>
      <c r="QW30" s="50">
        <f t="shared" ca="1" si="571"/>
        <v>59041.002293888174</v>
      </c>
      <c r="QX30" s="50">
        <f t="shared" ca="1" si="572"/>
        <v>67069.676080548539</v>
      </c>
      <c r="QY30" s="50">
        <f t="shared" ca="1" si="573"/>
        <v>53177.113086526777</v>
      </c>
      <c r="QZ30" s="50">
        <f t="shared" ca="1" si="574"/>
        <v>56451.756327172938</v>
      </c>
      <c r="RA30" s="50">
        <f t="shared" ca="1" si="575"/>
        <v>54689.047137254827</v>
      </c>
      <c r="RB30" s="50">
        <f t="shared" ca="1" si="576"/>
        <v>81843.007608898843</v>
      </c>
      <c r="RC30" s="50">
        <f t="shared" ca="1" si="577"/>
        <v>60972.339404063416</v>
      </c>
      <c r="RD30" s="50">
        <f t="shared" ca="1" si="578"/>
        <v>47910.262886291159</v>
      </c>
      <c r="RE30" s="50">
        <f t="shared" ca="1" si="579"/>
        <v>52332.039886887302</v>
      </c>
      <c r="RF30" s="50">
        <f t="shared" ca="1" si="580"/>
        <v>58381.69739279581</v>
      </c>
      <c r="RG30" s="50">
        <f t="shared" ca="1" si="581"/>
        <v>50932.63226632744</v>
      </c>
      <c r="RH30" s="50">
        <f t="shared" ca="1" si="582"/>
        <v>72130.620188298955</v>
      </c>
      <c r="RI30" s="50">
        <f t="shared" ca="1" si="583"/>
        <v>73280.26648368701</v>
      </c>
      <c r="RJ30" s="50">
        <f t="shared" ca="1" si="584"/>
        <v>50604.2124167371</v>
      </c>
      <c r="RK30" s="50">
        <f t="shared" ca="1" si="585"/>
        <v>70053.947960379068</v>
      </c>
      <c r="RL30" s="50">
        <f t="shared" ca="1" si="586"/>
        <v>65243.785127675568</v>
      </c>
      <c r="RM30" s="50">
        <f t="shared" ca="1" si="587"/>
        <v>53235.185679102164</v>
      </c>
      <c r="RN30" s="50">
        <f t="shared" ca="1" si="588"/>
        <v>55663.857847302577</v>
      </c>
      <c r="RO30" s="50">
        <f t="shared" ca="1" si="589"/>
        <v>48870.383759369164</v>
      </c>
      <c r="RP30" s="50">
        <f t="shared" ca="1" si="590"/>
        <v>55053.007152448517</v>
      </c>
      <c r="RQ30" s="50">
        <f t="shared" ca="1" si="591"/>
        <v>64595.353389796735</v>
      </c>
      <c r="RR30" s="50">
        <f t="shared" ca="1" si="592"/>
        <v>57599.232249004235</v>
      </c>
      <c r="RS30" s="50">
        <f t="shared" ca="1" si="593"/>
        <v>75341.998214469699</v>
      </c>
      <c r="RT30" s="50">
        <f t="shared" ca="1" si="594"/>
        <v>65811.241116384044</v>
      </c>
      <c r="RU30" s="50">
        <f t="shared" ca="1" si="595"/>
        <v>50394.598749012774</v>
      </c>
      <c r="RV30" s="50">
        <f t="shared" ca="1" si="596"/>
        <v>58725.657685998456</v>
      </c>
      <c r="RW30" s="50">
        <f t="shared" ca="1" si="597"/>
        <v>68150.139468423353</v>
      </c>
      <c r="RX30" s="50">
        <f t="shared" ca="1" si="598"/>
        <v>61572.928592152661</v>
      </c>
      <c r="RY30" s="50">
        <f t="shared" ca="1" si="599"/>
        <v>56264.172285260116</v>
      </c>
      <c r="RZ30" s="50">
        <f t="shared" ca="1" si="600"/>
        <v>52931.331700339644</v>
      </c>
      <c r="SA30" s="50">
        <f t="shared" ca="1" si="601"/>
        <v>62086.080614918523</v>
      </c>
      <c r="SB30" s="50">
        <f t="shared" ca="1" si="602"/>
        <v>65176.40910671703</v>
      </c>
      <c r="SC30" s="50">
        <f t="shared" ca="1" si="603"/>
        <v>57025.507071332271</v>
      </c>
      <c r="SD30" s="50">
        <f t="shared" ca="1" si="604"/>
        <v>48935.445104315739</v>
      </c>
      <c r="SE30" s="50">
        <f t="shared" ca="1" si="605"/>
        <v>67293.589103201157</v>
      </c>
      <c r="SF30" s="50">
        <f t="shared" ca="1" si="606"/>
        <v>63948.292196796923</v>
      </c>
      <c r="SG30" s="50">
        <f t="shared" ca="1" si="607"/>
        <v>54204.632412514693</v>
      </c>
      <c r="SH30" s="50">
        <f t="shared" ca="1" si="608"/>
        <v>55921.053868611671</v>
      </c>
      <c r="SI30" s="50">
        <f t="shared" ca="1" si="609"/>
        <v>71306.945011228381</v>
      </c>
      <c r="SJ30" s="50">
        <f t="shared" ca="1" si="610"/>
        <v>56476.062040477198</v>
      </c>
      <c r="SK30" s="50">
        <f t="shared" ca="1" si="611"/>
        <v>66323.562733131446</v>
      </c>
      <c r="SL30" s="50">
        <f t="shared" ca="1" si="612"/>
        <v>50713.312465688439</v>
      </c>
      <c r="SM30" s="50">
        <f t="shared" ca="1" si="613"/>
        <v>54226.802794323012</v>
      </c>
      <c r="SN30" s="50">
        <f t="shared" ca="1" si="614"/>
        <v>60460.058762397719</v>
      </c>
      <c r="SO30" s="50">
        <f t="shared" ca="1" si="615"/>
        <v>55265.279342826325</v>
      </c>
      <c r="SP30" s="50">
        <f t="shared" ca="1" si="616"/>
        <v>62297.787857601899</v>
      </c>
      <c r="SQ30" s="50">
        <f t="shared" ca="1" si="617"/>
        <v>61743.549044324282</v>
      </c>
      <c r="SR30" s="50">
        <f t="shared" ca="1" si="618"/>
        <v>65406.204111059051</v>
      </c>
      <c r="SS30" s="50">
        <f t="shared" ca="1" si="619"/>
        <v>62457.003681298542</v>
      </c>
      <c r="ST30" s="50">
        <f t="shared" ca="1" si="620"/>
        <v>67367.752398802913</v>
      </c>
      <c r="SU30" s="50">
        <f t="shared" ca="1" si="621"/>
        <v>58448.276459787543</v>
      </c>
      <c r="SV30" s="50">
        <f t="shared" ca="1" si="622"/>
        <v>64871.335551160359</v>
      </c>
      <c r="SW30" s="50">
        <f t="shared" ca="1" si="623"/>
        <v>40773.911623573833</v>
      </c>
      <c r="SX30" s="50">
        <f t="shared" ca="1" si="624"/>
        <v>47377.839633184813</v>
      </c>
      <c r="SY30" s="50">
        <f t="shared" ca="1" si="625"/>
        <v>53602.636586398177</v>
      </c>
      <c r="SZ30" s="50">
        <f t="shared" ca="1" si="626"/>
        <v>59189.626396336942</v>
      </c>
      <c r="TA30" s="50">
        <f t="shared" ca="1" si="627"/>
        <v>48006.218912572098</v>
      </c>
      <c r="TB30" s="50">
        <f t="shared" ca="1" si="628"/>
        <v>49920.63288525492</v>
      </c>
      <c r="TC30" s="50">
        <f t="shared" ca="1" si="629"/>
        <v>53745.626239820231</v>
      </c>
      <c r="TD30" s="50">
        <f t="shared" ca="1" si="630"/>
        <v>67769.613901067918</v>
      </c>
      <c r="TE30" s="50">
        <f t="shared" ca="1" si="631"/>
        <v>53999.02489644997</v>
      </c>
      <c r="TF30" s="50">
        <f t="shared" ca="1" si="632"/>
        <v>70340.222954775512</v>
      </c>
      <c r="TG30" s="50">
        <f t="shared" ca="1" si="633"/>
        <v>63413.832664897047</v>
      </c>
      <c r="TH30" s="50">
        <f t="shared" ca="1" si="634"/>
        <v>55853.688430137474</v>
      </c>
      <c r="TI30" s="50">
        <f t="shared" ca="1" si="635"/>
        <v>60698.101145631845</v>
      </c>
      <c r="TJ30" s="50">
        <f t="shared" ca="1" si="636"/>
        <v>68183.435722906826</v>
      </c>
      <c r="TK30" s="50">
        <f t="shared" ca="1" si="637"/>
        <v>53095.952691562714</v>
      </c>
      <c r="TL30" s="50">
        <f t="shared" ca="1" si="638"/>
        <v>56734.703096654302</v>
      </c>
      <c r="TM30" s="50">
        <f t="shared" ca="1" si="639"/>
        <v>55529.725246426569</v>
      </c>
      <c r="TN30" s="50">
        <f t="shared" ca="1" si="640"/>
        <v>48254.482651715312</v>
      </c>
      <c r="TO30" s="50">
        <f t="shared" ca="1" si="641"/>
        <v>57575.165827290897</v>
      </c>
      <c r="TP30" s="50">
        <f t="shared" ca="1" si="642"/>
        <v>55587.775947733171</v>
      </c>
      <c r="TQ30" s="50">
        <f t="shared" ca="1" si="643"/>
        <v>58890.677740121457</v>
      </c>
      <c r="TR30" s="50">
        <f t="shared" ca="1" si="644"/>
        <v>55171.073464389534</v>
      </c>
      <c r="TS30" s="50">
        <f t="shared" ca="1" si="645"/>
        <v>48563.900684359294</v>
      </c>
      <c r="TT30" s="50">
        <f t="shared" ca="1" si="646"/>
        <v>51641.360518222908</v>
      </c>
      <c r="TU30" s="50">
        <f t="shared" ca="1" si="647"/>
        <v>74075.234296820854</v>
      </c>
      <c r="TV30" s="50">
        <f t="shared" ca="1" si="648"/>
        <v>57858.092998714274</v>
      </c>
      <c r="TW30" s="50">
        <f t="shared" ca="1" si="649"/>
        <v>48521.432008086733</v>
      </c>
      <c r="TX30" s="50">
        <f t="shared" ca="1" si="650"/>
        <v>59528.243373664038</v>
      </c>
      <c r="TY30" s="50">
        <f t="shared" ca="1" si="651"/>
        <v>67501.832826156038</v>
      </c>
      <c r="TZ30" s="50">
        <f t="shared" ca="1" si="652"/>
        <v>63243.440505794642</v>
      </c>
      <c r="UA30" s="50">
        <f t="shared" ca="1" si="653"/>
        <v>54857.603529465196</v>
      </c>
      <c r="UB30" s="50">
        <f t="shared" ca="1" si="654"/>
        <v>61675.658419757841</v>
      </c>
      <c r="UC30" s="50">
        <f t="shared" ca="1" si="655"/>
        <v>61482.714141477059</v>
      </c>
      <c r="UD30" s="50">
        <f t="shared" ca="1" si="656"/>
        <v>58467.420134713822</v>
      </c>
      <c r="UE30" s="50">
        <f t="shared" ca="1" si="657"/>
        <v>42583.187867425921</v>
      </c>
      <c r="UF30" s="50">
        <f t="shared" ca="1" si="658"/>
        <v>67864.49025762525</v>
      </c>
      <c r="UG30" s="50">
        <f t="shared" ca="1" si="659"/>
        <v>53654.263149139908</v>
      </c>
      <c r="UH30" s="50">
        <f t="shared" ca="1" si="660"/>
        <v>49976.0157675421</v>
      </c>
      <c r="UI30" s="50">
        <f t="shared" ca="1" si="661"/>
        <v>52431.784375877025</v>
      </c>
      <c r="UJ30" s="50">
        <f t="shared" ca="1" si="662"/>
        <v>74366.119268935188</v>
      </c>
      <c r="UK30" s="50">
        <f t="shared" ca="1" si="663"/>
        <v>59184.202836467412</v>
      </c>
      <c r="UL30" s="50">
        <f t="shared" ca="1" si="664"/>
        <v>46782.314464374118</v>
      </c>
      <c r="UM30" s="50">
        <f t="shared" ca="1" si="665"/>
        <v>60939.643452705372</v>
      </c>
      <c r="UN30" s="50">
        <f t="shared" ca="1" si="666"/>
        <v>50012.278765736686</v>
      </c>
      <c r="UO30" s="50">
        <f t="shared" ca="1" si="667"/>
        <v>50631.226941078763</v>
      </c>
      <c r="UP30" s="50">
        <f t="shared" ca="1" si="668"/>
        <v>63255.290126397042</v>
      </c>
      <c r="UQ30" s="50">
        <f t="shared" ca="1" si="669"/>
        <v>61226.79249118569</v>
      </c>
      <c r="UR30" s="50">
        <f t="shared" ca="1" si="670"/>
        <v>67670.958295969438</v>
      </c>
      <c r="US30" s="50">
        <f t="shared" ca="1" si="671"/>
        <v>51293.588723069413</v>
      </c>
      <c r="UT30" s="50">
        <f t="shared" ca="1" si="672"/>
        <v>42259.019678217715</v>
      </c>
      <c r="UU30" s="50">
        <f t="shared" ca="1" si="673"/>
        <v>48054.488179010339</v>
      </c>
      <c r="UV30" s="50">
        <f t="shared" ca="1" si="674"/>
        <v>56790.361340068506</v>
      </c>
      <c r="UW30" s="50">
        <f t="shared" ca="1" si="675"/>
        <v>63936.254818997731</v>
      </c>
      <c r="UX30" s="50">
        <f t="shared" ca="1" si="676"/>
        <v>52481.045069098363</v>
      </c>
      <c r="UY30" s="50">
        <f t="shared" ca="1" si="677"/>
        <v>52613.105559263568</v>
      </c>
      <c r="UZ30" s="50">
        <f t="shared" ca="1" si="678"/>
        <v>64014.094776957769</v>
      </c>
      <c r="VA30" s="50">
        <f t="shared" ca="1" si="679"/>
        <v>81826.098741590336</v>
      </c>
      <c r="VB30" s="50">
        <f t="shared" ca="1" si="680"/>
        <v>52598.928266612078</v>
      </c>
      <c r="VC30" s="50">
        <f t="shared" ca="1" si="681"/>
        <v>49123.017550513447</v>
      </c>
      <c r="VD30" s="50">
        <f t="shared" ca="1" si="682"/>
        <v>74641.93639773519</v>
      </c>
      <c r="VE30" s="50">
        <f t="shared" ca="1" si="683"/>
        <v>49265.764522169047</v>
      </c>
      <c r="VF30" s="50">
        <f t="shared" ca="1" si="684"/>
        <v>50072.432535576059</v>
      </c>
      <c r="VG30" s="50">
        <f t="shared" ca="1" si="685"/>
        <v>49450.927647414042</v>
      </c>
      <c r="VH30" s="50">
        <f t="shared" ca="1" si="686"/>
        <v>54341.654811052744</v>
      </c>
      <c r="VI30" s="50">
        <f t="shared" ca="1" si="687"/>
        <v>69350.125947775829</v>
      </c>
      <c r="VJ30" s="50">
        <f t="shared" ca="1" si="688"/>
        <v>58557.761232158693</v>
      </c>
      <c r="VK30" s="50">
        <f t="shared" ca="1" si="689"/>
        <v>61869.347820831958</v>
      </c>
      <c r="VL30" s="50">
        <f t="shared" ca="1" si="690"/>
        <v>56856.223249738105</v>
      </c>
      <c r="VM30" s="50">
        <f t="shared" ca="1" si="691"/>
        <v>70209.490629452193</v>
      </c>
      <c r="VN30" s="50">
        <f t="shared" ca="1" si="692"/>
        <v>59238.59633180852</v>
      </c>
      <c r="VO30" s="50">
        <f t="shared" ca="1" si="693"/>
        <v>59664.074615349971</v>
      </c>
      <c r="VP30" s="50">
        <f t="shared" ca="1" si="694"/>
        <v>68107.279573324602</v>
      </c>
      <c r="VQ30" s="50">
        <f t="shared" ca="1" si="695"/>
        <v>67811.594333910543</v>
      </c>
      <c r="VR30" s="50">
        <f t="shared" ca="1" si="696"/>
        <v>67923.419246302263</v>
      </c>
      <c r="VS30" s="50">
        <f t="shared" ca="1" si="697"/>
        <v>80532.626035318288</v>
      </c>
      <c r="VT30" s="50">
        <f t="shared" ca="1" si="698"/>
        <v>62762.113711392536</v>
      </c>
      <c r="VU30" s="50">
        <f t="shared" ca="1" si="699"/>
        <v>57696.812284122498</v>
      </c>
      <c r="VV30" s="50">
        <f t="shared" ca="1" si="700"/>
        <v>53273.406833867608</v>
      </c>
      <c r="VW30" s="50">
        <f t="shared" ca="1" si="701"/>
        <v>66120.881298690336</v>
      </c>
      <c r="VX30" s="50">
        <f t="shared" ca="1" si="702"/>
        <v>54336.498437996874</v>
      </c>
      <c r="VY30" s="50">
        <f t="shared" ca="1" si="703"/>
        <v>46771.898048831339</v>
      </c>
      <c r="VZ30" s="50">
        <f t="shared" ca="1" si="704"/>
        <v>52853.509910923131</v>
      </c>
      <c r="WA30" s="50">
        <f t="shared" ca="1" si="705"/>
        <v>48540.070664341445</v>
      </c>
      <c r="WB30" s="50">
        <f t="shared" ca="1" si="706"/>
        <v>56880.396658996564</v>
      </c>
      <c r="WC30" s="50">
        <f t="shared" ca="1" si="707"/>
        <v>57869.208103127647</v>
      </c>
      <c r="WD30" s="50">
        <f t="shared" ca="1" si="708"/>
        <v>52876.150751838657</v>
      </c>
      <c r="WE30" s="50">
        <f t="shared" ca="1" si="709"/>
        <v>61901.391267756771</v>
      </c>
      <c r="WF30" s="50">
        <f t="shared" ca="1" si="710"/>
        <v>67835.862814366003</v>
      </c>
      <c r="WG30" s="50">
        <f t="shared" ca="1" si="711"/>
        <v>60235.112767416875</v>
      </c>
      <c r="WH30" s="50">
        <f t="shared" ca="1" si="712"/>
        <v>62665.543010263173</v>
      </c>
      <c r="WI30" s="50">
        <f t="shared" ca="1" si="713"/>
        <v>49550.59726906132</v>
      </c>
      <c r="WJ30" s="50">
        <f t="shared" ca="1" si="714"/>
        <v>54897.046720595892</v>
      </c>
      <c r="WK30" s="50">
        <f t="shared" ca="1" si="715"/>
        <v>63075.561949379691</v>
      </c>
      <c r="WL30" s="50">
        <f t="shared" ca="1" si="716"/>
        <v>60586.784443416254</v>
      </c>
      <c r="WM30" s="50">
        <f t="shared" ca="1" si="717"/>
        <v>57552.245754456118</v>
      </c>
      <c r="WN30" s="50">
        <f t="shared" ca="1" si="718"/>
        <v>55201.111081464747</v>
      </c>
      <c r="WO30" s="50">
        <f t="shared" ca="1" si="719"/>
        <v>61216.182110895148</v>
      </c>
      <c r="WP30" s="50">
        <f t="shared" ca="1" si="720"/>
        <v>59927.383619362707</v>
      </c>
      <c r="WQ30" s="50">
        <f t="shared" ca="1" si="721"/>
        <v>53136.047719799433</v>
      </c>
      <c r="WR30" s="50">
        <f t="shared" ca="1" si="722"/>
        <v>54400.524497305632</v>
      </c>
      <c r="WS30" s="50">
        <f t="shared" ca="1" si="723"/>
        <v>56027.63507913721</v>
      </c>
      <c r="WT30" s="50">
        <f t="shared" ca="1" si="724"/>
        <v>76973.209073255653</v>
      </c>
      <c r="WU30" s="50">
        <f t="shared" ca="1" si="725"/>
        <v>68301.288164904487</v>
      </c>
      <c r="WV30" s="50">
        <f t="shared" ca="1" si="726"/>
        <v>47542.650451419271</v>
      </c>
      <c r="WW30" s="50">
        <f t="shared" ca="1" si="727"/>
        <v>54328.051515803927</v>
      </c>
      <c r="WX30" s="50">
        <f t="shared" ca="1" si="728"/>
        <v>51009.267308107243</v>
      </c>
      <c r="WY30" s="50">
        <f t="shared" ca="1" si="729"/>
        <v>75881.95610092883</v>
      </c>
      <c r="WZ30" s="50">
        <f t="shared" ca="1" si="730"/>
        <v>67823.50648776743</v>
      </c>
      <c r="XA30" s="50">
        <f t="shared" ca="1" si="731"/>
        <v>55104.474600895119</v>
      </c>
      <c r="XB30" s="50">
        <f t="shared" ca="1" si="732"/>
        <v>58176.94745035073</v>
      </c>
      <c r="XC30" s="50">
        <f t="shared" ca="1" si="733"/>
        <v>79225.669291874874</v>
      </c>
      <c r="XD30" s="50">
        <f t="shared" ca="1" si="734"/>
        <v>47447.163264376788</v>
      </c>
      <c r="XE30" s="50">
        <f t="shared" ca="1" si="735"/>
        <v>65641.940594021886</v>
      </c>
      <c r="XF30" s="50">
        <f t="shared" ca="1" si="736"/>
        <v>75293.177478253303</v>
      </c>
      <c r="XG30" s="50">
        <f t="shared" ca="1" si="737"/>
        <v>51501.497633036859</v>
      </c>
      <c r="XH30" s="50">
        <f t="shared" ca="1" si="738"/>
        <v>65129.972386365553</v>
      </c>
      <c r="XI30" s="50">
        <f t="shared" ca="1" si="739"/>
        <v>47912.874088142133</v>
      </c>
      <c r="XJ30" s="50">
        <f t="shared" ca="1" si="740"/>
        <v>54123.816913757502</v>
      </c>
      <c r="XK30" s="50">
        <f t="shared" ca="1" si="741"/>
        <v>50956.730500930644</v>
      </c>
      <c r="XL30" s="50">
        <f t="shared" ca="1" si="742"/>
        <v>69675.754027309595</v>
      </c>
      <c r="XM30" s="50">
        <f t="shared" ca="1" si="743"/>
        <v>67089.041729657984</v>
      </c>
      <c r="XN30" s="50">
        <f t="shared" ca="1" si="744"/>
        <v>49876.778541755317</v>
      </c>
      <c r="XO30" s="50">
        <f t="shared" ca="1" si="745"/>
        <v>54103.887127937523</v>
      </c>
      <c r="XP30" s="50">
        <f t="shared" ca="1" si="746"/>
        <v>68081.371078514567</v>
      </c>
      <c r="XQ30" s="50">
        <f t="shared" ca="1" si="747"/>
        <v>59936.448429764605</v>
      </c>
      <c r="XR30" s="50">
        <f t="shared" ca="1" si="748"/>
        <v>70162.780878915932</v>
      </c>
      <c r="XS30" s="50">
        <f t="shared" ca="1" si="749"/>
        <v>53019.713616475492</v>
      </c>
      <c r="XT30" s="50">
        <f t="shared" ca="1" si="750"/>
        <v>68987.994486776952</v>
      </c>
      <c r="XU30" s="50">
        <f t="shared" ca="1" si="751"/>
        <v>50072.64717644237</v>
      </c>
      <c r="XV30" s="50">
        <f t="shared" ca="1" si="752"/>
        <v>58083.435461160654</v>
      </c>
      <c r="XW30" s="50">
        <f t="shared" ca="1" si="753"/>
        <v>46564.114232221007</v>
      </c>
      <c r="XX30" s="50">
        <f t="shared" ca="1" si="754"/>
        <v>68986.559585598603</v>
      </c>
      <c r="XY30" s="50">
        <f t="shared" ca="1" si="755"/>
        <v>48978.505135194559</v>
      </c>
      <c r="XZ30" s="50">
        <f t="shared" ca="1" si="756"/>
        <v>76227.238804510926</v>
      </c>
      <c r="YA30" s="50">
        <f t="shared" ca="1" si="757"/>
        <v>53770.804715764149</v>
      </c>
      <c r="YB30" s="50">
        <f t="shared" ca="1" si="758"/>
        <v>67664.381618013591</v>
      </c>
      <c r="YC30" s="50">
        <f t="shared" ca="1" si="759"/>
        <v>67729.200649655497</v>
      </c>
      <c r="YD30" s="50">
        <f t="shared" ca="1" si="760"/>
        <v>69404.585904431791</v>
      </c>
      <c r="YE30" s="50">
        <f t="shared" ca="1" si="761"/>
        <v>58409.646645891939</v>
      </c>
      <c r="YF30" s="50">
        <f t="shared" ca="1" si="762"/>
        <v>62847.17297747104</v>
      </c>
      <c r="YG30" s="50">
        <f t="shared" ca="1" si="763"/>
        <v>84579.53308066052</v>
      </c>
      <c r="YH30" s="50">
        <f t="shared" ca="1" si="764"/>
        <v>65997.784568591538</v>
      </c>
      <c r="YI30" s="50">
        <f t="shared" ca="1" si="765"/>
        <v>54744.534255602433</v>
      </c>
      <c r="YJ30" s="50">
        <f t="shared" ca="1" si="766"/>
        <v>52478.721066911443</v>
      </c>
      <c r="YK30" s="50">
        <f t="shared" ca="1" si="767"/>
        <v>50456.122089611199</v>
      </c>
      <c r="YL30" s="50">
        <f t="shared" ca="1" si="768"/>
        <v>55523.668429460449</v>
      </c>
      <c r="YM30" s="50">
        <f t="shared" ca="1" si="769"/>
        <v>55830.58301530208</v>
      </c>
      <c r="YN30" s="50">
        <f t="shared" ca="1" si="770"/>
        <v>56943.228221640777</v>
      </c>
      <c r="YO30" s="50">
        <f t="shared" ca="1" si="771"/>
        <v>45809.700758914965</v>
      </c>
      <c r="YP30" s="50">
        <f t="shared" ca="1" si="772"/>
        <v>49361.595533894651</v>
      </c>
      <c r="YQ30" s="50">
        <f t="shared" ca="1" si="773"/>
        <v>68668.416227110763</v>
      </c>
      <c r="YR30" s="50">
        <f t="shared" ca="1" si="774"/>
        <v>59132.937469433949</v>
      </c>
      <c r="YS30" s="50">
        <f t="shared" ca="1" si="775"/>
        <v>60816.982333301392</v>
      </c>
      <c r="YT30" s="50">
        <f t="shared" ca="1" si="776"/>
        <v>45623.440808791645</v>
      </c>
      <c r="YU30" s="50">
        <f t="shared" ca="1" si="777"/>
        <v>66268.748908103691</v>
      </c>
      <c r="YV30" s="50">
        <f t="shared" ca="1" si="778"/>
        <v>46973.547899202451</v>
      </c>
      <c r="YW30" s="50">
        <f t="shared" ca="1" si="779"/>
        <v>44718.908270587017</v>
      </c>
      <c r="YX30" s="50">
        <f t="shared" ca="1" si="780"/>
        <v>58471.554959698682</v>
      </c>
      <c r="YY30" s="50">
        <f t="shared" ca="1" si="781"/>
        <v>56281.762302815427</v>
      </c>
      <c r="YZ30" s="50">
        <f t="shared" ca="1" si="782"/>
        <v>50724.61748579696</v>
      </c>
      <c r="ZA30" s="50">
        <f t="shared" ca="1" si="783"/>
        <v>71711.835068326094</v>
      </c>
      <c r="ZB30" s="50">
        <f t="shared" ca="1" si="784"/>
        <v>59170.176611593677</v>
      </c>
      <c r="ZC30" s="50">
        <f t="shared" ca="1" si="785"/>
        <v>52724.671872157705</v>
      </c>
      <c r="ZD30" s="50">
        <f t="shared" ca="1" si="786"/>
        <v>54445.346241751984</v>
      </c>
      <c r="ZE30" s="50">
        <f t="shared" ca="1" si="787"/>
        <v>51954.218892866316</v>
      </c>
      <c r="ZF30" s="50">
        <f t="shared" ca="1" si="788"/>
        <v>72384.012663853922</v>
      </c>
      <c r="ZG30" s="50">
        <f t="shared" ca="1" si="789"/>
        <v>56934.853278116847</v>
      </c>
      <c r="ZH30" s="50">
        <f t="shared" ca="1" si="790"/>
        <v>52693.646932682226</v>
      </c>
      <c r="ZI30" s="50">
        <f t="shared" ca="1" si="791"/>
        <v>50963.214854169542</v>
      </c>
      <c r="ZJ30" s="50">
        <f t="shared" ca="1" si="792"/>
        <v>61351.247030117338</v>
      </c>
      <c r="ZK30" s="50">
        <f t="shared" ca="1" si="793"/>
        <v>53888.741209024636</v>
      </c>
      <c r="ZL30" s="50">
        <f t="shared" ca="1" si="794"/>
        <v>60803.921526940969</v>
      </c>
      <c r="ZM30" s="50">
        <f t="shared" ca="1" si="795"/>
        <v>64615.253503769178</v>
      </c>
      <c r="ZN30" s="50">
        <f t="shared" ca="1" si="796"/>
        <v>52328.682151150279</v>
      </c>
      <c r="ZO30" s="50">
        <f t="shared" ca="1" si="797"/>
        <v>57958.430301956687</v>
      </c>
      <c r="ZP30" s="50">
        <f t="shared" ca="1" si="798"/>
        <v>67699.482280821132</v>
      </c>
      <c r="ZQ30" s="50">
        <f t="shared" ca="1" si="799"/>
        <v>72133.369555135665</v>
      </c>
      <c r="ZR30" s="50">
        <f t="shared" ca="1" si="800"/>
        <v>56005.041825659748</v>
      </c>
      <c r="ZS30" s="50">
        <f t="shared" ca="1" si="801"/>
        <v>63673.694326702607</v>
      </c>
      <c r="ZT30" s="50">
        <f t="shared" ca="1" si="802"/>
        <v>48160.252289571545</v>
      </c>
      <c r="ZU30" s="50">
        <f t="shared" ca="1" si="803"/>
        <v>58794.545347755309</v>
      </c>
      <c r="ZV30" s="50">
        <f t="shared" ca="1" si="804"/>
        <v>70414.242861280421</v>
      </c>
      <c r="ZW30" s="50">
        <f t="shared" ca="1" si="805"/>
        <v>72028.762922979775</v>
      </c>
      <c r="ZX30" s="50">
        <f t="shared" ca="1" si="806"/>
        <v>59017.08804776027</v>
      </c>
      <c r="ZY30" s="50">
        <f t="shared" ca="1" si="807"/>
        <v>54328.174044235384</v>
      </c>
      <c r="ZZ30" s="50">
        <f t="shared" ca="1" si="808"/>
        <v>63422.700582358397</v>
      </c>
      <c r="AAA30" s="50">
        <f t="shared" ca="1" si="809"/>
        <v>51522.32925816402</v>
      </c>
      <c r="AAB30" s="50">
        <f t="shared" ca="1" si="810"/>
        <v>60648.31805576737</v>
      </c>
      <c r="AAC30" s="50">
        <f t="shared" ca="1" si="811"/>
        <v>60809.786401846184</v>
      </c>
      <c r="AAD30" s="50">
        <f t="shared" ca="1" si="812"/>
        <v>42999.074434180227</v>
      </c>
      <c r="AAE30" s="50">
        <f t="shared" ca="1" si="813"/>
        <v>58522.080149015987</v>
      </c>
      <c r="AAF30" s="50">
        <f t="shared" ca="1" si="814"/>
        <v>46216.364030321995</v>
      </c>
      <c r="AAG30" s="50">
        <f t="shared" ca="1" si="815"/>
        <v>74066.448389148238</v>
      </c>
      <c r="AAH30" s="50">
        <f t="shared" ca="1" si="816"/>
        <v>58631.562717793488</v>
      </c>
      <c r="AAI30" s="50">
        <f t="shared" ca="1" si="817"/>
        <v>84232.523783251512</v>
      </c>
      <c r="AAJ30" s="50">
        <f t="shared" ca="1" si="818"/>
        <v>64984.065830669948</v>
      </c>
      <c r="AAK30" s="50">
        <f t="shared" ca="1" si="819"/>
        <v>65314.819846418053</v>
      </c>
      <c r="AAL30" s="50">
        <f t="shared" ca="1" si="820"/>
        <v>54120.088001557167</v>
      </c>
      <c r="AAM30" s="50">
        <f t="shared" ca="1" si="821"/>
        <v>58184.03245527322</v>
      </c>
      <c r="AAN30" s="50">
        <f t="shared" ca="1" si="822"/>
        <v>67276.659049482172</v>
      </c>
      <c r="AAO30" s="50">
        <f t="shared" ca="1" si="823"/>
        <v>54692.862737907752</v>
      </c>
      <c r="AAP30" s="50">
        <f t="shared" ca="1" si="824"/>
        <v>55816.538236559369</v>
      </c>
      <c r="AAQ30" s="50">
        <f t="shared" ca="1" si="825"/>
        <v>52679.066134427878</v>
      </c>
      <c r="AAR30" s="50">
        <f t="shared" ca="1" si="826"/>
        <v>57779.290820436443</v>
      </c>
      <c r="AAS30" s="50">
        <f t="shared" ca="1" si="827"/>
        <v>72319.33358167595</v>
      </c>
      <c r="AAT30" s="50">
        <f t="shared" ca="1" si="828"/>
        <v>46274.386056143594</v>
      </c>
      <c r="AAU30" s="50">
        <f t="shared" ca="1" si="829"/>
        <v>56920.867872719376</v>
      </c>
      <c r="AAV30" s="50">
        <f t="shared" ca="1" si="830"/>
        <v>58778.356177203947</v>
      </c>
      <c r="AAW30" s="50">
        <f t="shared" ca="1" si="831"/>
        <v>66430.910536706288</v>
      </c>
      <c r="AAX30" s="50">
        <f t="shared" ca="1" si="832"/>
        <v>68503.889230336747</v>
      </c>
      <c r="AAY30" s="50">
        <f t="shared" ca="1" si="833"/>
        <v>60566.430636981604</v>
      </c>
      <c r="AAZ30" s="50">
        <f t="shared" ca="1" si="834"/>
        <v>65163.994551429358</v>
      </c>
      <c r="ABA30" s="50">
        <f t="shared" ca="1" si="835"/>
        <v>60023.282766362405</v>
      </c>
      <c r="ABB30" s="50">
        <f t="shared" ca="1" si="836"/>
        <v>54307.213806916734</v>
      </c>
      <c r="ABC30" s="50">
        <f t="shared" ca="1" si="837"/>
        <v>61110.537207921596</v>
      </c>
      <c r="ABD30" s="50">
        <f t="shared" ca="1" si="838"/>
        <v>45644.338183467058</v>
      </c>
      <c r="ABE30" s="50">
        <f t="shared" ca="1" si="839"/>
        <v>62098.465124024813</v>
      </c>
      <c r="ABF30" s="50">
        <f t="shared" ca="1" si="840"/>
        <v>54613.602083587561</v>
      </c>
      <c r="ABG30" s="50">
        <f t="shared" ca="1" si="841"/>
        <v>60647.506117809869</v>
      </c>
      <c r="ABH30" s="50">
        <f t="shared" ca="1" si="842"/>
        <v>70463.923626382268</v>
      </c>
      <c r="ABI30" s="50">
        <f t="shared" ca="1" si="843"/>
        <v>50847.536346216897</v>
      </c>
      <c r="ABJ30" s="50">
        <f t="shared" ca="1" si="844"/>
        <v>54081.109582495192</v>
      </c>
      <c r="ABK30" s="50">
        <f t="shared" ca="1" si="845"/>
        <v>71345.052133150471</v>
      </c>
      <c r="ABL30" s="50">
        <f t="shared" ca="1" si="846"/>
        <v>61807.137039181478</v>
      </c>
      <c r="ABM30" s="50">
        <f t="shared" ca="1" si="847"/>
        <v>53498.934114221607</v>
      </c>
      <c r="ABN30" s="50">
        <f t="shared" ca="1" si="848"/>
        <v>56830.811857076631</v>
      </c>
      <c r="ABO30" s="50">
        <f t="shared" ca="1" si="849"/>
        <v>53538.045643710357</v>
      </c>
      <c r="ABP30" s="50">
        <f t="shared" ca="1" si="850"/>
        <v>64953.422091787899</v>
      </c>
      <c r="ABQ30" s="50">
        <f t="shared" ca="1" si="851"/>
        <v>50447.972748321197</v>
      </c>
      <c r="ABR30" s="50">
        <f t="shared" ca="1" si="852"/>
        <v>61855.661370078284</v>
      </c>
      <c r="ABS30" s="50">
        <f t="shared" ca="1" si="853"/>
        <v>61316.807961876279</v>
      </c>
      <c r="ABT30" s="50">
        <f t="shared" ca="1" si="854"/>
        <v>55808.334616454216</v>
      </c>
      <c r="ABU30" s="50">
        <f t="shared" ca="1" si="855"/>
        <v>58984.700899460753</v>
      </c>
      <c r="ABV30" s="50">
        <f t="shared" ca="1" si="856"/>
        <v>58874.395535869706</v>
      </c>
      <c r="ABW30" s="50">
        <f t="shared" ca="1" si="857"/>
        <v>45648.070329652393</v>
      </c>
      <c r="ABX30" s="50">
        <f t="shared" ca="1" si="858"/>
        <v>63850.54525078975</v>
      </c>
      <c r="ABY30" s="50">
        <f t="shared" ca="1" si="859"/>
        <v>62313.854736107511</v>
      </c>
      <c r="ABZ30" s="50">
        <f t="shared" ca="1" si="860"/>
        <v>56796.105282700664</v>
      </c>
      <c r="ACA30" s="50">
        <f t="shared" ca="1" si="861"/>
        <v>72566.900859417539</v>
      </c>
      <c r="ACB30" s="50">
        <f t="shared" ca="1" si="862"/>
        <v>52475.040818496302</v>
      </c>
      <c r="ACC30" s="50">
        <f t="shared" ca="1" si="863"/>
        <v>54046.039123431365</v>
      </c>
      <c r="ACD30" s="50">
        <f t="shared" ca="1" si="864"/>
        <v>50663.349673620127</v>
      </c>
      <c r="ACE30" s="50">
        <f t="shared" ca="1" si="865"/>
        <v>65327.09586341837</v>
      </c>
      <c r="ACF30" s="50">
        <f t="shared" ca="1" si="866"/>
        <v>57451.233959714686</v>
      </c>
      <c r="ACG30" s="50">
        <f t="shared" ca="1" si="867"/>
        <v>61980.83030179474</v>
      </c>
      <c r="ACH30" s="50">
        <f t="shared" ca="1" si="868"/>
        <v>64458.54857170926</v>
      </c>
      <c r="ACI30" s="50">
        <f t="shared" ca="1" si="869"/>
        <v>56284.99908193481</v>
      </c>
      <c r="ACJ30" s="50">
        <f t="shared" ca="1" si="870"/>
        <v>83952.308047422412</v>
      </c>
      <c r="ACK30" s="50">
        <f t="shared" ca="1" si="871"/>
        <v>57083.265700175572</v>
      </c>
      <c r="ACL30" s="50">
        <f t="shared" ca="1" si="872"/>
        <v>48742.740116444693</v>
      </c>
      <c r="ACM30" s="50">
        <f t="shared" ca="1" si="873"/>
        <v>55653.290385208231</v>
      </c>
      <c r="ACN30" s="50">
        <f t="shared" ca="1" si="874"/>
        <v>61019.907617088611</v>
      </c>
      <c r="ACO30" s="50">
        <f t="shared" ca="1" si="875"/>
        <v>47241.972418773454</v>
      </c>
      <c r="ACP30" s="50">
        <f t="shared" ca="1" si="876"/>
        <v>66301.883396015284</v>
      </c>
      <c r="ACQ30" s="50">
        <f t="shared" ca="1" si="877"/>
        <v>55065.201351271484</v>
      </c>
      <c r="ACR30" s="50">
        <f t="shared" ca="1" si="878"/>
        <v>59545.562763221707</v>
      </c>
      <c r="ACS30" s="50">
        <f t="shared" ca="1" si="879"/>
        <v>54086.82163519274</v>
      </c>
      <c r="ACT30" s="50">
        <f t="shared" ca="1" si="880"/>
        <v>66561.088432702032</v>
      </c>
      <c r="ACU30" s="50">
        <f t="shared" ca="1" si="881"/>
        <v>55056.523189305954</v>
      </c>
      <c r="ACV30" s="50">
        <f t="shared" ca="1" si="882"/>
        <v>53961.358749141298</v>
      </c>
      <c r="ACW30" s="50">
        <f t="shared" ca="1" si="883"/>
        <v>62302.493801371034</v>
      </c>
      <c r="ACX30" s="50">
        <f t="shared" ca="1" si="884"/>
        <v>58896.951802835007</v>
      </c>
      <c r="ACY30" s="50">
        <f t="shared" ca="1" si="885"/>
        <v>50628.899242371692</v>
      </c>
      <c r="ACZ30" s="50">
        <f t="shared" ca="1" si="886"/>
        <v>72171.393922402349</v>
      </c>
      <c r="ADA30" s="50">
        <f t="shared" ca="1" si="887"/>
        <v>83685.687555812299</v>
      </c>
      <c r="ADB30" s="50">
        <f t="shared" ca="1" si="888"/>
        <v>58589.213636011336</v>
      </c>
      <c r="ADC30" s="50">
        <f t="shared" ca="1" si="889"/>
        <v>62417.621662501362</v>
      </c>
      <c r="ADD30" s="50">
        <f t="shared" ca="1" si="890"/>
        <v>51639.425526670158</v>
      </c>
      <c r="ADE30" s="50">
        <f t="shared" ca="1" si="891"/>
        <v>63039.056183945118</v>
      </c>
      <c r="ADF30" s="50">
        <f t="shared" ca="1" si="892"/>
        <v>62939.947500757116</v>
      </c>
      <c r="ADG30" s="50">
        <f t="shared" ca="1" si="893"/>
        <v>75098.075312571877</v>
      </c>
      <c r="ADH30" s="50">
        <f t="shared" ca="1" si="894"/>
        <v>50695.136406086494</v>
      </c>
      <c r="ADI30" s="50">
        <f t="shared" ca="1" si="895"/>
        <v>45783.133343425099</v>
      </c>
      <c r="ADJ30" s="50">
        <f t="shared" ca="1" si="896"/>
        <v>58703.590974670617</v>
      </c>
      <c r="ADK30" s="50">
        <f t="shared" ca="1" si="897"/>
        <v>54661.466510791673</v>
      </c>
      <c r="ADL30" s="50">
        <f t="shared" ca="1" si="898"/>
        <v>53332.439038501405</v>
      </c>
      <c r="ADM30" s="50">
        <f t="shared" ca="1" si="899"/>
        <v>55895.53941931705</v>
      </c>
      <c r="ADN30" s="50">
        <f t="shared" ca="1" si="900"/>
        <v>55970.594188770083</v>
      </c>
      <c r="ADO30" s="50">
        <f t="shared" ca="1" si="901"/>
        <v>57438.18526409084</v>
      </c>
      <c r="ADP30" s="50">
        <f t="shared" ca="1" si="902"/>
        <v>58583.734140704073</v>
      </c>
      <c r="ADQ30" s="50">
        <f t="shared" ca="1" si="903"/>
        <v>49306.934601918474</v>
      </c>
      <c r="ADR30" s="50">
        <f t="shared" ca="1" si="904"/>
        <v>54254.528611115915</v>
      </c>
      <c r="ADS30" s="50">
        <f t="shared" ca="1" si="905"/>
        <v>52851.927600516603</v>
      </c>
      <c r="ADT30" s="50">
        <f t="shared" ca="1" si="906"/>
        <v>67366.044323918293</v>
      </c>
      <c r="ADU30" s="50">
        <f t="shared" ca="1" si="907"/>
        <v>67763.075737635154</v>
      </c>
      <c r="ADV30" s="50">
        <f t="shared" ca="1" si="908"/>
        <v>71493.768258248689</v>
      </c>
      <c r="ADW30" s="50">
        <f t="shared" ca="1" si="909"/>
        <v>52266.195681579389</v>
      </c>
      <c r="ADX30" s="50">
        <f t="shared" ca="1" si="910"/>
        <v>53910.512548173079</v>
      </c>
      <c r="ADY30" s="50">
        <f t="shared" ca="1" si="911"/>
        <v>69223.706419023758</v>
      </c>
      <c r="ADZ30" s="50">
        <f t="shared" ca="1" si="912"/>
        <v>54548.035126446186</v>
      </c>
      <c r="AEA30" s="50">
        <f t="shared" ca="1" si="913"/>
        <v>51123.430748067971</v>
      </c>
      <c r="AEB30" s="50">
        <f t="shared" ca="1" si="914"/>
        <v>60883.424819560794</v>
      </c>
      <c r="AEC30" s="50">
        <f t="shared" ca="1" si="915"/>
        <v>72782.985975056843</v>
      </c>
      <c r="AED30" s="50">
        <f t="shared" ca="1" si="916"/>
        <v>74729.359540386635</v>
      </c>
      <c r="AEE30" s="50">
        <f t="shared" ca="1" si="917"/>
        <v>55205.39769901317</v>
      </c>
      <c r="AEF30" s="50">
        <f t="shared" ca="1" si="918"/>
        <v>67050.348619969693</v>
      </c>
      <c r="AEG30" s="50">
        <f t="shared" ca="1" si="919"/>
        <v>50137.464990619483</v>
      </c>
      <c r="AEH30" s="50">
        <f t="shared" ca="1" si="920"/>
        <v>64730.33963093756</v>
      </c>
      <c r="AEI30" s="50">
        <f t="shared" ca="1" si="921"/>
        <v>63966.591986206266</v>
      </c>
      <c r="AEJ30" s="50">
        <f t="shared" ca="1" si="922"/>
        <v>53859.990036149262</v>
      </c>
      <c r="AEK30" s="50">
        <f t="shared" ca="1" si="923"/>
        <v>66289.203494642206</v>
      </c>
      <c r="AEL30" s="50">
        <f t="shared" ca="1" si="924"/>
        <v>58803.871274826946</v>
      </c>
      <c r="AEM30" s="50">
        <f t="shared" ca="1" si="925"/>
        <v>69583.661805035299</v>
      </c>
      <c r="AEN30" s="50">
        <f t="shared" ca="1" si="926"/>
        <v>66060.397939247647</v>
      </c>
      <c r="AEO30" s="50">
        <f t="shared" ca="1" si="927"/>
        <v>69650.634616505951</v>
      </c>
      <c r="AEP30" s="50">
        <f t="shared" ca="1" si="928"/>
        <v>59452.496934455987</v>
      </c>
      <c r="AEQ30" s="50">
        <f t="shared" ca="1" si="929"/>
        <v>66984.449361609979</v>
      </c>
      <c r="AER30" s="50">
        <f t="shared" ca="1" si="930"/>
        <v>57059.097793532477</v>
      </c>
      <c r="AES30" s="50">
        <f t="shared" ca="1" si="931"/>
        <v>55537.117911521273</v>
      </c>
      <c r="AET30" s="50">
        <f t="shared" ca="1" si="932"/>
        <v>68039.831490120923</v>
      </c>
      <c r="AEU30" s="50">
        <f t="shared" ca="1" si="933"/>
        <v>83884.462883540182</v>
      </c>
      <c r="AEV30" s="50">
        <f t="shared" ca="1" si="934"/>
        <v>69583.569203210121</v>
      </c>
      <c r="AEW30" s="50">
        <f t="shared" ca="1" si="935"/>
        <v>78801.724772991336</v>
      </c>
      <c r="AEX30" s="50">
        <f t="shared" ca="1" si="936"/>
        <v>59124.909462828087</v>
      </c>
      <c r="AEY30" s="50">
        <f t="shared" ca="1" si="937"/>
        <v>51957.86367256449</v>
      </c>
      <c r="AEZ30" s="50">
        <f t="shared" ca="1" si="938"/>
        <v>58210.100762640148</v>
      </c>
      <c r="AFA30" s="50">
        <f t="shared" ca="1" si="939"/>
        <v>51449.377557291627</v>
      </c>
      <c r="AFB30" s="50">
        <f t="shared" ca="1" si="940"/>
        <v>54533.045619311059</v>
      </c>
      <c r="AFC30" s="50">
        <f t="shared" ca="1" si="941"/>
        <v>50542.005981725932</v>
      </c>
      <c r="AFD30" s="50">
        <f t="shared" ca="1" si="942"/>
        <v>63718.801795728323</v>
      </c>
      <c r="AFE30" s="50">
        <f t="shared" ca="1" si="943"/>
        <v>43615.022744548318</v>
      </c>
      <c r="AFF30" s="50">
        <f t="shared" ca="1" si="944"/>
        <v>59486.985428920067</v>
      </c>
      <c r="AFG30" s="50">
        <f t="shared" ca="1" si="945"/>
        <v>56521.66756390169</v>
      </c>
      <c r="AFH30" s="50">
        <f t="shared" ca="1" si="946"/>
        <v>53067.133470282359</v>
      </c>
      <c r="AFI30" s="50">
        <f t="shared" ca="1" si="947"/>
        <v>55244.306685841271</v>
      </c>
      <c r="AFJ30" s="50">
        <f t="shared" ca="1" si="948"/>
        <v>59997.113816779849</v>
      </c>
      <c r="AFK30" s="50">
        <f t="shared" ca="1" si="949"/>
        <v>58621.179924218282</v>
      </c>
      <c r="AFL30" s="50">
        <f t="shared" ca="1" si="950"/>
        <v>50831.968914745281</v>
      </c>
      <c r="AFM30" s="50">
        <f t="shared" ca="1" si="951"/>
        <v>60280.308614082314</v>
      </c>
      <c r="AFN30" s="50">
        <f t="shared" ca="1" si="952"/>
        <v>57602.567962087254</v>
      </c>
      <c r="AFO30" s="50">
        <f t="shared" ca="1" si="953"/>
        <v>55533.329352454282</v>
      </c>
      <c r="AFP30" s="50">
        <f t="shared" ca="1" si="954"/>
        <v>54814.786683692204</v>
      </c>
      <c r="AFQ30" s="50">
        <f t="shared" ca="1" si="955"/>
        <v>65092.649665570127</v>
      </c>
      <c r="AFR30" s="50">
        <f t="shared" ca="1" si="956"/>
        <v>58003.832965424132</v>
      </c>
      <c r="AFS30" s="50">
        <f t="shared" ca="1" si="957"/>
        <v>44647.669763093436</v>
      </c>
      <c r="AFT30" s="50">
        <f t="shared" ca="1" si="958"/>
        <v>59332.495981355583</v>
      </c>
      <c r="AFU30" s="50">
        <f t="shared" ca="1" si="959"/>
        <v>60599.268123732822</v>
      </c>
      <c r="AFV30" s="50">
        <f t="shared" ca="1" si="960"/>
        <v>64276.891322770105</v>
      </c>
      <c r="AFW30" s="50">
        <f t="shared" ca="1" si="961"/>
        <v>61248.361596919945</v>
      </c>
      <c r="AFX30" s="50">
        <f t="shared" ca="1" si="962"/>
        <v>65406.469390949576</v>
      </c>
      <c r="AFY30" s="50">
        <f t="shared" ca="1" si="963"/>
        <v>54833.656049887933</v>
      </c>
      <c r="AFZ30" s="50">
        <f t="shared" ca="1" si="964"/>
        <v>54788.080335429739</v>
      </c>
      <c r="AGA30" s="50">
        <f t="shared" ca="1" si="965"/>
        <v>72269.26287292823</v>
      </c>
      <c r="AGB30" s="50">
        <f t="shared" ca="1" si="966"/>
        <v>64668.567031106708</v>
      </c>
      <c r="AGC30" s="50">
        <f t="shared" ca="1" si="967"/>
        <v>65124.15325528627</v>
      </c>
      <c r="AGD30" s="50">
        <f t="shared" ca="1" si="968"/>
        <v>54327.690106201444</v>
      </c>
      <c r="AGE30" s="50">
        <f t="shared" ca="1" si="969"/>
        <v>53368.115992791812</v>
      </c>
      <c r="AGF30" s="50">
        <f t="shared" ca="1" si="970"/>
        <v>47904.633997811652</v>
      </c>
      <c r="AGG30" s="50">
        <f t="shared" ca="1" si="971"/>
        <v>61467.972794325528</v>
      </c>
      <c r="AGH30" s="50">
        <f t="shared" ca="1" si="972"/>
        <v>72480.301282259708</v>
      </c>
      <c r="AGI30" s="50">
        <f t="shared" ca="1" si="973"/>
        <v>52243.699939822887</v>
      </c>
      <c r="AGJ30" s="50">
        <f t="shared" ca="1" si="974"/>
        <v>60440.655728685779</v>
      </c>
      <c r="AGK30" s="50">
        <f t="shared" ca="1" si="975"/>
        <v>75013.626617852235</v>
      </c>
      <c r="AGL30" s="50">
        <f t="shared" ca="1" si="976"/>
        <v>55463.068045932872</v>
      </c>
      <c r="AGM30" s="50">
        <f t="shared" ca="1" si="977"/>
        <v>58861.7988181576</v>
      </c>
      <c r="AGN30" s="50">
        <f t="shared" ca="1" si="978"/>
        <v>73873.77894048726</v>
      </c>
      <c r="AGO30" s="50">
        <f t="shared" ca="1" si="979"/>
        <v>40433.016716388112</v>
      </c>
      <c r="AGP30" s="50">
        <f t="shared" ca="1" si="980"/>
        <v>58594.039789235198</v>
      </c>
      <c r="AGQ30" s="50">
        <f t="shared" ca="1" si="981"/>
        <v>70880.751758312064</v>
      </c>
      <c r="AGR30" s="50">
        <f t="shared" ca="1" si="982"/>
        <v>61916.903755069383</v>
      </c>
      <c r="AGS30" s="50">
        <f t="shared" ca="1" si="983"/>
        <v>63765.377300027751</v>
      </c>
      <c r="AGT30" s="50">
        <f t="shared" ca="1" si="984"/>
        <v>60962.96956271182</v>
      </c>
      <c r="AGU30" s="50">
        <f t="shared" ca="1" si="985"/>
        <v>66324.647119633199</v>
      </c>
      <c r="AGV30" s="50">
        <f t="shared" ca="1" si="986"/>
        <v>59863.073311803993</v>
      </c>
      <c r="AGW30" s="50">
        <f t="shared" ca="1" si="987"/>
        <v>55260.849691999581</v>
      </c>
      <c r="AGX30" s="50">
        <f t="shared" ca="1" si="988"/>
        <v>57128.231589145762</v>
      </c>
      <c r="AGY30" s="50">
        <f t="shared" ca="1" si="989"/>
        <v>61101.294531586042</v>
      </c>
      <c r="AGZ30" s="50">
        <f t="shared" ca="1" si="990"/>
        <v>51002.572583360263</v>
      </c>
      <c r="AHA30" s="50">
        <f t="shared" ca="1" si="991"/>
        <v>59421.798116066435</v>
      </c>
      <c r="AHB30" s="50">
        <f t="shared" ca="1" si="992"/>
        <v>49424.695048777008</v>
      </c>
      <c r="AHC30" s="50">
        <f t="shared" ca="1" si="993"/>
        <v>57321.556979771252</v>
      </c>
      <c r="AHD30" s="50">
        <f t="shared" ca="1" si="994"/>
        <v>45593.757310384404</v>
      </c>
      <c r="AHE30" s="50">
        <f t="shared" ca="1" si="995"/>
        <v>59949.383924949158</v>
      </c>
      <c r="AHF30" s="50">
        <f t="shared" ca="1" si="996"/>
        <v>57834.210289625029</v>
      </c>
      <c r="AHG30" s="50">
        <f t="shared" ca="1" si="997"/>
        <v>55206.233977775941</v>
      </c>
      <c r="AHH30" s="50">
        <f t="shared" ca="1" si="998"/>
        <v>64074.766939353111</v>
      </c>
      <c r="AHI30" s="50">
        <f t="shared" ca="1" si="999"/>
        <v>54642.611860463781</v>
      </c>
      <c r="AHJ30" s="50">
        <f t="shared" ca="1" si="1000"/>
        <v>85435.661977607553</v>
      </c>
      <c r="AHK30" s="50">
        <f t="shared" ca="1" si="1001"/>
        <v>50590.134202158959</v>
      </c>
      <c r="AHL30" s="50">
        <f t="shared" ca="1" si="1002"/>
        <v>58551.655752759121</v>
      </c>
      <c r="AHM30" s="50">
        <f t="shared" ca="1" si="1003"/>
        <v>65257.865131669278</v>
      </c>
      <c r="AHN30" s="50">
        <f t="shared" ca="1" si="1004"/>
        <v>68989.622197331584</v>
      </c>
      <c r="AHO30" s="50">
        <f t="shared" ca="1" si="1005"/>
        <v>52747.402725604421</v>
      </c>
      <c r="AHP30" s="50">
        <f t="shared" ca="1" si="1006"/>
        <v>52997.100703468255</v>
      </c>
      <c r="AHQ30" s="50">
        <f t="shared" ca="1" si="1007"/>
        <v>66002.227435047607</v>
      </c>
      <c r="AHR30" s="50">
        <f t="shared" ca="1" si="1008"/>
        <v>58561.226316633773</v>
      </c>
      <c r="AHS30" s="50">
        <f t="shared" ca="1" si="1009"/>
        <v>47830.147715857558</v>
      </c>
      <c r="AHT30" s="50">
        <f t="shared" ca="1" si="1010"/>
        <v>53520.24481516378</v>
      </c>
      <c r="AHU30" s="50">
        <f t="shared" ca="1" si="1011"/>
        <v>52586.213333369538</v>
      </c>
      <c r="AHV30" s="50">
        <f t="shared" ca="1" si="1012"/>
        <v>60117.711338131718</v>
      </c>
      <c r="AHW30" s="50">
        <f t="shared" ca="1" si="1013"/>
        <v>57225.674171785242</v>
      </c>
      <c r="AHX30" s="50">
        <f t="shared" ca="1" si="1014"/>
        <v>56363.515631653601</v>
      </c>
      <c r="AHY30" s="50">
        <f t="shared" ca="1" si="1015"/>
        <v>77309.456420210336</v>
      </c>
      <c r="AHZ30" s="50">
        <f t="shared" ca="1" si="1016"/>
        <v>60176.840366444674</v>
      </c>
      <c r="AIA30" s="50">
        <f t="shared" ca="1" si="1017"/>
        <v>55702.732760451239</v>
      </c>
      <c r="AIB30" s="50">
        <f t="shared" ca="1" si="1018"/>
        <v>53311.796850508923</v>
      </c>
      <c r="AIC30" s="50">
        <f t="shared" ca="1" si="1019"/>
        <v>60664.516686443603</v>
      </c>
      <c r="AID30" s="50">
        <f t="shared" ca="1" si="1020"/>
        <v>66194.469004467683</v>
      </c>
      <c r="AIE30" s="50">
        <f t="shared" ca="1" si="1021"/>
        <v>56601.527047693235</v>
      </c>
      <c r="AIF30" s="50">
        <f t="shared" ca="1" si="1022"/>
        <v>56755.226158609563</v>
      </c>
      <c r="AIG30" s="50">
        <f t="shared" ca="1" si="1023"/>
        <v>62160.209105636459</v>
      </c>
      <c r="AIH30" s="50">
        <f t="shared" ca="1" si="1024"/>
        <v>65928.316404133977</v>
      </c>
      <c r="AII30" s="50">
        <f t="shared" ca="1" si="1025"/>
        <v>58732.55561354028</v>
      </c>
      <c r="AIJ30" s="50">
        <f t="shared" ca="1" si="1026"/>
        <v>59294.799536468316</v>
      </c>
      <c r="AIK30" s="50">
        <f t="shared" ca="1" si="1027"/>
        <v>76797.459728359085</v>
      </c>
      <c r="AIL30" s="50">
        <f t="shared" ca="1" si="1028"/>
        <v>70592.521769845713</v>
      </c>
      <c r="AIM30" s="50">
        <f t="shared" ca="1" si="1029"/>
        <v>49388.104937407079</v>
      </c>
      <c r="AIN30" s="50">
        <f t="shared" ca="1" si="1030"/>
        <v>55408.094204128975</v>
      </c>
      <c r="AIO30" s="50">
        <f t="shared" ca="1" si="1031"/>
        <v>59247.590182749133</v>
      </c>
      <c r="AIP30" s="50">
        <f t="shared" ca="1" si="1032"/>
        <v>76944.61251528711</v>
      </c>
      <c r="AIQ30" s="50">
        <f t="shared" ca="1" si="1033"/>
        <v>50593.343104270432</v>
      </c>
      <c r="AIR30" s="50">
        <f t="shared" ca="1" si="1034"/>
        <v>53398.568277647624</v>
      </c>
      <c r="AIS30" s="50">
        <f t="shared" ca="1" si="1035"/>
        <v>52223.719746877563</v>
      </c>
      <c r="AIT30" s="50">
        <f t="shared" ca="1" si="1036"/>
        <v>39646.070995055372</v>
      </c>
      <c r="AIU30" s="50">
        <f t="shared" ca="1" si="1037"/>
        <v>58543.407796251835</v>
      </c>
      <c r="AIV30" s="50">
        <f t="shared" ca="1" si="1038"/>
        <v>50539.290169382795</v>
      </c>
      <c r="AIW30" s="50">
        <f t="shared" ca="1" si="1039"/>
        <v>61295.433927591032</v>
      </c>
      <c r="AIX30" s="50">
        <f t="shared" ca="1" si="1040"/>
        <v>70851.255767867406</v>
      </c>
      <c r="AIY30" s="50">
        <f t="shared" ca="1" si="1041"/>
        <v>52852.579067361745</v>
      </c>
      <c r="AIZ30" s="50">
        <f t="shared" ca="1" si="1042"/>
        <v>74954.893442173241</v>
      </c>
      <c r="AJA30" s="50">
        <f t="shared" ca="1" si="1043"/>
        <v>62057.142603565415</v>
      </c>
      <c r="AJB30" s="50">
        <f t="shared" ca="1" si="1044"/>
        <v>78509.098227041264</v>
      </c>
      <c r="AJC30" s="50">
        <f t="shared" ca="1" si="1045"/>
        <v>58152.537945261793</v>
      </c>
      <c r="AJD30" s="50">
        <f t="shared" ca="1" si="1046"/>
        <v>56532.435797789658</v>
      </c>
      <c r="AJE30" s="50">
        <f t="shared" ca="1" si="1047"/>
        <v>54987.314351829569</v>
      </c>
      <c r="AJF30" s="50">
        <f t="shared" ca="1" si="1048"/>
        <v>67362.498666500251</v>
      </c>
      <c r="AJG30" s="50">
        <f t="shared" ca="1" si="1049"/>
        <v>59671.804481599509</v>
      </c>
      <c r="AJH30" s="50">
        <f t="shared" ca="1" si="1050"/>
        <v>75375.987076705467</v>
      </c>
      <c r="AJI30" s="50">
        <f t="shared" ca="1" si="1051"/>
        <v>49490.648744025872</v>
      </c>
      <c r="AJJ30" s="50">
        <f t="shared" ca="1" si="1052"/>
        <v>61669.647496403959</v>
      </c>
      <c r="AJK30" s="50">
        <f t="shared" ca="1" si="1053"/>
        <v>51124.866599499728</v>
      </c>
      <c r="AJL30" s="50">
        <f t="shared" ca="1" si="1054"/>
        <v>56397.766126560542</v>
      </c>
      <c r="AJM30" s="50">
        <f t="shared" ca="1" si="1055"/>
        <v>55543.859455750848</v>
      </c>
      <c r="AJN30" s="50">
        <f t="shared" ca="1" si="1056"/>
        <v>70673.89139310352</v>
      </c>
      <c r="AJO30" s="50">
        <f t="shared" ca="1" si="1057"/>
        <v>58426.898191704917</v>
      </c>
      <c r="AJP30" s="50">
        <f t="shared" ca="1" si="1058"/>
        <v>66798.716363045693</v>
      </c>
      <c r="AJQ30" s="50">
        <f t="shared" ca="1" si="1059"/>
        <v>62843.001468960683</v>
      </c>
      <c r="AJR30" s="50">
        <f t="shared" ca="1" si="1060"/>
        <v>66283.167829868675</v>
      </c>
      <c r="AJS30" s="50">
        <f t="shared" ca="1" si="1061"/>
        <v>49855.391635501714</v>
      </c>
      <c r="AJT30" s="50">
        <f t="shared" ca="1" si="1062"/>
        <v>45860.824236420056</v>
      </c>
      <c r="AJU30" s="50">
        <f t="shared" ca="1" si="1063"/>
        <v>69345.176861457847</v>
      </c>
      <c r="AJV30" s="50">
        <f t="shared" ca="1" si="1064"/>
        <v>59964.436597673026</v>
      </c>
      <c r="AJW30" s="50">
        <f t="shared" ca="1" si="1065"/>
        <v>42607.002076690682</v>
      </c>
      <c r="AJX30" s="50">
        <f t="shared" ca="1" si="1066"/>
        <v>57976.9904831725</v>
      </c>
      <c r="AJY30" s="50">
        <f t="shared" ca="1" si="1067"/>
        <v>65183.64019655429</v>
      </c>
      <c r="AJZ30" s="50">
        <f t="shared" ca="1" si="1068"/>
        <v>62348.121788553617</v>
      </c>
      <c r="AKA30" s="50">
        <f t="shared" ca="1" si="1069"/>
        <v>63473.078711728216</v>
      </c>
      <c r="AKB30" s="50">
        <f t="shared" ca="1" si="1070"/>
        <v>58913.496466630895</v>
      </c>
      <c r="AKC30" s="50">
        <f t="shared" ca="1" si="1071"/>
        <v>62512.94775373146</v>
      </c>
      <c r="AKD30" s="50">
        <f t="shared" ca="1" si="1072"/>
        <v>52052.431898004957</v>
      </c>
      <c r="AKE30" s="50">
        <f t="shared" ca="1" si="1073"/>
        <v>56120.033409997428</v>
      </c>
      <c r="AKF30" s="50">
        <f t="shared" ca="1" si="1074"/>
        <v>49970.776941635639</v>
      </c>
      <c r="AKG30" s="50">
        <f t="shared" ca="1" si="1075"/>
        <v>57889.952818380239</v>
      </c>
      <c r="AKH30" s="50">
        <f t="shared" ca="1" si="1076"/>
        <v>54428.215019165531</v>
      </c>
      <c r="AKI30" s="50">
        <f t="shared" ca="1" si="1077"/>
        <v>62746.189595682554</v>
      </c>
      <c r="AKJ30" s="50">
        <f t="shared" ca="1" si="1078"/>
        <v>54926.804444369176</v>
      </c>
      <c r="AKK30" s="50">
        <f t="shared" ca="1" si="1079"/>
        <v>50548.729560789463</v>
      </c>
      <c r="AKL30" s="50">
        <f t="shared" ca="1" si="1080"/>
        <v>59039.351603151081</v>
      </c>
      <c r="AKM30" s="50">
        <f t="shared" ca="1" si="1081"/>
        <v>60455.228180463331</v>
      </c>
      <c r="AKN30" s="50">
        <f t="shared" ca="1" si="1082"/>
        <v>63231.749813755341</v>
      </c>
      <c r="AKO30" s="50">
        <f t="shared" ca="1" si="1083"/>
        <v>60984.147838320649</v>
      </c>
      <c r="AKP30" s="50">
        <f t="shared" ca="1" si="1084"/>
        <v>56800.830218333656</v>
      </c>
      <c r="AKQ30" s="50">
        <f t="shared" ca="1" si="1085"/>
        <v>45688.499882800519</v>
      </c>
      <c r="AKR30" s="50">
        <f t="shared" ca="1" si="1086"/>
        <v>55766.583450903265</v>
      </c>
      <c r="AKS30" s="50">
        <f t="shared" ca="1" si="1087"/>
        <v>54091.079102584234</v>
      </c>
      <c r="AKT30" s="50">
        <f t="shared" ca="1" si="1088"/>
        <v>55485.668624333463</v>
      </c>
      <c r="AKU30" s="50">
        <f t="shared" ca="1" si="1089"/>
        <v>53742.783452533185</v>
      </c>
      <c r="AKV30" s="50">
        <f t="shared" ca="1" si="1090"/>
        <v>48268.695903763524</v>
      </c>
      <c r="AKW30" s="50">
        <f t="shared" ca="1" si="1091"/>
        <v>61286.643828344088</v>
      </c>
      <c r="AKX30" s="50">
        <f t="shared" ca="1" si="1092"/>
        <v>60888.649445101633</v>
      </c>
      <c r="AKY30" s="50">
        <f t="shared" ca="1" si="1093"/>
        <v>56123.022898908734</v>
      </c>
      <c r="AKZ30" s="50">
        <f t="shared" ca="1" si="1094"/>
        <v>60901.15350885025</v>
      </c>
      <c r="ALA30" s="50">
        <f t="shared" ca="1" si="1095"/>
        <v>54243.618730229537</v>
      </c>
      <c r="ALB30" s="50">
        <f t="shared" ca="1" si="1096"/>
        <v>63357.228756511009</v>
      </c>
      <c r="ALC30" s="50">
        <f t="shared" ca="1" si="1097"/>
        <v>50059.904841324227</v>
      </c>
      <c r="ALD30" s="50">
        <f t="shared" ca="1" si="1098"/>
        <v>61632.426929955698</v>
      </c>
      <c r="ALE30" s="50">
        <f t="shared" ca="1" si="1099"/>
        <v>53384.15745550728</v>
      </c>
      <c r="ALF30" s="50">
        <f t="shared" ca="1" si="1100"/>
        <v>55629.139957877422</v>
      </c>
      <c r="ALG30" s="50">
        <f t="shared" ca="1" si="1101"/>
        <v>47111.474115954894</v>
      </c>
      <c r="ALH30" s="50">
        <f t="shared" ca="1" si="1102"/>
        <v>56402.45534847556</v>
      </c>
      <c r="ALI30" s="50">
        <f t="shared" ca="1" si="1103"/>
        <v>51809.83202632644</v>
      </c>
      <c r="ALJ30" s="50">
        <f t="shared" ca="1" si="1104"/>
        <v>62569.411191017833</v>
      </c>
      <c r="ALK30" s="50">
        <f t="shared" ca="1" si="1105"/>
        <v>65597.992544453286</v>
      </c>
      <c r="ALL30" s="50">
        <f t="shared" ca="1" si="1106"/>
        <v>56264.139577821232</v>
      </c>
      <c r="ALM30" s="50">
        <f t="shared" ca="1" si="1107"/>
        <v>41764.061601366317</v>
      </c>
      <c r="ALN30" s="50">
        <f t="shared" ca="1" si="1108"/>
        <v>62486.434444247388</v>
      </c>
      <c r="ALO30" s="50">
        <f t="shared" ca="1" si="1109"/>
        <v>71036.233186957295</v>
      </c>
      <c r="ALP30" s="50">
        <f t="shared" ca="1" si="1110"/>
        <v>47676.200401929069</v>
      </c>
      <c r="ALQ30" s="50">
        <f t="shared" ca="1" si="1111"/>
        <v>52975.391896248213</v>
      </c>
      <c r="ALR30" s="50">
        <f t="shared" ca="1" si="1112"/>
        <v>56188.879057896032</v>
      </c>
    </row>
    <row r="31" spans="1:1006" s="35" customFormat="1" ht="17" customHeight="1" x14ac:dyDescent="0.2">
      <c r="E31" s="51"/>
      <c r="F31" s="54">
        <f t="shared" si="1114"/>
        <v>12</v>
      </c>
      <c r="G31" s="50">
        <f ca="1">EXP(G15)*G30</f>
        <v>57757.874630671657</v>
      </c>
      <c r="H31" s="50">
        <f t="shared" ca="1" si="1113"/>
        <v>52181.633844350064</v>
      </c>
      <c r="I31" s="50">
        <f t="shared" ca="1" si="1113"/>
        <v>58183.410137835825</v>
      </c>
      <c r="J31" s="50">
        <f t="shared" ca="1" si="1113"/>
        <v>54936.742059918448</v>
      </c>
      <c r="K31" s="50">
        <f t="shared" ca="1" si="1113"/>
        <v>81455.018394384038</v>
      </c>
      <c r="L31" s="50">
        <f t="shared" ca="1" si="118"/>
        <v>77180.136159821253</v>
      </c>
      <c r="M31" s="50">
        <f t="shared" ca="1" si="119"/>
        <v>52188.996084572631</v>
      </c>
      <c r="N31" s="50">
        <f t="shared" ca="1" si="120"/>
        <v>55649.156644366441</v>
      </c>
      <c r="O31" s="50">
        <f t="shared" ca="1" si="121"/>
        <v>61052.572635101445</v>
      </c>
      <c r="P31" s="50">
        <f t="shared" ca="1" si="122"/>
        <v>56893.867719678114</v>
      </c>
      <c r="Q31" s="50">
        <f t="shared" ca="1" si="123"/>
        <v>51147.278808487747</v>
      </c>
      <c r="R31" s="50">
        <f t="shared" ca="1" si="124"/>
        <v>64155.685134483232</v>
      </c>
      <c r="S31" s="50">
        <f t="shared" ca="1" si="125"/>
        <v>68078.360454982088</v>
      </c>
      <c r="T31" s="50">
        <f t="shared" ca="1" si="126"/>
        <v>59138.100768326491</v>
      </c>
      <c r="U31" s="50">
        <f t="shared" ca="1" si="127"/>
        <v>56168.37008830376</v>
      </c>
      <c r="V31" s="50">
        <f t="shared" ca="1" si="128"/>
        <v>65689.047517913335</v>
      </c>
      <c r="W31" s="50">
        <f t="shared" ca="1" si="129"/>
        <v>58047.840997133026</v>
      </c>
      <c r="X31" s="50">
        <f t="shared" ca="1" si="130"/>
        <v>72946.637028130412</v>
      </c>
      <c r="Y31" s="50">
        <f t="shared" ca="1" si="131"/>
        <v>49059.756335542435</v>
      </c>
      <c r="Z31" s="50">
        <f t="shared" ca="1" si="132"/>
        <v>50668.107750094117</v>
      </c>
      <c r="AA31" s="50">
        <f t="shared" ca="1" si="133"/>
        <v>53958.072553119979</v>
      </c>
      <c r="AB31" s="50">
        <f t="shared" ca="1" si="134"/>
        <v>57696.994432224237</v>
      </c>
      <c r="AC31" s="50">
        <f t="shared" ca="1" si="135"/>
        <v>55735.140184399796</v>
      </c>
      <c r="AD31" s="50">
        <f t="shared" ca="1" si="136"/>
        <v>71082.783026931895</v>
      </c>
      <c r="AE31" s="50">
        <f t="shared" ca="1" si="137"/>
        <v>63364.883551358798</v>
      </c>
      <c r="AF31" s="50">
        <f t="shared" ca="1" si="138"/>
        <v>46167.472274981075</v>
      </c>
      <c r="AG31" s="50">
        <f t="shared" ca="1" si="139"/>
        <v>57080.719703388153</v>
      </c>
      <c r="AH31" s="50">
        <f t="shared" ca="1" si="140"/>
        <v>59277.991890912606</v>
      </c>
      <c r="AI31" s="50">
        <f t="shared" ca="1" si="141"/>
        <v>54249.820850820754</v>
      </c>
      <c r="AJ31" s="50">
        <f t="shared" ca="1" si="142"/>
        <v>58871.283599419956</v>
      </c>
      <c r="AK31" s="50">
        <f t="shared" ca="1" si="143"/>
        <v>55927.441720692303</v>
      </c>
      <c r="AL31" s="50">
        <f t="shared" ca="1" si="144"/>
        <v>57477.561825120596</v>
      </c>
      <c r="AM31" s="50">
        <f t="shared" ca="1" si="145"/>
        <v>61265.216390244808</v>
      </c>
      <c r="AN31" s="50">
        <f t="shared" ca="1" si="146"/>
        <v>49984.354129878018</v>
      </c>
      <c r="AO31" s="50">
        <f t="shared" ca="1" si="147"/>
        <v>54845.844057846632</v>
      </c>
      <c r="AP31" s="50">
        <f t="shared" ca="1" si="148"/>
        <v>60515.974466878171</v>
      </c>
      <c r="AQ31" s="50">
        <f t="shared" ca="1" si="149"/>
        <v>51188.450289259694</v>
      </c>
      <c r="AR31" s="50">
        <f t="shared" ca="1" si="150"/>
        <v>61338.291057981667</v>
      </c>
      <c r="AS31" s="50">
        <f t="shared" ca="1" si="151"/>
        <v>56690.475867562651</v>
      </c>
      <c r="AT31" s="50">
        <f t="shared" ca="1" si="152"/>
        <v>52243.991832798776</v>
      </c>
      <c r="AU31" s="50">
        <f t="shared" ca="1" si="153"/>
        <v>60815.873331878713</v>
      </c>
      <c r="AV31" s="50">
        <f t="shared" ca="1" si="154"/>
        <v>69229.333882765815</v>
      </c>
      <c r="AW31" s="50">
        <f t="shared" ca="1" si="155"/>
        <v>44607.107398969682</v>
      </c>
      <c r="AX31" s="50">
        <f t="shared" ca="1" si="156"/>
        <v>71264.27801461333</v>
      </c>
      <c r="AY31" s="50">
        <f t="shared" ca="1" si="157"/>
        <v>48547.205846200653</v>
      </c>
      <c r="AZ31" s="50">
        <f t="shared" ca="1" si="158"/>
        <v>52923.192167569141</v>
      </c>
      <c r="BA31" s="50">
        <f t="shared" ca="1" si="159"/>
        <v>51780.482718227882</v>
      </c>
      <c r="BB31" s="50">
        <f t="shared" ca="1" si="160"/>
        <v>71626.021442089477</v>
      </c>
      <c r="BC31" s="50">
        <f t="shared" ca="1" si="161"/>
        <v>55111.037812221504</v>
      </c>
      <c r="BD31" s="50">
        <f t="shared" ca="1" si="162"/>
        <v>53016.636527775117</v>
      </c>
      <c r="BE31" s="50">
        <f t="shared" ca="1" si="163"/>
        <v>56746.337261281304</v>
      </c>
      <c r="BF31" s="50">
        <f t="shared" ca="1" si="164"/>
        <v>53575.148087476555</v>
      </c>
      <c r="BG31" s="50">
        <f t="shared" ca="1" si="165"/>
        <v>50617.045446609765</v>
      </c>
      <c r="BH31" s="50">
        <f t="shared" ca="1" si="166"/>
        <v>56988.609409176424</v>
      </c>
      <c r="BI31" s="50">
        <f t="shared" ca="1" si="167"/>
        <v>60172.540938198872</v>
      </c>
      <c r="BJ31" s="50">
        <f t="shared" ca="1" si="168"/>
        <v>57044.733415000315</v>
      </c>
      <c r="BK31" s="50">
        <f t="shared" ca="1" si="169"/>
        <v>53590.269127215142</v>
      </c>
      <c r="BL31" s="50">
        <f t="shared" ca="1" si="170"/>
        <v>57847.201426696141</v>
      </c>
      <c r="BM31" s="50">
        <f t="shared" ca="1" si="171"/>
        <v>69028.8919818297</v>
      </c>
      <c r="BN31" s="50">
        <f t="shared" ca="1" si="172"/>
        <v>69539.996264233312</v>
      </c>
      <c r="BO31" s="50">
        <f t="shared" ca="1" si="173"/>
        <v>52554.395893293804</v>
      </c>
      <c r="BP31" s="50">
        <f t="shared" ca="1" si="174"/>
        <v>68528.988990636848</v>
      </c>
      <c r="BQ31" s="50">
        <f t="shared" ca="1" si="175"/>
        <v>58658.093880161716</v>
      </c>
      <c r="BR31" s="50">
        <f t="shared" ca="1" si="176"/>
        <v>56983.208995472451</v>
      </c>
      <c r="BS31" s="50">
        <f t="shared" ca="1" si="177"/>
        <v>48451.872333421758</v>
      </c>
      <c r="BT31" s="50">
        <f t="shared" ca="1" si="178"/>
        <v>62526.686499252035</v>
      </c>
      <c r="BU31" s="50">
        <f t="shared" ca="1" si="179"/>
        <v>58964.615582317907</v>
      </c>
      <c r="BV31" s="50">
        <f t="shared" ca="1" si="180"/>
        <v>44902.527052057922</v>
      </c>
      <c r="BW31" s="50">
        <f t="shared" ca="1" si="181"/>
        <v>51725.046718944592</v>
      </c>
      <c r="BX31" s="50">
        <f t="shared" ca="1" si="182"/>
        <v>56432.006368743554</v>
      </c>
      <c r="BY31" s="50">
        <f t="shared" ca="1" si="183"/>
        <v>59176.932128680994</v>
      </c>
      <c r="BZ31" s="50">
        <f t="shared" ca="1" si="184"/>
        <v>50701.732574581561</v>
      </c>
      <c r="CA31" s="50">
        <f t="shared" ca="1" si="185"/>
        <v>54899.99743700408</v>
      </c>
      <c r="CB31" s="50">
        <f t="shared" ca="1" si="186"/>
        <v>60264.935551971495</v>
      </c>
      <c r="CC31" s="50">
        <f t="shared" ca="1" si="187"/>
        <v>59084.712146308557</v>
      </c>
      <c r="CD31" s="50">
        <f t="shared" ca="1" si="188"/>
        <v>56837.850897327255</v>
      </c>
      <c r="CE31" s="50">
        <f t="shared" ca="1" si="189"/>
        <v>47497.490296185155</v>
      </c>
      <c r="CF31" s="50">
        <f t="shared" ca="1" si="190"/>
        <v>68660.631002972761</v>
      </c>
      <c r="CG31" s="50">
        <f t="shared" ca="1" si="191"/>
        <v>60898.445966652544</v>
      </c>
      <c r="CH31" s="50">
        <f t="shared" ca="1" si="192"/>
        <v>47847.733313871613</v>
      </c>
      <c r="CI31" s="50">
        <f t="shared" ca="1" si="193"/>
        <v>82827.269299686028</v>
      </c>
      <c r="CJ31" s="50">
        <f t="shared" ca="1" si="194"/>
        <v>52402.806688924094</v>
      </c>
      <c r="CK31" s="50">
        <f t="shared" ca="1" si="195"/>
        <v>61281.140624976259</v>
      </c>
      <c r="CL31" s="50">
        <f t="shared" ca="1" si="196"/>
        <v>72396.168999214642</v>
      </c>
      <c r="CM31" s="50">
        <f t="shared" ca="1" si="197"/>
        <v>60760.494897592493</v>
      </c>
      <c r="CN31" s="50">
        <f t="shared" ca="1" si="198"/>
        <v>55726.462490481012</v>
      </c>
      <c r="CO31" s="50">
        <f t="shared" ca="1" si="199"/>
        <v>57904.793645165235</v>
      </c>
      <c r="CP31" s="50">
        <f t="shared" ca="1" si="200"/>
        <v>66212.088128585092</v>
      </c>
      <c r="CQ31" s="50">
        <f t="shared" ca="1" si="201"/>
        <v>61408.177278187803</v>
      </c>
      <c r="CR31" s="50">
        <f t="shared" ca="1" si="202"/>
        <v>56457.482620967843</v>
      </c>
      <c r="CS31" s="50">
        <f t="shared" ca="1" si="203"/>
        <v>64721.989706835542</v>
      </c>
      <c r="CT31" s="50">
        <f t="shared" ca="1" si="204"/>
        <v>60129.800327153222</v>
      </c>
      <c r="CU31" s="50">
        <f t="shared" ca="1" si="205"/>
        <v>54487.536925259788</v>
      </c>
      <c r="CV31" s="50">
        <f t="shared" ca="1" si="206"/>
        <v>41133.674689455125</v>
      </c>
      <c r="CW31" s="50">
        <f t="shared" ca="1" si="207"/>
        <v>56847.351970862415</v>
      </c>
      <c r="CX31" s="50">
        <f t="shared" ca="1" si="208"/>
        <v>66531.159436791655</v>
      </c>
      <c r="CY31" s="50">
        <f t="shared" ca="1" si="209"/>
        <v>65227.279525008402</v>
      </c>
      <c r="CZ31" s="50">
        <f t="shared" ca="1" si="210"/>
        <v>70381.443786304808</v>
      </c>
      <c r="DA31" s="50">
        <f t="shared" ca="1" si="211"/>
        <v>66899.990838515369</v>
      </c>
      <c r="DB31" s="50">
        <f t="shared" ca="1" si="212"/>
        <v>52079.24299635669</v>
      </c>
      <c r="DC31" s="50">
        <f t="shared" ca="1" si="213"/>
        <v>52764.754193002031</v>
      </c>
      <c r="DD31" s="50">
        <f t="shared" ca="1" si="214"/>
        <v>58363.773206398997</v>
      </c>
      <c r="DE31" s="50">
        <f t="shared" ca="1" si="215"/>
        <v>60853.123631685427</v>
      </c>
      <c r="DF31" s="50">
        <f t="shared" ca="1" si="216"/>
        <v>68341.523174142145</v>
      </c>
      <c r="DG31" s="50">
        <f t="shared" ca="1" si="217"/>
        <v>47957.371807108546</v>
      </c>
      <c r="DH31" s="50">
        <f t="shared" ca="1" si="218"/>
        <v>61674.050217101081</v>
      </c>
      <c r="DI31" s="50">
        <f t="shared" ca="1" si="219"/>
        <v>47907.694496721146</v>
      </c>
      <c r="DJ31" s="50">
        <f t="shared" ca="1" si="220"/>
        <v>57572.82356629541</v>
      </c>
      <c r="DK31" s="50">
        <f t="shared" ca="1" si="221"/>
        <v>60177.562829689086</v>
      </c>
      <c r="DL31" s="50">
        <f t="shared" ca="1" si="222"/>
        <v>61927.623098508127</v>
      </c>
      <c r="DM31" s="50">
        <f t="shared" ca="1" si="223"/>
        <v>68710.433278483688</v>
      </c>
      <c r="DN31" s="50">
        <f t="shared" ca="1" si="224"/>
        <v>59750.290428034496</v>
      </c>
      <c r="DO31" s="50">
        <f t="shared" ca="1" si="225"/>
        <v>64119.909147752463</v>
      </c>
      <c r="DP31" s="50">
        <f t="shared" ca="1" si="226"/>
        <v>71269.490401824311</v>
      </c>
      <c r="DQ31" s="50">
        <f t="shared" ca="1" si="227"/>
        <v>55136.788091966097</v>
      </c>
      <c r="DR31" s="50">
        <f t="shared" ca="1" si="228"/>
        <v>50355.298777398843</v>
      </c>
      <c r="DS31" s="50">
        <f t="shared" ca="1" si="229"/>
        <v>54593.018178166953</v>
      </c>
      <c r="DT31" s="50">
        <f t="shared" ca="1" si="230"/>
        <v>67103.073169292838</v>
      </c>
      <c r="DU31" s="50">
        <f t="shared" ca="1" si="231"/>
        <v>70535.429455419959</v>
      </c>
      <c r="DV31" s="50">
        <f t="shared" ca="1" si="232"/>
        <v>54624.729784445168</v>
      </c>
      <c r="DW31" s="50">
        <f t="shared" ca="1" si="233"/>
        <v>54886.078817961155</v>
      </c>
      <c r="DX31" s="50">
        <f t="shared" ca="1" si="234"/>
        <v>56190.965838965742</v>
      </c>
      <c r="DY31" s="50">
        <f t="shared" ca="1" si="235"/>
        <v>58683.728057845125</v>
      </c>
      <c r="DZ31" s="50">
        <f t="shared" ca="1" si="236"/>
        <v>63920.337313685981</v>
      </c>
      <c r="EA31" s="50">
        <f t="shared" ca="1" si="237"/>
        <v>88812.604469895756</v>
      </c>
      <c r="EB31" s="50">
        <f t="shared" ca="1" si="238"/>
        <v>65531.308387457415</v>
      </c>
      <c r="EC31" s="50">
        <f t="shared" ca="1" si="239"/>
        <v>75228.096849677153</v>
      </c>
      <c r="ED31" s="50">
        <f t="shared" ca="1" si="240"/>
        <v>61494.411881304884</v>
      </c>
      <c r="EE31" s="50">
        <f t="shared" ca="1" si="241"/>
        <v>54865.024242003747</v>
      </c>
      <c r="EF31" s="50">
        <f t="shared" ca="1" si="242"/>
        <v>48585.024083582903</v>
      </c>
      <c r="EG31" s="50">
        <f t="shared" ca="1" si="243"/>
        <v>61344.132212909295</v>
      </c>
      <c r="EH31" s="50">
        <f t="shared" ca="1" si="244"/>
        <v>58707.393884831166</v>
      </c>
      <c r="EI31" s="50">
        <f t="shared" ca="1" si="245"/>
        <v>49564.251200622311</v>
      </c>
      <c r="EJ31" s="50">
        <f t="shared" ca="1" si="246"/>
        <v>58360.057967303495</v>
      </c>
      <c r="EK31" s="50">
        <f t="shared" ca="1" si="247"/>
        <v>55015.407269708841</v>
      </c>
      <c r="EL31" s="50">
        <f t="shared" ca="1" si="248"/>
        <v>76296.649945263373</v>
      </c>
      <c r="EM31" s="50">
        <f t="shared" ca="1" si="249"/>
        <v>58236.371033901101</v>
      </c>
      <c r="EN31" s="50">
        <f t="shared" ca="1" si="250"/>
        <v>69041.336006898331</v>
      </c>
      <c r="EO31" s="50">
        <f t="shared" ca="1" si="251"/>
        <v>50524.792624489099</v>
      </c>
      <c r="EP31" s="50">
        <f t="shared" ca="1" si="252"/>
        <v>57317.333959371259</v>
      </c>
      <c r="EQ31" s="50">
        <f t="shared" ca="1" si="253"/>
        <v>54331.027934560108</v>
      </c>
      <c r="ER31" s="50">
        <f t="shared" ca="1" si="254"/>
        <v>60706.919268683894</v>
      </c>
      <c r="ES31" s="50">
        <f t="shared" ca="1" si="255"/>
        <v>77250.181301572535</v>
      </c>
      <c r="ET31" s="50">
        <f t="shared" ca="1" si="256"/>
        <v>54213.470042129382</v>
      </c>
      <c r="EU31" s="50">
        <f t="shared" ca="1" si="257"/>
        <v>79232.895868491454</v>
      </c>
      <c r="EV31" s="50">
        <f t="shared" ca="1" si="258"/>
        <v>48432.298321962277</v>
      </c>
      <c r="EW31" s="50">
        <f t="shared" ca="1" si="259"/>
        <v>61864.787223336796</v>
      </c>
      <c r="EX31" s="50">
        <f t="shared" ca="1" si="260"/>
        <v>60619.035052875341</v>
      </c>
      <c r="EY31" s="50">
        <f t="shared" ca="1" si="261"/>
        <v>50681.98581924352</v>
      </c>
      <c r="EZ31" s="50">
        <f t="shared" ca="1" si="262"/>
        <v>52630.090332950407</v>
      </c>
      <c r="FA31" s="50">
        <f t="shared" ca="1" si="263"/>
        <v>54738.476094843907</v>
      </c>
      <c r="FB31" s="50">
        <f t="shared" ca="1" si="264"/>
        <v>72223.764061833062</v>
      </c>
      <c r="FC31" s="50">
        <f t="shared" ca="1" si="265"/>
        <v>51343.921728244139</v>
      </c>
      <c r="FD31" s="50">
        <f t="shared" ca="1" si="266"/>
        <v>60481.992957811737</v>
      </c>
      <c r="FE31" s="50">
        <f t="shared" ca="1" si="267"/>
        <v>63356.938112131866</v>
      </c>
      <c r="FF31" s="50">
        <f t="shared" ca="1" si="268"/>
        <v>56380.009720040507</v>
      </c>
      <c r="FG31" s="50">
        <f t="shared" ca="1" si="269"/>
        <v>56268.656677920953</v>
      </c>
      <c r="FH31" s="50">
        <f t="shared" ca="1" si="270"/>
        <v>60330.892932631243</v>
      </c>
      <c r="FI31" s="50">
        <f t="shared" ca="1" si="271"/>
        <v>71111.836365041861</v>
      </c>
      <c r="FJ31" s="50">
        <f t="shared" ca="1" si="272"/>
        <v>56485.615137132503</v>
      </c>
      <c r="FK31" s="50">
        <f t="shared" ca="1" si="273"/>
        <v>63737.957020793576</v>
      </c>
      <c r="FL31" s="50">
        <f t="shared" ca="1" si="274"/>
        <v>51388.730750311421</v>
      </c>
      <c r="FM31" s="50">
        <f t="shared" ca="1" si="275"/>
        <v>66147.38715059383</v>
      </c>
      <c r="FN31" s="50">
        <f t="shared" ca="1" si="276"/>
        <v>62984.175798040349</v>
      </c>
      <c r="FO31" s="50">
        <f t="shared" ca="1" si="277"/>
        <v>66500.693464839773</v>
      </c>
      <c r="FP31" s="50">
        <f t="shared" ca="1" si="278"/>
        <v>64969.445942043705</v>
      </c>
      <c r="FQ31" s="50">
        <f t="shared" ca="1" si="279"/>
        <v>64719.211741306834</v>
      </c>
      <c r="FR31" s="50">
        <f t="shared" ca="1" si="280"/>
        <v>70983.991730799971</v>
      </c>
      <c r="FS31" s="50">
        <f t="shared" ca="1" si="281"/>
        <v>62117.852476203763</v>
      </c>
      <c r="FT31" s="50">
        <f t="shared" ca="1" si="282"/>
        <v>51682.894354866534</v>
      </c>
      <c r="FU31" s="50">
        <f t="shared" ca="1" si="283"/>
        <v>60088.019895391553</v>
      </c>
      <c r="FV31" s="50">
        <f t="shared" ca="1" si="284"/>
        <v>46215.47882730078</v>
      </c>
      <c r="FW31" s="50">
        <f t="shared" ca="1" si="285"/>
        <v>70111.829670134714</v>
      </c>
      <c r="FX31" s="50">
        <f t="shared" ca="1" si="286"/>
        <v>53256.633924455709</v>
      </c>
      <c r="FY31" s="50">
        <f t="shared" ca="1" si="287"/>
        <v>55913.073141741894</v>
      </c>
      <c r="FZ31" s="50">
        <f t="shared" ca="1" si="288"/>
        <v>51780.613367273203</v>
      </c>
      <c r="GA31" s="50">
        <f t="shared" ca="1" si="289"/>
        <v>65131.282757513072</v>
      </c>
      <c r="GB31" s="50">
        <f t="shared" ca="1" si="290"/>
        <v>49579.690977539831</v>
      </c>
      <c r="GC31" s="50">
        <f t="shared" ca="1" si="291"/>
        <v>57209.419753643342</v>
      </c>
      <c r="GD31" s="50">
        <f t="shared" ca="1" si="292"/>
        <v>50985.189104864359</v>
      </c>
      <c r="GE31" s="50">
        <f t="shared" ca="1" si="293"/>
        <v>66266.146576689891</v>
      </c>
      <c r="GF31" s="50">
        <f t="shared" ca="1" si="294"/>
        <v>50143.444484077583</v>
      </c>
      <c r="GG31" s="50">
        <f t="shared" ca="1" si="295"/>
        <v>47655.333562038439</v>
      </c>
      <c r="GH31" s="50">
        <f t="shared" ca="1" si="296"/>
        <v>56006.020866004619</v>
      </c>
      <c r="GI31" s="50">
        <f t="shared" ca="1" si="297"/>
        <v>54227.272985910291</v>
      </c>
      <c r="GJ31" s="50">
        <f t="shared" ca="1" si="298"/>
        <v>61870.556382648523</v>
      </c>
      <c r="GK31" s="50">
        <f t="shared" ca="1" si="299"/>
        <v>54287.879970558075</v>
      </c>
      <c r="GL31" s="50">
        <f t="shared" ca="1" si="300"/>
        <v>48750.016980464781</v>
      </c>
      <c r="GM31" s="50">
        <f t="shared" ca="1" si="301"/>
        <v>44163.845401728526</v>
      </c>
      <c r="GN31" s="50">
        <f t="shared" ca="1" si="302"/>
        <v>58563.444269926134</v>
      </c>
      <c r="GO31" s="50">
        <f t="shared" ca="1" si="303"/>
        <v>73935.996625517248</v>
      </c>
      <c r="GP31" s="50">
        <f t="shared" ca="1" si="304"/>
        <v>62702.305920372026</v>
      </c>
      <c r="GQ31" s="50">
        <f t="shared" ca="1" si="305"/>
        <v>65910.186148379667</v>
      </c>
      <c r="GR31" s="50">
        <f t="shared" ca="1" si="306"/>
        <v>64811.511761067864</v>
      </c>
      <c r="GS31" s="50">
        <f t="shared" ca="1" si="307"/>
        <v>58872.614893199498</v>
      </c>
      <c r="GT31" s="50">
        <f t="shared" ca="1" si="308"/>
        <v>49623.011242365224</v>
      </c>
      <c r="GU31" s="50">
        <f t="shared" ca="1" si="309"/>
        <v>53896.628134817474</v>
      </c>
      <c r="GV31" s="50">
        <f t="shared" ca="1" si="310"/>
        <v>66720.301236419371</v>
      </c>
      <c r="GW31" s="50">
        <f t="shared" ca="1" si="311"/>
        <v>59769.68808686619</v>
      </c>
      <c r="GX31" s="50">
        <f t="shared" ca="1" si="312"/>
        <v>62595.582156569908</v>
      </c>
      <c r="GY31" s="50">
        <f t="shared" ca="1" si="313"/>
        <v>65984.813507718514</v>
      </c>
      <c r="GZ31" s="50">
        <f t="shared" ca="1" si="314"/>
        <v>56881.281681444423</v>
      </c>
      <c r="HA31" s="50">
        <f t="shared" ca="1" si="315"/>
        <v>53703.550136658429</v>
      </c>
      <c r="HB31" s="50">
        <f t="shared" ca="1" si="316"/>
        <v>55274.150182186742</v>
      </c>
      <c r="HC31" s="50">
        <f t="shared" ca="1" si="317"/>
        <v>64940.174866170346</v>
      </c>
      <c r="HD31" s="50">
        <f t="shared" ca="1" si="318"/>
        <v>41871.568601078092</v>
      </c>
      <c r="HE31" s="50">
        <f t="shared" ca="1" si="319"/>
        <v>54027.198075643093</v>
      </c>
      <c r="HF31" s="50">
        <f t="shared" ca="1" si="320"/>
        <v>51988.088464654604</v>
      </c>
      <c r="HG31" s="50">
        <f t="shared" ca="1" si="321"/>
        <v>53306.380985022479</v>
      </c>
      <c r="HH31" s="50">
        <f t="shared" ca="1" si="322"/>
        <v>63879.838638166657</v>
      </c>
      <c r="HI31" s="50">
        <f t="shared" ca="1" si="323"/>
        <v>60042.850630552144</v>
      </c>
      <c r="HJ31" s="50">
        <f t="shared" ca="1" si="324"/>
        <v>55419.966879027001</v>
      </c>
      <c r="HK31" s="50">
        <f t="shared" ca="1" si="325"/>
        <v>63695.585308592388</v>
      </c>
      <c r="HL31" s="50">
        <f t="shared" ca="1" si="326"/>
        <v>63001.960631529982</v>
      </c>
      <c r="HM31" s="50">
        <f t="shared" ca="1" si="327"/>
        <v>67364.2985699204</v>
      </c>
      <c r="HN31" s="50">
        <f t="shared" ca="1" si="328"/>
        <v>61019.208158648762</v>
      </c>
      <c r="HO31" s="50">
        <f t="shared" ca="1" si="329"/>
        <v>68009.632994140979</v>
      </c>
      <c r="HP31" s="50">
        <f t="shared" ca="1" si="330"/>
        <v>71021.272132248967</v>
      </c>
      <c r="HQ31" s="50">
        <f t="shared" ca="1" si="331"/>
        <v>72725.970695040975</v>
      </c>
      <c r="HR31" s="50">
        <f t="shared" ca="1" si="332"/>
        <v>59889.342134607701</v>
      </c>
      <c r="HS31" s="50">
        <f t="shared" ca="1" si="333"/>
        <v>69486.392121571218</v>
      </c>
      <c r="HT31" s="50">
        <f t="shared" ca="1" si="334"/>
        <v>57629.867927539621</v>
      </c>
      <c r="HU31" s="50">
        <f t="shared" ca="1" si="335"/>
        <v>55066.467359541857</v>
      </c>
      <c r="HV31" s="50">
        <f t="shared" ca="1" si="336"/>
        <v>56923.061822857708</v>
      </c>
      <c r="HW31" s="50">
        <f t="shared" ca="1" si="337"/>
        <v>50239.872236498915</v>
      </c>
      <c r="HX31" s="50">
        <f t="shared" ca="1" si="338"/>
        <v>70836.345829505226</v>
      </c>
      <c r="HY31" s="50">
        <f t="shared" ca="1" si="339"/>
        <v>49307.74797449648</v>
      </c>
      <c r="HZ31" s="50">
        <f t="shared" ca="1" si="340"/>
        <v>70457.403739055037</v>
      </c>
      <c r="IA31" s="50">
        <f t="shared" ca="1" si="341"/>
        <v>59659.122047688448</v>
      </c>
      <c r="IB31" s="50">
        <f t="shared" ca="1" si="342"/>
        <v>54868.155749761645</v>
      </c>
      <c r="IC31" s="50">
        <f t="shared" ca="1" si="343"/>
        <v>73608.437675935464</v>
      </c>
      <c r="ID31" s="50">
        <f t="shared" ca="1" si="344"/>
        <v>61078.142429172171</v>
      </c>
      <c r="IE31" s="50">
        <f t="shared" ca="1" si="345"/>
        <v>60419.887202808823</v>
      </c>
      <c r="IF31" s="50">
        <f t="shared" ca="1" si="346"/>
        <v>49378.517853567122</v>
      </c>
      <c r="IG31" s="50">
        <f t="shared" ca="1" si="347"/>
        <v>56187.210412480214</v>
      </c>
      <c r="IH31" s="50">
        <f t="shared" ca="1" si="348"/>
        <v>62171.631090568808</v>
      </c>
      <c r="II31" s="50">
        <f t="shared" ca="1" si="349"/>
        <v>69334.288280576555</v>
      </c>
      <c r="IJ31" s="50">
        <f t="shared" ca="1" si="350"/>
        <v>54223.471007983753</v>
      </c>
      <c r="IK31" s="50">
        <f t="shared" ca="1" si="351"/>
        <v>63767.505402485171</v>
      </c>
      <c r="IL31" s="50">
        <f t="shared" ca="1" si="352"/>
        <v>64531.048281848707</v>
      </c>
      <c r="IM31" s="50">
        <f t="shared" ca="1" si="353"/>
        <v>52552.139150007504</v>
      </c>
      <c r="IN31" s="50">
        <f t="shared" ca="1" si="354"/>
        <v>69652.404241389842</v>
      </c>
      <c r="IO31" s="50">
        <f t="shared" ca="1" si="355"/>
        <v>57449.182287115342</v>
      </c>
      <c r="IP31" s="50">
        <f t="shared" ca="1" si="356"/>
        <v>59263.894528405006</v>
      </c>
      <c r="IQ31" s="50">
        <f t="shared" ca="1" si="357"/>
        <v>54847.823103453193</v>
      </c>
      <c r="IR31" s="50">
        <f t="shared" ca="1" si="358"/>
        <v>65230.418618035139</v>
      </c>
      <c r="IS31" s="50">
        <f t="shared" ca="1" si="359"/>
        <v>62673.758900620916</v>
      </c>
      <c r="IT31" s="50">
        <f t="shared" ca="1" si="360"/>
        <v>61109.749262969555</v>
      </c>
      <c r="IU31" s="50">
        <f t="shared" ca="1" si="361"/>
        <v>68007.416684767246</v>
      </c>
      <c r="IV31" s="50">
        <f t="shared" ca="1" si="362"/>
        <v>55594.559677852725</v>
      </c>
      <c r="IW31" s="50">
        <f t="shared" ca="1" si="363"/>
        <v>48392.207397913597</v>
      </c>
      <c r="IX31" s="50">
        <f t="shared" ca="1" si="364"/>
        <v>75569.923956815546</v>
      </c>
      <c r="IY31" s="50">
        <f t="shared" ca="1" si="365"/>
        <v>53161.649062502307</v>
      </c>
      <c r="IZ31" s="50">
        <f t="shared" ca="1" si="366"/>
        <v>72498.335644303239</v>
      </c>
      <c r="JA31" s="50">
        <f t="shared" ca="1" si="367"/>
        <v>48007.834019603251</v>
      </c>
      <c r="JB31" s="50">
        <f t="shared" ca="1" si="368"/>
        <v>60155.369492626538</v>
      </c>
      <c r="JC31" s="50">
        <f t="shared" ca="1" si="369"/>
        <v>58203.222413051502</v>
      </c>
      <c r="JD31" s="50">
        <f t="shared" ca="1" si="370"/>
        <v>58793.406487875603</v>
      </c>
      <c r="JE31" s="50">
        <f t="shared" ca="1" si="371"/>
        <v>63989.880983435389</v>
      </c>
      <c r="JF31" s="50">
        <f t="shared" ca="1" si="372"/>
        <v>65082.126041485259</v>
      </c>
      <c r="JG31" s="50">
        <f t="shared" ca="1" si="373"/>
        <v>63822.943938851407</v>
      </c>
      <c r="JH31" s="50">
        <f t="shared" ca="1" si="374"/>
        <v>60310.867348706917</v>
      </c>
      <c r="JI31" s="50">
        <f t="shared" ca="1" si="375"/>
        <v>55776.25702640105</v>
      </c>
      <c r="JJ31" s="50">
        <f t="shared" ca="1" si="376"/>
        <v>62157.042608388561</v>
      </c>
      <c r="JK31" s="50">
        <f t="shared" ca="1" si="377"/>
        <v>57286.825081173971</v>
      </c>
      <c r="JL31" s="50">
        <f t="shared" ca="1" si="378"/>
        <v>63970.822235635394</v>
      </c>
      <c r="JM31" s="50">
        <f t="shared" ca="1" si="379"/>
        <v>55135.419214596914</v>
      </c>
      <c r="JN31" s="50">
        <f t="shared" ca="1" si="380"/>
        <v>64380.892038561396</v>
      </c>
      <c r="JO31" s="50">
        <f t="shared" ca="1" si="381"/>
        <v>56437.321652129525</v>
      </c>
      <c r="JP31" s="50">
        <f t="shared" ca="1" si="382"/>
        <v>46644.067036871718</v>
      </c>
      <c r="JQ31" s="50">
        <f t="shared" ca="1" si="383"/>
        <v>54554.385516571361</v>
      </c>
      <c r="JR31" s="50">
        <f t="shared" ca="1" si="384"/>
        <v>73921.60130713442</v>
      </c>
      <c r="JS31" s="50">
        <f t="shared" ca="1" si="385"/>
        <v>64012.461306548161</v>
      </c>
      <c r="JT31" s="50">
        <f t="shared" ca="1" si="386"/>
        <v>63363.553560904707</v>
      </c>
      <c r="JU31" s="50">
        <f t="shared" ca="1" si="387"/>
        <v>55921.071850719534</v>
      </c>
      <c r="JV31" s="50">
        <f t="shared" ca="1" si="388"/>
        <v>45847.70872587592</v>
      </c>
      <c r="JW31" s="50">
        <f t="shared" ca="1" si="389"/>
        <v>67909.390328650625</v>
      </c>
      <c r="JX31" s="50">
        <f t="shared" ca="1" si="390"/>
        <v>58576.645385710333</v>
      </c>
      <c r="JY31" s="50">
        <f t="shared" ca="1" si="391"/>
        <v>73509.737025862123</v>
      </c>
      <c r="JZ31" s="50">
        <f t="shared" ca="1" si="392"/>
        <v>59365.676314656455</v>
      </c>
      <c r="KA31" s="50">
        <f t="shared" ca="1" si="393"/>
        <v>70198.330930686803</v>
      </c>
      <c r="KB31" s="50">
        <f t="shared" ca="1" si="394"/>
        <v>53522.536160417032</v>
      </c>
      <c r="KC31" s="50">
        <f t="shared" ca="1" si="395"/>
        <v>63453.881772973611</v>
      </c>
      <c r="KD31" s="50">
        <f t="shared" ca="1" si="396"/>
        <v>61650.82636771223</v>
      </c>
      <c r="KE31" s="50">
        <f t="shared" ca="1" si="397"/>
        <v>49420.88396067392</v>
      </c>
      <c r="KF31" s="50">
        <f t="shared" ca="1" si="398"/>
        <v>57185.857449901654</v>
      </c>
      <c r="KG31" s="50">
        <f t="shared" ca="1" si="399"/>
        <v>62247.676889479844</v>
      </c>
      <c r="KH31" s="50">
        <f t="shared" ca="1" si="400"/>
        <v>74517.251467439288</v>
      </c>
      <c r="KI31" s="50">
        <f t="shared" ca="1" si="401"/>
        <v>60350.441121386306</v>
      </c>
      <c r="KJ31" s="50">
        <f t="shared" ca="1" si="402"/>
        <v>68004.902013997926</v>
      </c>
      <c r="KK31" s="50">
        <f t="shared" ca="1" si="403"/>
        <v>62883.708042768143</v>
      </c>
      <c r="KL31" s="50">
        <f t="shared" ca="1" si="404"/>
        <v>60818.209763515115</v>
      </c>
      <c r="KM31" s="50">
        <f t="shared" ca="1" si="405"/>
        <v>74752.531896674831</v>
      </c>
      <c r="KN31" s="50">
        <f t="shared" ca="1" si="406"/>
        <v>55668.386825178626</v>
      </c>
      <c r="KO31" s="50">
        <f t="shared" ca="1" si="407"/>
        <v>55973.713148804723</v>
      </c>
      <c r="KP31" s="50">
        <f t="shared" ca="1" si="408"/>
        <v>54579.872696927749</v>
      </c>
      <c r="KQ31" s="50">
        <f t="shared" ca="1" si="409"/>
        <v>66677.622511768132</v>
      </c>
      <c r="KR31" s="50">
        <f t="shared" ca="1" si="410"/>
        <v>63009.681802694839</v>
      </c>
      <c r="KS31" s="50">
        <f t="shared" ca="1" si="411"/>
        <v>55763.781479961333</v>
      </c>
      <c r="KT31" s="50">
        <f t="shared" ca="1" si="412"/>
        <v>63006.793231525138</v>
      </c>
      <c r="KU31" s="50">
        <f t="shared" ca="1" si="413"/>
        <v>69611.991622498725</v>
      </c>
      <c r="KV31" s="50">
        <f t="shared" ca="1" si="414"/>
        <v>53101.926591750896</v>
      </c>
      <c r="KW31" s="50">
        <f t="shared" ca="1" si="415"/>
        <v>59211.939052716698</v>
      </c>
      <c r="KX31" s="50">
        <f t="shared" ca="1" si="416"/>
        <v>63999.529966143593</v>
      </c>
      <c r="KY31" s="50">
        <f t="shared" ca="1" si="417"/>
        <v>67764.936794959955</v>
      </c>
      <c r="KZ31" s="50">
        <f t="shared" ca="1" si="418"/>
        <v>68745.165895143087</v>
      </c>
      <c r="LA31" s="50">
        <f t="shared" ca="1" si="419"/>
        <v>49002.248396190269</v>
      </c>
      <c r="LB31" s="50">
        <f t="shared" ca="1" si="420"/>
        <v>71902.188107208771</v>
      </c>
      <c r="LC31" s="50">
        <f t="shared" ca="1" si="421"/>
        <v>59402.577109735263</v>
      </c>
      <c r="LD31" s="50">
        <f t="shared" ca="1" si="422"/>
        <v>59302.574769608138</v>
      </c>
      <c r="LE31" s="50">
        <f t="shared" ca="1" si="423"/>
        <v>78720.833256325335</v>
      </c>
      <c r="LF31" s="50">
        <f t="shared" ca="1" si="424"/>
        <v>75486.513589245646</v>
      </c>
      <c r="LG31" s="50">
        <f t="shared" ca="1" si="425"/>
        <v>55827.603666953881</v>
      </c>
      <c r="LH31" s="50">
        <f t="shared" ca="1" si="426"/>
        <v>67181.382658584625</v>
      </c>
      <c r="LI31" s="50">
        <f t="shared" ca="1" si="427"/>
        <v>58234.471059190975</v>
      </c>
      <c r="LJ31" s="50">
        <f t="shared" ca="1" si="428"/>
        <v>49134.73088798354</v>
      </c>
      <c r="LK31" s="50">
        <f t="shared" ca="1" si="429"/>
        <v>70584.768024325298</v>
      </c>
      <c r="LL31" s="50">
        <f t="shared" ca="1" si="430"/>
        <v>57425.127353030191</v>
      </c>
      <c r="LM31" s="50">
        <f t="shared" ca="1" si="431"/>
        <v>60616.484453756268</v>
      </c>
      <c r="LN31" s="50">
        <f t="shared" ca="1" si="432"/>
        <v>71325.911815583851</v>
      </c>
      <c r="LO31" s="50">
        <f t="shared" ca="1" si="433"/>
        <v>49166.212279958585</v>
      </c>
      <c r="LP31" s="50">
        <f t="shared" ca="1" si="434"/>
        <v>47899.223779490989</v>
      </c>
      <c r="LQ31" s="50">
        <f t="shared" ca="1" si="435"/>
        <v>40852.942571743297</v>
      </c>
      <c r="LR31" s="50">
        <f t="shared" ca="1" si="436"/>
        <v>54268.157061817757</v>
      </c>
      <c r="LS31" s="50">
        <f t="shared" ca="1" si="437"/>
        <v>53557.393587350394</v>
      </c>
      <c r="LT31" s="50">
        <f t="shared" ca="1" si="438"/>
        <v>64646.642207795383</v>
      </c>
      <c r="LU31" s="50">
        <f t="shared" ca="1" si="439"/>
        <v>87008.362557748114</v>
      </c>
      <c r="LV31" s="50">
        <f t="shared" ca="1" si="440"/>
        <v>59988.055913771415</v>
      </c>
      <c r="LW31" s="50">
        <f t="shared" ca="1" si="441"/>
        <v>38081.720809947139</v>
      </c>
      <c r="LX31" s="50">
        <f t="shared" ca="1" si="442"/>
        <v>63247.681536011936</v>
      </c>
      <c r="LY31" s="50">
        <f t="shared" ca="1" si="443"/>
        <v>65313.491924683127</v>
      </c>
      <c r="LZ31" s="50">
        <f t="shared" ca="1" si="444"/>
        <v>64629.82770263595</v>
      </c>
      <c r="MA31" s="50">
        <f t="shared" ca="1" si="445"/>
        <v>51450.619845778812</v>
      </c>
      <c r="MB31" s="50">
        <f t="shared" ca="1" si="446"/>
        <v>56628.0396825055</v>
      </c>
      <c r="MC31" s="50">
        <f t="shared" ca="1" si="447"/>
        <v>52345.736437145613</v>
      </c>
      <c r="MD31" s="50">
        <f t="shared" ca="1" si="448"/>
        <v>62400.543882066966</v>
      </c>
      <c r="ME31" s="50">
        <f t="shared" ca="1" si="449"/>
        <v>53276.151796398946</v>
      </c>
      <c r="MF31" s="50">
        <f t="shared" ca="1" si="450"/>
        <v>65770.248717418275</v>
      </c>
      <c r="MG31" s="50">
        <f t="shared" ca="1" si="451"/>
        <v>51780.922642740072</v>
      </c>
      <c r="MH31" s="50">
        <f t="shared" ca="1" si="452"/>
        <v>60302.648633782876</v>
      </c>
      <c r="MI31" s="50">
        <f t="shared" ca="1" si="453"/>
        <v>61491.394848178439</v>
      </c>
      <c r="MJ31" s="50">
        <f t="shared" ca="1" si="454"/>
        <v>46613.389531954614</v>
      </c>
      <c r="MK31" s="50">
        <f t="shared" ca="1" si="455"/>
        <v>70967.181030873588</v>
      </c>
      <c r="ML31" s="50">
        <f t="shared" ca="1" si="456"/>
        <v>65519.739457489872</v>
      </c>
      <c r="MM31" s="50">
        <f t="shared" ca="1" si="457"/>
        <v>49546.397905443933</v>
      </c>
      <c r="MN31" s="50">
        <f t="shared" ca="1" si="458"/>
        <v>66965.55176329262</v>
      </c>
      <c r="MO31" s="50">
        <f t="shared" ca="1" si="459"/>
        <v>58206.504596795457</v>
      </c>
      <c r="MP31" s="50">
        <f t="shared" ca="1" si="460"/>
        <v>50376.896761416094</v>
      </c>
      <c r="MQ31" s="50">
        <f t="shared" ca="1" si="461"/>
        <v>61988.608369019064</v>
      </c>
      <c r="MR31" s="50">
        <f t="shared" ca="1" si="462"/>
        <v>45903.128192796721</v>
      </c>
      <c r="MS31" s="50">
        <f t="shared" ca="1" si="463"/>
        <v>54565.020006475046</v>
      </c>
      <c r="MT31" s="50">
        <f t="shared" ca="1" si="464"/>
        <v>64048.689518728999</v>
      </c>
      <c r="MU31" s="50">
        <f t="shared" ca="1" si="465"/>
        <v>74560.077198113358</v>
      </c>
      <c r="MV31" s="50">
        <f t="shared" ca="1" si="466"/>
        <v>68888.831658179348</v>
      </c>
      <c r="MW31" s="50">
        <f t="shared" ca="1" si="467"/>
        <v>63659.305924902495</v>
      </c>
      <c r="MX31" s="50">
        <f t="shared" ca="1" si="468"/>
        <v>66801.288449149681</v>
      </c>
      <c r="MY31" s="50">
        <f t="shared" ca="1" si="469"/>
        <v>60420.618536375907</v>
      </c>
      <c r="MZ31" s="50">
        <f t="shared" ca="1" si="470"/>
        <v>61827.959224681974</v>
      </c>
      <c r="NA31" s="50">
        <f t="shared" ca="1" si="471"/>
        <v>61483.825135694227</v>
      </c>
      <c r="NB31" s="50">
        <f t="shared" ca="1" si="472"/>
        <v>57490.829705875585</v>
      </c>
      <c r="NC31" s="50">
        <f t="shared" ca="1" si="473"/>
        <v>72160.519451588771</v>
      </c>
      <c r="ND31" s="50">
        <f t="shared" ca="1" si="474"/>
        <v>54040.659639378478</v>
      </c>
      <c r="NE31" s="50">
        <f t="shared" ca="1" si="475"/>
        <v>57209.321683564522</v>
      </c>
      <c r="NF31" s="50">
        <f t="shared" ca="1" si="476"/>
        <v>67131.936111522431</v>
      </c>
      <c r="NG31" s="50">
        <f t="shared" ca="1" si="477"/>
        <v>75996.596513944649</v>
      </c>
      <c r="NH31" s="50">
        <f t="shared" ca="1" si="478"/>
        <v>53645.596158585329</v>
      </c>
      <c r="NI31" s="50">
        <f t="shared" ca="1" si="479"/>
        <v>62178.474767316053</v>
      </c>
      <c r="NJ31" s="50">
        <f t="shared" ca="1" si="480"/>
        <v>69069.137242311452</v>
      </c>
      <c r="NK31" s="50">
        <f t="shared" ca="1" si="481"/>
        <v>62436.784803216236</v>
      </c>
      <c r="NL31" s="50">
        <f t="shared" ca="1" si="482"/>
        <v>49532.707508724721</v>
      </c>
      <c r="NM31" s="50">
        <f t="shared" ca="1" si="483"/>
        <v>59630.570608317234</v>
      </c>
      <c r="NN31" s="50">
        <f t="shared" ca="1" si="484"/>
        <v>57233.027964529632</v>
      </c>
      <c r="NO31" s="50">
        <f t="shared" ca="1" si="485"/>
        <v>64659.728606624863</v>
      </c>
      <c r="NP31" s="50">
        <f t="shared" ca="1" si="486"/>
        <v>52946.450808266942</v>
      </c>
      <c r="NQ31" s="50">
        <f t="shared" ca="1" si="487"/>
        <v>48080.02001841789</v>
      </c>
      <c r="NR31" s="50">
        <f t="shared" ca="1" si="488"/>
        <v>59227.218345828951</v>
      </c>
      <c r="NS31" s="50">
        <f t="shared" ca="1" si="489"/>
        <v>49428.491426350542</v>
      </c>
      <c r="NT31" s="50">
        <f t="shared" ca="1" si="490"/>
        <v>75769.857052240273</v>
      </c>
      <c r="NU31" s="50">
        <f t="shared" ca="1" si="491"/>
        <v>70651.750643967884</v>
      </c>
      <c r="NV31" s="50">
        <f t="shared" ca="1" si="492"/>
        <v>46452.759179814086</v>
      </c>
      <c r="NW31" s="50">
        <f t="shared" ca="1" si="493"/>
        <v>51159.821320431831</v>
      </c>
      <c r="NX31" s="50">
        <f t="shared" ca="1" si="494"/>
        <v>71170.712765660559</v>
      </c>
      <c r="NY31" s="50">
        <f t="shared" ca="1" si="495"/>
        <v>58419.221681781491</v>
      </c>
      <c r="NZ31" s="50">
        <f t="shared" ca="1" si="496"/>
        <v>64285.55943390607</v>
      </c>
      <c r="OA31" s="50">
        <f t="shared" ca="1" si="497"/>
        <v>52309.349291595237</v>
      </c>
      <c r="OB31" s="50">
        <f t="shared" ca="1" si="498"/>
        <v>78691.228842753088</v>
      </c>
      <c r="OC31" s="50">
        <f t="shared" ca="1" si="499"/>
        <v>53710.021660549624</v>
      </c>
      <c r="OD31" s="50">
        <f t="shared" ca="1" si="500"/>
        <v>49451.836240658289</v>
      </c>
      <c r="OE31" s="50">
        <f t="shared" ca="1" si="501"/>
        <v>66834.919463223865</v>
      </c>
      <c r="OF31" s="50">
        <f t="shared" ca="1" si="502"/>
        <v>74624.285023105098</v>
      </c>
      <c r="OG31" s="50">
        <f t="shared" ca="1" si="503"/>
        <v>67073.588306718128</v>
      </c>
      <c r="OH31" s="50">
        <f t="shared" ca="1" si="504"/>
        <v>76103.232222461593</v>
      </c>
      <c r="OI31" s="50">
        <f t="shared" ca="1" si="505"/>
        <v>56222.642961519661</v>
      </c>
      <c r="OJ31" s="50">
        <f t="shared" ca="1" si="506"/>
        <v>60292.230137202299</v>
      </c>
      <c r="OK31" s="50">
        <f t="shared" ca="1" si="507"/>
        <v>56278.382582446087</v>
      </c>
      <c r="OL31" s="50">
        <f t="shared" ca="1" si="508"/>
        <v>62800.683578001117</v>
      </c>
      <c r="OM31" s="50">
        <f t="shared" ca="1" si="509"/>
        <v>50461.489480589007</v>
      </c>
      <c r="ON31" s="50">
        <f t="shared" ca="1" si="510"/>
        <v>70272.391305169702</v>
      </c>
      <c r="OO31" s="50">
        <f t="shared" ca="1" si="511"/>
        <v>66472.518982886817</v>
      </c>
      <c r="OP31" s="50">
        <f t="shared" ca="1" si="512"/>
        <v>60032.184197539464</v>
      </c>
      <c r="OQ31" s="50">
        <f t="shared" ca="1" si="513"/>
        <v>60547.186833535969</v>
      </c>
      <c r="OR31" s="50">
        <f t="shared" ca="1" si="514"/>
        <v>64259.90036587853</v>
      </c>
      <c r="OS31" s="50">
        <f t="shared" ca="1" si="515"/>
        <v>58030.416233936092</v>
      </c>
      <c r="OT31" s="50">
        <f t="shared" ca="1" si="516"/>
        <v>56866.223041298217</v>
      </c>
      <c r="OU31" s="50">
        <f t="shared" ca="1" si="517"/>
        <v>45472.909062340623</v>
      </c>
      <c r="OV31" s="50">
        <f t="shared" ca="1" si="518"/>
        <v>60585.296131360134</v>
      </c>
      <c r="OW31" s="50">
        <f t="shared" ca="1" si="519"/>
        <v>53149.600187829928</v>
      </c>
      <c r="OX31" s="50">
        <f t="shared" ca="1" si="520"/>
        <v>76281.513111147011</v>
      </c>
      <c r="OY31" s="50">
        <f t="shared" ca="1" si="521"/>
        <v>52086.857065847063</v>
      </c>
      <c r="OZ31" s="50">
        <f t="shared" ca="1" si="522"/>
        <v>69031.806588495281</v>
      </c>
      <c r="PA31" s="50">
        <f t="shared" ca="1" si="523"/>
        <v>58511.527951169854</v>
      </c>
      <c r="PB31" s="50">
        <f t="shared" ca="1" si="524"/>
        <v>56828.477930839908</v>
      </c>
      <c r="PC31" s="50">
        <f t="shared" ca="1" si="525"/>
        <v>50897.913645457353</v>
      </c>
      <c r="PD31" s="50">
        <f t="shared" ca="1" si="526"/>
        <v>54900.118136814119</v>
      </c>
      <c r="PE31" s="50">
        <f t="shared" ca="1" si="527"/>
        <v>69311.988814605211</v>
      </c>
      <c r="PF31" s="50">
        <f t="shared" ca="1" si="528"/>
        <v>64176.198540124831</v>
      </c>
      <c r="PG31" s="50">
        <f t="shared" ca="1" si="529"/>
        <v>54134.053301873464</v>
      </c>
      <c r="PH31" s="50">
        <f t="shared" ca="1" si="530"/>
        <v>49454.015851317417</v>
      </c>
      <c r="PI31" s="50">
        <f t="shared" ca="1" si="531"/>
        <v>56213.029187220345</v>
      </c>
      <c r="PJ31" s="50">
        <f t="shared" ca="1" si="532"/>
        <v>69258.077686122939</v>
      </c>
      <c r="PK31" s="50">
        <f t="shared" ca="1" si="533"/>
        <v>66176.151300945552</v>
      </c>
      <c r="PL31" s="50">
        <f t="shared" ca="1" si="534"/>
        <v>71511.798256249807</v>
      </c>
      <c r="PM31" s="50">
        <f t="shared" ca="1" si="535"/>
        <v>64672.807735398485</v>
      </c>
      <c r="PN31" s="50">
        <f t="shared" ca="1" si="536"/>
        <v>54580.217744375928</v>
      </c>
      <c r="PO31" s="50">
        <f t="shared" ca="1" si="537"/>
        <v>72321.052215284726</v>
      </c>
      <c r="PP31" s="50">
        <f t="shared" ca="1" si="538"/>
        <v>53592.856489359467</v>
      </c>
      <c r="PQ31" s="50">
        <f t="shared" ca="1" si="539"/>
        <v>64231.889618714747</v>
      </c>
      <c r="PR31" s="50">
        <f t="shared" ca="1" si="540"/>
        <v>61179.870975097612</v>
      </c>
      <c r="PS31" s="50">
        <f t="shared" ca="1" si="541"/>
        <v>68403.543052676599</v>
      </c>
      <c r="PT31" s="50">
        <f t="shared" ca="1" si="542"/>
        <v>52678.46877019947</v>
      </c>
      <c r="PU31" s="50">
        <f t="shared" ca="1" si="543"/>
        <v>63100.866061737142</v>
      </c>
      <c r="PV31" s="50">
        <f t="shared" ca="1" si="544"/>
        <v>63904.726537733084</v>
      </c>
      <c r="PW31" s="50">
        <f t="shared" ca="1" si="545"/>
        <v>56449.11616125494</v>
      </c>
      <c r="PX31" s="50">
        <f t="shared" ca="1" si="546"/>
        <v>62653.397394280517</v>
      </c>
      <c r="PY31" s="50">
        <f t="shared" ca="1" si="547"/>
        <v>65294.325670905921</v>
      </c>
      <c r="PZ31" s="50">
        <f t="shared" ca="1" si="548"/>
        <v>70673.436658952865</v>
      </c>
      <c r="QA31" s="50">
        <f t="shared" ca="1" si="549"/>
        <v>54720.397323677695</v>
      </c>
      <c r="QB31" s="50">
        <f t="shared" ca="1" si="550"/>
        <v>65223.977034735384</v>
      </c>
      <c r="QC31" s="50">
        <f t="shared" ca="1" si="551"/>
        <v>71837.157231183097</v>
      </c>
      <c r="QD31" s="50">
        <f t="shared" ca="1" si="552"/>
        <v>62485.419934019345</v>
      </c>
      <c r="QE31" s="50">
        <f t="shared" ca="1" si="553"/>
        <v>60939.717155172948</v>
      </c>
      <c r="QF31" s="50">
        <f t="shared" ca="1" si="554"/>
        <v>51147.584590825827</v>
      </c>
      <c r="QG31" s="50">
        <f t="shared" ca="1" si="555"/>
        <v>49988.071558136166</v>
      </c>
      <c r="QH31" s="50">
        <f t="shared" ca="1" si="556"/>
        <v>51250.502560595007</v>
      </c>
      <c r="QI31" s="50">
        <f t="shared" ca="1" si="557"/>
        <v>47916.689389282677</v>
      </c>
      <c r="QJ31" s="50">
        <f t="shared" ca="1" si="558"/>
        <v>49688.096940985481</v>
      </c>
      <c r="QK31" s="50">
        <f t="shared" ca="1" si="559"/>
        <v>53393.189272324118</v>
      </c>
      <c r="QL31" s="50">
        <f t="shared" ca="1" si="560"/>
        <v>75188.491501321783</v>
      </c>
      <c r="QM31" s="50">
        <f t="shared" ca="1" si="561"/>
        <v>47771.786417968178</v>
      </c>
      <c r="QN31" s="50">
        <f t="shared" ca="1" si="562"/>
        <v>51688.895524943335</v>
      </c>
      <c r="QO31" s="50">
        <f t="shared" ca="1" si="563"/>
        <v>72862.519360773906</v>
      </c>
      <c r="QP31" s="50">
        <f t="shared" ca="1" si="564"/>
        <v>63268.65285689578</v>
      </c>
      <c r="QQ31" s="50">
        <f t="shared" ca="1" si="565"/>
        <v>53753.053017834718</v>
      </c>
      <c r="QR31" s="50">
        <f t="shared" ca="1" si="566"/>
        <v>57772.969701838265</v>
      </c>
      <c r="QS31" s="50">
        <f t="shared" ca="1" si="567"/>
        <v>66138.544597982676</v>
      </c>
      <c r="QT31" s="50">
        <f t="shared" ca="1" si="568"/>
        <v>44033.98943974595</v>
      </c>
      <c r="QU31" s="50">
        <f t="shared" ca="1" si="569"/>
        <v>49264.850142959054</v>
      </c>
      <c r="QV31" s="50">
        <f t="shared" ca="1" si="570"/>
        <v>61293.55433727536</v>
      </c>
      <c r="QW31" s="50">
        <f t="shared" ca="1" si="571"/>
        <v>58817.876401411057</v>
      </c>
      <c r="QX31" s="50">
        <f t="shared" ca="1" si="572"/>
        <v>68098.295434182219</v>
      </c>
      <c r="QY31" s="50">
        <f t="shared" ca="1" si="573"/>
        <v>48907.857578794865</v>
      </c>
      <c r="QZ31" s="50">
        <f t="shared" ca="1" si="574"/>
        <v>53172.865292414543</v>
      </c>
      <c r="RA31" s="50">
        <f t="shared" ca="1" si="575"/>
        <v>57624.331862304251</v>
      </c>
      <c r="RB31" s="50">
        <f t="shared" ca="1" si="576"/>
        <v>89123.480284271762</v>
      </c>
      <c r="RC31" s="50">
        <f t="shared" ca="1" si="577"/>
        <v>60971.19985085175</v>
      </c>
      <c r="RD31" s="50">
        <f t="shared" ca="1" si="578"/>
        <v>47041.487699553472</v>
      </c>
      <c r="RE31" s="50">
        <f t="shared" ca="1" si="579"/>
        <v>51606.508461631427</v>
      </c>
      <c r="RF31" s="50">
        <f t="shared" ca="1" si="580"/>
        <v>59525.481263125577</v>
      </c>
      <c r="RG31" s="50">
        <f t="shared" ca="1" si="581"/>
        <v>50981.614928597766</v>
      </c>
      <c r="RH31" s="50">
        <f t="shared" ca="1" si="582"/>
        <v>75601.220413925199</v>
      </c>
      <c r="RI31" s="50">
        <f t="shared" ca="1" si="583"/>
        <v>66495.422039663565</v>
      </c>
      <c r="RJ31" s="50">
        <f t="shared" ca="1" si="584"/>
        <v>53086.539916423841</v>
      </c>
      <c r="RK31" s="50">
        <f t="shared" ca="1" si="585"/>
        <v>73741.768945423843</v>
      </c>
      <c r="RL31" s="50">
        <f t="shared" ca="1" si="586"/>
        <v>66216.700145302311</v>
      </c>
      <c r="RM31" s="50">
        <f t="shared" ca="1" si="587"/>
        <v>55710.793781689885</v>
      </c>
      <c r="RN31" s="50">
        <f t="shared" ca="1" si="588"/>
        <v>58692.596394378772</v>
      </c>
      <c r="RO31" s="50">
        <f t="shared" ca="1" si="589"/>
        <v>48640.888721372874</v>
      </c>
      <c r="RP31" s="50">
        <f t="shared" ca="1" si="590"/>
        <v>55612.249806452295</v>
      </c>
      <c r="RQ31" s="50">
        <f t="shared" ca="1" si="591"/>
        <v>61468.360304417685</v>
      </c>
      <c r="RR31" s="50">
        <f t="shared" ca="1" si="592"/>
        <v>51582.356707763931</v>
      </c>
      <c r="RS31" s="50">
        <f t="shared" ca="1" si="593"/>
        <v>75027.045437191191</v>
      </c>
      <c r="RT31" s="50">
        <f t="shared" ca="1" si="594"/>
        <v>66413.648971235409</v>
      </c>
      <c r="RU31" s="50">
        <f t="shared" ca="1" si="595"/>
        <v>49857.795093951201</v>
      </c>
      <c r="RV31" s="50">
        <f t="shared" ca="1" si="596"/>
        <v>57565.929686073316</v>
      </c>
      <c r="RW31" s="50">
        <f t="shared" ca="1" si="597"/>
        <v>65600.532995572285</v>
      </c>
      <c r="RX31" s="50">
        <f t="shared" ca="1" si="598"/>
        <v>61945.867260744497</v>
      </c>
      <c r="RY31" s="50">
        <f t="shared" ca="1" si="599"/>
        <v>58389.497465557943</v>
      </c>
      <c r="RZ31" s="50">
        <f t="shared" ca="1" si="600"/>
        <v>52847.375652993178</v>
      </c>
      <c r="SA31" s="50">
        <f t="shared" ca="1" si="601"/>
        <v>63260.48039750076</v>
      </c>
      <c r="SB31" s="50">
        <f t="shared" ca="1" si="602"/>
        <v>65725.31020433674</v>
      </c>
      <c r="SC31" s="50">
        <f t="shared" ca="1" si="603"/>
        <v>60926.084537070645</v>
      </c>
      <c r="SD31" s="50">
        <f t="shared" ca="1" si="604"/>
        <v>49184.321928903002</v>
      </c>
      <c r="SE31" s="50">
        <f t="shared" ca="1" si="605"/>
        <v>70044.504607291325</v>
      </c>
      <c r="SF31" s="50">
        <f t="shared" ca="1" si="606"/>
        <v>64300.404464046725</v>
      </c>
      <c r="SG31" s="50">
        <f t="shared" ca="1" si="607"/>
        <v>54741.005466689297</v>
      </c>
      <c r="SH31" s="50">
        <f t="shared" ca="1" si="608"/>
        <v>54058.137774042203</v>
      </c>
      <c r="SI31" s="50">
        <f t="shared" ca="1" si="609"/>
        <v>71398.164481287749</v>
      </c>
      <c r="SJ31" s="50">
        <f t="shared" ca="1" si="610"/>
        <v>57865.999884630415</v>
      </c>
      <c r="SK31" s="50">
        <f t="shared" ca="1" si="611"/>
        <v>69830.119559693412</v>
      </c>
      <c r="SL31" s="50">
        <f t="shared" ca="1" si="612"/>
        <v>53391.9847881358</v>
      </c>
      <c r="SM31" s="50">
        <f t="shared" ca="1" si="613"/>
        <v>51131.63739663364</v>
      </c>
      <c r="SN31" s="50">
        <f t="shared" ca="1" si="614"/>
        <v>56808.494930265333</v>
      </c>
      <c r="SO31" s="50">
        <f t="shared" ca="1" si="615"/>
        <v>52198.158819611534</v>
      </c>
      <c r="SP31" s="50">
        <f t="shared" ca="1" si="616"/>
        <v>62793.246123279205</v>
      </c>
      <c r="SQ31" s="50">
        <f t="shared" ca="1" si="617"/>
        <v>65486.467744425143</v>
      </c>
      <c r="SR31" s="50">
        <f t="shared" ca="1" si="618"/>
        <v>66403.984713278143</v>
      </c>
      <c r="SS31" s="50">
        <f t="shared" ca="1" si="619"/>
        <v>58323.672240475484</v>
      </c>
      <c r="ST31" s="50">
        <f t="shared" ca="1" si="620"/>
        <v>65084.20061082569</v>
      </c>
      <c r="SU31" s="50">
        <f t="shared" ca="1" si="621"/>
        <v>58978.481640618396</v>
      </c>
      <c r="SV31" s="50">
        <f t="shared" ca="1" si="622"/>
        <v>69324.265164433498</v>
      </c>
      <c r="SW31" s="50">
        <f t="shared" ca="1" si="623"/>
        <v>39060.652622884001</v>
      </c>
      <c r="SX31" s="50">
        <f t="shared" ca="1" si="624"/>
        <v>46157.950441102112</v>
      </c>
      <c r="SY31" s="50">
        <f t="shared" ca="1" si="625"/>
        <v>52656.737209571882</v>
      </c>
      <c r="SZ31" s="50">
        <f t="shared" ca="1" si="626"/>
        <v>57748.53468979826</v>
      </c>
      <c r="TA31" s="50">
        <f t="shared" ca="1" si="627"/>
        <v>49298.819650636731</v>
      </c>
      <c r="TB31" s="50">
        <f t="shared" ca="1" si="628"/>
        <v>49992.328530094775</v>
      </c>
      <c r="TC31" s="50">
        <f t="shared" ca="1" si="629"/>
        <v>52561.165461839941</v>
      </c>
      <c r="TD31" s="50">
        <f t="shared" ca="1" si="630"/>
        <v>66136.138249455063</v>
      </c>
      <c r="TE31" s="50">
        <f t="shared" ca="1" si="631"/>
        <v>55114.629398057521</v>
      </c>
      <c r="TF31" s="50">
        <f t="shared" ca="1" si="632"/>
        <v>72279.856197032059</v>
      </c>
      <c r="TG31" s="50">
        <f t="shared" ca="1" si="633"/>
        <v>62917.369020752529</v>
      </c>
      <c r="TH31" s="50">
        <f t="shared" ca="1" si="634"/>
        <v>56386.880053476423</v>
      </c>
      <c r="TI31" s="50">
        <f t="shared" ca="1" si="635"/>
        <v>64285.015103561069</v>
      </c>
      <c r="TJ31" s="50">
        <f t="shared" ca="1" si="636"/>
        <v>75941.569412048149</v>
      </c>
      <c r="TK31" s="50">
        <f t="shared" ca="1" si="637"/>
        <v>52682.732202854262</v>
      </c>
      <c r="TL31" s="50">
        <f t="shared" ca="1" si="638"/>
        <v>58921.652932541998</v>
      </c>
      <c r="TM31" s="50">
        <f t="shared" ca="1" si="639"/>
        <v>60562.239193932262</v>
      </c>
      <c r="TN31" s="50">
        <f t="shared" ca="1" si="640"/>
        <v>47088.011732281062</v>
      </c>
      <c r="TO31" s="50">
        <f t="shared" ca="1" si="641"/>
        <v>57567.580419099744</v>
      </c>
      <c r="TP31" s="50">
        <f t="shared" ca="1" si="642"/>
        <v>56506.349154503208</v>
      </c>
      <c r="TQ31" s="50">
        <f t="shared" ca="1" si="643"/>
        <v>57731.984210886076</v>
      </c>
      <c r="TR31" s="50">
        <f t="shared" ca="1" si="644"/>
        <v>59729.843233567321</v>
      </c>
      <c r="TS31" s="50">
        <f t="shared" ca="1" si="645"/>
        <v>46765.600646199462</v>
      </c>
      <c r="TT31" s="50">
        <f t="shared" ca="1" si="646"/>
        <v>53397.180700569443</v>
      </c>
      <c r="TU31" s="50">
        <f t="shared" ca="1" si="647"/>
        <v>70844.425336458517</v>
      </c>
      <c r="TV31" s="50">
        <f t="shared" ca="1" si="648"/>
        <v>53630.318790464386</v>
      </c>
      <c r="TW31" s="50">
        <f t="shared" ca="1" si="649"/>
        <v>47589.354938532902</v>
      </c>
      <c r="TX31" s="50">
        <f t="shared" ca="1" si="650"/>
        <v>59220.143450879441</v>
      </c>
      <c r="TY31" s="50">
        <f t="shared" ca="1" si="651"/>
        <v>70536.557368479436</v>
      </c>
      <c r="TZ31" s="50">
        <f t="shared" ca="1" si="652"/>
        <v>64939.581451156133</v>
      </c>
      <c r="UA31" s="50">
        <f t="shared" ca="1" si="653"/>
        <v>56426.304518408382</v>
      </c>
      <c r="UB31" s="50">
        <f t="shared" ca="1" si="654"/>
        <v>61752.071005896403</v>
      </c>
      <c r="UC31" s="50">
        <f t="shared" ca="1" si="655"/>
        <v>63333.726290924533</v>
      </c>
      <c r="UD31" s="50">
        <f t="shared" ca="1" si="656"/>
        <v>57154.264506671869</v>
      </c>
      <c r="UE31" s="50">
        <f t="shared" ca="1" si="657"/>
        <v>41176.759548113543</v>
      </c>
      <c r="UF31" s="50">
        <f t="shared" ca="1" si="658"/>
        <v>65554.161479013448</v>
      </c>
      <c r="UG31" s="50">
        <f t="shared" ca="1" si="659"/>
        <v>50857.238779162319</v>
      </c>
      <c r="UH31" s="50">
        <f t="shared" ca="1" si="660"/>
        <v>51179.846677306479</v>
      </c>
      <c r="UI31" s="50">
        <f t="shared" ca="1" si="661"/>
        <v>52823.570950388217</v>
      </c>
      <c r="UJ31" s="50">
        <f t="shared" ca="1" si="662"/>
        <v>75127.225975017762</v>
      </c>
      <c r="UK31" s="50">
        <f t="shared" ca="1" si="663"/>
        <v>58422.599699126637</v>
      </c>
      <c r="UL31" s="50">
        <f t="shared" ca="1" si="664"/>
        <v>46598.490442296359</v>
      </c>
      <c r="UM31" s="50">
        <f t="shared" ca="1" si="665"/>
        <v>62803.670785777016</v>
      </c>
      <c r="UN31" s="50">
        <f t="shared" ca="1" si="666"/>
        <v>51684.878867292937</v>
      </c>
      <c r="UO31" s="50">
        <f t="shared" ca="1" si="667"/>
        <v>50696.630691849052</v>
      </c>
      <c r="UP31" s="50">
        <f t="shared" ca="1" si="668"/>
        <v>62858.158739715604</v>
      </c>
      <c r="UQ31" s="50">
        <f t="shared" ca="1" si="669"/>
        <v>61495.11553550246</v>
      </c>
      <c r="UR31" s="50">
        <f t="shared" ca="1" si="670"/>
        <v>67188.49258115195</v>
      </c>
      <c r="US31" s="50">
        <f t="shared" ca="1" si="671"/>
        <v>49161.740971096129</v>
      </c>
      <c r="UT31" s="50">
        <f t="shared" ca="1" si="672"/>
        <v>41520.512369293581</v>
      </c>
      <c r="UU31" s="50">
        <f t="shared" ca="1" si="673"/>
        <v>49602.262117181039</v>
      </c>
      <c r="UV31" s="50">
        <f t="shared" ca="1" si="674"/>
        <v>59857.740031965877</v>
      </c>
      <c r="UW31" s="50">
        <f t="shared" ca="1" si="675"/>
        <v>67350.329270906397</v>
      </c>
      <c r="UX31" s="50">
        <f t="shared" ca="1" si="676"/>
        <v>54875.117989684732</v>
      </c>
      <c r="UY31" s="50">
        <f t="shared" ca="1" si="677"/>
        <v>53836.823231782713</v>
      </c>
      <c r="UZ31" s="50">
        <f t="shared" ca="1" si="678"/>
        <v>66373.244834894955</v>
      </c>
      <c r="VA31" s="50">
        <f t="shared" ca="1" si="679"/>
        <v>82558.372563201687</v>
      </c>
      <c r="VB31" s="50">
        <f t="shared" ca="1" si="680"/>
        <v>52983.948286050341</v>
      </c>
      <c r="VC31" s="50">
        <f t="shared" ca="1" si="681"/>
        <v>47589.364003873685</v>
      </c>
      <c r="VD31" s="50">
        <f t="shared" ca="1" si="682"/>
        <v>74016.749399212858</v>
      </c>
      <c r="VE31" s="50">
        <f t="shared" ca="1" si="683"/>
        <v>49021.177035212088</v>
      </c>
      <c r="VF31" s="50">
        <f t="shared" ca="1" si="684"/>
        <v>48452.135534945461</v>
      </c>
      <c r="VG31" s="50">
        <f t="shared" ca="1" si="685"/>
        <v>53717.10852637978</v>
      </c>
      <c r="VH31" s="50">
        <f t="shared" ca="1" si="686"/>
        <v>54608.584867906997</v>
      </c>
      <c r="VI31" s="50">
        <f t="shared" ca="1" si="687"/>
        <v>70528.193086148938</v>
      </c>
      <c r="VJ31" s="50">
        <f t="shared" ca="1" si="688"/>
        <v>56672.064956868962</v>
      </c>
      <c r="VK31" s="50">
        <f t="shared" ca="1" si="689"/>
        <v>58720.050100505177</v>
      </c>
      <c r="VL31" s="50">
        <f t="shared" ca="1" si="690"/>
        <v>56261.590996954852</v>
      </c>
      <c r="VM31" s="50">
        <f t="shared" ca="1" si="691"/>
        <v>71306.086217747958</v>
      </c>
      <c r="VN31" s="50">
        <f t="shared" ca="1" si="692"/>
        <v>63600.590165346832</v>
      </c>
      <c r="VO31" s="50">
        <f t="shared" ca="1" si="693"/>
        <v>61968.26491140719</v>
      </c>
      <c r="VP31" s="50">
        <f t="shared" ca="1" si="694"/>
        <v>69580.291881308978</v>
      </c>
      <c r="VQ31" s="50">
        <f t="shared" ca="1" si="695"/>
        <v>66287.38652785703</v>
      </c>
      <c r="VR31" s="50">
        <f t="shared" ca="1" si="696"/>
        <v>68187.160187085596</v>
      </c>
      <c r="VS31" s="50">
        <f t="shared" ca="1" si="697"/>
        <v>76575.131332837162</v>
      </c>
      <c r="VT31" s="50">
        <f t="shared" ca="1" si="698"/>
        <v>63829.22480882657</v>
      </c>
      <c r="VU31" s="50">
        <f t="shared" ca="1" si="699"/>
        <v>57366.686850665821</v>
      </c>
      <c r="VV31" s="50">
        <f t="shared" ca="1" si="700"/>
        <v>56796.417335619939</v>
      </c>
      <c r="VW31" s="50">
        <f t="shared" ca="1" si="701"/>
        <v>62690.841510012149</v>
      </c>
      <c r="VX31" s="50">
        <f t="shared" ca="1" si="702"/>
        <v>50456.309538599737</v>
      </c>
      <c r="VY31" s="50">
        <f t="shared" ca="1" si="703"/>
        <v>47097.991982311745</v>
      </c>
      <c r="VZ31" s="50">
        <f t="shared" ca="1" si="704"/>
        <v>53220.920856960161</v>
      </c>
      <c r="WA31" s="50">
        <f t="shared" ca="1" si="705"/>
        <v>45218.493639765416</v>
      </c>
      <c r="WB31" s="50">
        <f t="shared" ca="1" si="706"/>
        <v>56126.891372622405</v>
      </c>
      <c r="WC31" s="50">
        <f t="shared" ca="1" si="707"/>
        <v>58991.096714376246</v>
      </c>
      <c r="WD31" s="50">
        <f t="shared" ca="1" si="708"/>
        <v>53588.939964525649</v>
      </c>
      <c r="WE31" s="50">
        <f t="shared" ca="1" si="709"/>
        <v>62501.019604866553</v>
      </c>
      <c r="WF31" s="50">
        <f t="shared" ca="1" si="710"/>
        <v>62486.948394074469</v>
      </c>
      <c r="WG31" s="50">
        <f t="shared" ca="1" si="711"/>
        <v>59021.547851716663</v>
      </c>
      <c r="WH31" s="50">
        <f t="shared" ca="1" si="712"/>
        <v>56699.660767860129</v>
      </c>
      <c r="WI31" s="50">
        <f t="shared" ca="1" si="713"/>
        <v>47448.659779979513</v>
      </c>
      <c r="WJ31" s="50">
        <f t="shared" ca="1" si="714"/>
        <v>53296.693661409161</v>
      </c>
      <c r="WK31" s="50">
        <f t="shared" ca="1" si="715"/>
        <v>59811.100709059931</v>
      </c>
      <c r="WL31" s="50">
        <f t="shared" ca="1" si="716"/>
        <v>63528.111757113526</v>
      </c>
      <c r="WM31" s="50">
        <f t="shared" ca="1" si="717"/>
        <v>61684.85482537467</v>
      </c>
      <c r="WN31" s="50">
        <f t="shared" ca="1" si="718"/>
        <v>56228.779357186097</v>
      </c>
      <c r="WO31" s="50">
        <f t="shared" ca="1" si="719"/>
        <v>66626.936039409658</v>
      </c>
      <c r="WP31" s="50">
        <f t="shared" ca="1" si="720"/>
        <v>56987.083745540738</v>
      </c>
      <c r="WQ31" s="50">
        <f t="shared" ca="1" si="721"/>
        <v>47405.088920261245</v>
      </c>
      <c r="WR31" s="50">
        <f t="shared" ca="1" si="722"/>
        <v>55377.693664003702</v>
      </c>
      <c r="WS31" s="50">
        <f t="shared" ca="1" si="723"/>
        <v>56145.852571943782</v>
      </c>
      <c r="WT31" s="50">
        <f t="shared" ca="1" si="724"/>
        <v>79992.71415078055</v>
      </c>
      <c r="WU31" s="50">
        <f t="shared" ca="1" si="725"/>
        <v>67286.827327921928</v>
      </c>
      <c r="WV31" s="50">
        <f t="shared" ca="1" si="726"/>
        <v>45317.748991787295</v>
      </c>
      <c r="WW31" s="50">
        <f t="shared" ca="1" si="727"/>
        <v>58479.148792315951</v>
      </c>
      <c r="WX31" s="50">
        <f t="shared" ca="1" si="728"/>
        <v>51133.578630477947</v>
      </c>
      <c r="WY31" s="50">
        <f t="shared" ca="1" si="729"/>
        <v>73818.735518238362</v>
      </c>
      <c r="WZ31" s="50">
        <f t="shared" ca="1" si="730"/>
        <v>61663.402580903545</v>
      </c>
      <c r="XA31" s="50">
        <f t="shared" ca="1" si="731"/>
        <v>56623.175966798583</v>
      </c>
      <c r="XB31" s="50">
        <f t="shared" ca="1" si="732"/>
        <v>59383.551699017647</v>
      </c>
      <c r="XC31" s="50">
        <f t="shared" ca="1" si="733"/>
        <v>81136.548534869347</v>
      </c>
      <c r="XD31" s="50">
        <f t="shared" ca="1" si="734"/>
        <v>45589.281146158719</v>
      </c>
      <c r="XE31" s="50">
        <f t="shared" ca="1" si="735"/>
        <v>66606.691378348332</v>
      </c>
      <c r="XF31" s="50">
        <f t="shared" ca="1" si="736"/>
        <v>77629.100740055816</v>
      </c>
      <c r="XG31" s="50">
        <f t="shared" ca="1" si="737"/>
        <v>50517.371417994196</v>
      </c>
      <c r="XH31" s="50">
        <f t="shared" ca="1" si="738"/>
        <v>67548.676821108398</v>
      </c>
      <c r="XI31" s="50">
        <f t="shared" ca="1" si="739"/>
        <v>48330.20801531394</v>
      </c>
      <c r="XJ31" s="50">
        <f t="shared" ca="1" si="740"/>
        <v>55487.104076482297</v>
      </c>
      <c r="XK31" s="50">
        <f t="shared" ca="1" si="741"/>
        <v>52121.588496029362</v>
      </c>
      <c r="XL31" s="50">
        <f t="shared" ca="1" si="742"/>
        <v>67846.582554012231</v>
      </c>
      <c r="XM31" s="50">
        <f t="shared" ca="1" si="743"/>
        <v>64968.2481014148</v>
      </c>
      <c r="XN31" s="50">
        <f t="shared" ca="1" si="744"/>
        <v>50818.579525154761</v>
      </c>
      <c r="XO31" s="50">
        <f t="shared" ca="1" si="745"/>
        <v>53438.191161468727</v>
      </c>
      <c r="XP31" s="50">
        <f t="shared" ca="1" si="746"/>
        <v>64965.816480673457</v>
      </c>
      <c r="XQ31" s="50">
        <f t="shared" ca="1" si="747"/>
        <v>58950.085024726897</v>
      </c>
      <c r="XR31" s="50">
        <f t="shared" ca="1" si="748"/>
        <v>68587.534899636361</v>
      </c>
      <c r="XS31" s="50">
        <f t="shared" ca="1" si="749"/>
        <v>54780.610040477448</v>
      </c>
      <c r="XT31" s="50">
        <f t="shared" ca="1" si="750"/>
        <v>70903.981145467827</v>
      </c>
      <c r="XU31" s="50">
        <f t="shared" ca="1" si="751"/>
        <v>45848.676320475759</v>
      </c>
      <c r="XV31" s="50">
        <f t="shared" ca="1" si="752"/>
        <v>56481.573249569032</v>
      </c>
      <c r="XW31" s="50">
        <f t="shared" ca="1" si="753"/>
        <v>46365.921574862485</v>
      </c>
      <c r="XX31" s="50">
        <f t="shared" ca="1" si="754"/>
        <v>67415.744708999206</v>
      </c>
      <c r="XY31" s="50">
        <f t="shared" ca="1" si="755"/>
        <v>50489.064082445344</v>
      </c>
      <c r="XZ31" s="50">
        <f t="shared" ca="1" si="756"/>
        <v>76898.739969804694</v>
      </c>
      <c r="YA31" s="50">
        <f t="shared" ca="1" si="757"/>
        <v>56559.642674266528</v>
      </c>
      <c r="YB31" s="50">
        <f t="shared" ca="1" si="758"/>
        <v>71284.70034052695</v>
      </c>
      <c r="YC31" s="50">
        <f t="shared" ca="1" si="759"/>
        <v>66172.926818722801</v>
      </c>
      <c r="YD31" s="50">
        <f t="shared" ca="1" si="760"/>
        <v>71987.203378073522</v>
      </c>
      <c r="YE31" s="50">
        <f t="shared" ca="1" si="761"/>
        <v>57265.630075260182</v>
      </c>
      <c r="YF31" s="50">
        <f t="shared" ca="1" si="762"/>
        <v>68748.815125474546</v>
      </c>
      <c r="YG31" s="50">
        <f t="shared" ca="1" si="763"/>
        <v>84844.231609457463</v>
      </c>
      <c r="YH31" s="50">
        <f t="shared" ca="1" si="764"/>
        <v>62238.092516911071</v>
      </c>
      <c r="YI31" s="50">
        <f t="shared" ca="1" si="765"/>
        <v>54694.843823915369</v>
      </c>
      <c r="YJ31" s="50">
        <f t="shared" ca="1" si="766"/>
        <v>53104.111042103686</v>
      </c>
      <c r="YK31" s="50">
        <f t="shared" ca="1" si="767"/>
        <v>49648.703485979197</v>
      </c>
      <c r="YL31" s="50">
        <f t="shared" ca="1" si="768"/>
        <v>52087.453594916515</v>
      </c>
      <c r="YM31" s="50">
        <f t="shared" ca="1" si="769"/>
        <v>57116.923641462759</v>
      </c>
      <c r="YN31" s="50">
        <f t="shared" ca="1" si="770"/>
        <v>58009.550526749095</v>
      </c>
      <c r="YO31" s="50">
        <f t="shared" ca="1" si="771"/>
        <v>42564.098955979498</v>
      </c>
      <c r="YP31" s="50">
        <f t="shared" ca="1" si="772"/>
        <v>51500.338329328813</v>
      </c>
      <c r="YQ31" s="50">
        <f t="shared" ca="1" si="773"/>
        <v>72895.9566925119</v>
      </c>
      <c r="YR31" s="50">
        <f t="shared" ca="1" si="774"/>
        <v>59305.246547724666</v>
      </c>
      <c r="YS31" s="50">
        <f t="shared" ca="1" si="775"/>
        <v>59943.314678390379</v>
      </c>
      <c r="YT31" s="50">
        <f t="shared" ca="1" si="776"/>
        <v>44214.340569686814</v>
      </c>
      <c r="YU31" s="50">
        <f t="shared" ca="1" si="777"/>
        <v>66497.764170513081</v>
      </c>
      <c r="YV31" s="50">
        <f t="shared" ca="1" si="778"/>
        <v>44679.880200955835</v>
      </c>
      <c r="YW31" s="50">
        <f t="shared" ca="1" si="779"/>
        <v>41156.278028137189</v>
      </c>
      <c r="YX31" s="50">
        <f t="shared" ca="1" si="780"/>
        <v>57773.719134724488</v>
      </c>
      <c r="YY31" s="50">
        <f t="shared" ca="1" si="781"/>
        <v>57811.833515702827</v>
      </c>
      <c r="YZ31" s="50">
        <f t="shared" ca="1" si="782"/>
        <v>55006.736182953406</v>
      </c>
      <c r="ZA31" s="50">
        <f t="shared" ca="1" si="783"/>
        <v>73054.455545089208</v>
      </c>
      <c r="ZB31" s="50">
        <f t="shared" ca="1" si="784"/>
        <v>60034.797223120171</v>
      </c>
      <c r="ZC31" s="50">
        <f t="shared" ca="1" si="785"/>
        <v>51099.353567564227</v>
      </c>
      <c r="ZD31" s="50">
        <f t="shared" ca="1" si="786"/>
        <v>57564.108100562829</v>
      </c>
      <c r="ZE31" s="50">
        <f t="shared" ca="1" si="787"/>
        <v>50440.783927883873</v>
      </c>
      <c r="ZF31" s="50">
        <f t="shared" ca="1" si="788"/>
        <v>69450.74068534559</v>
      </c>
      <c r="ZG31" s="50">
        <f t="shared" ca="1" si="789"/>
        <v>55244.179329918239</v>
      </c>
      <c r="ZH31" s="50">
        <f t="shared" ca="1" si="790"/>
        <v>53894.595760254546</v>
      </c>
      <c r="ZI31" s="50">
        <f t="shared" ca="1" si="791"/>
        <v>53518.368781981677</v>
      </c>
      <c r="ZJ31" s="50">
        <f t="shared" ca="1" si="792"/>
        <v>63897.343643567321</v>
      </c>
      <c r="ZK31" s="50">
        <f t="shared" ca="1" si="793"/>
        <v>56267.677660147769</v>
      </c>
      <c r="ZL31" s="50">
        <f t="shared" ca="1" si="794"/>
        <v>59336.587348930603</v>
      </c>
      <c r="ZM31" s="50">
        <f t="shared" ca="1" si="795"/>
        <v>59916.019318513965</v>
      </c>
      <c r="ZN31" s="50">
        <f t="shared" ca="1" si="796"/>
        <v>57080.029086622853</v>
      </c>
      <c r="ZO31" s="50">
        <f t="shared" ca="1" si="797"/>
        <v>61015.499957149528</v>
      </c>
      <c r="ZP31" s="50">
        <f t="shared" ca="1" si="798"/>
        <v>74101.073893382185</v>
      </c>
      <c r="ZQ31" s="50">
        <f t="shared" ca="1" si="799"/>
        <v>75219.875212924599</v>
      </c>
      <c r="ZR31" s="50">
        <f t="shared" ca="1" si="800"/>
        <v>55120.655602641527</v>
      </c>
      <c r="ZS31" s="50">
        <f t="shared" ca="1" si="801"/>
        <v>62642.271708102795</v>
      </c>
      <c r="ZT31" s="50">
        <f t="shared" ca="1" si="802"/>
        <v>49390.556021336459</v>
      </c>
      <c r="ZU31" s="50">
        <f t="shared" ca="1" si="803"/>
        <v>60181.984713311329</v>
      </c>
      <c r="ZV31" s="50">
        <f t="shared" ca="1" si="804"/>
        <v>76655.027806610742</v>
      </c>
      <c r="ZW31" s="50">
        <f t="shared" ca="1" si="805"/>
        <v>70436.145522560386</v>
      </c>
      <c r="ZX31" s="50">
        <f t="shared" ca="1" si="806"/>
        <v>60635.306129510427</v>
      </c>
      <c r="ZY31" s="50">
        <f t="shared" ca="1" si="807"/>
        <v>53393.455447935223</v>
      </c>
      <c r="ZZ31" s="50">
        <f t="shared" ca="1" si="808"/>
        <v>62655.636083297621</v>
      </c>
      <c r="AAA31" s="50">
        <f t="shared" ca="1" si="809"/>
        <v>51960.724997126243</v>
      </c>
      <c r="AAB31" s="50">
        <f t="shared" ca="1" si="810"/>
        <v>58473.239111604555</v>
      </c>
      <c r="AAC31" s="50">
        <f t="shared" ca="1" si="811"/>
        <v>63456.849751828813</v>
      </c>
      <c r="AAD31" s="50">
        <f t="shared" ca="1" si="812"/>
        <v>43154.392261617511</v>
      </c>
      <c r="AAE31" s="50">
        <f t="shared" ca="1" si="813"/>
        <v>59508.192918802051</v>
      </c>
      <c r="AAF31" s="50">
        <f t="shared" ca="1" si="814"/>
        <v>48610.68917275015</v>
      </c>
      <c r="AAG31" s="50">
        <f t="shared" ca="1" si="815"/>
        <v>81292.258779163953</v>
      </c>
      <c r="AAH31" s="50">
        <f t="shared" ca="1" si="816"/>
        <v>59672.85737989792</v>
      </c>
      <c r="AAI31" s="50">
        <f t="shared" ca="1" si="817"/>
        <v>90216.493518979405</v>
      </c>
      <c r="AAJ31" s="50">
        <f t="shared" ca="1" si="818"/>
        <v>66228.916023298705</v>
      </c>
      <c r="AAK31" s="50">
        <f t="shared" ca="1" si="819"/>
        <v>68256.134547329435</v>
      </c>
      <c r="AAL31" s="50">
        <f t="shared" ca="1" si="820"/>
        <v>53183.65208538076</v>
      </c>
      <c r="AAM31" s="50">
        <f t="shared" ca="1" si="821"/>
        <v>52122.286085237269</v>
      </c>
      <c r="AAN31" s="50">
        <f t="shared" ca="1" si="822"/>
        <v>67483.060945329518</v>
      </c>
      <c r="AAO31" s="50">
        <f t="shared" ca="1" si="823"/>
        <v>56517.564987254089</v>
      </c>
      <c r="AAP31" s="50">
        <f t="shared" ca="1" si="824"/>
        <v>51892.564173718609</v>
      </c>
      <c r="AAQ31" s="50">
        <f t="shared" ca="1" si="825"/>
        <v>51663.237551928098</v>
      </c>
      <c r="AAR31" s="50">
        <f t="shared" ca="1" si="826"/>
        <v>57201.390434645808</v>
      </c>
      <c r="AAS31" s="50">
        <f t="shared" ca="1" si="827"/>
        <v>71905.97548495009</v>
      </c>
      <c r="AAT31" s="50">
        <f t="shared" ca="1" si="828"/>
        <v>48153.812795130718</v>
      </c>
      <c r="AAU31" s="50">
        <f t="shared" ca="1" si="829"/>
        <v>57778.857730068456</v>
      </c>
      <c r="AAV31" s="50">
        <f t="shared" ca="1" si="830"/>
        <v>63326.115472428879</v>
      </c>
      <c r="AAW31" s="50">
        <f t="shared" ca="1" si="831"/>
        <v>65618.73072369225</v>
      </c>
      <c r="AAX31" s="50">
        <f t="shared" ca="1" si="832"/>
        <v>63715.041077074828</v>
      </c>
      <c r="AAY31" s="50">
        <f t="shared" ca="1" si="833"/>
        <v>57444.064254038007</v>
      </c>
      <c r="AAZ31" s="50">
        <f t="shared" ca="1" si="834"/>
        <v>59864.102825988339</v>
      </c>
      <c r="ABA31" s="50">
        <f t="shared" ca="1" si="835"/>
        <v>56275.236356782108</v>
      </c>
      <c r="ABB31" s="50">
        <f t="shared" ca="1" si="836"/>
        <v>52669.990386240708</v>
      </c>
      <c r="ABC31" s="50">
        <f t="shared" ca="1" si="837"/>
        <v>61183.816428003272</v>
      </c>
      <c r="ABD31" s="50">
        <f t="shared" ca="1" si="838"/>
        <v>49227.850349889013</v>
      </c>
      <c r="ABE31" s="50">
        <f t="shared" ca="1" si="839"/>
        <v>61530.698843198552</v>
      </c>
      <c r="ABF31" s="50">
        <f t="shared" ca="1" si="840"/>
        <v>53762.529431024843</v>
      </c>
      <c r="ABG31" s="50">
        <f t="shared" ca="1" si="841"/>
        <v>60514.211955517858</v>
      </c>
      <c r="ABH31" s="50">
        <f t="shared" ca="1" si="842"/>
        <v>69010.814198725842</v>
      </c>
      <c r="ABI31" s="50">
        <f t="shared" ca="1" si="843"/>
        <v>49427.845469531654</v>
      </c>
      <c r="ABJ31" s="50">
        <f t="shared" ca="1" si="844"/>
        <v>56652.957037476852</v>
      </c>
      <c r="ABK31" s="50">
        <f t="shared" ca="1" si="845"/>
        <v>70286.230125640534</v>
      </c>
      <c r="ABL31" s="50">
        <f t="shared" ca="1" si="846"/>
        <v>60364.091171963111</v>
      </c>
      <c r="ABM31" s="50">
        <f t="shared" ca="1" si="847"/>
        <v>53016.817918768545</v>
      </c>
      <c r="ABN31" s="50">
        <f t="shared" ca="1" si="848"/>
        <v>58150.546964245354</v>
      </c>
      <c r="ABO31" s="50">
        <f t="shared" ca="1" si="849"/>
        <v>54210.667297955348</v>
      </c>
      <c r="ABP31" s="50">
        <f t="shared" ca="1" si="850"/>
        <v>64197.187088967243</v>
      </c>
      <c r="ABQ31" s="50">
        <f t="shared" ca="1" si="851"/>
        <v>50310.715320048708</v>
      </c>
      <c r="ABR31" s="50">
        <f t="shared" ca="1" si="852"/>
        <v>63444.804011954191</v>
      </c>
      <c r="ABS31" s="50">
        <f t="shared" ca="1" si="853"/>
        <v>65210.731917080142</v>
      </c>
      <c r="ABT31" s="50">
        <f t="shared" ca="1" si="854"/>
        <v>55950.49507732378</v>
      </c>
      <c r="ABU31" s="50">
        <f t="shared" ca="1" si="855"/>
        <v>61679.683370106613</v>
      </c>
      <c r="ABV31" s="50">
        <f t="shared" ca="1" si="856"/>
        <v>59760.82019320668</v>
      </c>
      <c r="ABW31" s="50">
        <f t="shared" ca="1" si="857"/>
        <v>45180.374220280486</v>
      </c>
      <c r="ABX31" s="50">
        <f t="shared" ca="1" si="858"/>
        <v>62802.073973628452</v>
      </c>
      <c r="ABY31" s="50">
        <f t="shared" ca="1" si="859"/>
        <v>60412.409944982996</v>
      </c>
      <c r="ABZ31" s="50">
        <f t="shared" ca="1" si="860"/>
        <v>56014.963628970843</v>
      </c>
      <c r="ACA31" s="50">
        <f t="shared" ca="1" si="861"/>
        <v>73927.044775044807</v>
      </c>
      <c r="ACB31" s="50">
        <f t="shared" ca="1" si="862"/>
        <v>48723.14263818867</v>
      </c>
      <c r="ACC31" s="50">
        <f t="shared" ca="1" si="863"/>
        <v>54905.162872737681</v>
      </c>
      <c r="ACD31" s="50">
        <f t="shared" ca="1" si="864"/>
        <v>51554.311571877493</v>
      </c>
      <c r="ACE31" s="50">
        <f t="shared" ca="1" si="865"/>
        <v>63748.728916853412</v>
      </c>
      <c r="ACF31" s="50">
        <f t="shared" ca="1" si="866"/>
        <v>53888.485756976836</v>
      </c>
      <c r="ACG31" s="50">
        <f t="shared" ca="1" si="867"/>
        <v>62178.152300559901</v>
      </c>
      <c r="ACH31" s="50">
        <f t="shared" ca="1" si="868"/>
        <v>68994.791759870262</v>
      </c>
      <c r="ACI31" s="50">
        <f t="shared" ca="1" si="869"/>
        <v>54851.917228672632</v>
      </c>
      <c r="ACJ31" s="50">
        <f t="shared" ca="1" si="870"/>
        <v>86510.323408547512</v>
      </c>
      <c r="ACK31" s="50">
        <f t="shared" ca="1" si="871"/>
        <v>58435.467120029578</v>
      </c>
      <c r="ACL31" s="50">
        <f t="shared" ca="1" si="872"/>
        <v>49601.284002007225</v>
      </c>
      <c r="ACM31" s="50">
        <f t="shared" ca="1" si="873"/>
        <v>58607.080137057979</v>
      </c>
      <c r="ACN31" s="50">
        <f t="shared" ca="1" si="874"/>
        <v>59627.889048138015</v>
      </c>
      <c r="ACO31" s="50">
        <f t="shared" ca="1" si="875"/>
        <v>44470.290120898026</v>
      </c>
      <c r="ACP31" s="50">
        <f t="shared" ca="1" si="876"/>
        <v>66522.374534849558</v>
      </c>
      <c r="ACQ31" s="50">
        <f t="shared" ca="1" si="877"/>
        <v>52222.442386756025</v>
      </c>
      <c r="ACR31" s="50">
        <f t="shared" ca="1" si="878"/>
        <v>61805.017581142005</v>
      </c>
      <c r="ACS31" s="50">
        <f t="shared" ca="1" si="879"/>
        <v>54264.027385706118</v>
      </c>
      <c r="ACT31" s="50">
        <f t="shared" ca="1" si="880"/>
        <v>72705.405417659393</v>
      </c>
      <c r="ACU31" s="50">
        <f t="shared" ca="1" si="881"/>
        <v>54644.228187734887</v>
      </c>
      <c r="ACV31" s="50">
        <f t="shared" ca="1" si="882"/>
        <v>54489.825118244822</v>
      </c>
      <c r="ACW31" s="50">
        <f t="shared" ca="1" si="883"/>
        <v>61267.100921924954</v>
      </c>
      <c r="ACX31" s="50">
        <f t="shared" ca="1" si="884"/>
        <v>57131.175300649957</v>
      </c>
      <c r="ACY31" s="50">
        <f t="shared" ca="1" si="885"/>
        <v>51383.801143398072</v>
      </c>
      <c r="ACZ31" s="50">
        <f t="shared" ca="1" si="886"/>
        <v>73957.817310890678</v>
      </c>
      <c r="ADA31" s="50">
        <f t="shared" ca="1" si="887"/>
        <v>87037.307216180488</v>
      </c>
      <c r="ADB31" s="50">
        <f t="shared" ca="1" si="888"/>
        <v>56999.579650495922</v>
      </c>
      <c r="ADC31" s="50">
        <f t="shared" ca="1" si="889"/>
        <v>62897.34008566929</v>
      </c>
      <c r="ADD31" s="50">
        <f t="shared" ca="1" si="890"/>
        <v>50030.977143314725</v>
      </c>
      <c r="ADE31" s="50">
        <f t="shared" ca="1" si="891"/>
        <v>63466.2218601036</v>
      </c>
      <c r="ADF31" s="50">
        <f t="shared" ca="1" si="892"/>
        <v>66457.624616350484</v>
      </c>
      <c r="ADG31" s="50">
        <f t="shared" ca="1" si="893"/>
        <v>73274.762554224377</v>
      </c>
      <c r="ADH31" s="50">
        <f t="shared" ca="1" si="894"/>
        <v>51401.364297808228</v>
      </c>
      <c r="ADI31" s="50">
        <f t="shared" ca="1" si="895"/>
        <v>42706.664857875527</v>
      </c>
      <c r="ADJ31" s="50">
        <f t="shared" ca="1" si="896"/>
        <v>55823.129429052649</v>
      </c>
      <c r="ADK31" s="50">
        <f t="shared" ca="1" si="897"/>
        <v>54521.175309247956</v>
      </c>
      <c r="ADL31" s="50">
        <f t="shared" ca="1" si="898"/>
        <v>53997.07120049464</v>
      </c>
      <c r="ADM31" s="50">
        <f t="shared" ca="1" si="899"/>
        <v>55593.775410600785</v>
      </c>
      <c r="ADN31" s="50">
        <f t="shared" ca="1" si="900"/>
        <v>57954.066166658937</v>
      </c>
      <c r="ADO31" s="50">
        <f t="shared" ca="1" si="901"/>
        <v>56543.050493621595</v>
      </c>
      <c r="ADP31" s="50">
        <f t="shared" ca="1" si="902"/>
        <v>60359.980061636692</v>
      </c>
      <c r="ADQ31" s="50">
        <f t="shared" ca="1" si="903"/>
        <v>51104.726509099099</v>
      </c>
      <c r="ADR31" s="50">
        <f t="shared" ca="1" si="904"/>
        <v>55647.691354477865</v>
      </c>
      <c r="ADS31" s="50">
        <f t="shared" ca="1" si="905"/>
        <v>52945.37749647758</v>
      </c>
      <c r="ADT31" s="50">
        <f t="shared" ca="1" si="906"/>
        <v>69235.870303812495</v>
      </c>
      <c r="ADU31" s="50">
        <f t="shared" ca="1" si="907"/>
        <v>73167.340964782401</v>
      </c>
      <c r="ADV31" s="50">
        <f t="shared" ca="1" si="908"/>
        <v>68898.336956723797</v>
      </c>
      <c r="ADW31" s="50">
        <f t="shared" ca="1" si="909"/>
        <v>50808.848212730823</v>
      </c>
      <c r="ADX31" s="50">
        <f t="shared" ca="1" si="910"/>
        <v>53811.036105559571</v>
      </c>
      <c r="ADY31" s="50">
        <f t="shared" ca="1" si="911"/>
        <v>64319.575201443564</v>
      </c>
      <c r="ADZ31" s="50">
        <f t="shared" ca="1" si="912"/>
        <v>52665.112244394899</v>
      </c>
      <c r="AEA31" s="50">
        <f t="shared" ca="1" si="913"/>
        <v>52353.452360005955</v>
      </c>
      <c r="AEB31" s="50">
        <f t="shared" ca="1" si="914"/>
        <v>59917.538555723557</v>
      </c>
      <c r="AEC31" s="50">
        <f t="shared" ca="1" si="915"/>
        <v>71924.735714473543</v>
      </c>
      <c r="AED31" s="50">
        <f t="shared" ca="1" si="916"/>
        <v>74617.521632938966</v>
      </c>
      <c r="AEE31" s="50">
        <f t="shared" ca="1" si="917"/>
        <v>56498.987212276239</v>
      </c>
      <c r="AEF31" s="50">
        <f t="shared" ca="1" si="918"/>
        <v>70188.806460527689</v>
      </c>
      <c r="AEG31" s="50">
        <f t="shared" ca="1" si="919"/>
        <v>48585.683771114069</v>
      </c>
      <c r="AEH31" s="50">
        <f t="shared" ca="1" si="920"/>
        <v>65804.108539709632</v>
      </c>
      <c r="AEI31" s="50">
        <f t="shared" ca="1" si="921"/>
        <v>64850.649625535778</v>
      </c>
      <c r="AEJ31" s="50">
        <f t="shared" ca="1" si="922"/>
        <v>53625.570971563051</v>
      </c>
      <c r="AEK31" s="50">
        <f t="shared" ca="1" si="923"/>
        <v>61946.74381379252</v>
      </c>
      <c r="AEL31" s="50">
        <f t="shared" ca="1" si="924"/>
        <v>62074.888256810678</v>
      </c>
      <c r="AEM31" s="50">
        <f t="shared" ca="1" si="925"/>
        <v>69820.725833825622</v>
      </c>
      <c r="AEN31" s="50">
        <f t="shared" ca="1" si="926"/>
        <v>70545.23807079198</v>
      </c>
      <c r="AEO31" s="50">
        <f t="shared" ca="1" si="927"/>
        <v>72031.229463224256</v>
      </c>
      <c r="AEP31" s="50">
        <f t="shared" ca="1" si="928"/>
        <v>65557.949979133453</v>
      </c>
      <c r="AEQ31" s="50">
        <f t="shared" ca="1" si="929"/>
        <v>67942.228781395708</v>
      </c>
      <c r="AER31" s="50">
        <f t="shared" ca="1" si="930"/>
        <v>58245.602894746298</v>
      </c>
      <c r="AES31" s="50">
        <f t="shared" ca="1" si="931"/>
        <v>55088.134274528697</v>
      </c>
      <c r="AET31" s="50">
        <f t="shared" ca="1" si="932"/>
        <v>71036.093499668903</v>
      </c>
      <c r="AEU31" s="50">
        <f t="shared" ca="1" si="933"/>
        <v>87366.819916543114</v>
      </c>
      <c r="AEV31" s="50">
        <f t="shared" ca="1" si="934"/>
        <v>69293.657785451273</v>
      </c>
      <c r="AEW31" s="50">
        <f t="shared" ca="1" si="935"/>
        <v>80900.626530603811</v>
      </c>
      <c r="AEX31" s="50">
        <f t="shared" ca="1" si="936"/>
        <v>61063.89867277044</v>
      </c>
      <c r="AEY31" s="50">
        <f t="shared" ca="1" si="937"/>
        <v>50319.086165492736</v>
      </c>
      <c r="AEZ31" s="50">
        <f t="shared" ca="1" si="938"/>
        <v>57326.211205860614</v>
      </c>
      <c r="AFA31" s="50">
        <f t="shared" ca="1" si="939"/>
        <v>52943.422763599745</v>
      </c>
      <c r="AFB31" s="50">
        <f t="shared" ca="1" si="940"/>
        <v>50878.011154067564</v>
      </c>
      <c r="AFC31" s="50">
        <f t="shared" ca="1" si="941"/>
        <v>51515.301015091922</v>
      </c>
      <c r="AFD31" s="50">
        <f t="shared" ca="1" si="942"/>
        <v>63271.456635680617</v>
      </c>
      <c r="AFE31" s="50">
        <f t="shared" ca="1" si="943"/>
        <v>41909.24419283466</v>
      </c>
      <c r="AFF31" s="50">
        <f t="shared" ca="1" si="944"/>
        <v>57845.068163851181</v>
      </c>
      <c r="AFG31" s="50">
        <f t="shared" ca="1" si="945"/>
        <v>57922.228120136228</v>
      </c>
      <c r="AFH31" s="50">
        <f t="shared" ca="1" si="946"/>
        <v>51794.283421041291</v>
      </c>
      <c r="AFI31" s="50">
        <f t="shared" ca="1" si="947"/>
        <v>52298.596312374706</v>
      </c>
      <c r="AFJ31" s="50">
        <f t="shared" ca="1" si="948"/>
        <v>61672.234891390952</v>
      </c>
      <c r="AFK31" s="50">
        <f t="shared" ca="1" si="949"/>
        <v>57589.920359047901</v>
      </c>
      <c r="AFL31" s="50">
        <f t="shared" ca="1" si="950"/>
        <v>54982.300713991681</v>
      </c>
      <c r="AFM31" s="50">
        <f t="shared" ca="1" si="951"/>
        <v>65202.795678952054</v>
      </c>
      <c r="AFN31" s="50">
        <f t="shared" ca="1" si="952"/>
        <v>60692.302428740768</v>
      </c>
      <c r="AFO31" s="50">
        <f t="shared" ca="1" si="953"/>
        <v>52337.8494921077</v>
      </c>
      <c r="AFP31" s="50">
        <f t="shared" ca="1" si="954"/>
        <v>52282.527732743809</v>
      </c>
      <c r="AFQ31" s="50">
        <f t="shared" ca="1" si="955"/>
        <v>66551.156085774332</v>
      </c>
      <c r="AFR31" s="50">
        <f t="shared" ca="1" si="956"/>
        <v>59089.714497401648</v>
      </c>
      <c r="AFS31" s="50">
        <f t="shared" ca="1" si="957"/>
        <v>42389.420125528806</v>
      </c>
      <c r="AFT31" s="50">
        <f t="shared" ca="1" si="958"/>
        <v>58504.659504199321</v>
      </c>
      <c r="AFU31" s="50">
        <f t="shared" ca="1" si="959"/>
        <v>60510.773457238742</v>
      </c>
      <c r="AFV31" s="50">
        <f t="shared" ca="1" si="960"/>
        <v>63727.460140716787</v>
      </c>
      <c r="AFW31" s="50">
        <f t="shared" ca="1" si="961"/>
        <v>61965.258814082823</v>
      </c>
      <c r="AFX31" s="50">
        <f t="shared" ca="1" si="962"/>
        <v>69067.064953991387</v>
      </c>
      <c r="AFY31" s="50">
        <f t="shared" ca="1" si="963"/>
        <v>56540.498932894399</v>
      </c>
      <c r="AFZ31" s="50">
        <f t="shared" ca="1" si="964"/>
        <v>52856.460716608199</v>
      </c>
      <c r="AGA31" s="50">
        <f t="shared" ca="1" si="965"/>
        <v>75622.912397690889</v>
      </c>
      <c r="AGB31" s="50">
        <f t="shared" ca="1" si="966"/>
        <v>64234.37235961212</v>
      </c>
      <c r="AGC31" s="50">
        <f t="shared" ca="1" si="967"/>
        <v>66203.676184495038</v>
      </c>
      <c r="AGD31" s="50">
        <f t="shared" ca="1" si="968"/>
        <v>53490.289562843573</v>
      </c>
      <c r="AGE31" s="50">
        <f t="shared" ca="1" si="969"/>
        <v>60007.194532762522</v>
      </c>
      <c r="AGF31" s="50">
        <f t="shared" ca="1" si="970"/>
        <v>49187.116824205703</v>
      </c>
      <c r="AGG31" s="50">
        <f t="shared" ca="1" si="971"/>
        <v>58572.851768634282</v>
      </c>
      <c r="AGH31" s="50">
        <f t="shared" ca="1" si="972"/>
        <v>73336.250674040144</v>
      </c>
      <c r="AGI31" s="50">
        <f t="shared" ca="1" si="973"/>
        <v>49933.898344762303</v>
      </c>
      <c r="AGJ31" s="50">
        <f t="shared" ca="1" si="974"/>
        <v>58809.297885930675</v>
      </c>
      <c r="AGK31" s="50">
        <f t="shared" ca="1" si="975"/>
        <v>80612.476726405977</v>
      </c>
      <c r="AGL31" s="50">
        <f t="shared" ca="1" si="976"/>
        <v>55669.005146656833</v>
      </c>
      <c r="AGM31" s="50">
        <f t="shared" ca="1" si="977"/>
        <v>62679.506430024128</v>
      </c>
      <c r="AGN31" s="50">
        <f t="shared" ca="1" si="978"/>
        <v>75766.016688974967</v>
      </c>
      <c r="AGO31" s="50">
        <f t="shared" ca="1" si="979"/>
        <v>38567.780622400576</v>
      </c>
      <c r="AGP31" s="50">
        <f t="shared" ca="1" si="980"/>
        <v>59062.848832822106</v>
      </c>
      <c r="AGQ31" s="50">
        <f t="shared" ca="1" si="981"/>
        <v>65913.082798750693</v>
      </c>
      <c r="AGR31" s="50">
        <f t="shared" ca="1" si="982"/>
        <v>67030.912046725207</v>
      </c>
      <c r="AGS31" s="50">
        <f t="shared" ca="1" si="983"/>
        <v>62569.553572851582</v>
      </c>
      <c r="AGT31" s="50">
        <f t="shared" ca="1" si="984"/>
        <v>62647.36077778515</v>
      </c>
      <c r="AGU31" s="50">
        <f t="shared" ca="1" si="985"/>
        <v>69743.601607691831</v>
      </c>
      <c r="AGV31" s="50">
        <f t="shared" ca="1" si="986"/>
        <v>59723.567566106089</v>
      </c>
      <c r="AGW31" s="50">
        <f t="shared" ca="1" si="987"/>
        <v>51165.741056119856</v>
      </c>
      <c r="AGX31" s="50">
        <f t="shared" ca="1" si="988"/>
        <v>53366.270092652849</v>
      </c>
      <c r="AGY31" s="50">
        <f t="shared" ca="1" si="989"/>
        <v>62465.820446641555</v>
      </c>
      <c r="AGZ31" s="50">
        <f t="shared" ca="1" si="990"/>
        <v>50293.890742496798</v>
      </c>
      <c r="AHA31" s="50">
        <f t="shared" ca="1" si="991"/>
        <v>56833.833700555493</v>
      </c>
      <c r="AHB31" s="50">
        <f t="shared" ca="1" si="992"/>
        <v>49622.071759222148</v>
      </c>
      <c r="AHC31" s="50">
        <f t="shared" ca="1" si="993"/>
        <v>54785.816614450581</v>
      </c>
      <c r="AHD31" s="50">
        <f t="shared" ca="1" si="994"/>
        <v>48705.430790039558</v>
      </c>
      <c r="AHE31" s="50">
        <f t="shared" ca="1" si="995"/>
        <v>64845.261112986547</v>
      </c>
      <c r="AHF31" s="50">
        <f t="shared" ca="1" si="996"/>
        <v>57968.060826803739</v>
      </c>
      <c r="AHG31" s="50">
        <f t="shared" ca="1" si="997"/>
        <v>53164.575005101397</v>
      </c>
      <c r="AHH31" s="50">
        <f t="shared" ca="1" si="998"/>
        <v>65176.702516041791</v>
      </c>
      <c r="AHI31" s="50">
        <f t="shared" ca="1" si="999"/>
        <v>54164.371390568049</v>
      </c>
      <c r="AHJ31" s="50">
        <f t="shared" ca="1" si="1000"/>
        <v>80788.410157935854</v>
      </c>
      <c r="AHK31" s="50">
        <f t="shared" ca="1" si="1001"/>
        <v>51004.122189700473</v>
      </c>
      <c r="AHL31" s="50">
        <f t="shared" ca="1" si="1002"/>
        <v>57471.274581077763</v>
      </c>
      <c r="AHM31" s="50">
        <f t="shared" ca="1" si="1003"/>
        <v>66444.630961752657</v>
      </c>
      <c r="AHN31" s="50">
        <f t="shared" ca="1" si="1004"/>
        <v>69417.389313434338</v>
      </c>
      <c r="AHO31" s="50">
        <f t="shared" ca="1" si="1005"/>
        <v>53002.906388927244</v>
      </c>
      <c r="AHP31" s="50">
        <f t="shared" ca="1" si="1006"/>
        <v>55917.776940627715</v>
      </c>
      <c r="AHQ31" s="50">
        <f t="shared" ca="1" si="1007"/>
        <v>65367.80427276792</v>
      </c>
      <c r="AHR31" s="50">
        <f t="shared" ca="1" si="1008"/>
        <v>57344.949461855016</v>
      </c>
      <c r="AHS31" s="50">
        <f t="shared" ca="1" si="1009"/>
        <v>52798.560331415123</v>
      </c>
      <c r="AHT31" s="50">
        <f t="shared" ca="1" si="1010"/>
        <v>57095.359008607687</v>
      </c>
      <c r="AHU31" s="50">
        <f t="shared" ca="1" si="1011"/>
        <v>53584.002759310402</v>
      </c>
      <c r="AHV31" s="50">
        <f t="shared" ca="1" si="1012"/>
        <v>61042.208356228504</v>
      </c>
      <c r="AHW31" s="50">
        <f t="shared" ca="1" si="1013"/>
        <v>55870.529583407872</v>
      </c>
      <c r="AHX31" s="50">
        <f t="shared" ca="1" si="1014"/>
        <v>55096.979906543929</v>
      </c>
      <c r="AHY31" s="50">
        <f t="shared" ca="1" si="1015"/>
        <v>72435.068842613095</v>
      </c>
      <c r="AHZ31" s="50">
        <f t="shared" ca="1" si="1016"/>
        <v>58826.313231629647</v>
      </c>
      <c r="AIA31" s="50">
        <f t="shared" ca="1" si="1017"/>
        <v>54958.098945534191</v>
      </c>
      <c r="AIB31" s="50">
        <f t="shared" ca="1" si="1018"/>
        <v>55201.669568134297</v>
      </c>
      <c r="AIC31" s="50">
        <f t="shared" ca="1" si="1019"/>
        <v>62423.064846464105</v>
      </c>
      <c r="AID31" s="50">
        <f t="shared" ca="1" si="1020"/>
        <v>71928.472378419188</v>
      </c>
      <c r="AIE31" s="50">
        <f t="shared" ca="1" si="1021"/>
        <v>56345.243118087368</v>
      </c>
      <c r="AIF31" s="50">
        <f t="shared" ca="1" si="1022"/>
        <v>57616.726535886541</v>
      </c>
      <c r="AIG31" s="50">
        <f t="shared" ca="1" si="1023"/>
        <v>62540.71903021296</v>
      </c>
      <c r="AIH31" s="50">
        <f t="shared" ca="1" si="1024"/>
        <v>66276.261463747171</v>
      </c>
      <c r="AII31" s="50">
        <f t="shared" ca="1" si="1025"/>
        <v>55938.960257165418</v>
      </c>
      <c r="AIJ31" s="50">
        <f t="shared" ca="1" si="1026"/>
        <v>56187.484384446812</v>
      </c>
      <c r="AIK31" s="50">
        <f t="shared" ca="1" si="1027"/>
        <v>78046.299078353361</v>
      </c>
      <c r="AIL31" s="50">
        <f t="shared" ca="1" si="1028"/>
        <v>74917.402391962067</v>
      </c>
      <c r="AIM31" s="50">
        <f t="shared" ca="1" si="1029"/>
        <v>50361.845847339806</v>
      </c>
      <c r="AIN31" s="50">
        <f t="shared" ca="1" si="1030"/>
        <v>56824.609499058635</v>
      </c>
      <c r="AIO31" s="50">
        <f t="shared" ca="1" si="1031"/>
        <v>54601.572428396117</v>
      </c>
      <c r="AIP31" s="50">
        <f t="shared" ca="1" si="1032"/>
        <v>81754.56130694515</v>
      </c>
      <c r="AIQ31" s="50">
        <f t="shared" ca="1" si="1033"/>
        <v>53141.961350000915</v>
      </c>
      <c r="AIR31" s="50">
        <f t="shared" ca="1" si="1034"/>
        <v>55991.917381915868</v>
      </c>
      <c r="AIS31" s="50">
        <f t="shared" ca="1" si="1035"/>
        <v>52137.085410306994</v>
      </c>
      <c r="AIT31" s="50">
        <f t="shared" ca="1" si="1036"/>
        <v>40234.518945543437</v>
      </c>
      <c r="AIU31" s="50">
        <f t="shared" ca="1" si="1037"/>
        <v>59506.186760984063</v>
      </c>
      <c r="AIV31" s="50">
        <f t="shared" ca="1" si="1038"/>
        <v>53910.752862237445</v>
      </c>
      <c r="AIW31" s="50">
        <f t="shared" ca="1" si="1039"/>
        <v>64208.231544344257</v>
      </c>
      <c r="AIX31" s="50">
        <f t="shared" ca="1" si="1040"/>
        <v>67042.501695474959</v>
      </c>
      <c r="AIY31" s="50">
        <f t="shared" ca="1" si="1041"/>
        <v>51330.731426337668</v>
      </c>
      <c r="AIZ31" s="50">
        <f t="shared" ca="1" si="1042"/>
        <v>79571.987243247975</v>
      </c>
      <c r="AJA31" s="50">
        <f t="shared" ca="1" si="1043"/>
        <v>65205.863562896884</v>
      </c>
      <c r="AJB31" s="50">
        <f t="shared" ca="1" si="1044"/>
        <v>80639.70544845768</v>
      </c>
      <c r="AJC31" s="50">
        <f t="shared" ca="1" si="1045"/>
        <v>62206.841308998875</v>
      </c>
      <c r="AJD31" s="50">
        <f t="shared" ca="1" si="1046"/>
        <v>60127.13565697489</v>
      </c>
      <c r="AJE31" s="50">
        <f t="shared" ca="1" si="1047"/>
        <v>55074.518373203697</v>
      </c>
      <c r="AJF31" s="50">
        <f t="shared" ca="1" si="1048"/>
        <v>68250.513444467142</v>
      </c>
      <c r="AJG31" s="50">
        <f t="shared" ca="1" si="1049"/>
        <v>58734.442509588662</v>
      </c>
      <c r="AJH31" s="50">
        <f t="shared" ca="1" si="1050"/>
        <v>75837.084735753568</v>
      </c>
      <c r="AJI31" s="50">
        <f t="shared" ca="1" si="1051"/>
        <v>47024.543950663945</v>
      </c>
      <c r="AJJ31" s="50">
        <f t="shared" ca="1" si="1052"/>
        <v>59360.583694743633</v>
      </c>
      <c r="AJK31" s="50">
        <f t="shared" ca="1" si="1053"/>
        <v>46583.49975060967</v>
      </c>
      <c r="AJL31" s="50">
        <f t="shared" ca="1" si="1054"/>
        <v>59336.915897545106</v>
      </c>
      <c r="AJM31" s="50">
        <f t="shared" ca="1" si="1055"/>
        <v>53405.880173164791</v>
      </c>
      <c r="AJN31" s="50">
        <f t="shared" ca="1" si="1056"/>
        <v>75365.47478828537</v>
      </c>
      <c r="AJO31" s="50">
        <f t="shared" ca="1" si="1057"/>
        <v>63771.209556172173</v>
      </c>
      <c r="AJP31" s="50">
        <f t="shared" ca="1" si="1058"/>
        <v>70432.138162694551</v>
      </c>
      <c r="AJQ31" s="50">
        <f t="shared" ca="1" si="1059"/>
        <v>64248.746590459996</v>
      </c>
      <c r="AJR31" s="50">
        <f t="shared" ca="1" si="1060"/>
        <v>68362.624154194549</v>
      </c>
      <c r="AJS31" s="50">
        <f t="shared" ca="1" si="1061"/>
        <v>48102.113879018012</v>
      </c>
      <c r="AJT31" s="50">
        <f t="shared" ca="1" si="1062"/>
        <v>44860.943956154937</v>
      </c>
      <c r="AJU31" s="50">
        <f t="shared" ca="1" si="1063"/>
        <v>71535.751194178418</v>
      </c>
      <c r="AJV31" s="50">
        <f t="shared" ca="1" si="1064"/>
        <v>61324.310351215579</v>
      </c>
      <c r="AJW31" s="50">
        <f t="shared" ca="1" si="1065"/>
        <v>40669.786864952155</v>
      </c>
      <c r="AJX31" s="50">
        <f t="shared" ca="1" si="1066"/>
        <v>56098.518392435974</v>
      </c>
      <c r="AJY31" s="50">
        <f t="shared" ca="1" si="1067"/>
        <v>69734.82672860357</v>
      </c>
      <c r="AJZ31" s="50">
        <f t="shared" ca="1" si="1068"/>
        <v>62712.711289219216</v>
      </c>
      <c r="AKA31" s="50">
        <f t="shared" ca="1" si="1069"/>
        <v>62235.125392065485</v>
      </c>
      <c r="AKB31" s="50">
        <f t="shared" ca="1" si="1070"/>
        <v>53555.855300416115</v>
      </c>
      <c r="AKC31" s="50">
        <f t="shared" ca="1" si="1071"/>
        <v>61082.170065643513</v>
      </c>
      <c r="AKD31" s="50">
        <f t="shared" ca="1" si="1072"/>
        <v>52861.24374476885</v>
      </c>
      <c r="AKE31" s="50">
        <f t="shared" ca="1" si="1073"/>
        <v>55450.321747248534</v>
      </c>
      <c r="AKF31" s="50">
        <f t="shared" ca="1" si="1074"/>
        <v>51178.743155970449</v>
      </c>
      <c r="AKG31" s="50">
        <f t="shared" ca="1" si="1075"/>
        <v>60623.59814936154</v>
      </c>
      <c r="AKH31" s="50">
        <f t="shared" ca="1" si="1076"/>
        <v>52901.754925789144</v>
      </c>
      <c r="AKI31" s="50">
        <f t="shared" ca="1" si="1077"/>
        <v>62943.181734137564</v>
      </c>
      <c r="AKJ31" s="50">
        <f t="shared" ca="1" si="1078"/>
        <v>59138.474948882329</v>
      </c>
      <c r="AKK31" s="50">
        <f t="shared" ca="1" si="1079"/>
        <v>50996.791684446951</v>
      </c>
      <c r="AKL31" s="50">
        <f t="shared" ca="1" si="1080"/>
        <v>65232.291505632245</v>
      </c>
      <c r="AKM31" s="50">
        <f t="shared" ca="1" si="1081"/>
        <v>61319.30430970859</v>
      </c>
      <c r="AKN31" s="50">
        <f t="shared" ca="1" si="1082"/>
        <v>64285.462167093596</v>
      </c>
      <c r="AKO31" s="50">
        <f t="shared" ca="1" si="1083"/>
        <v>61224.736455566897</v>
      </c>
      <c r="AKP31" s="50">
        <f t="shared" ca="1" si="1084"/>
        <v>57633.444741309264</v>
      </c>
      <c r="AKQ31" s="50">
        <f t="shared" ca="1" si="1085"/>
        <v>46487.418595284689</v>
      </c>
      <c r="AKR31" s="50">
        <f t="shared" ca="1" si="1086"/>
        <v>56324.244200408997</v>
      </c>
      <c r="AKS31" s="50">
        <f t="shared" ca="1" si="1087"/>
        <v>54409.265956963434</v>
      </c>
      <c r="AKT31" s="50">
        <f t="shared" ca="1" si="1088"/>
        <v>54464.739348333671</v>
      </c>
      <c r="AKU31" s="50">
        <f t="shared" ca="1" si="1089"/>
        <v>53711.758064592526</v>
      </c>
      <c r="AKV31" s="50">
        <f t="shared" ca="1" si="1090"/>
        <v>49367.744499685286</v>
      </c>
      <c r="AKW31" s="50">
        <f t="shared" ca="1" si="1091"/>
        <v>61888.099727725406</v>
      </c>
      <c r="AKX31" s="50">
        <f t="shared" ca="1" si="1092"/>
        <v>61915.112454793525</v>
      </c>
      <c r="AKY31" s="50">
        <f t="shared" ca="1" si="1093"/>
        <v>54986.05828873656</v>
      </c>
      <c r="AKZ31" s="50">
        <f t="shared" ca="1" si="1094"/>
        <v>61740.957906318959</v>
      </c>
      <c r="ALA31" s="50">
        <f t="shared" ca="1" si="1095"/>
        <v>51870.490706524455</v>
      </c>
      <c r="ALB31" s="50">
        <f t="shared" ca="1" si="1096"/>
        <v>63242.521760188436</v>
      </c>
      <c r="ALC31" s="50">
        <f t="shared" ca="1" si="1097"/>
        <v>51405.758023711991</v>
      </c>
      <c r="ALD31" s="50">
        <f t="shared" ca="1" si="1098"/>
        <v>64351.634199961984</v>
      </c>
      <c r="ALE31" s="50">
        <f t="shared" ca="1" si="1099"/>
        <v>58321.929851081884</v>
      </c>
      <c r="ALF31" s="50">
        <f t="shared" ca="1" si="1100"/>
        <v>54773.705548704704</v>
      </c>
      <c r="ALG31" s="50">
        <f t="shared" ca="1" si="1101"/>
        <v>44970.228666993818</v>
      </c>
      <c r="ALH31" s="50">
        <f t="shared" ca="1" si="1102"/>
        <v>59780.700229107679</v>
      </c>
      <c r="ALI31" s="50">
        <f t="shared" ca="1" si="1103"/>
        <v>56361.373754004751</v>
      </c>
      <c r="ALJ31" s="50">
        <f t="shared" ca="1" si="1104"/>
        <v>62245.803687714004</v>
      </c>
      <c r="ALK31" s="50">
        <f t="shared" ca="1" si="1105"/>
        <v>68870.766773691867</v>
      </c>
      <c r="ALL31" s="50">
        <f t="shared" ca="1" si="1106"/>
        <v>59944.353685370028</v>
      </c>
      <c r="ALM31" s="50">
        <f t="shared" ca="1" si="1107"/>
        <v>41912.461477240584</v>
      </c>
      <c r="ALN31" s="50">
        <f t="shared" ca="1" si="1108"/>
        <v>56988.026595417272</v>
      </c>
      <c r="ALO31" s="50">
        <f t="shared" ca="1" si="1109"/>
        <v>72673.125700882403</v>
      </c>
      <c r="ALP31" s="50">
        <f t="shared" ca="1" si="1110"/>
        <v>47737.326397546094</v>
      </c>
      <c r="ALQ31" s="50">
        <f t="shared" ca="1" si="1111"/>
        <v>50170.032642650978</v>
      </c>
      <c r="ALR31" s="50">
        <f t="shared" ca="1" si="1112"/>
        <v>60914.386875352648</v>
      </c>
    </row>
    <row r="32" spans="1:1006" s="16" customFormat="1" ht="19" customHeight="1" x14ac:dyDescent="0.2">
      <c r="A32"/>
      <c r="B32"/>
      <c r="C32"/>
      <c r="D32"/>
      <c r="E32"/>
      <c r="F32" s="44"/>
    </row>
    <row r="33" spans="6:1006" x14ac:dyDescent="0.2">
      <c r="F33" s="23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  <c r="IZ33" s="22"/>
      <c r="JA33" s="22"/>
      <c r="JB33" s="22"/>
      <c r="JC33" s="22"/>
      <c r="JD33" s="22"/>
      <c r="JE33" s="22"/>
      <c r="JF33" s="22"/>
      <c r="JG33" s="22"/>
      <c r="JH33" s="22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2"/>
      <c r="LK33" s="22"/>
      <c r="LL33" s="22"/>
      <c r="LM33" s="22"/>
      <c r="LN33" s="22"/>
      <c r="LO33" s="22"/>
      <c r="LP33" s="22"/>
      <c r="LQ33" s="22"/>
      <c r="LR33" s="22"/>
      <c r="LS33" s="22"/>
      <c r="LT33" s="22"/>
      <c r="LU33" s="22"/>
      <c r="LV33" s="22"/>
      <c r="LW33" s="22"/>
      <c r="LX33" s="22"/>
      <c r="LY33" s="22"/>
      <c r="LZ33" s="22"/>
      <c r="MA33" s="22"/>
      <c r="MB33" s="22"/>
      <c r="MC33" s="22"/>
      <c r="MD33" s="22"/>
      <c r="ME33" s="22"/>
      <c r="MF33" s="22"/>
      <c r="MG33" s="22"/>
      <c r="MH33" s="22"/>
      <c r="MI33" s="22"/>
      <c r="MJ33" s="22"/>
      <c r="MK33" s="22"/>
      <c r="ML33" s="22"/>
      <c r="MM33" s="22"/>
      <c r="MN33" s="22"/>
      <c r="MO33" s="22"/>
      <c r="MP33" s="22"/>
      <c r="MQ33" s="22"/>
      <c r="MR33" s="22"/>
      <c r="MS33" s="22"/>
      <c r="MT33" s="22"/>
      <c r="MU33" s="22"/>
      <c r="MV33" s="22"/>
      <c r="MW33" s="22"/>
      <c r="MX33" s="22"/>
      <c r="MY33" s="22"/>
      <c r="MZ33" s="22"/>
      <c r="NA33" s="22"/>
      <c r="NB33" s="22"/>
      <c r="NC33" s="22"/>
      <c r="ND33" s="22"/>
      <c r="NE33" s="22"/>
      <c r="NF33" s="22"/>
      <c r="NG33" s="22"/>
      <c r="NH33" s="22"/>
      <c r="NI33" s="22"/>
      <c r="NJ33" s="22"/>
      <c r="NK33" s="22"/>
      <c r="NL33" s="22"/>
      <c r="NM33" s="22"/>
      <c r="NN33" s="22"/>
      <c r="NO33" s="22"/>
      <c r="NP33" s="22"/>
      <c r="NQ33" s="22"/>
      <c r="NR33" s="22"/>
      <c r="NS33" s="22"/>
      <c r="NT33" s="22"/>
      <c r="NU33" s="22"/>
      <c r="NV33" s="22"/>
      <c r="NW33" s="22"/>
      <c r="NX33" s="22"/>
      <c r="NY33" s="22"/>
      <c r="NZ33" s="22"/>
      <c r="OA33" s="22"/>
      <c r="OB33" s="22"/>
      <c r="OC33" s="22"/>
      <c r="OD33" s="22"/>
      <c r="OE33" s="22"/>
      <c r="OF33" s="22"/>
      <c r="OG33" s="22"/>
      <c r="OH33" s="22"/>
      <c r="OI33" s="22"/>
      <c r="OJ33" s="22"/>
      <c r="OK33" s="22"/>
      <c r="OL33" s="22"/>
      <c r="OM33" s="22"/>
      <c r="ON33" s="22"/>
      <c r="OO33" s="22"/>
      <c r="OP33" s="22"/>
      <c r="OQ33" s="22"/>
      <c r="OR33" s="22"/>
      <c r="OS33" s="22"/>
      <c r="OT33" s="22"/>
      <c r="OU33" s="22"/>
      <c r="OV33" s="22"/>
      <c r="OW33" s="22"/>
      <c r="OX33" s="22"/>
      <c r="OY33" s="22"/>
      <c r="OZ33" s="22"/>
      <c r="PA33" s="22"/>
      <c r="PB33" s="22"/>
      <c r="PC33" s="22"/>
      <c r="PD33" s="22"/>
      <c r="PE33" s="22"/>
      <c r="PF33" s="22"/>
      <c r="PG33" s="22"/>
      <c r="PH33" s="22"/>
      <c r="PI33" s="22"/>
      <c r="PJ33" s="22"/>
      <c r="PK33" s="22"/>
      <c r="PL33" s="22"/>
      <c r="PM33" s="22"/>
      <c r="PN33" s="22"/>
      <c r="PO33" s="22"/>
      <c r="PP33" s="22"/>
      <c r="PQ33" s="22"/>
      <c r="PR33" s="22"/>
      <c r="PS33" s="22"/>
      <c r="PT33" s="22"/>
      <c r="PU33" s="22"/>
      <c r="PV33" s="22"/>
      <c r="PW33" s="22"/>
      <c r="PX33" s="22"/>
      <c r="PY33" s="22"/>
      <c r="PZ33" s="22"/>
      <c r="QA33" s="22"/>
      <c r="QB33" s="22"/>
      <c r="QC33" s="22"/>
      <c r="QD33" s="22"/>
      <c r="QE33" s="22"/>
      <c r="QF33" s="22"/>
      <c r="QG33" s="22"/>
      <c r="QH33" s="22"/>
      <c r="QI33" s="22"/>
      <c r="QJ33" s="22"/>
      <c r="QK33" s="22"/>
      <c r="QL33" s="22"/>
      <c r="QM33" s="22"/>
      <c r="QN33" s="22"/>
      <c r="QO33" s="22"/>
      <c r="QP33" s="22"/>
      <c r="QQ33" s="22"/>
      <c r="QR33" s="22"/>
      <c r="QS33" s="22"/>
      <c r="QT33" s="22"/>
      <c r="QU33" s="22"/>
      <c r="QV33" s="22"/>
      <c r="QW33" s="22"/>
      <c r="QX33" s="22"/>
      <c r="QY33" s="22"/>
      <c r="QZ33" s="22"/>
      <c r="RA33" s="22"/>
      <c r="RB33" s="22"/>
      <c r="RC33" s="22"/>
      <c r="RD33" s="22"/>
      <c r="RE33" s="22"/>
      <c r="RF33" s="22"/>
      <c r="RG33" s="22"/>
      <c r="RH33" s="22"/>
      <c r="RI33" s="22"/>
      <c r="RJ33" s="22"/>
      <c r="RK33" s="22"/>
      <c r="RL33" s="22"/>
      <c r="RM33" s="22"/>
      <c r="RN33" s="22"/>
      <c r="RO33" s="22"/>
      <c r="RP33" s="22"/>
      <c r="RQ33" s="22"/>
      <c r="RR33" s="22"/>
      <c r="RS33" s="22"/>
      <c r="RT33" s="22"/>
      <c r="RU33" s="22"/>
      <c r="RV33" s="22"/>
      <c r="RW33" s="22"/>
      <c r="RX33" s="22"/>
      <c r="RY33" s="22"/>
      <c r="RZ33" s="22"/>
      <c r="SA33" s="22"/>
      <c r="SB33" s="22"/>
      <c r="SC33" s="22"/>
      <c r="SD33" s="22"/>
      <c r="SE33" s="22"/>
      <c r="SF33" s="22"/>
      <c r="SG33" s="22"/>
      <c r="SH33" s="22"/>
      <c r="SI33" s="22"/>
      <c r="SJ33" s="22"/>
      <c r="SK33" s="22"/>
      <c r="SL33" s="22"/>
      <c r="SM33" s="22"/>
      <c r="SN33" s="22"/>
      <c r="SO33" s="22"/>
      <c r="SP33" s="22"/>
      <c r="SQ33" s="22"/>
      <c r="SR33" s="22"/>
      <c r="SS33" s="22"/>
      <c r="ST33" s="22"/>
      <c r="SU33" s="22"/>
      <c r="SV33" s="22"/>
      <c r="SW33" s="22"/>
      <c r="SX33" s="22"/>
      <c r="SY33" s="22"/>
      <c r="SZ33" s="22"/>
      <c r="TA33" s="22"/>
      <c r="TB33" s="22"/>
      <c r="TC33" s="22"/>
      <c r="TD33" s="22"/>
      <c r="TE33" s="22"/>
      <c r="TF33" s="22"/>
      <c r="TG33" s="22"/>
      <c r="TH33" s="22"/>
      <c r="TI33" s="22"/>
      <c r="TJ33" s="22"/>
      <c r="TK33" s="22"/>
      <c r="TL33" s="22"/>
      <c r="TM33" s="22"/>
      <c r="TN33" s="22"/>
      <c r="TO33" s="22"/>
      <c r="TP33" s="22"/>
      <c r="TQ33" s="22"/>
      <c r="TR33" s="22"/>
      <c r="TS33" s="22"/>
      <c r="TT33" s="22"/>
      <c r="TU33" s="22"/>
      <c r="TV33" s="22"/>
      <c r="TW33" s="22"/>
      <c r="TX33" s="22"/>
      <c r="TY33" s="22"/>
      <c r="TZ33" s="22"/>
      <c r="UA33" s="22"/>
      <c r="UB33" s="22"/>
      <c r="UC33" s="22"/>
      <c r="UD33" s="22"/>
      <c r="UE33" s="22"/>
      <c r="UF33" s="22"/>
      <c r="UG33" s="22"/>
      <c r="UH33" s="22"/>
      <c r="UI33" s="22"/>
      <c r="UJ33" s="22"/>
      <c r="UK33" s="22"/>
      <c r="UL33" s="22"/>
      <c r="UM33" s="22"/>
      <c r="UN33" s="22"/>
      <c r="UO33" s="22"/>
      <c r="UP33" s="22"/>
      <c r="UQ33" s="22"/>
      <c r="UR33" s="22"/>
      <c r="US33" s="22"/>
      <c r="UT33" s="22"/>
      <c r="UU33" s="22"/>
      <c r="UV33" s="22"/>
      <c r="UW33" s="22"/>
      <c r="UX33" s="22"/>
      <c r="UY33" s="22"/>
      <c r="UZ33" s="22"/>
      <c r="VA33" s="22"/>
      <c r="VB33" s="22"/>
      <c r="VC33" s="22"/>
      <c r="VD33" s="22"/>
      <c r="VE33" s="22"/>
      <c r="VF33" s="22"/>
      <c r="VG33" s="22"/>
      <c r="VH33" s="22"/>
      <c r="VI33" s="22"/>
      <c r="VJ33" s="22"/>
      <c r="VK33" s="22"/>
      <c r="VL33" s="22"/>
      <c r="VM33" s="22"/>
      <c r="VN33" s="22"/>
      <c r="VO33" s="22"/>
      <c r="VP33" s="22"/>
      <c r="VQ33" s="22"/>
      <c r="VR33" s="22"/>
      <c r="VS33" s="22"/>
      <c r="VT33" s="22"/>
      <c r="VU33" s="22"/>
      <c r="VV33" s="22"/>
      <c r="VW33" s="22"/>
      <c r="VX33" s="22"/>
      <c r="VY33" s="22"/>
      <c r="VZ33" s="22"/>
      <c r="WA33" s="22"/>
      <c r="WB33" s="22"/>
      <c r="WC33" s="22"/>
      <c r="WD33" s="22"/>
      <c r="WE33" s="22"/>
      <c r="WF33" s="22"/>
      <c r="WG33" s="22"/>
      <c r="WH33" s="22"/>
      <c r="WI33" s="22"/>
      <c r="WJ33" s="22"/>
      <c r="WK33" s="22"/>
      <c r="WL33" s="22"/>
      <c r="WM33" s="22"/>
      <c r="WN33" s="22"/>
      <c r="WO33" s="22"/>
      <c r="WP33" s="22"/>
      <c r="WQ33" s="22"/>
      <c r="WR33" s="22"/>
      <c r="WS33" s="22"/>
      <c r="WT33" s="22"/>
      <c r="WU33" s="22"/>
      <c r="WV33" s="22"/>
      <c r="WW33" s="22"/>
      <c r="WX33" s="22"/>
      <c r="WY33" s="22"/>
      <c r="WZ33" s="22"/>
      <c r="XA33" s="22"/>
      <c r="XB33" s="22"/>
      <c r="XC33" s="22"/>
      <c r="XD33" s="22"/>
      <c r="XE33" s="22"/>
      <c r="XF33" s="22"/>
      <c r="XG33" s="22"/>
      <c r="XH33" s="22"/>
      <c r="XI33" s="22"/>
      <c r="XJ33" s="22"/>
      <c r="XK33" s="22"/>
      <c r="XL33" s="22"/>
      <c r="XM33" s="22"/>
      <c r="XN33" s="22"/>
      <c r="XO33" s="22"/>
      <c r="XP33" s="22"/>
      <c r="XQ33" s="22"/>
      <c r="XR33" s="22"/>
      <c r="XS33" s="22"/>
      <c r="XT33" s="22"/>
      <c r="XU33" s="22"/>
      <c r="XV33" s="22"/>
      <c r="XW33" s="22"/>
      <c r="XX33" s="22"/>
      <c r="XY33" s="22"/>
      <c r="XZ33" s="22"/>
      <c r="YA33" s="22"/>
      <c r="YB33" s="22"/>
      <c r="YC33" s="22"/>
      <c r="YD33" s="22"/>
      <c r="YE33" s="22"/>
      <c r="YF33" s="22"/>
      <c r="YG33" s="22"/>
      <c r="YH33" s="22"/>
      <c r="YI33" s="22"/>
      <c r="YJ33" s="22"/>
      <c r="YK33" s="22"/>
      <c r="YL33" s="22"/>
      <c r="YM33" s="22"/>
      <c r="YN33" s="22"/>
      <c r="YO33" s="22"/>
      <c r="YP33" s="22"/>
      <c r="YQ33" s="22"/>
      <c r="YR33" s="22"/>
      <c r="YS33" s="22"/>
      <c r="YT33" s="22"/>
      <c r="YU33" s="22"/>
      <c r="YV33" s="22"/>
      <c r="YW33" s="22"/>
      <c r="YX33" s="22"/>
      <c r="YY33" s="22"/>
      <c r="YZ33" s="22"/>
      <c r="ZA33" s="22"/>
      <c r="ZB33" s="22"/>
      <c r="ZC33" s="22"/>
      <c r="ZD33" s="22"/>
      <c r="ZE33" s="22"/>
      <c r="ZF33" s="22"/>
      <c r="ZG33" s="22"/>
      <c r="ZH33" s="22"/>
      <c r="ZI33" s="22"/>
      <c r="ZJ33" s="22"/>
      <c r="ZK33" s="22"/>
      <c r="ZL33" s="22"/>
      <c r="ZM33" s="22"/>
      <c r="ZN33" s="22"/>
      <c r="ZO33" s="22"/>
      <c r="ZP33" s="22"/>
      <c r="ZQ33" s="22"/>
      <c r="ZR33" s="22"/>
      <c r="ZS33" s="22"/>
      <c r="ZT33" s="22"/>
      <c r="ZU33" s="22"/>
      <c r="ZV33" s="22"/>
      <c r="ZW33" s="22"/>
      <c r="ZX33" s="22"/>
      <c r="ZY33" s="22"/>
      <c r="ZZ33" s="22"/>
      <c r="AAA33" s="22"/>
      <c r="AAB33" s="22"/>
      <c r="AAC33" s="22"/>
      <c r="AAD33" s="22"/>
      <c r="AAE33" s="22"/>
      <c r="AAF33" s="22"/>
      <c r="AAG33" s="22"/>
      <c r="AAH33" s="22"/>
      <c r="AAI33" s="22"/>
      <c r="AAJ33" s="22"/>
      <c r="AAK33" s="22"/>
      <c r="AAL33" s="22"/>
      <c r="AAM33" s="22"/>
      <c r="AAN33" s="22"/>
      <c r="AAO33" s="22"/>
      <c r="AAP33" s="22"/>
      <c r="AAQ33" s="22"/>
      <c r="AAR33" s="22"/>
      <c r="AAS33" s="22"/>
      <c r="AAT33" s="22"/>
      <c r="AAU33" s="22"/>
      <c r="AAV33" s="22"/>
      <c r="AAW33" s="22"/>
      <c r="AAX33" s="22"/>
      <c r="AAY33" s="22"/>
      <c r="AAZ33" s="22"/>
      <c r="ABA33" s="22"/>
      <c r="ABB33" s="22"/>
      <c r="ABC33" s="22"/>
      <c r="ABD33" s="22"/>
      <c r="ABE33" s="22"/>
      <c r="ABF33" s="22"/>
      <c r="ABG33" s="22"/>
      <c r="ABH33" s="22"/>
      <c r="ABI33" s="22"/>
      <c r="ABJ33" s="22"/>
      <c r="ABK33" s="22"/>
      <c r="ABL33" s="22"/>
      <c r="ABM33" s="22"/>
      <c r="ABN33" s="22"/>
      <c r="ABO33" s="22"/>
      <c r="ABP33" s="22"/>
      <c r="ABQ33" s="22"/>
      <c r="ABR33" s="22"/>
      <c r="ABS33" s="22"/>
      <c r="ABT33" s="22"/>
      <c r="ABU33" s="22"/>
      <c r="ABV33" s="22"/>
      <c r="ABW33" s="22"/>
      <c r="ABX33" s="22"/>
      <c r="ABY33" s="22"/>
      <c r="ABZ33" s="22"/>
      <c r="ACA33" s="22"/>
      <c r="ACB33" s="22"/>
      <c r="ACC33" s="22"/>
      <c r="ACD33" s="22"/>
      <c r="ACE33" s="22"/>
      <c r="ACF33" s="22"/>
      <c r="ACG33" s="22"/>
      <c r="ACH33" s="22"/>
      <c r="ACI33" s="22"/>
      <c r="ACJ33" s="22"/>
      <c r="ACK33" s="22"/>
      <c r="ACL33" s="22"/>
      <c r="ACM33" s="22"/>
      <c r="ACN33" s="22"/>
      <c r="ACO33" s="22"/>
      <c r="ACP33" s="22"/>
      <c r="ACQ33" s="22"/>
      <c r="ACR33" s="22"/>
      <c r="ACS33" s="22"/>
      <c r="ACT33" s="22"/>
      <c r="ACU33" s="22"/>
      <c r="ACV33" s="22"/>
      <c r="ACW33" s="22"/>
      <c r="ACX33" s="22"/>
      <c r="ACY33" s="22"/>
      <c r="ACZ33" s="22"/>
      <c r="ADA33" s="22"/>
      <c r="ADB33" s="22"/>
      <c r="ADC33" s="22"/>
      <c r="ADD33" s="22"/>
      <c r="ADE33" s="22"/>
      <c r="ADF33" s="22"/>
      <c r="ADG33" s="22"/>
      <c r="ADH33" s="22"/>
      <c r="ADI33" s="22"/>
      <c r="ADJ33" s="22"/>
      <c r="ADK33" s="22"/>
      <c r="ADL33" s="22"/>
      <c r="ADM33" s="22"/>
      <c r="ADN33" s="22"/>
      <c r="ADO33" s="22"/>
      <c r="ADP33" s="22"/>
      <c r="ADQ33" s="22"/>
      <c r="ADR33" s="22"/>
      <c r="ADS33" s="22"/>
      <c r="ADT33" s="22"/>
      <c r="ADU33" s="22"/>
      <c r="ADV33" s="22"/>
      <c r="ADW33" s="22"/>
      <c r="ADX33" s="22"/>
      <c r="ADY33" s="22"/>
      <c r="ADZ33" s="22"/>
      <c r="AEA33" s="22"/>
      <c r="AEB33" s="22"/>
      <c r="AEC33" s="22"/>
      <c r="AED33" s="22"/>
      <c r="AEE33" s="22"/>
      <c r="AEF33" s="22"/>
      <c r="AEG33" s="22"/>
      <c r="AEH33" s="22"/>
      <c r="AEI33" s="22"/>
      <c r="AEJ33" s="22"/>
      <c r="AEK33" s="22"/>
      <c r="AEL33" s="22"/>
      <c r="AEM33" s="22"/>
      <c r="AEN33" s="22"/>
      <c r="AEO33" s="22"/>
      <c r="AEP33" s="22"/>
      <c r="AEQ33" s="22"/>
      <c r="AER33" s="22"/>
      <c r="AES33" s="22"/>
      <c r="AET33" s="22"/>
      <c r="AEU33" s="22"/>
      <c r="AEV33" s="22"/>
      <c r="AEW33" s="22"/>
      <c r="AEX33" s="22"/>
      <c r="AEY33" s="22"/>
      <c r="AEZ33" s="22"/>
      <c r="AFA33" s="22"/>
      <c r="AFB33" s="22"/>
      <c r="AFC33" s="22"/>
      <c r="AFD33" s="22"/>
      <c r="AFE33" s="22"/>
      <c r="AFF33" s="22"/>
      <c r="AFG33" s="22"/>
      <c r="AFH33" s="22"/>
      <c r="AFI33" s="22"/>
      <c r="AFJ33" s="22"/>
      <c r="AFK33" s="22"/>
      <c r="AFL33" s="22"/>
      <c r="AFM33" s="22"/>
      <c r="AFN33" s="22"/>
      <c r="AFO33" s="22"/>
      <c r="AFP33" s="22"/>
      <c r="AFQ33" s="22"/>
      <c r="AFR33" s="22"/>
      <c r="AFS33" s="22"/>
      <c r="AFT33" s="22"/>
      <c r="AFU33" s="22"/>
      <c r="AFV33" s="22"/>
      <c r="AFW33" s="22"/>
      <c r="AFX33" s="22"/>
      <c r="AFY33" s="22"/>
      <c r="AFZ33" s="22"/>
      <c r="AGA33" s="22"/>
      <c r="AGB33" s="22"/>
      <c r="AGC33" s="22"/>
      <c r="AGD33" s="22"/>
      <c r="AGE33" s="22"/>
      <c r="AGF33" s="22"/>
      <c r="AGG33" s="22"/>
      <c r="AGH33" s="22"/>
      <c r="AGI33" s="22"/>
      <c r="AGJ33" s="22"/>
      <c r="AGK33" s="22"/>
      <c r="AGL33" s="22"/>
      <c r="AGM33" s="22"/>
      <c r="AGN33" s="22"/>
      <c r="AGO33" s="22"/>
      <c r="AGP33" s="22"/>
      <c r="AGQ33" s="22"/>
      <c r="AGR33" s="22"/>
      <c r="AGS33" s="22"/>
      <c r="AGT33" s="22"/>
      <c r="AGU33" s="22"/>
      <c r="AGV33" s="22"/>
      <c r="AGW33" s="22"/>
      <c r="AGX33" s="22"/>
      <c r="AGY33" s="22"/>
      <c r="AGZ33" s="22"/>
      <c r="AHA33" s="22"/>
      <c r="AHB33" s="22"/>
      <c r="AHC33" s="22"/>
      <c r="AHD33" s="22"/>
      <c r="AHE33" s="22"/>
      <c r="AHF33" s="22"/>
      <c r="AHG33" s="22"/>
      <c r="AHH33" s="22"/>
      <c r="AHI33" s="22"/>
      <c r="AHJ33" s="22"/>
      <c r="AHK33" s="22"/>
      <c r="AHL33" s="22"/>
      <c r="AHM33" s="22"/>
      <c r="AHN33" s="22"/>
      <c r="AHO33" s="22"/>
      <c r="AHP33" s="22"/>
      <c r="AHQ33" s="22"/>
      <c r="AHR33" s="22"/>
      <c r="AHS33" s="22"/>
      <c r="AHT33" s="22"/>
      <c r="AHU33" s="22"/>
      <c r="AHV33" s="22"/>
      <c r="AHW33" s="22"/>
      <c r="AHX33" s="22"/>
      <c r="AHY33" s="22"/>
      <c r="AHZ33" s="22"/>
      <c r="AIA33" s="22"/>
      <c r="AIB33" s="22"/>
      <c r="AIC33" s="22"/>
      <c r="AID33" s="22"/>
      <c r="AIE33" s="22"/>
      <c r="AIF33" s="22"/>
      <c r="AIG33" s="22"/>
      <c r="AIH33" s="22"/>
      <c r="AII33" s="22"/>
      <c r="AIJ33" s="22"/>
      <c r="AIK33" s="22"/>
      <c r="AIL33" s="22"/>
      <c r="AIM33" s="22"/>
      <c r="AIN33" s="22"/>
      <c r="AIO33" s="22"/>
      <c r="AIP33" s="22"/>
      <c r="AIQ33" s="22"/>
      <c r="AIR33" s="22"/>
      <c r="AIS33" s="22"/>
      <c r="AIT33" s="22"/>
      <c r="AIU33" s="22"/>
      <c r="AIV33" s="22"/>
      <c r="AIW33" s="22"/>
      <c r="AIX33" s="22"/>
      <c r="AIY33" s="22"/>
      <c r="AIZ33" s="22"/>
      <c r="AJA33" s="22"/>
      <c r="AJB33" s="22"/>
      <c r="AJC33" s="22"/>
      <c r="AJD33" s="22"/>
      <c r="AJE33" s="22"/>
      <c r="AJF33" s="22"/>
      <c r="AJG33" s="22"/>
      <c r="AJH33" s="22"/>
      <c r="AJI33" s="22"/>
      <c r="AJJ33" s="22"/>
      <c r="AJK33" s="22"/>
      <c r="AJL33" s="22"/>
      <c r="AJM33" s="22"/>
      <c r="AJN33" s="22"/>
      <c r="AJO33" s="22"/>
      <c r="AJP33" s="22"/>
      <c r="AJQ33" s="22"/>
      <c r="AJR33" s="22"/>
      <c r="AJS33" s="22"/>
      <c r="AJT33" s="22"/>
      <c r="AJU33" s="22"/>
      <c r="AJV33" s="22"/>
      <c r="AJW33" s="22"/>
      <c r="AJX33" s="22"/>
      <c r="AJY33" s="22"/>
      <c r="AJZ33" s="22"/>
      <c r="AKA33" s="22"/>
      <c r="AKB33" s="22"/>
      <c r="AKC33" s="22"/>
      <c r="AKD33" s="22"/>
      <c r="AKE33" s="22"/>
      <c r="AKF33" s="22"/>
      <c r="AKG33" s="22"/>
      <c r="AKH33" s="22"/>
      <c r="AKI33" s="22"/>
      <c r="AKJ33" s="22"/>
      <c r="AKK33" s="22"/>
      <c r="AKL33" s="22"/>
      <c r="AKM33" s="22"/>
      <c r="AKN33" s="22"/>
      <c r="AKO33" s="22"/>
      <c r="AKP33" s="22"/>
      <c r="AKQ33" s="22"/>
      <c r="AKR33" s="22"/>
      <c r="AKS33" s="22"/>
      <c r="AKT33" s="22"/>
      <c r="AKU33" s="22"/>
      <c r="AKV33" s="22"/>
      <c r="AKW33" s="22"/>
      <c r="AKX33" s="22"/>
      <c r="AKY33" s="22"/>
      <c r="AKZ33" s="22"/>
      <c r="ALA33" s="22"/>
      <c r="ALB33" s="22"/>
      <c r="ALC33" s="22"/>
      <c r="ALD33" s="22"/>
      <c r="ALE33" s="22"/>
      <c r="ALF33" s="22"/>
      <c r="ALG33" s="22"/>
      <c r="ALH33" s="22"/>
      <c r="ALI33" s="22"/>
      <c r="ALJ33" s="22"/>
      <c r="ALK33" s="22"/>
      <c r="ALL33" s="22"/>
      <c r="ALM33" s="22"/>
      <c r="ALN33" s="22"/>
      <c r="ALO33" s="22"/>
      <c r="ALP33" s="22"/>
      <c r="ALQ33" s="22"/>
      <c r="ALR33" s="22"/>
    </row>
    <row r="34" spans="6:1006" x14ac:dyDescent="0.2">
      <c r="F34" s="23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  <c r="IZ34" s="22"/>
      <c r="JA34" s="22"/>
      <c r="JB34" s="22"/>
      <c r="JC34" s="22"/>
      <c r="JD34" s="22"/>
      <c r="JE34" s="22"/>
      <c r="JF34" s="22"/>
      <c r="JG34" s="22"/>
      <c r="JH34" s="22"/>
      <c r="JI34" s="22"/>
      <c r="JJ34" s="22"/>
      <c r="JK34" s="22"/>
      <c r="JL34" s="22"/>
      <c r="JM34" s="22"/>
      <c r="JN34" s="22"/>
      <c r="JO34" s="22"/>
      <c r="JP34" s="22"/>
      <c r="JQ34" s="22"/>
      <c r="JR34" s="22"/>
      <c r="JS34" s="22"/>
      <c r="JT34" s="22"/>
      <c r="JU34" s="22"/>
      <c r="JV34" s="22"/>
      <c r="JW34" s="22"/>
      <c r="JX34" s="22"/>
      <c r="JY34" s="22"/>
      <c r="JZ34" s="22"/>
      <c r="KA34" s="22"/>
      <c r="KB34" s="22"/>
      <c r="KC34" s="22"/>
      <c r="KD34" s="22"/>
      <c r="KE34" s="22"/>
      <c r="KF34" s="22"/>
      <c r="KG34" s="22"/>
      <c r="KH34" s="22"/>
      <c r="KI34" s="22"/>
      <c r="KJ34" s="22"/>
      <c r="KK34" s="22"/>
      <c r="KL34" s="22"/>
      <c r="KM34" s="22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 s="22"/>
      <c r="LH34" s="22"/>
      <c r="LI34" s="22"/>
      <c r="LJ34" s="22"/>
      <c r="LK34" s="22"/>
      <c r="LL34" s="22"/>
      <c r="LM34" s="22"/>
      <c r="LN34" s="22"/>
      <c r="LO34" s="22"/>
      <c r="LP34" s="22"/>
      <c r="LQ34" s="22"/>
      <c r="LR34" s="22"/>
      <c r="LS34" s="22"/>
      <c r="LT34" s="22"/>
      <c r="LU34" s="22"/>
      <c r="LV34" s="22"/>
      <c r="LW34" s="22"/>
      <c r="LX34" s="22"/>
      <c r="LY34" s="22"/>
      <c r="LZ34" s="22"/>
      <c r="MA34" s="22"/>
      <c r="MB34" s="22"/>
      <c r="MC34" s="22"/>
      <c r="MD34" s="22"/>
      <c r="ME34" s="22"/>
      <c r="MF34" s="22"/>
      <c r="MG34" s="22"/>
      <c r="MH34" s="22"/>
      <c r="MI34" s="22"/>
      <c r="MJ34" s="22"/>
      <c r="MK34" s="22"/>
      <c r="ML34" s="22"/>
      <c r="MM34" s="22"/>
      <c r="MN34" s="22"/>
      <c r="MO34" s="22"/>
      <c r="MP34" s="22"/>
      <c r="MQ34" s="22"/>
      <c r="MR34" s="22"/>
      <c r="MS34" s="22"/>
      <c r="MT34" s="22"/>
      <c r="MU34" s="22"/>
      <c r="MV34" s="22"/>
      <c r="MW34" s="22"/>
      <c r="MX34" s="22"/>
      <c r="MY34" s="22"/>
      <c r="MZ34" s="22"/>
      <c r="NA34" s="22"/>
      <c r="NB34" s="22"/>
      <c r="NC34" s="22"/>
      <c r="ND34" s="22"/>
      <c r="NE34" s="22"/>
      <c r="NF34" s="22"/>
      <c r="NG34" s="22"/>
      <c r="NH34" s="22"/>
      <c r="NI34" s="22"/>
      <c r="NJ34" s="22"/>
      <c r="NK34" s="22"/>
      <c r="NL34" s="22"/>
      <c r="NM34" s="22"/>
      <c r="NN34" s="22"/>
      <c r="NO34" s="22"/>
      <c r="NP34" s="22"/>
      <c r="NQ34" s="22"/>
      <c r="NR34" s="22"/>
      <c r="NS34" s="22"/>
      <c r="NT34" s="22"/>
      <c r="NU34" s="22"/>
      <c r="NV34" s="22"/>
      <c r="NW34" s="22"/>
      <c r="NX34" s="22"/>
      <c r="NY34" s="22"/>
      <c r="NZ34" s="22"/>
      <c r="OA34" s="22"/>
      <c r="OB34" s="22"/>
      <c r="OC34" s="22"/>
      <c r="OD34" s="22"/>
      <c r="OE34" s="22"/>
      <c r="OF34" s="22"/>
      <c r="OG34" s="22"/>
      <c r="OH34" s="22"/>
      <c r="OI34" s="22"/>
      <c r="OJ34" s="22"/>
      <c r="OK34" s="22"/>
      <c r="OL34" s="22"/>
      <c r="OM34" s="22"/>
      <c r="ON34" s="22"/>
      <c r="OO34" s="22"/>
      <c r="OP34" s="22"/>
      <c r="OQ34" s="22"/>
      <c r="OR34" s="22"/>
      <c r="OS34" s="22"/>
      <c r="OT34" s="22"/>
      <c r="OU34" s="22"/>
      <c r="OV34" s="22"/>
      <c r="OW34" s="22"/>
      <c r="OX34" s="22"/>
      <c r="OY34" s="22"/>
      <c r="OZ34" s="22"/>
      <c r="PA34" s="22"/>
      <c r="PB34" s="22"/>
      <c r="PC34" s="22"/>
      <c r="PD34" s="22"/>
      <c r="PE34" s="22"/>
      <c r="PF34" s="22"/>
      <c r="PG34" s="22"/>
      <c r="PH34" s="22"/>
      <c r="PI34" s="22"/>
      <c r="PJ34" s="22"/>
      <c r="PK34" s="22"/>
      <c r="PL34" s="22"/>
      <c r="PM34" s="22"/>
      <c r="PN34" s="22"/>
      <c r="PO34" s="22"/>
      <c r="PP34" s="22"/>
      <c r="PQ34" s="22"/>
      <c r="PR34" s="22"/>
      <c r="PS34" s="22"/>
      <c r="PT34" s="22"/>
      <c r="PU34" s="22"/>
      <c r="PV34" s="22"/>
      <c r="PW34" s="22"/>
      <c r="PX34" s="22"/>
      <c r="PY34" s="22"/>
      <c r="PZ34" s="22"/>
      <c r="QA34" s="22"/>
      <c r="QB34" s="22"/>
      <c r="QC34" s="22"/>
      <c r="QD34" s="22"/>
      <c r="QE34" s="22"/>
      <c r="QF34" s="22"/>
      <c r="QG34" s="22"/>
      <c r="QH34" s="22"/>
      <c r="QI34" s="22"/>
      <c r="QJ34" s="22"/>
      <c r="QK34" s="22"/>
      <c r="QL34" s="22"/>
      <c r="QM34" s="22"/>
      <c r="QN34" s="22"/>
      <c r="QO34" s="22"/>
      <c r="QP34" s="22"/>
      <c r="QQ34" s="22"/>
      <c r="QR34" s="22"/>
      <c r="QS34" s="22"/>
      <c r="QT34" s="22"/>
      <c r="QU34" s="22"/>
      <c r="QV34" s="22"/>
      <c r="QW34" s="22"/>
      <c r="QX34" s="22"/>
      <c r="QY34" s="22"/>
      <c r="QZ34" s="22"/>
      <c r="RA34" s="22"/>
      <c r="RB34" s="22"/>
      <c r="RC34" s="22"/>
      <c r="RD34" s="22"/>
      <c r="RE34" s="22"/>
      <c r="RF34" s="22"/>
      <c r="RG34" s="22"/>
      <c r="RH34" s="22"/>
      <c r="RI34" s="22"/>
      <c r="RJ34" s="22"/>
      <c r="RK34" s="22"/>
      <c r="RL34" s="22"/>
      <c r="RM34" s="22"/>
      <c r="RN34" s="22"/>
      <c r="RO34" s="22"/>
      <c r="RP34" s="22"/>
      <c r="RQ34" s="22"/>
      <c r="RR34" s="22"/>
      <c r="RS34" s="22"/>
      <c r="RT34" s="22"/>
      <c r="RU34" s="22"/>
      <c r="RV34" s="22"/>
      <c r="RW34" s="22"/>
      <c r="RX34" s="22"/>
      <c r="RY34" s="22"/>
      <c r="RZ34" s="22"/>
      <c r="SA34" s="22"/>
      <c r="SB34" s="22"/>
      <c r="SC34" s="22"/>
      <c r="SD34" s="22"/>
      <c r="SE34" s="22"/>
      <c r="SF34" s="22"/>
      <c r="SG34" s="22"/>
      <c r="SH34" s="22"/>
      <c r="SI34" s="22"/>
      <c r="SJ34" s="22"/>
      <c r="SK34" s="22"/>
      <c r="SL34" s="22"/>
      <c r="SM34" s="22"/>
      <c r="SN34" s="22"/>
      <c r="SO34" s="22"/>
      <c r="SP34" s="22"/>
      <c r="SQ34" s="22"/>
      <c r="SR34" s="22"/>
      <c r="SS34" s="22"/>
      <c r="ST34" s="22"/>
      <c r="SU34" s="22"/>
      <c r="SV34" s="22"/>
      <c r="SW34" s="22"/>
      <c r="SX34" s="22"/>
      <c r="SY34" s="22"/>
      <c r="SZ34" s="22"/>
      <c r="TA34" s="22"/>
      <c r="TB34" s="22"/>
      <c r="TC34" s="22"/>
      <c r="TD34" s="22"/>
      <c r="TE34" s="22"/>
      <c r="TF34" s="22"/>
      <c r="TG34" s="22"/>
      <c r="TH34" s="22"/>
      <c r="TI34" s="22"/>
      <c r="TJ34" s="22"/>
      <c r="TK34" s="22"/>
      <c r="TL34" s="22"/>
      <c r="TM34" s="22"/>
      <c r="TN34" s="22"/>
      <c r="TO34" s="22"/>
      <c r="TP34" s="22"/>
      <c r="TQ34" s="22"/>
      <c r="TR34" s="22"/>
      <c r="TS34" s="22"/>
      <c r="TT34" s="22"/>
      <c r="TU34" s="22"/>
      <c r="TV34" s="22"/>
      <c r="TW34" s="22"/>
      <c r="TX34" s="22"/>
      <c r="TY34" s="22"/>
      <c r="TZ34" s="22"/>
      <c r="UA34" s="22"/>
      <c r="UB34" s="22"/>
      <c r="UC34" s="22"/>
      <c r="UD34" s="22"/>
      <c r="UE34" s="22"/>
      <c r="UF34" s="22"/>
      <c r="UG34" s="22"/>
      <c r="UH34" s="22"/>
      <c r="UI34" s="22"/>
      <c r="UJ34" s="22"/>
      <c r="UK34" s="22"/>
      <c r="UL34" s="22"/>
      <c r="UM34" s="22"/>
      <c r="UN34" s="22"/>
      <c r="UO34" s="22"/>
      <c r="UP34" s="22"/>
      <c r="UQ34" s="22"/>
      <c r="UR34" s="22"/>
      <c r="US34" s="22"/>
      <c r="UT34" s="22"/>
      <c r="UU34" s="22"/>
      <c r="UV34" s="22"/>
      <c r="UW34" s="22"/>
      <c r="UX34" s="22"/>
      <c r="UY34" s="22"/>
      <c r="UZ34" s="22"/>
      <c r="VA34" s="22"/>
      <c r="VB34" s="22"/>
      <c r="VC34" s="22"/>
      <c r="VD34" s="22"/>
      <c r="VE34" s="22"/>
      <c r="VF34" s="22"/>
      <c r="VG34" s="22"/>
      <c r="VH34" s="22"/>
      <c r="VI34" s="22"/>
      <c r="VJ34" s="22"/>
      <c r="VK34" s="22"/>
      <c r="VL34" s="22"/>
      <c r="VM34" s="22"/>
      <c r="VN34" s="22"/>
      <c r="VO34" s="22"/>
      <c r="VP34" s="22"/>
      <c r="VQ34" s="22"/>
      <c r="VR34" s="22"/>
      <c r="VS34" s="22"/>
      <c r="VT34" s="22"/>
      <c r="VU34" s="22"/>
      <c r="VV34" s="22"/>
      <c r="VW34" s="22"/>
      <c r="VX34" s="22"/>
      <c r="VY34" s="22"/>
      <c r="VZ34" s="22"/>
      <c r="WA34" s="22"/>
      <c r="WB34" s="22"/>
      <c r="WC34" s="22"/>
      <c r="WD34" s="22"/>
      <c r="WE34" s="22"/>
      <c r="WF34" s="22"/>
      <c r="WG34" s="22"/>
      <c r="WH34" s="22"/>
      <c r="WI34" s="22"/>
      <c r="WJ34" s="22"/>
      <c r="WK34" s="22"/>
      <c r="WL34" s="22"/>
      <c r="WM34" s="22"/>
      <c r="WN34" s="22"/>
      <c r="WO34" s="22"/>
      <c r="WP34" s="22"/>
      <c r="WQ34" s="22"/>
      <c r="WR34" s="22"/>
      <c r="WS34" s="22"/>
      <c r="WT34" s="22"/>
      <c r="WU34" s="22"/>
      <c r="WV34" s="22"/>
      <c r="WW34" s="22"/>
      <c r="WX34" s="22"/>
      <c r="WY34" s="22"/>
      <c r="WZ34" s="22"/>
      <c r="XA34" s="22"/>
      <c r="XB34" s="22"/>
      <c r="XC34" s="22"/>
      <c r="XD34" s="22"/>
      <c r="XE34" s="22"/>
      <c r="XF34" s="22"/>
      <c r="XG34" s="22"/>
      <c r="XH34" s="22"/>
      <c r="XI34" s="22"/>
      <c r="XJ34" s="22"/>
      <c r="XK34" s="22"/>
      <c r="XL34" s="22"/>
      <c r="XM34" s="22"/>
      <c r="XN34" s="22"/>
      <c r="XO34" s="22"/>
      <c r="XP34" s="22"/>
      <c r="XQ34" s="22"/>
      <c r="XR34" s="22"/>
      <c r="XS34" s="22"/>
      <c r="XT34" s="22"/>
      <c r="XU34" s="22"/>
      <c r="XV34" s="22"/>
      <c r="XW34" s="22"/>
      <c r="XX34" s="22"/>
      <c r="XY34" s="22"/>
      <c r="XZ34" s="22"/>
      <c r="YA34" s="22"/>
      <c r="YB34" s="22"/>
      <c r="YC34" s="22"/>
      <c r="YD34" s="22"/>
      <c r="YE34" s="22"/>
      <c r="YF34" s="22"/>
      <c r="YG34" s="22"/>
      <c r="YH34" s="22"/>
      <c r="YI34" s="22"/>
      <c r="YJ34" s="22"/>
      <c r="YK34" s="22"/>
      <c r="YL34" s="22"/>
      <c r="YM34" s="22"/>
      <c r="YN34" s="22"/>
      <c r="YO34" s="22"/>
      <c r="YP34" s="22"/>
      <c r="YQ34" s="22"/>
      <c r="YR34" s="22"/>
      <c r="YS34" s="22"/>
      <c r="YT34" s="22"/>
      <c r="YU34" s="22"/>
      <c r="YV34" s="22"/>
      <c r="YW34" s="22"/>
      <c r="YX34" s="22"/>
      <c r="YY34" s="22"/>
      <c r="YZ34" s="22"/>
      <c r="ZA34" s="22"/>
      <c r="ZB34" s="22"/>
      <c r="ZC34" s="22"/>
      <c r="ZD34" s="22"/>
      <c r="ZE34" s="22"/>
      <c r="ZF34" s="22"/>
      <c r="ZG34" s="22"/>
      <c r="ZH34" s="22"/>
      <c r="ZI34" s="22"/>
      <c r="ZJ34" s="22"/>
      <c r="ZK34" s="22"/>
      <c r="ZL34" s="22"/>
      <c r="ZM34" s="22"/>
      <c r="ZN34" s="22"/>
      <c r="ZO34" s="22"/>
      <c r="ZP34" s="22"/>
      <c r="ZQ34" s="22"/>
      <c r="ZR34" s="22"/>
      <c r="ZS34" s="22"/>
      <c r="ZT34" s="22"/>
      <c r="ZU34" s="22"/>
      <c r="ZV34" s="22"/>
      <c r="ZW34" s="22"/>
      <c r="ZX34" s="22"/>
      <c r="ZY34" s="22"/>
      <c r="ZZ34" s="22"/>
      <c r="AAA34" s="22"/>
      <c r="AAB34" s="22"/>
      <c r="AAC34" s="22"/>
      <c r="AAD34" s="22"/>
      <c r="AAE34" s="22"/>
      <c r="AAF34" s="22"/>
      <c r="AAG34" s="22"/>
      <c r="AAH34" s="22"/>
      <c r="AAI34" s="22"/>
      <c r="AAJ34" s="22"/>
      <c r="AAK34" s="22"/>
      <c r="AAL34" s="22"/>
      <c r="AAM34" s="22"/>
      <c r="AAN34" s="22"/>
      <c r="AAO34" s="22"/>
      <c r="AAP34" s="22"/>
      <c r="AAQ34" s="22"/>
      <c r="AAR34" s="22"/>
      <c r="AAS34" s="22"/>
      <c r="AAT34" s="22"/>
      <c r="AAU34" s="22"/>
      <c r="AAV34" s="22"/>
      <c r="AAW34" s="22"/>
      <c r="AAX34" s="22"/>
      <c r="AAY34" s="22"/>
      <c r="AAZ34" s="22"/>
      <c r="ABA34" s="22"/>
      <c r="ABB34" s="22"/>
      <c r="ABC34" s="22"/>
      <c r="ABD34" s="22"/>
      <c r="ABE34" s="22"/>
      <c r="ABF34" s="22"/>
      <c r="ABG34" s="22"/>
      <c r="ABH34" s="22"/>
      <c r="ABI34" s="22"/>
      <c r="ABJ34" s="22"/>
      <c r="ABK34" s="22"/>
      <c r="ABL34" s="22"/>
      <c r="ABM34" s="22"/>
      <c r="ABN34" s="22"/>
      <c r="ABO34" s="22"/>
      <c r="ABP34" s="22"/>
      <c r="ABQ34" s="22"/>
      <c r="ABR34" s="22"/>
      <c r="ABS34" s="22"/>
      <c r="ABT34" s="22"/>
      <c r="ABU34" s="22"/>
      <c r="ABV34" s="22"/>
      <c r="ABW34" s="22"/>
      <c r="ABX34" s="22"/>
      <c r="ABY34" s="22"/>
      <c r="ABZ34" s="22"/>
      <c r="ACA34" s="22"/>
      <c r="ACB34" s="22"/>
      <c r="ACC34" s="22"/>
      <c r="ACD34" s="22"/>
      <c r="ACE34" s="22"/>
      <c r="ACF34" s="22"/>
      <c r="ACG34" s="22"/>
      <c r="ACH34" s="22"/>
      <c r="ACI34" s="22"/>
      <c r="ACJ34" s="22"/>
      <c r="ACK34" s="22"/>
      <c r="ACL34" s="22"/>
      <c r="ACM34" s="22"/>
      <c r="ACN34" s="22"/>
      <c r="ACO34" s="22"/>
      <c r="ACP34" s="22"/>
      <c r="ACQ34" s="22"/>
      <c r="ACR34" s="22"/>
      <c r="ACS34" s="22"/>
      <c r="ACT34" s="22"/>
      <c r="ACU34" s="22"/>
      <c r="ACV34" s="22"/>
      <c r="ACW34" s="22"/>
      <c r="ACX34" s="22"/>
      <c r="ACY34" s="22"/>
      <c r="ACZ34" s="22"/>
      <c r="ADA34" s="22"/>
      <c r="ADB34" s="22"/>
      <c r="ADC34" s="22"/>
      <c r="ADD34" s="22"/>
      <c r="ADE34" s="22"/>
      <c r="ADF34" s="22"/>
      <c r="ADG34" s="22"/>
      <c r="ADH34" s="22"/>
      <c r="ADI34" s="22"/>
      <c r="ADJ34" s="22"/>
      <c r="ADK34" s="22"/>
      <c r="ADL34" s="22"/>
      <c r="ADM34" s="22"/>
      <c r="ADN34" s="22"/>
      <c r="ADO34" s="22"/>
      <c r="ADP34" s="22"/>
      <c r="ADQ34" s="22"/>
      <c r="ADR34" s="22"/>
      <c r="ADS34" s="22"/>
      <c r="ADT34" s="22"/>
      <c r="ADU34" s="22"/>
      <c r="ADV34" s="22"/>
      <c r="ADW34" s="22"/>
      <c r="ADX34" s="22"/>
      <c r="ADY34" s="22"/>
      <c r="ADZ34" s="22"/>
      <c r="AEA34" s="22"/>
      <c r="AEB34" s="22"/>
      <c r="AEC34" s="22"/>
      <c r="AED34" s="22"/>
      <c r="AEE34" s="22"/>
      <c r="AEF34" s="22"/>
      <c r="AEG34" s="22"/>
      <c r="AEH34" s="22"/>
      <c r="AEI34" s="22"/>
      <c r="AEJ34" s="22"/>
      <c r="AEK34" s="22"/>
      <c r="AEL34" s="22"/>
      <c r="AEM34" s="22"/>
      <c r="AEN34" s="22"/>
      <c r="AEO34" s="22"/>
      <c r="AEP34" s="22"/>
      <c r="AEQ34" s="22"/>
      <c r="AER34" s="22"/>
      <c r="AES34" s="22"/>
      <c r="AET34" s="22"/>
      <c r="AEU34" s="22"/>
      <c r="AEV34" s="22"/>
      <c r="AEW34" s="22"/>
      <c r="AEX34" s="22"/>
      <c r="AEY34" s="22"/>
      <c r="AEZ34" s="22"/>
      <c r="AFA34" s="22"/>
      <c r="AFB34" s="22"/>
      <c r="AFC34" s="22"/>
      <c r="AFD34" s="22"/>
      <c r="AFE34" s="22"/>
      <c r="AFF34" s="22"/>
      <c r="AFG34" s="22"/>
      <c r="AFH34" s="22"/>
      <c r="AFI34" s="22"/>
      <c r="AFJ34" s="22"/>
      <c r="AFK34" s="22"/>
      <c r="AFL34" s="22"/>
      <c r="AFM34" s="22"/>
      <c r="AFN34" s="22"/>
      <c r="AFO34" s="22"/>
      <c r="AFP34" s="22"/>
      <c r="AFQ34" s="22"/>
      <c r="AFR34" s="22"/>
      <c r="AFS34" s="22"/>
      <c r="AFT34" s="22"/>
      <c r="AFU34" s="22"/>
      <c r="AFV34" s="22"/>
      <c r="AFW34" s="22"/>
      <c r="AFX34" s="22"/>
      <c r="AFY34" s="22"/>
      <c r="AFZ34" s="22"/>
      <c r="AGA34" s="22"/>
      <c r="AGB34" s="22"/>
      <c r="AGC34" s="22"/>
      <c r="AGD34" s="22"/>
      <c r="AGE34" s="22"/>
      <c r="AGF34" s="22"/>
      <c r="AGG34" s="22"/>
      <c r="AGH34" s="22"/>
      <c r="AGI34" s="22"/>
      <c r="AGJ34" s="22"/>
      <c r="AGK34" s="22"/>
      <c r="AGL34" s="22"/>
      <c r="AGM34" s="22"/>
      <c r="AGN34" s="22"/>
      <c r="AGO34" s="22"/>
      <c r="AGP34" s="22"/>
      <c r="AGQ34" s="22"/>
      <c r="AGR34" s="22"/>
      <c r="AGS34" s="22"/>
      <c r="AGT34" s="22"/>
      <c r="AGU34" s="22"/>
      <c r="AGV34" s="22"/>
      <c r="AGW34" s="22"/>
      <c r="AGX34" s="22"/>
      <c r="AGY34" s="22"/>
      <c r="AGZ34" s="22"/>
      <c r="AHA34" s="22"/>
      <c r="AHB34" s="22"/>
      <c r="AHC34" s="22"/>
      <c r="AHD34" s="22"/>
      <c r="AHE34" s="22"/>
      <c r="AHF34" s="22"/>
      <c r="AHG34" s="22"/>
      <c r="AHH34" s="22"/>
      <c r="AHI34" s="22"/>
      <c r="AHJ34" s="22"/>
      <c r="AHK34" s="22"/>
      <c r="AHL34" s="22"/>
      <c r="AHM34" s="22"/>
      <c r="AHN34" s="22"/>
      <c r="AHO34" s="22"/>
      <c r="AHP34" s="22"/>
      <c r="AHQ34" s="22"/>
      <c r="AHR34" s="22"/>
      <c r="AHS34" s="22"/>
      <c r="AHT34" s="22"/>
      <c r="AHU34" s="22"/>
      <c r="AHV34" s="22"/>
      <c r="AHW34" s="22"/>
      <c r="AHX34" s="22"/>
      <c r="AHY34" s="22"/>
      <c r="AHZ34" s="22"/>
      <c r="AIA34" s="22"/>
      <c r="AIB34" s="22"/>
      <c r="AIC34" s="22"/>
      <c r="AID34" s="22"/>
      <c r="AIE34" s="22"/>
      <c r="AIF34" s="22"/>
      <c r="AIG34" s="22"/>
      <c r="AIH34" s="22"/>
      <c r="AII34" s="22"/>
      <c r="AIJ34" s="22"/>
      <c r="AIK34" s="22"/>
      <c r="AIL34" s="22"/>
      <c r="AIM34" s="22"/>
      <c r="AIN34" s="22"/>
      <c r="AIO34" s="22"/>
      <c r="AIP34" s="22"/>
      <c r="AIQ34" s="22"/>
      <c r="AIR34" s="22"/>
      <c r="AIS34" s="22"/>
      <c r="AIT34" s="22"/>
      <c r="AIU34" s="22"/>
      <c r="AIV34" s="22"/>
      <c r="AIW34" s="22"/>
      <c r="AIX34" s="22"/>
      <c r="AIY34" s="22"/>
      <c r="AIZ34" s="22"/>
      <c r="AJA34" s="22"/>
      <c r="AJB34" s="22"/>
      <c r="AJC34" s="22"/>
      <c r="AJD34" s="22"/>
      <c r="AJE34" s="22"/>
      <c r="AJF34" s="22"/>
      <c r="AJG34" s="22"/>
      <c r="AJH34" s="22"/>
      <c r="AJI34" s="22"/>
      <c r="AJJ34" s="22"/>
      <c r="AJK34" s="22"/>
      <c r="AJL34" s="22"/>
      <c r="AJM34" s="22"/>
      <c r="AJN34" s="22"/>
      <c r="AJO34" s="22"/>
      <c r="AJP34" s="22"/>
      <c r="AJQ34" s="22"/>
      <c r="AJR34" s="22"/>
      <c r="AJS34" s="22"/>
      <c r="AJT34" s="22"/>
      <c r="AJU34" s="22"/>
      <c r="AJV34" s="22"/>
      <c r="AJW34" s="22"/>
      <c r="AJX34" s="22"/>
      <c r="AJY34" s="22"/>
      <c r="AJZ34" s="22"/>
      <c r="AKA34" s="22"/>
      <c r="AKB34" s="22"/>
      <c r="AKC34" s="22"/>
      <c r="AKD34" s="22"/>
      <c r="AKE34" s="22"/>
      <c r="AKF34" s="22"/>
      <c r="AKG34" s="22"/>
      <c r="AKH34" s="22"/>
      <c r="AKI34" s="22"/>
      <c r="AKJ34" s="22"/>
      <c r="AKK34" s="22"/>
      <c r="AKL34" s="22"/>
      <c r="AKM34" s="22"/>
      <c r="AKN34" s="22"/>
      <c r="AKO34" s="22"/>
      <c r="AKP34" s="22"/>
      <c r="AKQ34" s="22"/>
      <c r="AKR34" s="22"/>
      <c r="AKS34" s="22"/>
      <c r="AKT34" s="22"/>
      <c r="AKU34" s="22"/>
      <c r="AKV34" s="22"/>
      <c r="AKW34" s="22"/>
      <c r="AKX34" s="22"/>
      <c r="AKY34" s="22"/>
      <c r="AKZ34" s="22"/>
      <c r="ALA34" s="22"/>
      <c r="ALB34" s="22"/>
      <c r="ALC34" s="22"/>
      <c r="ALD34" s="22"/>
      <c r="ALE34" s="22"/>
      <c r="ALF34" s="22"/>
      <c r="ALG34" s="22"/>
      <c r="ALH34" s="22"/>
      <c r="ALI34" s="22"/>
      <c r="ALJ34" s="22"/>
      <c r="ALK34" s="22"/>
      <c r="ALL34" s="22"/>
      <c r="ALM34" s="22"/>
      <c r="ALN34" s="22"/>
      <c r="ALO34" s="22"/>
      <c r="ALP34" s="22"/>
      <c r="ALQ34" s="22"/>
      <c r="ALR34" s="22"/>
    </row>
    <row r="35" spans="6:1006" x14ac:dyDescent="0.2">
      <c r="F35" s="23"/>
      <c r="G35" s="25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  <c r="IZ35" s="22"/>
      <c r="JA35" s="22"/>
      <c r="JB35" s="22"/>
      <c r="JC35" s="22"/>
      <c r="JD35" s="22"/>
      <c r="JE35" s="22"/>
      <c r="JF35" s="22"/>
      <c r="JG35" s="22"/>
      <c r="JH35" s="22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2"/>
      <c r="LK35" s="22"/>
      <c r="LL35" s="22"/>
      <c r="LM35" s="22"/>
      <c r="LN35" s="22"/>
      <c r="LO35" s="22"/>
      <c r="LP35" s="22"/>
      <c r="LQ35" s="22"/>
      <c r="LR35" s="22"/>
      <c r="LS35" s="22"/>
      <c r="LT35" s="22"/>
      <c r="LU35" s="22"/>
      <c r="LV35" s="22"/>
      <c r="LW35" s="22"/>
      <c r="LX35" s="22"/>
      <c r="LY35" s="22"/>
      <c r="LZ35" s="22"/>
      <c r="MA35" s="22"/>
      <c r="MB35" s="22"/>
      <c r="MC35" s="22"/>
      <c r="MD35" s="22"/>
      <c r="ME35" s="22"/>
      <c r="MF35" s="22"/>
      <c r="MG35" s="22"/>
      <c r="MH35" s="22"/>
      <c r="MI35" s="22"/>
      <c r="MJ35" s="22"/>
      <c r="MK35" s="22"/>
      <c r="ML35" s="22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2"/>
      <c r="NF35" s="22"/>
      <c r="NG35" s="22"/>
      <c r="NH35" s="22"/>
      <c r="NI35" s="22"/>
      <c r="NJ35" s="22"/>
      <c r="NK35" s="22"/>
      <c r="NL35" s="22"/>
      <c r="NM35" s="22"/>
      <c r="NN35" s="22"/>
      <c r="NO35" s="22"/>
      <c r="NP35" s="22"/>
      <c r="NQ35" s="22"/>
      <c r="NR35" s="22"/>
      <c r="NS35" s="22"/>
      <c r="NT35" s="22"/>
      <c r="NU35" s="22"/>
      <c r="NV35" s="22"/>
      <c r="NW35" s="22"/>
      <c r="NX35" s="22"/>
      <c r="NY35" s="22"/>
      <c r="NZ35" s="22"/>
      <c r="OA35" s="22"/>
      <c r="OB35" s="22"/>
      <c r="OC35" s="22"/>
      <c r="OD35" s="22"/>
      <c r="OE35" s="22"/>
      <c r="OF35" s="22"/>
      <c r="OG35" s="22"/>
      <c r="OH35" s="22"/>
      <c r="OI35" s="22"/>
      <c r="OJ35" s="22"/>
      <c r="OK35" s="22"/>
      <c r="OL35" s="22"/>
      <c r="OM35" s="22"/>
      <c r="ON35" s="22"/>
      <c r="OO35" s="22"/>
      <c r="OP35" s="22"/>
      <c r="OQ35" s="22"/>
      <c r="OR35" s="22"/>
      <c r="OS35" s="22"/>
      <c r="OT35" s="22"/>
      <c r="OU35" s="22"/>
      <c r="OV35" s="22"/>
      <c r="OW35" s="22"/>
      <c r="OX35" s="22"/>
      <c r="OY35" s="22"/>
      <c r="OZ35" s="22"/>
      <c r="PA35" s="22"/>
      <c r="PB35" s="22"/>
      <c r="PC35" s="22"/>
      <c r="PD35" s="22"/>
      <c r="PE35" s="22"/>
      <c r="PF35" s="22"/>
      <c r="PG35" s="22"/>
      <c r="PH35" s="22"/>
      <c r="PI35" s="22"/>
      <c r="PJ35" s="22"/>
      <c r="PK35" s="22"/>
      <c r="PL35" s="22"/>
      <c r="PM35" s="22"/>
      <c r="PN35" s="22"/>
      <c r="PO35" s="22"/>
      <c r="PP35" s="22"/>
      <c r="PQ35" s="22"/>
      <c r="PR35" s="22"/>
      <c r="PS35" s="22"/>
      <c r="PT35" s="22"/>
      <c r="PU35" s="22"/>
      <c r="PV35" s="22"/>
      <c r="PW35" s="22"/>
      <c r="PX35" s="22"/>
      <c r="PY35" s="22"/>
      <c r="PZ35" s="22"/>
      <c r="QA35" s="22"/>
      <c r="QB35" s="22"/>
      <c r="QC35" s="22"/>
      <c r="QD35" s="22"/>
      <c r="QE35" s="22"/>
      <c r="QF35" s="22"/>
      <c r="QG35" s="22"/>
      <c r="QH35" s="22"/>
      <c r="QI35" s="22"/>
      <c r="QJ35" s="22"/>
      <c r="QK35" s="22"/>
      <c r="QL35" s="22"/>
      <c r="QM35" s="22"/>
      <c r="QN35" s="22"/>
      <c r="QO35" s="22"/>
      <c r="QP35" s="22"/>
      <c r="QQ35" s="22"/>
      <c r="QR35" s="22"/>
      <c r="QS35" s="22"/>
      <c r="QT35" s="22"/>
      <c r="QU35" s="22"/>
      <c r="QV35" s="22"/>
      <c r="QW35" s="22"/>
      <c r="QX35" s="22"/>
      <c r="QY35" s="22"/>
      <c r="QZ35" s="22"/>
      <c r="RA35" s="22"/>
      <c r="RB35" s="22"/>
      <c r="RC35" s="22"/>
      <c r="RD35" s="22"/>
      <c r="RE35" s="22"/>
      <c r="RF35" s="22"/>
      <c r="RG35" s="22"/>
      <c r="RH35" s="22"/>
      <c r="RI35" s="22"/>
      <c r="RJ35" s="22"/>
      <c r="RK35" s="22"/>
      <c r="RL35" s="22"/>
      <c r="RM35" s="22"/>
      <c r="RN35" s="22"/>
      <c r="RO35" s="22"/>
      <c r="RP35" s="22"/>
      <c r="RQ35" s="22"/>
      <c r="RR35" s="22"/>
      <c r="RS35" s="22"/>
      <c r="RT35" s="22"/>
      <c r="RU35" s="22"/>
      <c r="RV35" s="22"/>
      <c r="RW35" s="22"/>
      <c r="RX35" s="22"/>
      <c r="RY35" s="22"/>
      <c r="RZ35" s="22"/>
      <c r="SA35" s="22"/>
      <c r="SB35" s="22"/>
      <c r="SC35" s="22"/>
      <c r="SD35" s="22"/>
      <c r="SE35" s="22"/>
      <c r="SF35" s="22"/>
      <c r="SG35" s="22"/>
      <c r="SH35" s="22"/>
      <c r="SI35" s="22"/>
      <c r="SJ35" s="22"/>
      <c r="SK35" s="22"/>
      <c r="SL35" s="22"/>
      <c r="SM35" s="22"/>
      <c r="SN35" s="22"/>
      <c r="SO35" s="22"/>
      <c r="SP35" s="22"/>
      <c r="SQ35" s="22"/>
      <c r="SR35" s="22"/>
      <c r="SS35" s="22"/>
      <c r="ST35" s="22"/>
      <c r="SU35" s="22"/>
      <c r="SV35" s="22"/>
      <c r="SW35" s="22"/>
      <c r="SX35" s="22"/>
      <c r="SY35" s="22"/>
      <c r="SZ35" s="22"/>
      <c r="TA35" s="22"/>
      <c r="TB35" s="22"/>
      <c r="TC35" s="22"/>
      <c r="TD35" s="22"/>
      <c r="TE35" s="22"/>
      <c r="TF35" s="22"/>
      <c r="TG35" s="22"/>
      <c r="TH35" s="22"/>
      <c r="TI35" s="22"/>
      <c r="TJ35" s="22"/>
      <c r="TK35" s="22"/>
      <c r="TL35" s="22"/>
      <c r="TM35" s="22"/>
      <c r="TN35" s="22"/>
      <c r="TO35" s="22"/>
      <c r="TP35" s="22"/>
      <c r="TQ35" s="22"/>
      <c r="TR35" s="22"/>
      <c r="TS35" s="22"/>
      <c r="TT35" s="22"/>
      <c r="TU35" s="22"/>
      <c r="TV35" s="22"/>
      <c r="TW35" s="22"/>
      <c r="TX35" s="22"/>
      <c r="TY35" s="22"/>
      <c r="TZ35" s="22"/>
      <c r="UA35" s="22"/>
      <c r="UB35" s="22"/>
      <c r="UC35" s="22"/>
      <c r="UD35" s="22"/>
      <c r="UE35" s="22"/>
      <c r="UF35" s="22"/>
      <c r="UG35" s="22"/>
      <c r="UH35" s="22"/>
      <c r="UI35" s="22"/>
      <c r="UJ35" s="22"/>
      <c r="UK35" s="22"/>
      <c r="UL35" s="22"/>
      <c r="UM35" s="22"/>
      <c r="UN35" s="22"/>
      <c r="UO35" s="22"/>
      <c r="UP35" s="22"/>
      <c r="UQ35" s="22"/>
      <c r="UR35" s="22"/>
      <c r="US35" s="22"/>
      <c r="UT35" s="22"/>
      <c r="UU35" s="22"/>
      <c r="UV35" s="22"/>
      <c r="UW35" s="22"/>
      <c r="UX35" s="22"/>
      <c r="UY35" s="22"/>
      <c r="UZ35" s="22"/>
      <c r="VA35" s="22"/>
      <c r="VB35" s="22"/>
      <c r="VC35" s="22"/>
      <c r="VD35" s="22"/>
      <c r="VE35" s="22"/>
      <c r="VF35" s="22"/>
      <c r="VG35" s="22"/>
      <c r="VH35" s="22"/>
      <c r="VI35" s="22"/>
      <c r="VJ35" s="22"/>
      <c r="VK35" s="22"/>
      <c r="VL35" s="22"/>
      <c r="VM35" s="22"/>
      <c r="VN35" s="22"/>
      <c r="VO35" s="22"/>
      <c r="VP35" s="22"/>
      <c r="VQ35" s="22"/>
      <c r="VR35" s="22"/>
      <c r="VS35" s="22"/>
      <c r="VT35" s="22"/>
      <c r="VU35" s="22"/>
      <c r="VV35" s="22"/>
      <c r="VW35" s="22"/>
      <c r="VX35" s="22"/>
      <c r="VY35" s="22"/>
      <c r="VZ35" s="22"/>
      <c r="WA35" s="22"/>
      <c r="WB35" s="22"/>
      <c r="WC35" s="22"/>
      <c r="WD35" s="22"/>
      <c r="WE35" s="22"/>
      <c r="WF35" s="22"/>
      <c r="WG35" s="22"/>
      <c r="WH35" s="22"/>
      <c r="WI35" s="22"/>
      <c r="WJ35" s="22"/>
      <c r="WK35" s="22"/>
      <c r="WL35" s="22"/>
      <c r="WM35" s="22"/>
      <c r="WN35" s="22"/>
      <c r="WO35" s="22"/>
      <c r="WP35" s="22"/>
      <c r="WQ35" s="22"/>
      <c r="WR35" s="22"/>
      <c r="WS35" s="22"/>
      <c r="WT35" s="22"/>
      <c r="WU35" s="22"/>
      <c r="WV35" s="22"/>
      <c r="WW35" s="22"/>
      <c r="WX35" s="22"/>
      <c r="WY35" s="22"/>
      <c r="WZ35" s="22"/>
      <c r="XA35" s="22"/>
      <c r="XB35" s="22"/>
      <c r="XC35" s="22"/>
      <c r="XD35" s="22"/>
      <c r="XE35" s="22"/>
      <c r="XF35" s="22"/>
      <c r="XG35" s="22"/>
      <c r="XH35" s="22"/>
      <c r="XI35" s="22"/>
      <c r="XJ35" s="22"/>
      <c r="XK35" s="22"/>
      <c r="XL35" s="22"/>
      <c r="XM35" s="22"/>
      <c r="XN35" s="22"/>
      <c r="XO35" s="22"/>
      <c r="XP35" s="22"/>
      <c r="XQ35" s="22"/>
      <c r="XR35" s="22"/>
      <c r="XS35" s="22"/>
      <c r="XT35" s="22"/>
      <c r="XU35" s="22"/>
      <c r="XV35" s="22"/>
      <c r="XW35" s="22"/>
      <c r="XX35" s="22"/>
      <c r="XY35" s="22"/>
      <c r="XZ35" s="22"/>
      <c r="YA35" s="22"/>
      <c r="YB35" s="22"/>
      <c r="YC35" s="22"/>
      <c r="YD35" s="22"/>
      <c r="YE35" s="22"/>
      <c r="YF35" s="22"/>
      <c r="YG35" s="22"/>
      <c r="YH35" s="22"/>
      <c r="YI35" s="22"/>
      <c r="YJ35" s="22"/>
      <c r="YK35" s="22"/>
      <c r="YL35" s="22"/>
      <c r="YM35" s="22"/>
      <c r="YN35" s="22"/>
      <c r="YO35" s="22"/>
      <c r="YP35" s="22"/>
      <c r="YQ35" s="22"/>
      <c r="YR35" s="22"/>
      <c r="YS35" s="22"/>
      <c r="YT35" s="22"/>
      <c r="YU35" s="22"/>
      <c r="YV35" s="22"/>
      <c r="YW35" s="22"/>
      <c r="YX35" s="22"/>
      <c r="YY35" s="22"/>
      <c r="YZ35" s="22"/>
      <c r="ZA35" s="22"/>
      <c r="ZB35" s="22"/>
      <c r="ZC35" s="22"/>
      <c r="ZD35" s="22"/>
      <c r="ZE35" s="22"/>
      <c r="ZF35" s="22"/>
      <c r="ZG35" s="22"/>
      <c r="ZH35" s="22"/>
      <c r="ZI35" s="22"/>
      <c r="ZJ35" s="22"/>
      <c r="ZK35" s="22"/>
      <c r="ZL35" s="22"/>
      <c r="ZM35" s="22"/>
      <c r="ZN35" s="22"/>
      <c r="ZO35" s="22"/>
      <c r="ZP35" s="22"/>
      <c r="ZQ35" s="22"/>
      <c r="ZR35" s="22"/>
      <c r="ZS35" s="22"/>
      <c r="ZT35" s="22"/>
      <c r="ZU35" s="22"/>
      <c r="ZV35" s="22"/>
      <c r="ZW35" s="22"/>
      <c r="ZX35" s="22"/>
      <c r="ZY35" s="22"/>
      <c r="ZZ35" s="22"/>
      <c r="AAA35" s="22"/>
      <c r="AAB35" s="22"/>
      <c r="AAC35" s="22"/>
      <c r="AAD35" s="22"/>
      <c r="AAE35" s="22"/>
      <c r="AAF35" s="22"/>
      <c r="AAG35" s="22"/>
      <c r="AAH35" s="22"/>
      <c r="AAI35" s="22"/>
      <c r="AAJ35" s="22"/>
      <c r="AAK35" s="22"/>
      <c r="AAL35" s="22"/>
      <c r="AAM35" s="22"/>
      <c r="AAN35" s="22"/>
      <c r="AAO35" s="22"/>
      <c r="AAP35" s="22"/>
      <c r="AAQ35" s="22"/>
      <c r="AAR35" s="22"/>
      <c r="AAS35" s="22"/>
      <c r="AAT35" s="22"/>
      <c r="AAU35" s="22"/>
      <c r="AAV35" s="22"/>
      <c r="AAW35" s="22"/>
      <c r="AAX35" s="22"/>
      <c r="AAY35" s="22"/>
      <c r="AAZ35" s="22"/>
      <c r="ABA35" s="22"/>
      <c r="ABB35" s="22"/>
      <c r="ABC35" s="22"/>
      <c r="ABD35" s="22"/>
      <c r="ABE35" s="22"/>
      <c r="ABF35" s="22"/>
      <c r="ABG35" s="22"/>
      <c r="ABH35" s="22"/>
      <c r="ABI35" s="22"/>
      <c r="ABJ35" s="22"/>
      <c r="ABK35" s="22"/>
      <c r="ABL35" s="22"/>
      <c r="ABM35" s="22"/>
      <c r="ABN35" s="22"/>
      <c r="ABO35" s="22"/>
      <c r="ABP35" s="22"/>
      <c r="ABQ35" s="22"/>
      <c r="ABR35" s="22"/>
      <c r="ABS35" s="22"/>
      <c r="ABT35" s="22"/>
      <c r="ABU35" s="22"/>
      <c r="ABV35" s="22"/>
      <c r="ABW35" s="22"/>
      <c r="ABX35" s="22"/>
      <c r="ABY35" s="22"/>
      <c r="ABZ35" s="22"/>
      <c r="ACA35" s="22"/>
      <c r="ACB35" s="22"/>
      <c r="ACC35" s="22"/>
      <c r="ACD35" s="22"/>
      <c r="ACE35" s="22"/>
      <c r="ACF35" s="22"/>
      <c r="ACG35" s="22"/>
      <c r="ACH35" s="22"/>
      <c r="ACI35" s="22"/>
      <c r="ACJ35" s="22"/>
      <c r="ACK35" s="22"/>
      <c r="ACL35" s="22"/>
      <c r="ACM35" s="22"/>
      <c r="ACN35" s="22"/>
      <c r="ACO35" s="22"/>
      <c r="ACP35" s="22"/>
      <c r="ACQ35" s="22"/>
      <c r="ACR35" s="22"/>
      <c r="ACS35" s="22"/>
      <c r="ACT35" s="22"/>
      <c r="ACU35" s="22"/>
      <c r="ACV35" s="22"/>
      <c r="ACW35" s="22"/>
      <c r="ACX35" s="22"/>
      <c r="ACY35" s="22"/>
      <c r="ACZ35" s="22"/>
      <c r="ADA35" s="22"/>
      <c r="ADB35" s="22"/>
      <c r="ADC35" s="22"/>
      <c r="ADD35" s="22"/>
      <c r="ADE35" s="22"/>
      <c r="ADF35" s="22"/>
      <c r="ADG35" s="22"/>
      <c r="ADH35" s="22"/>
      <c r="ADI35" s="22"/>
      <c r="ADJ35" s="22"/>
      <c r="ADK35" s="22"/>
      <c r="ADL35" s="22"/>
      <c r="ADM35" s="22"/>
      <c r="ADN35" s="22"/>
      <c r="ADO35" s="22"/>
      <c r="ADP35" s="22"/>
      <c r="ADQ35" s="22"/>
      <c r="ADR35" s="22"/>
      <c r="ADS35" s="22"/>
      <c r="ADT35" s="22"/>
      <c r="ADU35" s="22"/>
      <c r="ADV35" s="22"/>
      <c r="ADW35" s="22"/>
      <c r="ADX35" s="22"/>
      <c r="ADY35" s="22"/>
      <c r="ADZ35" s="22"/>
      <c r="AEA35" s="22"/>
      <c r="AEB35" s="22"/>
      <c r="AEC35" s="22"/>
      <c r="AED35" s="22"/>
      <c r="AEE35" s="22"/>
      <c r="AEF35" s="22"/>
      <c r="AEG35" s="22"/>
      <c r="AEH35" s="22"/>
      <c r="AEI35" s="22"/>
      <c r="AEJ35" s="22"/>
      <c r="AEK35" s="22"/>
      <c r="AEL35" s="22"/>
      <c r="AEM35" s="22"/>
      <c r="AEN35" s="22"/>
      <c r="AEO35" s="22"/>
      <c r="AEP35" s="22"/>
      <c r="AEQ35" s="22"/>
      <c r="AER35" s="22"/>
      <c r="AES35" s="22"/>
      <c r="AET35" s="22"/>
      <c r="AEU35" s="22"/>
      <c r="AEV35" s="22"/>
      <c r="AEW35" s="22"/>
      <c r="AEX35" s="22"/>
      <c r="AEY35" s="22"/>
      <c r="AEZ35" s="22"/>
      <c r="AFA35" s="22"/>
      <c r="AFB35" s="22"/>
      <c r="AFC35" s="22"/>
      <c r="AFD35" s="22"/>
      <c r="AFE35" s="22"/>
      <c r="AFF35" s="22"/>
      <c r="AFG35" s="22"/>
      <c r="AFH35" s="22"/>
      <c r="AFI35" s="22"/>
      <c r="AFJ35" s="22"/>
      <c r="AFK35" s="22"/>
      <c r="AFL35" s="22"/>
      <c r="AFM35" s="22"/>
      <c r="AFN35" s="22"/>
      <c r="AFO35" s="22"/>
      <c r="AFP35" s="22"/>
      <c r="AFQ35" s="22"/>
      <c r="AFR35" s="22"/>
      <c r="AFS35" s="22"/>
      <c r="AFT35" s="22"/>
      <c r="AFU35" s="22"/>
      <c r="AFV35" s="22"/>
      <c r="AFW35" s="22"/>
      <c r="AFX35" s="22"/>
      <c r="AFY35" s="22"/>
      <c r="AFZ35" s="22"/>
      <c r="AGA35" s="22"/>
      <c r="AGB35" s="22"/>
      <c r="AGC35" s="22"/>
      <c r="AGD35" s="22"/>
      <c r="AGE35" s="22"/>
      <c r="AGF35" s="22"/>
      <c r="AGG35" s="22"/>
      <c r="AGH35" s="22"/>
      <c r="AGI35" s="22"/>
      <c r="AGJ35" s="22"/>
      <c r="AGK35" s="22"/>
      <c r="AGL35" s="22"/>
      <c r="AGM35" s="22"/>
      <c r="AGN35" s="22"/>
      <c r="AGO35" s="22"/>
      <c r="AGP35" s="22"/>
      <c r="AGQ35" s="22"/>
      <c r="AGR35" s="22"/>
      <c r="AGS35" s="22"/>
      <c r="AGT35" s="22"/>
      <c r="AGU35" s="22"/>
      <c r="AGV35" s="22"/>
      <c r="AGW35" s="22"/>
      <c r="AGX35" s="22"/>
      <c r="AGY35" s="22"/>
      <c r="AGZ35" s="22"/>
      <c r="AHA35" s="22"/>
      <c r="AHB35" s="22"/>
      <c r="AHC35" s="22"/>
      <c r="AHD35" s="22"/>
      <c r="AHE35" s="22"/>
      <c r="AHF35" s="22"/>
      <c r="AHG35" s="22"/>
      <c r="AHH35" s="22"/>
      <c r="AHI35" s="22"/>
      <c r="AHJ35" s="22"/>
      <c r="AHK35" s="22"/>
      <c r="AHL35" s="22"/>
      <c r="AHM35" s="22"/>
      <c r="AHN35" s="22"/>
      <c r="AHO35" s="22"/>
      <c r="AHP35" s="22"/>
      <c r="AHQ35" s="22"/>
      <c r="AHR35" s="22"/>
      <c r="AHS35" s="22"/>
      <c r="AHT35" s="22"/>
      <c r="AHU35" s="22"/>
      <c r="AHV35" s="22"/>
      <c r="AHW35" s="22"/>
      <c r="AHX35" s="22"/>
      <c r="AHY35" s="22"/>
      <c r="AHZ35" s="22"/>
      <c r="AIA35" s="22"/>
      <c r="AIB35" s="22"/>
      <c r="AIC35" s="22"/>
      <c r="AID35" s="22"/>
      <c r="AIE35" s="22"/>
      <c r="AIF35" s="22"/>
      <c r="AIG35" s="22"/>
      <c r="AIH35" s="22"/>
      <c r="AII35" s="22"/>
      <c r="AIJ35" s="22"/>
      <c r="AIK35" s="22"/>
      <c r="AIL35" s="22"/>
      <c r="AIM35" s="22"/>
      <c r="AIN35" s="22"/>
      <c r="AIO35" s="22"/>
      <c r="AIP35" s="22"/>
      <c r="AIQ35" s="22"/>
      <c r="AIR35" s="22"/>
      <c r="AIS35" s="22"/>
      <c r="AIT35" s="22"/>
      <c r="AIU35" s="22"/>
      <c r="AIV35" s="22"/>
      <c r="AIW35" s="22"/>
      <c r="AIX35" s="22"/>
      <c r="AIY35" s="22"/>
      <c r="AIZ35" s="22"/>
      <c r="AJA35" s="22"/>
      <c r="AJB35" s="22"/>
      <c r="AJC35" s="22"/>
      <c r="AJD35" s="22"/>
      <c r="AJE35" s="22"/>
      <c r="AJF35" s="22"/>
      <c r="AJG35" s="22"/>
      <c r="AJH35" s="22"/>
      <c r="AJI35" s="22"/>
      <c r="AJJ35" s="22"/>
      <c r="AJK35" s="22"/>
      <c r="AJL35" s="22"/>
      <c r="AJM35" s="22"/>
      <c r="AJN35" s="22"/>
      <c r="AJO35" s="22"/>
      <c r="AJP35" s="22"/>
      <c r="AJQ35" s="22"/>
      <c r="AJR35" s="22"/>
      <c r="AJS35" s="22"/>
      <c r="AJT35" s="22"/>
      <c r="AJU35" s="22"/>
      <c r="AJV35" s="22"/>
      <c r="AJW35" s="22"/>
      <c r="AJX35" s="22"/>
      <c r="AJY35" s="22"/>
      <c r="AJZ35" s="22"/>
      <c r="AKA35" s="22"/>
      <c r="AKB35" s="22"/>
      <c r="AKC35" s="22"/>
      <c r="AKD35" s="22"/>
      <c r="AKE35" s="22"/>
      <c r="AKF35" s="22"/>
      <c r="AKG35" s="22"/>
      <c r="AKH35" s="22"/>
      <c r="AKI35" s="22"/>
      <c r="AKJ35" s="22"/>
      <c r="AKK35" s="22"/>
      <c r="AKL35" s="22"/>
      <c r="AKM35" s="22"/>
      <c r="AKN35" s="22"/>
      <c r="AKO35" s="22"/>
      <c r="AKP35" s="22"/>
      <c r="AKQ35" s="22"/>
      <c r="AKR35" s="22"/>
      <c r="AKS35" s="22"/>
      <c r="AKT35" s="22"/>
      <c r="AKU35" s="22"/>
      <c r="AKV35" s="22"/>
      <c r="AKW35" s="22"/>
      <c r="AKX35" s="22"/>
      <c r="AKY35" s="22"/>
      <c r="AKZ35" s="22"/>
      <c r="ALA35" s="22"/>
      <c r="ALB35" s="22"/>
      <c r="ALC35" s="22"/>
      <c r="ALD35" s="22"/>
      <c r="ALE35" s="22"/>
      <c r="ALF35" s="22"/>
      <c r="ALG35" s="22"/>
      <c r="ALH35" s="22"/>
      <c r="ALI35" s="22"/>
      <c r="ALJ35" s="22"/>
      <c r="ALK35" s="22"/>
      <c r="ALL35" s="22"/>
      <c r="ALM35" s="22"/>
      <c r="ALN35" s="22"/>
      <c r="ALO35" s="22"/>
      <c r="ALP35" s="22"/>
      <c r="ALQ35" s="22"/>
      <c r="ALR35" s="22"/>
    </row>
    <row r="36" spans="6:1006" x14ac:dyDescent="0.2"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21"/>
      <c r="KV36" s="21"/>
      <c r="KW36" s="21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1"/>
      <c r="ME36" s="21"/>
      <c r="MF36" s="21"/>
      <c r="MG36" s="21"/>
      <c r="MH36" s="21"/>
      <c r="MI36" s="21"/>
      <c r="MJ36" s="21"/>
      <c r="MK36" s="21"/>
      <c r="ML36" s="21"/>
      <c r="MM36" s="21"/>
      <c r="MN36" s="21"/>
      <c r="MO36" s="21"/>
      <c r="MP36" s="21"/>
      <c r="MQ36" s="21"/>
      <c r="MR36" s="21"/>
      <c r="MS36" s="21"/>
      <c r="MT36" s="21"/>
      <c r="MU36" s="21"/>
      <c r="MV36" s="21"/>
      <c r="MW36" s="21"/>
      <c r="MX36" s="21"/>
      <c r="MY36" s="21"/>
      <c r="MZ36" s="21"/>
      <c r="NA36" s="21"/>
      <c r="NB36" s="21"/>
      <c r="NC36" s="21"/>
      <c r="ND36" s="21"/>
      <c r="NE36" s="21"/>
      <c r="NF36" s="21"/>
      <c r="NG36" s="21"/>
      <c r="NH36" s="21"/>
      <c r="NI36" s="21"/>
      <c r="NJ36" s="21"/>
      <c r="NK36" s="21"/>
      <c r="NL36" s="21"/>
      <c r="NM36" s="21"/>
      <c r="NN36" s="21"/>
      <c r="NO36" s="21"/>
      <c r="NP36" s="21"/>
      <c r="NQ36" s="21"/>
      <c r="NR36" s="21"/>
      <c r="NS36" s="21"/>
      <c r="NT36" s="21"/>
      <c r="NU36" s="21"/>
      <c r="NV36" s="21"/>
      <c r="NW36" s="21"/>
      <c r="NX36" s="21"/>
      <c r="NY36" s="21"/>
      <c r="NZ36" s="21"/>
      <c r="OA36" s="21"/>
      <c r="OB36" s="21"/>
      <c r="OC36" s="21"/>
      <c r="OD36" s="21"/>
      <c r="OE36" s="21"/>
      <c r="OF36" s="21"/>
      <c r="OG36" s="21"/>
      <c r="OH36" s="21"/>
      <c r="OI36" s="21"/>
      <c r="OJ36" s="21"/>
      <c r="OK36" s="21"/>
      <c r="OL36" s="21"/>
      <c r="OM36" s="21"/>
      <c r="ON36" s="21"/>
      <c r="OO36" s="21"/>
      <c r="OP36" s="21"/>
      <c r="OQ36" s="21"/>
      <c r="OR36" s="21"/>
      <c r="OS36" s="21"/>
      <c r="OT36" s="21"/>
      <c r="OU36" s="21"/>
      <c r="OV36" s="21"/>
      <c r="OW36" s="21"/>
      <c r="OX36" s="21"/>
      <c r="OY36" s="21"/>
      <c r="OZ36" s="21"/>
      <c r="PA36" s="21"/>
      <c r="PB36" s="21"/>
      <c r="PC36" s="21"/>
      <c r="PD36" s="21"/>
      <c r="PE36" s="21"/>
      <c r="PF36" s="21"/>
      <c r="PG36" s="21"/>
      <c r="PH36" s="21"/>
      <c r="PI36" s="21"/>
      <c r="PJ36" s="21"/>
      <c r="PK36" s="21"/>
      <c r="PL36" s="21"/>
      <c r="PM36" s="21"/>
      <c r="PN36" s="21"/>
      <c r="PO36" s="21"/>
      <c r="PP36" s="21"/>
      <c r="PQ36" s="21"/>
      <c r="PR36" s="21"/>
      <c r="PS36" s="21"/>
      <c r="PT36" s="21"/>
      <c r="PU36" s="21"/>
      <c r="PV36" s="21"/>
      <c r="PW36" s="21"/>
      <c r="PX36" s="21"/>
      <c r="PY36" s="21"/>
      <c r="PZ36" s="21"/>
      <c r="QA36" s="21"/>
      <c r="QB36" s="21"/>
      <c r="QC36" s="21"/>
      <c r="QD36" s="21"/>
      <c r="QE36" s="21"/>
      <c r="QF36" s="21"/>
      <c r="QG36" s="21"/>
      <c r="QH36" s="21"/>
      <c r="QI36" s="21"/>
      <c r="QJ36" s="21"/>
      <c r="QK36" s="21"/>
      <c r="QL36" s="21"/>
      <c r="QM36" s="21"/>
      <c r="QN36" s="21"/>
      <c r="QO36" s="21"/>
      <c r="QP36" s="21"/>
      <c r="QQ36" s="21"/>
      <c r="QR36" s="21"/>
      <c r="QS36" s="21"/>
      <c r="QT36" s="21"/>
      <c r="QU36" s="21"/>
      <c r="QV36" s="21"/>
      <c r="QW36" s="21"/>
      <c r="QX36" s="21"/>
      <c r="QY36" s="21"/>
      <c r="QZ36" s="21"/>
      <c r="RA36" s="21"/>
      <c r="RB36" s="21"/>
      <c r="RC36" s="21"/>
      <c r="RD36" s="21"/>
      <c r="RE36" s="21"/>
      <c r="RF36" s="21"/>
      <c r="RG36" s="21"/>
      <c r="RH36" s="21"/>
      <c r="RI36" s="21"/>
      <c r="RJ36" s="21"/>
      <c r="RK36" s="21"/>
      <c r="RL36" s="21"/>
      <c r="RM36" s="21"/>
      <c r="RN36" s="21"/>
      <c r="RO36" s="21"/>
      <c r="RP36" s="21"/>
      <c r="RQ36" s="21"/>
      <c r="RR36" s="21"/>
      <c r="RS36" s="21"/>
      <c r="RT36" s="21"/>
      <c r="RU36" s="21"/>
      <c r="RV36" s="21"/>
      <c r="RW36" s="21"/>
      <c r="RX36" s="21"/>
      <c r="RY36" s="21"/>
      <c r="RZ36" s="21"/>
      <c r="SA36" s="21"/>
      <c r="SB36" s="21"/>
      <c r="SC36" s="21"/>
      <c r="SD36" s="21"/>
      <c r="SE36" s="21"/>
      <c r="SF36" s="21"/>
      <c r="SG36" s="21"/>
      <c r="SH36" s="21"/>
      <c r="SI36" s="21"/>
      <c r="SJ36" s="21"/>
      <c r="SK36" s="21"/>
      <c r="SL36" s="21"/>
      <c r="SM36" s="21"/>
      <c r="SN36" s="21"/>
      <c r="SO36" s="21"/>
      <c r="SP36" s="21"/>
      <c r="SQ36" s="21"/>
      <c r="SR36" s="21"/>
      <c r="SS36" s="21"/>
      <c r="ST36" s="21"/>
      <c r="SU36" s="21"/>
      <c r="SV36" s="21"/>
      <c r="SW36" s="21"/>
      <c r="SX36" s="21"/>
      <c r="SY36" s="21"/>
      <c r="SZ36" s="21"/>
      <c r="TA36" s="21"/>
      <c r="TB36" s="21"/>
      <c r="TC36" s="21"/>
      <c r="TD36" s="21"/>
      <c r="TE36" s="21"/>
      <c r="TF36" s="21"/>
      <c r="TG36" s="21"/>
      <c r="TH36" s="21"/>
      <c r="TI36" s="21"/>
      <c r="TJ36" s="21"/>
      <c r="TK36" s="21"/>
      <c r="TL36" s="21"/>
      <c r="TM36" s="21"/>
      <c r="TN36" s="21"/>
      <c r="TO36" s="21"/>
      <c r="TP36" s="21"/>
      <c r="TQ36" s="21"/>
      <c r="TR36" s="21"/>
      <c r="TS36" s="21"/>
      <c r="TT36" s="21"/>
      <c r="TU36" s="21"/>
      <c r="TV36" s="21"/>
      <c r="TW36" s="21"/>
      <c r="TX36" s="21"/>
      <c r="TY36" s="21"/>
      <c r="TZ36" s="21"/>
      <c r="UA36" s="21"/>
      <c r="UB36" s="21"/>
      <c r="UC36" s="21"/>
      <c r="UD36" s="21"/>
      <c r="UE36" s="21"/>
      <c r="UF36" s="21"/>
      <c r="UG36" s="21"/>
      <c r="UH36" s="21"/>
      <c r="UI36" s="21"/>
      <c r="UJ36" s="21"/>
      <c r="UK36" s="21"/>
      <c r="UL36" s="21"/>
      <c r="UM36" s="21"/>
      <c r="UN36" s="21"/>
      <c r="UO36" s="21"/>
      <c r="UP36" s="21"/>
      <c r="UQ36" s="21"/>
      <c r="UR36" s="21"/>
      <c r="US36" s="21"/>
      <c r="UT36" s="21"/>
      <c r="UU36" s="21"/>
      <c r="UV36" s="21"/>
      <c r="UW36" s="21"/>
      <c r="UX36" s="21"/>
      <c r="UY36" s="21"/>
      <c r="UZ36" s="21"/>
      <c r="VA36" s="21"/>
      <c r="VB36" s="21"/>
      <c r="VC36" s="21"/>
      <c r="VD36" s="21"/>
      <c r="VE36" s="21"/>
      <c r="VF36" s="21"/>
      <c r="VG36" s="21"/>
      <c r="VH36" s="21"/>
      <c r="VI36" s="21"/>
      <c r="VJ36" s="21"/>
      <c r="VK36" s="21"/>
      <c r="VL36" s="21"/>
      <c r="VM36" s="21"/>
      <c r="VN36" s="21"/>
      <c r="VO36" s="21"/>
      <c r="VP36" s="21"/>
      <c r="VQ36" s="21"/>
      <c r="VR36" s="21"/>
      <c r="VS36" s="21"/>
      <c r="VT36" s="21"/>
      <c r="VU36" s="21"/>
      <c r="VV36" s="21"/>
      <c r="VW36" s="21"/>
      <c r="VX36" s="21"/>
      <c r="VY36" s="21"/>
      <c r="VZ36" s="21"/>
      <c r="WA36" s="21"/>
      <c r="WB36" s="21"/>
      <c r="WC36" s="21"/>
      <c r="WD36" s="21"/>
      <c r="WE36" s="21"/>
      <c r="WF36" s="21"/>
      <c r="WG36" s="21"/>
      <c r="WH36" s="21"/>
      <c r="WI36" s="21"/>
      <c r="WJ36" s="21"/>
      <c r="WK36" s="21"/>
      <c r="WL36" s="21"/>
      <c r="WM36" s="21"/>
      <c r="WN36" s="21"/>
      <c r="WO36" s="21"/>
      <c r="WP36" s="21"/>
      <c r="WQ36" s="21"/>
      <c r="WR36" s="21"/>
      <c r="WS36" s="21"/>
      <c r="WT36" s="21"/>
      <c r="WU36" s="21"/>
      <c r="WV36" s="21"/>
      <c r="WW36" s="21"/>
      <c r="WX36" s="21"/>
      <c r="WY36" s="21"/>
      <c r="WZ36" s="21"/>
      <c r="XA36" s="21"/>
      <c r="XB36" s="21"/>
      <c r="XC36" s="21"/>
      <c r="XD36" s="21"/>
      <c r="XE36" s="21"/>
      <c r="XF36" s="21"/>
      <c r="XG36" s="21"/>
      <c r="XH36" s="21"/>
      <c r="XI36" s="21"/>
      <c r="XJ36" s="21"/>
      <c r="XK36" s="21"/>
      <c r="XL36" s="21"/>
      <c r="XM36" s="21"/>
      <c r="XN36" s="21"/>
      <c r="XO36" s="21"/>
      <c r="XP36" s="21"/>
      <c r="XQ36" s="21"/>
      <c r="XR36" s="21"/>
      <c r="XS36" s="21"/>
      <c r="XT36" s="21"/>
      <c r="XU36" s="21"/>
      <c r="XV36" s="21"/>
      <c r="XW36" s="21"/>
      <c r="XX36" s="21"/>
      <c r="XY36" s="21"/>
      <c r="XZ36" s="21"/>
      <c r="YA36" s="21"/>
      <c r="YB36" s="21"/>
      <c r="YC36" s="21"/>
      <c r="YD36" s="21"/>
      <c r="YE36" s="21"/>
      <c r="YF36" s="21"/>
      <c r="YG36" s="21"/>
      <c r="YH36" s="21"/>
      <c r="YI36" s="21"/>
      <c r="YJ36" s="21"/>
      <c r="YK36" s="21"/>
      <c r="YL36" s="21"/>
      <c r="YM36" s="21"/>
      <c r="YN36" s="21"/>
      <c r="YO36" s="21"/>
      <c r="YP36" s="21"/>
      <c r="YQ36" s="21"/>
      <c r="YR36" s="21"/>
      <c r="YS36" s="21"/>
      <c r="YT36" s="21"/>
      <c r="YU36" s="21"/>
      <c r="YV36" s="21"/>
      <c r="YW36" s="21"/>
      <c r="YX36" s="21"/>
      <c r="YY36" s="21"/>
      <c r="YZ36" s="21"/>
      <c r="ZA36" s="21"/>
      <c r="ZB36" s="21"/>
      <c r="ZC36" s="21"/>
      <c r="ZD36" s="21"/>
      <c r="ZE36" s="21"/>
      <c r="ZF36" s="21"/>
      <c r="ZG36" s="21"/>
      <c r="ZH36" s="21"/>
      <c r="ZI36" s="21"/>
      <c r="ZJ36" s="21"/>
      <c r="ZK36" s="21"/>
      <c r="ZL36" s="21"/>
      <c r="ZM36" s="21"/>
      <c r="ZN36" s="21"/>
      <c r="ZO36" s="21"/>
      <c r="ZP36" s="21"/>
      <c r="ZQ36" s="21"/>
      <c r="ZR36" s="21"/>
      <c r="ZS36" s="21"/>
      <c r="ZT36" s="21"/>
      <c r="ZU36" s="21"/>
      <c r="ZV36" s="21"/>
      <c r="ZW36" s="21"/>
      <c r="ZX36" s="21"/>
      <c r="ZY36" s="21"/>
      <c r="ZZ36" s="21"/>
      <c r="AAA36" s="21"/>
      <c r="AAB36" s="21"/>
      <c r="AAC36" s="21"/>
      <c r="AAD36" s="21"/>
      <c r="AAE36" s="21"/>
      <c r="AAF36" s="21"/>
      <c r="AAG36" s="21"/>
      <c r="AAH36" s="21"/>
      <c r="AAI36" s="21"/>
      <c r="AAJ36" s="21"/>
      <c r="AAK36" s="21"/>
      <c r="AAL36" s="21"/>
      <c r="AAM36" s="21"/>
      <c r="AAN36" s="21"/>
      <c r="AAO36" s="21"/>
      <c r="AAP36" s="21"/>
      <c r="AAQ36" s="21"/>
      <c r="AAR36" s="21"/>
      <c r="AAS36" s="21"/>
      <c r="AAT36" s="21"/>
      <c r="AAU36" s="21"/>
      <c r="AAV36" s="21"/>
      <c r="AAW36" s="21"/>
      <c r="AAX36" s="21"/>
      <c r="AAY36" s="21"/>
      <c r="AAZ36" s="21"/>
      <c r="ABA36" s="21"/>
      <c r="ABB36" s="21"/>
      <c r="ABC36" s="21"/>
      <c r="ABD36" s="21"/>
      <c r="ABE36" s="21"/>
      <c r="ABF36" s="21"/>
      <c r="ABG36" s="21"/>
      <c r="ABH36" s="21"/>
      <c r="ABI36" s="21"/>
      <c r="ABJ36" s="21"/>
      <c r="ABK36" s="21"/>
      <c r="ABL36" s="21"/>
      <c r="ABM36" s="21"/>
      <c r="ABN36" s="21"/>
      <c r="ABO36" s="21"/>
      <c r="ABP36" s="21"/>
      <c r="ABQ36" s="21"/>
      <c r="ABR36" s="21"/>
      <c r="ABS36" s="21"/>
      <c r="ABT36" s="21"/>
      <c r="ABU36" s="21"/>
      <c r="ABV36" s="21"/>
      <c r="ABW36" s="21"/>
      <c r="ABX36" s="21"/>
      <c r="ABY36" s="21"/>
      <c r="ABZ36" s="21"/>
      <c r="ACA36" s="21"/>
      <c r="ACB36" s="21"/>
      <c r="ACC36" s="21"/>
      <c r="ACD36" s="21"/>
      <c r="ACE36" s="21"/>
      <c r="ACF36" s="21"/>
      <c r="ACG36" s="21"/>
      <c r="ACH36" s="21"/>
      <c r="ACI36" s="21"/>
      <c r="ACJ36" s="21"/>
      <c r="ACK36" s="21"/>
      <c r="ACL36" s="21"/>
      <c r="ACM36" s="21"/>
      <c r="ACN36" s="21"/>
      <c r="ACO36" s="21"/>
      <c r="ACP36" s="21"/>
      <c r="ACQ36" s="21"/>
      <c r="ACR36" s="21"/>
      <c r="ACS36" s="21"/>
      <c r="ACT36" s="21"/>
      <c r="ACU36" s="21"/>
      <c r="ACV36" s="21"/>
      <c r="ACW36" s="21"/>
      <c r="ACX36" s="21"/>
      <c r="ACY36" s="21"/>
      <c r="ACZ36" s="21"/>
      <c r="ADA36" s="21"/>
      <c r="ADB36" s="21"/>
      <c r="ADC36" s="21"/>
      <c r="ADD36" s="21"/>
      <c r="ADE36" s="21"/>
      <c r="ADF36" s="21"/>
      <c r="ADG36" s="21"/>
      <c r="ADH36" s="21"/>
      <c r="ADI36" s="21"/>
      <c r="ADJ36" s="21"/>
      <c r="ADK36" s="21"/>
      <c r="ADL36" s="21"/>
      <c r="ADM36" s="21"/>
      <c r="ADN36" s="21"/>
      <c r="ADO36" s="21"/>
      <c r="ADP36" s="21"/>
      <c r="ADQ36" s="21"/>
      <c r="ADR36" s="21"/>
      <c r="ADS36" s="21"/>
      <c r="ADT36" s="21"/>
      <c r="ADU36" s="21"/>
      <c r="ADV36" s="21"/>
      <c r="ADW36" s="21"/>
      <c r="ADX36" s="21"/>
      <c r="ADY36" s="21"/>
      <c r="ADZ36" s="21"/>
      <c r="AEA36" s="21"/>
      <c r="AEB36" s="21"/>
      <c r="AEC36" s="21"/>
      <c r="AED36" s="21"/>
      <c r="AEE36" s="21"/>
      <c r="AEF36" s="21"/>
      <c r="AEG36" s="21"/>
      <c r="AEH36" s="21"/>
      <c r="AEI36" s="21"/>
      <c r="AEJ36" s="21"/>
      <c r="AEK36" s="21"/>
      <c r="AEL36" s="21"/>
      <c r="AEM36" s="21"/>
      <c r="AEN36" s="21"/>
      <c r="AEO36" s="21"/>
      <c r="AEP36" s="21"/>
      <c r="AEQ36" s="21"/>
      <c r="AER36" s="21"/>
      <c r="AES36" s="21"/>
      <c r="AET36" s="21"/>
      <c r="AEU36" s="21"/>
      <c r="AEV36" s="21"/>
      <c r="AEW36" s="21"/>
      <c r="AEX36" s="21"/>
      <c r="AEY36" s="21"/>
      <c r="AEZ36" s="21"/>
      <c r="AFA36" s="21"/>
      <c r="AFB36" s="21"/>
      <c r="AFC36" s="21"/>
      <c r="AFD36" s="21"/>
      <c r="AFE36" s="21"/>
      <c r="AFF36" s="21"/>
      <c r="AFG36" s="21"/>
      <c r="AFH36" s="21"/>
      <c r="AFI36" s="21"/>
      <c r="AFJ36" s="21"/>
      <c r="AFK36" s="21"/>
      <c r="AFL36" s="21"/>
      <c r="AFM36" s="21"/>
      <c r="AFN36" s="21"/>
      <c r="AFO36" s="21"/>
      <c r="AFP36" s="21"/>
      <c r="AFQ36" s="21"/>
      <c r="AFR36" s="21"/>
      <c r="AFS36" s="21"/>
      <c r="AFT36" s="21"/>
      <c r="AFU36" s="21"/>
      <c r="AFV36" s="21"/>
      <c r="AFW36" s="21"/>
      <c r="AFX36" s="21"/>
      <c r="AFY36" s="21"/>
      <c r="AFZ36" s="21"/>
      <c r="AGA36" s="21"/>
      <c r="AGB36" s="21"/>
      <c r="AGC36" s="21"/>
      <c r="AGD36" s="21"/>
      <c r="AGE36" s="21"/>
      <c r="AGF36" s="21"/>
      <c r="AGG36" s="21"/>
      <c r="AGH36" s="21"/>
      <c r="AGI36" s="21"/>
      <c r="AGJ36" s="21"/>
      <c r="AGK36" s="21"/>
      <c r="AGL36" s="21"/>
      <c r="AGM36" s="21"/>
      <c r="AGN36" s="21"/>
      <c r="AGO36" s="21"/>
      <c r="AGP36" s="21"/>
      <c r="AGQ36" s="21"/>
      <c r="AGR36" s="21"/>
      <c r="AGS36" s="21"/>
      <c r="AGT36" s="21"/>
      <c r="AGU36" s="21"/>
      <c r="AGV36" s="21"/>
      <c r="AGW36" s="21"/>
      <c r="AGX36" s="21"/>
      <c r="AGY36" s="21"/>
      <c r="AGZ36" s="21"/>
      <c r="AHA36" s="21"/>
      <c r="AHB36" s="21"/>
      <c r="AHC36" s="21"/>
      <c r="AHD36" s="21"/>
      <c r="AHE36" s="21"/>
      <c r="AHF36" s="21"/>
      <c r="AHG36" s="21"/>
      <c r="AHH36" s="21"/>
      <c r="AHI36" s="21"/>
      <c r="AHJ36" s="21"/>
      <c r="AHK36" s="21"/>
      <c r="AHL36" s="21"/>
      <c r="AHM36" s="21"/>
      <c r="AHN36" s="21"/>
      <c r="AHO36" s="21"/>
      <c r="AHP36" s="21"/>
      <c r="AHQ36" s="21"/>
      <c r="AHR36" s="21"/>
      <c r="AHS36" s="21"/>
      <c r="AHT36" s="21"/>
      <c r="AHU36" s="21"/>
      <c r="AHV36" s="21"/>
      <c r="AHW36" s="21"/>
      <c r="AHX36" s="21"/>
      <c r="AHY36" s="21"/>
      <c r="AHZ36" s="21"/>
      <c r="AIA36" s="21"/>
      <c r="AIB36" s="21"/>
      <c r="AIC36" s="21"/>
      <c r="AID36" s="21"/>
      <c r="AIE36" s="21"/>
      <c r="AIF36" s="21"/>
      <c r="AIG36" s="21"/>
      <c r="AIH36" s="21"/>
      <c r="AII36" s="21"/>
      <c r="AIJ36" s="21"/>
      <c r="AIK36" s="21"/>
      <c r="AIL36" s="21"/>
      <c r="AIM36" s="21"/>
      <c r="AIN36" s="21"/>
      <c r="AIO36" s="21"/>
      <c r="AIP36" s="21"/>
      <c r="AIQ36" s="21"/>
      <c r="AIR36" s="21"/>
      <c r="AIS36" s="21"/>
      <c r="AIT36" s="21"/>
      <c r="AIU36" s="21"/>
      <c r="AIV36" s="21"/>
      <c r="AIW36" s="21"/>
      <c r="AIX36" s="21"/>
      <c r="AIY36" s="21"/>
      <c r="AIZ36" s="21"/>
      <c r="AJA36" s="21"/>
      <c r="AJB36" s="21"/>
      <c r="AJC36" s="21"/>
      <c r="AJD36" s="21"/>
      <c r="AJE36" s="21"/>
      <c r="AJF36" s="21"/>
      <c r="AJG36" s="21"/>
      <c r="AJH36" s="21"/>
      <c r="AJI36" s="21"/>
      <c r="AJJ36" s="21"/>
      <c r="AJK36" s="21"/>
      <c r="AJL36" s="21"/>
      <c r="AJM36" s="21"/>
      <c r="AJN36" s="21"/>
      <c r="AJO36" s="21"/>
      <c r="AJP36" s="21"/>
      <c r="AJQ36" s="21"/>
      <c r="AJR36" s="21"/>
      <c r="AJS36" s="21"/>
      <c r="AJT36" s="21"/>
      <c r="AJU36" s="21"/>
      <c r="AJV36" s="21"/>
      <c r="AJW36" s="21"/>
      <c r="AJX36" s="21"/>
      <c r="AJY36" s="21"/>
      <c r="AJZ36" s="21"/>
      <c r="AKA36" s="21"/>
      <c r="AKB36" s="21"/>
      <c r="AKC36" s="21"/>
      <c r="AKD36" s="21"/>
      <c r="AKE36" s="21"/>
      <c r="AKF36" s="21"/>
      <c r="AKG36" s="21"/>
      <c r="AKH36" s="21"/>
      <c r="AKI36" s="21"/>
      <c r="AKJ36" s="21"/>
      <c r="AKK36" s="21"/>
      <c r="AKL36" s="21"/>
      <c r="AKM36" s="21"/>
      <c r="AKN36" s="21"/>
      <c r="AKO36" s="21"/>
      <c r="AKP36" s="21"/>
      <c r="AKQ36" s="21"/>
      <c r="AKR36" s="21"/>
      <c r="AKS36" s="21"/>
      <c r="AKT36" s="21"/>
      <c r="AKU36" s="21"/>
      <c r="AKV36" s="21"/>
      <c r="AKW36" s="21"/>
      <c r="AKX36" s="21"/>
      <c r="AKY36" s="21"/>
      <c r="AKZ36" s="21"/>
      <c r="ALA36" s="21"/>
      <c r="ALB36" s="21"/>
      <c r="ALC36" s="21"/>
      <c r="ALD36" s="21"/>
      <c r="ALE36" s="21"/>
      <c r="ALF36" s="21"/>
      <c r="ALG36" s="21"/>
      <c r="ALH36" s="21"/>
      <c r="ALI36" s="21"/>
      <c r="ALJ36" s="21"/>
      <c r="ALK36" s="21"/>
      <c r="ALL36" s="21"/>
      <c r="ALM36" s="21"/>
      <c r="ALN36" s="21"/>
      <c r="ALO36" s="21"/>
      <c r="ALP36" s="21"/>
      <c r="ALQ36" s="21"/>
      <c r="ALR36" s="21"/>
    </row>
    <row r="37" spans="6:1006" x14ac:dyDescent="0.2">
      <c r="F37" s="2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  <c r="IZ37" s="22"/>
      <c r="JA37" s="22"/>
      <c r="JB37" s="22"/>
      <c r="JC37" s="22"/>
      <c r="JD37" s="22"/>
      <c r="JE37" s="22"/>
      <c r="JF37" s="22"/>
      <c r="JG37" s="22"/>
      <c r="JH37" s="22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2"/>
      <c r="LK37" s="22"/>
      <c r="LL37" s="22"/>
      <c r="LM37" s="22"/>
      <c r="LN37" s="22"/>
      <c r="LO37" s="22"/>
      <c r="LP37" s="22"/>
      <c r="LQ37" s="22"/>
      <c r="LR37" s="22"/>
      <c r="LS37" s="22"/>
      <c r="LT37" s="22"/>
      <c r="LU37" s="22"/>
      <c r="LV37" s="22"/>
      <c r="LW37" s="22"/>
      <c r="LX37" s="22"/>
      <c r="LY37" s="22"/>
      <c r="LZ37" s="22"/>
      <c r="MA37" s="22"/>
      <c r="MB37" s="22"/>
      <c r="MC37" s="22"/>
      <c r="MD37" s="22"/>
      <c r="ME37" s="22"/>
      <c r="MF37" s="22"/>
      <c r="MG37" s="22"/>
      <c r="MH37" s="22"/>
      <c r="MI37" s="22"/>
      <c r="MJ37" s="22"/>
      <c r="MK37" s="22"/>
      <c r="ML37" s="22"/>
      <c r="MM37" s="22"/>
      <c r="MN37" s="22"/>
      <c r="MO37" s="22"/>
      <c r="MP37" s="22"/>
      <c r="MQ37" s="22"/>
      <c r="MR37" s="22"/>
      <c r="MS37" s="22"/>
      <c r="MT37" s="22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  <c r="NG37" s="22"/>
      <c r="NH37" s="22"/>
      <c r="NI37" s="22"/>
      <c r="NJ37" s="22"/>
      <c r="NK37" s="22"/>
      <c r="NL37" s="22"/>
      <c r="NM37" s="22"/>
      <c r="NN37" s="22"/>
      <c r="NO37" s="22"/>
      <c r="NP37" s="22"/>
      <c r="NQ37" s="22"/>
      <c r="NR37" s="22"/>
      <c r="NS37" s="22"/>
      <c r="NT37" s="22"/>
      <c r="NU37" s="22"/>
      <c r="NV37" s="22"/>
      <c r="NW37" s="22"/>
      <c r="NX37" s="22"/>
      <c r="NY37" s="22"/>
      <c r="NZ37" s="22"/>
      <c r="OA37" s="22"/>
      <c r="OB37" s="22"/>
      <c r="OC37" s="22"/>
      <c r="OD37" s="22"/>
      <c r="OE37" s="22"/>
      <c r="OF37" s="22"/>
      <c r="OG37" s="22"/>
      <c r="OH37" s="22"/>
      <c r="OI37" s="22"/>
      <c r="OJ37" s="22"/>
      <c r="OK37" s="22"/>
      <c r="OL37" s="22"/>
      <c r="OM37" s="22"/>
      <c r="ON37" s="22"/>
      <c r="OO37" s="22"/>
      <c r="OP37" s="22"/>
      <c r="OQ37" s="22"/>
      <c r="OR37" s="22"/>
      <c r="OS37" s="22"/>
      <c r="OT37" s="22"/>
      <c r="OU37" s="22"/>
      <c r="OV37" s="22"/>
      <c r="OW37" s="22"/>
      <c r="OX37" s="22"/>
      <c r="OY37" s="22"/>
      <c r="OZ37" s="22"/>
      <c r="PA37" s="22"/>
      <c r="PB37" s="22"/>
      <c r="PC37" s="22"/>
      <c r="PD37" s="22"/>
      <c r="PE37" s="22"/>
      <c r="PF37" s="22"/>
      <c r="PG37" s="22"/>
      <c r="PH37" s="22"/>
      <c r="PI37" s="22"/>
      <c r="PJ37" s="22"/>
      <c r="PK37" s="22"/>
      <c r="PL37" s="22"/>
      <c r="PM37" s="22"/>
      <c r="PN37" s="22"/>
      <c r="PO37" s="22"/>
      <c r="PP37" s="22"/>
      <c r="PQ37" s="22"/>
      <c r="PR37" s="22"/>
      <c r="PS37" s="22"/>
      <c r="PT37" s="22"/>
      <c r="PU37" s="22"/>
      <c r="PV37" s="22"/>
      <c r="PW37" s="22"/>
      <c r="PX37" s="22"/>
      <c r="PY37" s="22"/>
      <c r="PZ37" s="22"/>
      <c r="QA37" s="22"/>
      <c r="QB37" s="22"/>
      <c r="QC37" s="22"/>
      <c r="QD37" s="22"/>
      <c r="QE37" s="22"/>
      <c r="QF37" s="22"/>
      <c r="QG37" s="22"/>
      <c r="QH37" s="22"/>
      <c r="QI37" s="22"/>
      <c r="QJ37" s="22"/>
      <c r="QK37" s="22"/>
      <c r="QL37" s="22"/>
      <c r="QM37" s="22"/>
      <c r="QN37" s="22"/>
      <c r="QO37" s="22"/>
      <c r="QP37" s="22"/>
      <c r="QQ37" s="22"/>
      <c r="QR37" s="22"/>
      <c r="QS37" s="22"/>
      <c r="QT37" s="22"/>
      <c r="QU37" s="22"/>
      <c r="QV37" s="22"/>
      <c r="QW37" s="22"/>
      <c r="QX37" s="22"/>
      <c r="QY37" s="22"/>
      <c r="QZ37" s="22"/>
      <c r="RA37" s="22"/>
      <c r="RB37" s="22"/>
      <c r="RC37" s="22"/>
      <c r="RD37" s="22"/>
      <c r="RE37" s="22"/>
      <c r="RF37" s="22"/>
      <c r="RG37" s="22"/>
      <c r="RH37" s="22"/>
      <c r="RI37" s="22"/>
      <c r="RJ37" s="22"/>
      <c r="RK37" s="22"/>
      <c r="RL37" s="22"/>
      <c r="RM37" s="22"/>
      <c r="RN37" s="22"/>
      <c r="RO37" s="22"/>
      <c r="RP37" s="22"/>
      <c r="RQ37" s="22"/>
      <c r="RR37" s="22"/>
      <c r="RS37" s="22"/>
      <c r="RT37" s="22"/>
      <c r="RU37" s="22"/>
      <c r="RV37" s="22"/>
      <c r="RW37" s="22"/>
      <c r="RX37" s="22"/>
      <c r="RY37" s="22"/>
      <c r="RZ37" s="22"/>
      <c r="SA37" s="22"/>
      <c r="SB37" s="22"/>
      <c r="SC37" s="22"/>
      <c r="SD37" s="22"/>
      <c r="SE37" s="22"/>
      <c r="SF37" s="22"/>
      <c r="SG37" s="22"/>
      <c r="SH37" s="22"/>
      <c r="SI37" s="22"/>
      <c r="SJ37" s="22"/>
      <c r="SK37" s="22"/>
      <c r="SL37" s="22"/>
      <c r="SM37" s="22"/>
      <c r="SN37" s="22"/>
      <c r="SO37" s="22"/>
      <c r="SP37" s="22"/>
      <c r="SQ37" s="22"/>
      <c r="SR37" s="22"/>
      <c r="SS37" s="22"/>
      <c r="ST37" s="22"/>
      <c r="SU37" s="22"/>
      <c r="SV37" s="22"/>
      <c r="SW37" s="22"/>
      <c r="SX37" s="22"/>
      <c r="SY37" s="22"/>
      <c r="SZ37" s="22"/>
      <c r="TA37" s="22"/>
      <c r="TB37" s="22"/>
      <c r="TC37" s="22"/>
      <c r="TD37" s="22"/>
      <c r="TE37" s="22"/>
      <c r="TF37" s="22"/>
      <c r="TG37" s="22"/>
      <c r="TH37" s="22"/>
      <c r="TI37" s="22"/>
      <c r="TJ37" s="22"/>
      <c r="TK37" s="22"/>
      <c r="TL37" s="22"/>
      <c r="TM37" s="22"/>
      <c r="TN37" s="22"/>
      <c r="TO37" s="22"/>
      <c r="TP37" s="22"/>
      <c r="TQ37" s="22"/>
      <c r="TR37" s="22"/>
      <c r="TS37" s="22"/>
      <c r="TT37" s="22"/>
      <c r="TU37" s="22"/>
      <c r="TV37" s="22"/>
      <c r="TW37" s="22"/>
      <c r="TX37" s="22"/>
      <c r="TY37" s="22"/>
      <c r="TZ37" s="22"/>
      <c r="UA37" s="22"/>
      <c r="UB37" s="22"/>
      <c r="UC37" s="22"/>
      <c r="UD37" s="22"/>
      <c r="UE37" s="22"/>
      <c r="UF37" s="22"/>
      <c r="UG37" s="22"/>
      <c r="UH37" s="22"/>
      <c r="UI37" s="22"/>
      <c r="UJ37" s="22"/>
      <c r="UK37" s="22"/>
      <c r="UL37" s="22"/>
      <c r="UM37" s="22"/>
      <c r="UN37" s="22"/>
      <c r="UO37" s="22"/>
      <c r="UP37" s="22"/>
      <c r="UQ37" s="22"/>
      <c r="UR37" s="22"/>
      <c r="US37" s="22"/>
      <c r="UT37" s="22"/>
      <c r="UU37" s="22"/>
      <c r="UV37" s="22"/>
      <c r="UW37" s="22"/>
      <c r="UX37" s="22"/>
      <c r="UY37" s="22"/>
      <c r="UZ37" s="22"/>
      <c r="VA37" s="22"/>
      <c r="VB37" s="22"/>
      <c r="VC37" s="22"/>
      <c r="VD37" s="22"/>
      <c r="VE37" s="22"/>
      <c r="VF37" s="22"/>
      <c r="VG37" s="22"/>
      <c r="VH37" s="22"/>
      <c r="VI37" s="22"/>
      <c r="VJ37" s="22"/>
      <c r="VK37" s="22"/>
      <c r="VL37" s="22"/>
      <c r="VM37" s="22"/>
      <c r="VN37" s="22"/>
      <c r="VO37" s="22"/>
      <c r="VP37" s="22"/>
      <c r="VQ37" s="22"/>
      <c r="VR37" s="22"/>
      <c r="VS37" s="22"/>
      <c r="VT37" s="22"/>
      <c r="VU37" s="22"/>
      <c r="VV37" s="22"/>
      <c r="VW37" s="22"/>
      <c r="VX37" s="22"/>
      <c r="VY37" s="22"/>
      <c r="VZ37" s="22"/>
      <c r="WA37" s="22"/>
      <c r="WB37" s="22"/>
      <c r="WC37" s="22"/>
      <c r="WD37" s="22"/>
      <c r="WE37" s="22"/>
      <c r="WF37" s="22"/>
      <c r="WG37" s="22"/>
      <c r="WH37" s="22"/>
      <c r="WI37" s="22"/>
      <c r="WJ37" s="22"/>
      <c r="WK37" s="22"/>
      <c r="WL37" s="22"/>
      <c r="WM37" s="22"/>
      <c r="WN37" s="22"/>
      <c r="WO37" s="22"/>
      <c r="WP37" s="22"/>
      <c r="WQ37" s="22"/>
      <c r="WR37" s="22"/>
      <c r="WS37" s="22"/>
      <c r="WT37" s="22"/>
      <c r="WU37" s="22"/>
      <c r="WV37" s="22"/>
      <c r="WW37" s="22"/>
      <c r="WX37" s="22"/>
      <c r="WY37" s="22"/>
      <c r="WZ37" s="22"/>
      <c r="XA37" s="22"/>
      <c r="XB37" s="22"/>
      <c r="XC37" s="22"/>
      <c r="XD37" s="22"/>
      <c r="XE37" s="22"/>
      <c r="XF37" s="22"/>
      <c r="XG37" s="22"/>
      <c r="XH37" s="22"/>
      <c r="XI37" s="22"/>
      <c r="XJ37" s="22"/>
      <c r="XK37" s="22"/>
      <c r="XL37" s="22"/>
      <c r="XM37" s="22"/>
      <c r="XN37" s="22"/>
      <c r="XO37" s="22"/>
      <c r="XP37" s="22"/>
      <c r="XQ37" s="22"/>
      <c r="XR37" s="22"/>
      <c r="XS37" s="22"/>
      <c r="XT37" s="22"/>
      <c r="XU37" s="22"/>
      <c r="XV37" s="22"/>
      <c r="XW37" s="22"/>
      <c r="XX37" s="22"/>
      <c r="XY37" s="22"/>
      <c r="XZ37" s="22"/>
      <c r="YA37" s="22"/>
      <c r="YB37" s="22"/>
      <c r="YC37" s="22"/>
      <c r="YD37" s="22"/>
      <c r="YE37" s="22"/>
      <c r="YF37" s="22"/>
      <c r="YG37" s="22"/>
      <c r="YH37" s="22"/>
      <c r="YI37" s="22"/>
      <c r="YJ37" s="22"/>
      <c r="YK37" s="22"/>
      <c r="YL37" s="22"/>
      <c r="YM37" s="22"/>
      <c r="YN37" s="22"/>
      <c r="YO37" s="22"/>
      <c r="YP37" s="22"/>
      <c r="YQ37" s="22"/>
      <c r="YR37" s="22"/>
      <c r="YS37" s="22"/>
      <c r="YT37" s="22"/>
      <c r="YU37" s="22"/>
      <c r="YV37" s="22"/>
      <c r="YW37" s="22"/>
      <c r="YX37" s="22"/>
      <c r="YY37" s="22"/>
      <c r="YZ37" s="22"/>
      <c r="ZA37" s="22"/>
      <c r="ZB37" s="22"/>
      <c r="ZC37" s="22"/>
      <c r="ZD37" s="22"/>
      <c r="ZE37" s="22"/>
      <c r="ZF37" s="22"/>
      <c r="ZG37" s="22"/>
      <c r="ZH37" s="22"/>
      <c r="ZI37" s="22"/>
      <c r="ZJ37" s="22"/>
      <c r="ZK37" s="22"/>
      <c r="ZL37" s="22"/>
      <c r="ZM37" s="22"/>
      <c r="ZN37" s="22"/>
      <c r="ZO37" s="22"/>
      <c r="ZP37" s="22"/>
      <c r="ZQ37" s="22"/>
      <c r="ZR37" s="22"/>
      <c r="ZS37" s="22"/>
      <c r="ZT37" s="22"/>
      <c r="ZU37" s="22"/>
      <c r="ZV37" s="22"/>
      <c r="ZW37" s="22"/>
      <c r="ZX37" s="22"/>
      <c r="ZY37" s="22"/>
      <c r="ZZ37" s="22"/>
      <c r="AAA37" s="22"/>
      <c r="AAB37" s="22"/>
      <c r="AAC37" s="22"/>
      <c r="AAD37" s="22"/>
      <c r="AAE37" s="22"/>
      <c r="AAF37" s="22"/>
      <c r="AAG37" s="22"/>
      <c r="AAH37" s="22"/>
      <c r="AAI37" s="22"/>
      <c r="AAJ37" s="22"/>
      <c r="AAK37" s="22"/>
      <c r="AAL37" s="22"/>
      <c r="AAM37" s="22"/>
      <c r="AAN37" s="22"/>
      <c r="AAO37" s="22"/>
      <c r="AAP37" s="22"/>
      <c r="AAQ37" s="22"/>
      <c r="AAR37" s="22"/>
      <c r="AAS37" s="22"/>
      <c r="AAT37" s="22"/>
      <c r="AAU37" s="22"/>
      <c r="AAV37" s="22"/>
      <c r="AAW37" s="22"/>
      <c r="AAX37" s="22"/>
      <c r="AAY37" s="22"/>
      <c r="AAZ37" s="22"/>
      <c r="ABA37" s="22"/>
      <c r="ABB37" s="22"/>
      <c r="ABC37" s="22"/>
      <c r="ABD37" s="22"/>
      <c r="ABE37" s="22"/>
      <c r="ABF37" s="22"/>
      <c r="ABG37" s="22"/>
      <c r="ABH37" s="22"/>
      <c r="ABI37" s="22"/>
      <c r="ABJ37" s="22"/>
      <c r="ABK37" s="22"/>
      <c r="ABL37" s="22"/>
      <c r="ABM37" s="22"/>
      <c r="ABN37" s="22"/>
      <c r="ABO37" s="22"/>
      <c r="ABP37" s="22"/>
      <c r="ABQ37" s="22"/>
      <c r="ABR37" s="22"/>
      <c r="ABS37" s="22"/>
      <c r="ABT37" s="22"/>
      <c r="ABU37" s="22"/>
      <c r="ABV37" s="22"/>
      <c r="ABW37" s="22"/>
      <c r="ABX37" s="22"/>
      <c r="ABY37" s="22"/>
      <c r="ABZ37" s="22"/>
      <c r="ACA37" s="22"/>
      <c r="ACB37" s="22"/>
      <c r="ACC37" s="22"/>
      <c r="ACD37" s="22"/>
      <c r="ACE37" s="22"/>
      <c r="ACF37" s="22"/>
      <c r="ACG37" s="22"/>
      <c r="ACH37" s="22"/>
      <c r="ACI37" s="22"/>
      <c r="ACJ37" s="22"/>
      <c r="ACK37" s="22"/>
      <c r="ACL37" s="22"/>
      <c r="ACM37" s="22"/>
      <c r="ACN37" s="22"/>
      <c r="ACO37" s="22"/>
      <c r="ACP37" s="22"/>
      <c r="ACQ37" s="22"/>
      <c r="ACR37" s="22"/>
      <c r="ACS37" s="22"/>
      <c r="ACT37" s="22"/>
      <c r="ACU37" s="22"/>
      <c r="ACV37" s="22"/>
      <c r="ACW37" s="22"/>
      <c r="ACX37" s="22"/>
      <c r="ACY37" s="22"/>
      <c r="ACZ37" s="22"/>
      <c r="ADA37" s="22"/>
      <c r="ADB37" s="22"/>
      <c r="ADC37" s="22"/>
      <c r="ADD37" s="22"/>
      <c r="ADE37" s="22"/>
      <c r="ADF37" s="22"/>
      <c r="ADG37" s="22"/>
      <c r="ADH37" s="22"/>
      <c r="ADI37" s="22"/>
      <c r="ADJ37" s="22"/>
      <c r="ADK37" s="22"/>
      <c r="ADL37" s="22"/>
      <c r="ADM37" s="22"/>
      <c r="ADN37" s="22"/>
      <c r="ADO37" s="22"/>
      <c r="ADP37" s="22"/>
      <c r="ADQ37" s="22"/>
      <c r="ADR37" s="22"/>
      <c r="ADS37" s="22"/>
      <c r="ADT37" s="22"/>
      <c r="ADU37" s="22"/>
      <c r="ADV37" s="22"/>
      <c r="ADW37" s="22"/>
      <c r="ADX37" s="22"/>
      <c r="ADY37" s="22"/>
      <c r="ADZ37" s="22"/>
      <c r="AEA37" s="22"/>
      <c r="AEB37" s="22"/>
      <c r="AEC37" s="22"/>
      <c r="AED37" s="22"/>
      <c r="AEE37" s="22"/>
      <c r="AEF37" s="22"/>
      <c r="AEG37" s="22"/>
      <c r="AEH37" s="22"/>
      <c r="AEI37" s="22"/>
      <c r="AEJ37" s="22"/>
      <c r="AEK37" s="22"/>
      <c r="AEL37" s="22"/>
      <c r="AEM37" s="22"/>
      <c r="AEN37" s="22"/>
      <c r="AEO37" s="22"/>
      <c r="AEP37" s="22"/>
      <c r="AEQ37" s="22"/>
      <c r="AER37" s="22"/>
      <c r="AES37" s="22"/>
      <c r="AET37" s="22"/>
      <c r="AEU37" s="22"/>
      <c r="AEV37" s="22"/>
      <c r="AEW37" s="22"/>
      <c r="AEX37" s="22"/>
      <c r="AEY37" s="22"/>
      <c r="AEZ37" s="22"/>
      <c r="AFA37" s="22"/>
      <c r="AFB37" s="22"/>
      <c r="AFC37" s="22"/>
      <c r="AFD37" s="22"/>
      <c r="AFE37" s="22"/>
      <c r="AFF37" s="22"/>
      <c r="AFG37" s="22"/>
      <c r="AFH37" s="22"/>
      <c r="AFI37" s="22"/>
      <c r="AFJ37" s="22"/>
      <c r="AFK37" s="22"/>
      <c r="AFL37" s="22"/>
      <c r="AFM37" s="22"/>
      <c r="AFN37" s="22"/>
      <c r="AFO37" s="22"/>
      <c r="AFP37" s="22"/>
      <c r="AFQ37" s="22"/>
      <c r="AFR37" s="22"/>
      <c r="AFS37" s="22"/>
      <c r="AFT37" s="22"/>
      <c r="AFU37" s="22"/>
      <c r="AFV37" s="22"/>
      <c r="AFW37" s="22"/>
      <c r="AFX37" s="22"/>
      <c r="AFY37" s="22"/>
      <c r="AFZ37" s="22"/>
      <c r="AGA37" s="22"/>
      <c r="AGB37" s="22"/>
      <c r="AGC37" s="22"/>
      <c r="AGD37" s="22"/>
      <c r="AGE37" s="22"/>
      <c r="AGF37" s="22"/>
      <c r="AGG37" s="22"/>
      <c r="AGH37" s="22"/>
      <c r="AGI37" s="22"/>
      <c r="AGJ37" s="22"/>
      <c r="AGK37" s="22"/>
      <c r="AGL37" s="22"/>
      <c r="AGM37" s="22"/>
      <c r="AGN37" s="22"/>
      <c r="AGO37" s="22"/>
      <c r="AGP37" s="22"/>
      <c r="AGQ37" s="22"/>
      <c r="AGR37" s="22"/>
      <c r="AGS37" s="22"/>
      <c r="AGT37" s="22"/>
      <c r="AGU37" s="22"/>
      <c r="AGV37" s="22"/>
      <c r="AGW37" s="22"/>
      <c r="AGX37" s="22"/>
      <c r="AGY37" s="22"/>
      <c r="AGZ37" s="22"/>
      <c r="AHA37" s="22"/>
      <c r="AHB37" s="22"/>
      <c r="AHC37" s="22"/>
      <c r="AHD37" s="22"/>
      <c r="AHE37" s="22"/>
      <c r="AHF37" s="22"/>
      <c r="AHG37" s="22"/>
      <c r="AHH37" s="22"/>
      <c r="AHI37" s="22"/>
      <c r="AHJ37" s="22"/>
      <c r="AHK37" s="22"/>
      <c r="AHL37" s="22"/>
      <c r="AHM37" s="22"/>
      <c r="AHN37" s="22"/>
      <c r="AHO37" s="22"/>
      <c r="AHP37" s="22"/>
      <c r="AHQ37" s="22"/>
      <c r="AHR37" s="22"/>
      <c r="AHS37" s="22"/>
      <c r="AHT37" s="22"/>
      <c r="AHU37" s="22"/>
      <c r="AHV37" s="22"/>
      <c r="AHW37" s="22"/>
      <c r="AHX37" s="22"/>
      <c r="AHY37" s="22"/>
      <c r="AHZ37" s="22"/>
      <c r="AIA37" s="22"/>
      <c r="AIB37" s="22"/>
      <c r="AIC37" s="22"/>
      <c r="AID37" s="22"/>
      <c r="AIE37" s="22"/>
      <c r="AIF37" s="22"/>
      <c r="AIG37" s="22"/>
      <c r="AIH37" s="22"/>
      <c r="AII37" s="22"/>
      <c r="AIJ37" s="22"/>
      <c r="AIK37" s="22"/>
      <c r="AIL37" s="22"/>
      <c r="AIM37" s="22"/>
      <c r="AIN37" s="22"/>
      <c r="AIO37" s="22"/>
      <c r="AIP37" s="22"/>
      <c r="AIQ37" s="22"/>
      <c r="AIR37" s="22"/>
      <c r="AIS37" s="22"/>
      <c r="AIT37" s="22"/>
      <c r="AIU37" s="22"/>
      <c r="AIV37" s="22"/>
      <c r="AIW37" s="22"/>
      <c r="AIX37" s="22"/>
      <c r="AIY37" s="22"/>
      <c r="AIZ37" s="22"/>
      <c r="AJA37" s="22"/>
      <c r="AJB37" s="22"/>
      <c r="AJC37" s="22"/>
      <c r="AJD37" s="22"/>
      <c r="AJE37" s="22"/>
      <c r="AJF37" s="22"/>
      <c r="AJG37" s="22"/>
      <c r="AJH37" s="22"/>
      <c r="AJI37" s="22"/>
      <c r="AJJ37" s="22"/>
      <c r="AJK37" s="22"/>
      <c r="AJL37" s="22"/>
      <c r="AJM37" s="22"/>
      <c r="AJN37" s="22"/>
      <c r="AJO37" s="22"/>
      <c r="AJP37" s="22"/>
      <c r="AJQ37" s="22"/>
      <c r="AJR37" s="22"/>
      <c r="AJS37" s="22"/>
      <c r="AJT37" s="22"/>
      <c r="AJU37" s="22"/>
      <c r="AJV37" s="22"/>
      <c r="AJW37" s="22"/>
      <c r="AJX37" s="22"/>
      <c r="AJY37" s="22"/>
      <c r="AJZ37" s="22"/>
      <c r="AKA37" s="22"/>
      <c r="AKB37" s="22"/>
      <c r="AKC37" s="22"/>
      <c r="AKD37" s="22"/>
      <c r="AKE37" s="22"/>
      <c r="AKF37" s="22"/>
      <c r="AKG37" s="22"/>
      <c r="AKH37" s="22"/>
      <c r="AKI37" s="22"/>
      <c r="AKJ37" s="22"/>
      <c r="AKK37" s="22"/>
      <c r="AKL37" s="22"/>
      <c r="AKM37" s="22"/>
      <c r="AKN37" s="22"/>
      <c r="AKO37" s="22"/>
      <c r="AKP37" s="22"/>
      <c r="AKQ37" s="22"/>
      <c r="AKR37" s="22"/>
      <c r="AKS37" s="22"/>
      <c r="AKT37" s="22"/>
      <c r="AKU37" s="22"/>
      <c r="AKV37" s="22"/>
      <c r="AKW37" s="22"/>
      <c r="AKX37" s="22"/>
      <c r="AKY37" s="22"/>
      <c r="AKZ37" s="22"/>
      <c r="ALA37" s="22"/>
      <c r="ALB37" s="22"/>
      <c r="ALC37" s="22"/>
      <c r="ALD37" s="22"/>
      <c r="ALE37" s="22"/>
      <c r="ALF37" s="22"/>
      <c r="ALG37" s="22"/>
      <c r="ALH37" s="22"/>
      <c r="ALI37" s="22"/>
      <c r="ALJ37" s="22"/>
      <c r="ALK37" s="22"/>
      <c r="ALL37" s="22"/>
      <c r="ALM37" s="22"/>
      <c r="ALN37" s="22"/>
      <c r="ALO37" s="22"/>
      <c r="ALP37" s="22"/>
      <c r="ALQ37" s="22"/>
      <c r="ALR37" s="22"/>
    </row>
    <row r="38" spans="6:1006" x14ac:dyDescent="0.2">
      <c r="F38" s="2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  <c r="IZ38" s="22"/>
      <c r="JA38" s="22"/>
      <c r="JB38" s="22"/>
      <c r="JC38" s="22"/>
      <c r="JD38" s="22"/>
      <c r="JE38" s="22"/>
      <c r="JF38" s="22"/>
      <c r="JG38" s="22"/>
      <c r="JH38" s="22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2"/>
      <c r="LK38" s="22"/>
      <c r="LL38" s="22"/>
      <c r="LM38" s="22"/>
      <c r="LN38" s="22"/>
      <c r="LO38" s="22"/>
      <c r="LP38" s="22"/>
      <c r="LQ38" s="22"/>
      <c r="LR38" s="22"/>
      <c r="LS38" s="22"/>
      <c r="LT38" s="22"/>
      <c r="LU38" s="22"/>
      <c r="LV38" s="22"/>
      <c r="LW38" s="22"/>
      <c r="LX38" s="22"/>
      <c r="LY38" s="22"/>
      <c r="LZ38" s="22"/>
      <c r="MA38" s="22"/>
      <c r="MB38" s="22"/>
      <c r="MC38" s="22"/>
      <c r="MD38" s="22"/>
      <c r="ME38" s="22"/>
      <c r="MF38" s="22"/>
      <c r="MG38" s="22"/>
      <c r="MH38" s="22"/>
      <c r="MI38" s="22"/>
      <c r="MJ38" s="22"/>
      <c r="MK38" s="22"/>
      <c r="ML38" s="22"/>
      <c r="MM38" s="22"/>
      <c r="MN38" s="22"/>
      <c r="MO38" s="22"/>
      <c r="MP38" s="22"/>
      <c r="MQ38" s="22"/>
      <c r="MR38" s="22"/>
      <c r="MS38" s="22"/>
      <c r="MT38" s="22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  <c r="NG38" s="22"/>
      <c r="NH38" s="22"/>
      <c r="NI38" s="22"/>
      <c r="NJ38" s="22"/>
      <c r="NK38" s="22"/>
      <c r="NL38" s="22"/>
      <c r="NM38" s="22"/>
      <c r="NN38" s="22"/>
      <c r="NO38" s="22"/>
      <c r="NP38" s="22"/>
      <c r="NQ38" s="22"/>
      <c r="NR38" s="22"/>
      <c r="NS38" s="22"/>
      <c r="NT38" s="22"/>
      <c r="NU38" s="22"/>
      <c r="NV38" s="22"/>
      <c r="NW38" s="22"/>
      <c r="NX38" s="22"/>
      <c r="NY38" s="22"/>
      <c r="NZ38" s="22"/>
      <c r="OA38" s="22"/>
      <c r="OB38" s="22"/>
      <c r="OC38" s="22"/>
      <c r="OD38" s="22"/>
      <c r="OE38" s="22"/>
      <c r="OF38" s="22"/>
      <c r="OG38" s="22"/>
      <c r="OH38" s="22"/>
      <c r="OI38" s="22"/>
      <c r="OJ38" s="22"/>
      <c r="OK38" s="22"/>
      <c r="OL38" s="22"/>
      <c r="OM38" s="22"/>
      <c r="ON38" s="22"/>
      <c r="OO38" s="22"/>
      <c r="OP38" s="22"/>
      <c r="OQ38" s="22"/>
      <c r="OR38" s="22"/>
      <c r="OS38" s="22"/>
      <c r="OT38" s="22"/>
      <c r="OU38" s="22"/>
      <c r="OV38" s="22"/>
      <c r="OW38" s="22"/>
      <c r="OX38" s="22"/>
      <c r="OY38" s="22"/>
      <c r="OZ38" s="22"/>
      <c r="PA38" s="22"/>
      <c r="PB38" s="22"/>
      <c r="PC38" s="22"/>
      <c r="PD38" s="22"/>
      <c r="PE38" s="22"/>
      <c r="PF38" s="22"/>
      <c r="PG38" s="22"/>
      <c r="PH38" s="22"/>
      <c r="PI38" s="22"/>
      <c r="PJ38" s="22"/>
      <c r="PK38" s="22"/>
      <c r="PL38" s="22"/>
      <c r="PM38" s="22"/>
      <c r="PN38" s="22"/>
      <c r="PO38" s="22"/>
      <c r="PP38" s="22"/>
      <c r="PQ38" s="22"/>
      <c r="PR38" s="22"/>
      <c r="PS38" s="22"/>
      <c r="PT38" s="22"/>
      <c r="PU38" s="22"/>
      <c r="PV38" s="22"/>
      <c r="PW38" s="22"/>
      <c r="PX38" s="22"/>
      <c r="PY38" s="22"/>
      <c r="PZ38" s="22"/>
      <c r="QA38" s="22"/>
      <c r="QB38" s="22"/>
      <c r="QC38" s="22"/>
      <c r="QD38" s="22"/>
      <c r="QE38" s="22"/>
      <c r="QF38" s="22"/>
      <c r="QG38" s="22"/>
      <c r="QH38" s="22"/>
      <c r="QI38" s="22"/>
      <c r="QJ38" s="22"/>
      <c r="QK38" s="22"/>
      <c r="QL38" s="22"/>
      <c r="QM38" s="22"/>
      <c r="QN38" s="22"/>
      <c r="QO38" s="22"/>
      <c r="QP38" s="22"/>
      <c r="QQ38" s="22"/>
      <c r="QR38" s="22"/>
      <c r="QS38" s="22"/>
      <c r="QT38" s="22"/>
      <c r="QU38" s="22"/>
      <c r="QV38" s="22"/>
      <c r="QW38" s="22"/>
      <c r="QX38" s="22"/>
      <c r="QY38" s="22"/>
      <c r="QZ38" s="22"/>
      <c r="RA38" s="22"/>
      <c r="RB38" s="22"/>
      <c r="RC38" s="22"/>
      <c r="RD38" s="22"/>
      <c r="RE38" s="22"/>
      <c r="RF38" s="22"/>
      <c r="RG38" s="22"/>
      <c r="RH38" s="22"/>
      <c r="RI38" s="22"/>
      <c r="RJ38" s="22"/>
      <c r="RK38" s="22"/>
      <c r="RL38" s="22"/>
      <c r="RM38" s="22"/>
      <c r="RN38" s="22"/>
      <c r="RO38" s="22"/>
      <c r="RP38" s="22"/>
      <c r="RQ38" s="22"/>
      <c r="RR38" s="22"/>
      <c r="RS38" s="22"/>
      <c r="RT38" s="22"/>
      <c r="RU38" s="22"/>
      <c r="RV38" s="22"/>
      <c r="RW38" s="22"/>
      <c r="RX38" s="22"/>
      <c r="RY38" s="22"/>
      <c r="RZ38" s="22"/>
      <c r="SA38" s="22"/>
      <c r="SB38" s="22"/>
      <c r="SC38" s="22"/>
      <c r="SD38" s="22"/>
      <c r="SE38" s="22"/>
      <c r="SF38" s="22"/>
      <c r="SG38" s="22"/>
      <c r="SH38" s="22"/>
      <c r="SI38" s="22"/>
      <c r="SJ38" s="22"/>
      <c r="SK38" s="22"/>
      <c r="SL38" s="22"/>
      <c r="SM38" s="22"/>
      <c r="SN38" s="22"/>
      <c r="SO38" s="22"/>
      <c r="SP38" s="22"/>
      <c r="SQ38" s="22"/>
      <c r="SR38" s="22"/>
      <c r="SS38" s="22"/>
      <c r="ST38" s="22"/>
      <c r="SU38" s="22"/>
      <c r="SV38" s="22"/>
      <c r="SW38" s="22"/>
      <c r="SX38" s="22"/>
      <c r="SY38" s="22"/>
      <c r="SZ38" s="22"/>
      <c r="TA38" s="22"/>
      <c r="TB38" s="22"/>
      <c r="TC38" s="22"/>
      <c r="TD38" s="22"/>
      <c r="TE38" s="22"/>
      <c r="TF38" s="22"/>
      <c r="TG38" s="22"/>
      <c r="TH38" s="22"/>
      <c r="TI38" s="22"/>
      <c r="TJ38" s="22"/>
      <c r="TK38" s="22"/>
      <c r="TL38" s="22"/>
      <c r="TM38" s="22"/>
      <c r="TN38" s="22"/>
      <c r="TO38" s="22"/>
      <c r="TP38" s="22"/>
      <c r="TQ38" s="22"/>
      <c r="TR38" s="22"/>
      <c r="TS38" s="22"/>
      <c r="TT38" s="22"/>
      <c r="TU38" s="22"/>
      <c r="TV38" s="22"/>
      <c r="TW38" s="22"/>
      <c r="TX38" s="22"/>
      <c r="TY38" s="22"/>
      <c r="TZ38" s="22"/>
      <c r="UA38" s="22"/>
      <c r="UB38" s="22"/>
      <c r="UC38" s="22"/>
      <c r="UD38" s="22"/>
      <c r="UE38" s="22"/>
      <c r="UF38" s="22"/>
      <c r="UG38" s="22"/>
      <c r="UH38" s="22"/>
      <c r="UI38" s="22"/>
      <c r="UJ38" s="22"/>
      <c r="UK38" s="22"/>
      <c r="UL38" s="22"/>
      <c r="UM38" s="22"/>
      <c r="UN38" s="22"/>
      <c r="UO38" s="22"/>
      <c r="UP38" s="22"/>
      <c r="UQ38" s="22"/>
      <c r="UR38" s="22"/>
      <c r="US38" s="22"/>
      <c r="UT38" s="22"/>
      <c r="UU38" s="22"/>
      <c r="UV38" s="22"/>
      <c r="UW38" s="22"/>
      <c r="UX38" s="22"/>
      <c r="UY38" s="22"/>
      <c r="UZ38" s="22"/>
      <c r="VA38" s="22"/>
      <c r="VB38" s="22"/>
      <c r="VC38" s="22"/>
      <c r="VD38" s="22"/>
      <c r="VE38" s="22"/>
      <c r="VF38" s="22"/>
      <c r="VG38" s="22"/>
      <c r="VH38" s="22"/>
      <c r="VI38" s="22"/>
      <c r="VJ38" s="22"/>
      <c r="VK38" s="22"/>
      <c r="VL38" s="22"/>
      <c r="VM38" s="22"/>
      <c r="VN38" s="22"/>
      <c r="VO38" s="22"/>
      <c r="VP38" s="22"/>
      <c r="VQ38" s="22"/>
      <c r="VR38" s="22"/>
      <c r="VS38" s="22"/>
      <c r="VT38" s="22"/>
      <c r="VU38" s="22"/>
      <c r="VV38" s="22"/>
      <c r="VW38" s="22"/>
      <c r="VX38" s="22"/>
      <c r="VY38" s="22"/>
      <c r="VZ38" s="22"/>
      <c r="WA38" s="22"/>
      <c r="WB38" s="22"/>
      <c r="WC38" s="22"/>
      <c r="WD38" s="22"/>
      <c r="WE38" s="22"/>
      <c r="WF38" s="22"/>
      <c r="WG38" s="22"/>
      <c r="WH38" s="22"/>
      <c r="WI38" s="22"/>
      <c r="WJ38" s="22"/>
      <c r="WK38" s="22"/>
      <c r="WL38" s="22"/>
      <c r="WM38" s="22"/>
      <c r="WN38" s="22"/>
      <c r="WO38" s="22"/>
      <c r="WP38" s="22"/>
      <c r="WQ38" s="22"/>
      <c r="WR38" s="22"/>
      <c r="WS38" s="22"/>
      <c r="WT38" s="22"/>
      <c r="WU38" s="22"/>
      <c r="WV38" s="22"/>
      <c r="WW38" s="22"/>
      <c r="WX38" s="22"/>
      <c r="WY38" s="22"/>
      <c r="WZ38" s="22"/>
      <c r="XA38" s="22"/>
      <c r="XB38" s="22"/>
      <c r="XC38" s="22"/>
      <c r="XD38" s="22"/>
      <c r="XE38" s="22"/>
      <c r="XF38" s="22"/>
      <c r="XG38" s="22"/>
      <c r="XH38" s="22"/>
      <c r="XI38" s="22"/>
      <c r="XJ38" s="22"/>
      <c r="XK38" s="22"/>
      <c r="XL38" s="22"/>
      <c r="XM38" s="22"/>
      <c r="XN38" s="22"/>
      <c r="XO38" s="22"/>
      <c r="XP38" s="22"/>
      <c r="XQ38" s="22"/>
      <c r="XR38" s="22"/>
      <c r="XS38" s="22"/>
      <c r="XT38" s="22"/>
      <c r="XU38" s="22"/>
      <c r="XV38" s="22"/>
      <c r="XW38" s="22"/>
      <c r="XX38" s="22"/>
      <c r="XY38" s="22"/>
      <c r="XZ38" s="22"/>
      <c r="YA38" s="22"/>
      <c r="YB38" s="22"/>
      <c r="YC38" s="22"/>
      <c r="YD38" s="22"/>
      <c r="YE38" s="22"/>
      <c r="YF38" s="22"/>
      <c r="YG38" s="22"/>
      <c r="YH38" s="22"/>
      <c r="YI38" s="22"/>
      <c r="YJ38" s="22"/>
      <c r="YK38" s="22"/>
      <c r="YL38" s="22"/>
      <c r="YM38" s="22"/>
      <c r="YN38" s="22"/>
      <c r="YO38" s="22"/>
      <c r="YP38" s="22"/>
      <c r="YQ38" s="22"/>
      <c r="YR38" s="22"/>
      <c r="YS38" s="22"/>
      <c r="YT38" s="22"/>
      <c r="YU38" s="22"/>
      <c r="YV38" s="22"/>
      <c r="YW38" s="22"/>
      <c r="YX38" s="22"/>
      <c r="YY38" s="22"/>
      <c r="YZ38" s="22"/>
      <c r="ZA38" s="22"/>
      <c r="ZB38" s="22"/>
      <c r="ZC38" s="22"/>
      <c r="ZD38" s="22"/>
      <c r="ZE38" s="22"/>
      <c r="ZF38" s="22"/>
      <c r="ZG38" s="22"/>
      <c r="ZH38" s="22"/>
      <c r="ZI38" s="22"/>
      <c r="ZJ38" s="22"/>
      <c r="ZK38" s="22"/>
      <c r="ZL38" s="22"/>
      <c r="ZM38" s="22"/>
      <c r="ZN38" s="22"/>
      <c r="ZO38" s="22"/>
      <c r="ZP38" s="22"/>
      <c r="ZQ38" s="22"/>
      <c r="ZR38" s="22"/>
      <c r="ZS38" s="22"/>
      <c r="ZT38" s="22"/>
      <c r="ZU38" s="22"/>
      <c r="ZV38" s="22"/>
      <c r="ZW38" s="22"/>
      <c r="ZX38" s="22"/>
      <c r="ZY38" s="22"/>
      <c r="ZZ38" s="22"/>
      <c r="AAA38" s="22"/>
      <c r="AAB38" s="22"/>
      <c r="AAC38" s="22"/>
      <c r="AAD38" s="22"/>
      <c r="AAE38" s="22"/>
      <c r="AAF38" s="22"/>
      <c r="AAG38" s="22"/>
      <c r="AAH38" s="22"/>
      <c r="AAI38" s="22"/>
      <c r="AAJ38" s="22"/>
      <c r="AAK38" s="22"/>
      <c r="AAL38" s="22"/>
      <c r="AAM38" s="22"/>
      <c r="AAN38" s="22"/>
      <c r="AAO38" s="22"/>
      <c r="AAP38" s="22"/>
      <c r="AAQ38" s="22"/>
      <c r="AAR38" s="22"/>
      <c r="AAS38" s="22"/>
      <c r="AAT38" s="22"/>
      <c r="AAU38" s="22"/>
      <c r="AAV38" s="22"/>
      <c r="AAW38" s="22"/>
      <c r="AAX38" s="22"/>
      <c r="AAY38" s="22"/>
      <c r="AAZ38" s="22"/>
      <c r="ABA38" s="22"/>
      <c r="ABB38" s="22"/>
      <c r="ABC38" s="22"/>
      <c r="ABD38" s="22"/>
      <c r="ABE38" s="22"/>
      <c r="ABF38" s="22"/>
      <c r="ABG38" s="22"/>
      <c r="ABH38" s="22"/>
      <c r="ABI38" s="22"/>
      <c r="ABJ38" s="22"/>
      <c r="ABK38" s="22"/>
      <c r="ABL38" s="22"/>
      <c r="ABM38" s="22"/>
      <c r="ABN38" s="22"/>
      <c r="ABO38" s="22"/>
      <c r="ABP38" s="22"/>
      <c r="ABQ38" s="22"/>
      <c r="ABR38" s="22"/>
      <c r="ABS38" s="22"/>
      <c r="ABT38" s="22"/>
      <c r="ABU38" s="22"/>
      <c r="ABV38" s="22"/>
      <c r="ABW38" s="22"/>
      <c r="ABX38" s="22"/>
      <c r="ABY38" s="22"/>
      <c r="ABZ38" s="22"/>
      <c r="ACA38" s="22"/>
      <c r="ACB38" s="22"/>
      <c r="ACC38" s="22"/>
      <c r="ACD38" s="22"/>
      <c r="ACE38" s="22"/>
      <c r="ACF38" s="22"/>
      <c r="ACG38" s="22"/>
      <c r="ACH38" s="22"/>
      <c r="ACI38" s="22"/>
      <c r="ACJ38" s="22"/>
      <c r="ACK38" s="22"/>
      <c r="ACL38" s="22"/>
      <c r="ACM38" s="22"/>
      <c r="ACN38" s="22"/>
      <c r="ACO38" s="22"/>
      <c r="ACP38" s="22"/>
      <c r="ACQ38" s="22"/>
      <c r="ACR38" s="22"/>
      <c r="ACS38" s="22"/>
      <c r="ACT38" s="22"/>
      <c r="ACU38" s="22"/>
      <c r="ACV38" s="22"/>
      <c r="ACW38" s="22"/>
      <c r="ACX38" s="22"/>
      <c r="ACY38" s="22"/>
      <c r="ACZ38" s="22"/>
      <c r="ADA38" s="22"/>
      <c r="ADB38" s="22"/>
      <c r="ADC38" s="22"/>
      <c r="ADD38" s="22"/>
      <c r="ADE38" s="22"/>
      <c r="ADF38" s="22"/>
      <c r="ADG38" s="22"/>
      <c r="ADH38" s="22"/>
      <c r="ADI38" s="22"/>
      <c r="ADJ38" s="22"/>
      <c r="ADK38" s="22"/>
      <c r="ADL38" s="22"/>
      <c r="ADM38" s="22"/>
      <c r="ADN38" s="22"/>
      <c r="ADO38" s="22"/>
      <c r="ADP38" s="22"/>
      <c r="ADQ38" s="22"/>
      <c r="ADR38" s="22"/>
      <c r="ADS38" s="22"/>
      <c r="ADT38" s="22"/>
      <c r="ADU38" s="22"/>
      <c r="ADV38" s="22"/>
      <c r="ADW38" s="22"/>
      <c r="ADX38" s="22"/>
      <c r="ADY38" s="22"/>
      <c r="ADZ38" s="22"/>
      <c r="AEA38" s="22"/>
      <c r="AEB38" s="22"/>
      <c r="AEC38" s="22"/>
      <c r="AED38" s="22"/>
      <c r="AEE38" s="22"/>
      <c r="AEF38" s="22"/>
      <c r="AEG38" s="22"/>
      <c r="AEH38" s="22"/>
      <c r="AEI38" s="22"/>
      <c r="AEJ38" s="22"/>
      <c r="AEK38" s="22"/>
      <c r="AEL38" s="22"/>
      <c r="AEM38" s="22"/>
      <c r="AEN38" s="22"/>
      <c r="AEO38" s="22"/>
      <c r="AEP38" s="22"/>
      <c r="AEQ38" s="22"/>
      <c r="AER38" s="22"/>
      <c r="AES38" s="22"/>
      <c r="AET38" s="22"/>
      <c r="AEU38" s="22"/>
      <c r="AEV38" s="22"/>
      <c r="AEW38" s="22"/>
      <c r="AEX38" s="22"/>
      <c r="AEY38" s="22"/>
      <c r="AEZ38" s="22"/>
      <c r="AFA38" s="22"/>
      <c r="AFB38" s="22"/>
      <c r="AFC38" s="22"/>
      <c r="AFD38" s="22"/>
      <c r="AFE38" s="22"/>
      <c r="AFF38" s="22"/>
      <c r="AFG38" s="22"/>
      <c r="AFH38" s="22"/>
      <c r="AFI38" s="22"/>
      <c r="AFJ38" s="22"/>
      <c r="AFK38" s="22"/>
      <c r="AFL38" s="22"/>
      <c r="AFM38" s="22"/>
      <c r="AFN38" s="22"/>
      <c r="AFO38" s="22"/>
      <c r="AFP38" s="22"/>
      <c r="AFQ38" s="22"/>
      <c r="AFR38" s="22"/>
      <c r="AFS38" s="22"/>
      <c r="AFT38" s="22"/>
      <c r="AFU38" s="22"/>
      <c r="AFV38" s="22"/>
      <c r="AFW38" s="22"/>
      <c r="AFX38" s="22"/>
      <c r="AFY38" s="22"/>
      <c r="AFZ38" s="22"/>
      <c r="AGA38" s="22"/>
      <c r="AGB38" s="22"/>
      <c r="AGC38" s="22"/>
      <c r="AGD38" s="22"/>
      <c r="AGE38" s="22"/>
      <c r="AGF38" s="22"/>
      <c r="AGG38" s="22"/>
      <c r="AGH38" s="22"/>
      <c r="AGI38" s="22"/>
      <c r="AGJ38" s="22"/>
      <c r="AGK38" s="22"/>
      <c r="AGL38" s="22"/>
      <c r="AGM38" s="22"/>
      <c r="AGN38" s="22"/>
      <c r="AGO38" s="22"/>
      <c r="AGP38" s="22"/>
      <c r="AGQ38" s="22"/>
      <c r="AGR38" s="22"/>
      <c r="AGS38" s="22"/>
      <c r="AGT38" s="22"/>
      <c r="AGU38" s="22"/>
      <c r="AGV38" s="22"/>
      <c r="AGW38" s="22"/>
      <c r="AGX38" s="22"/>
      <c r="AGY38" s="22"/>
      <c r="AGZ38" s="22"/>
      <c r="AHA38" s="22"/>
      <c r="AHB38" s="22"/>
      <c r="AHC38" s="22"/>
      <c r="AHD38" s="22"/>
      <c r="AHE38" s="22"/>
      <c r="AHF38" s="22"/>
      <c r="AHG38" s="22"/>
      <c r="AHH38" s="22"/>
      <c r="AHI38" s="22"/>
      <c r="AHJ38" s="22"/>
      <c r="AHK38" s="22"/>
      <c r="AHL38" s="22"/>
      <c r="AHM38" s="22"/>
      <c r="AHN38" s="22"/>
      <c r="AHO38" s="22"/>
      <c r="AHP38" s="22"/>
      <c r="AHQ38" s="22"/>
      <c r="AHR38" s="22"/>
      <c r="AHS38" s="22"/>
      <c r="AHT38" s="22"/>
      <c r="AHU38" s="22"/>
      <c r="AHV38" s="22"/>
      <c r="AHW38" s="22"/>
      <c r="AHX38" s="22"/>
      <c r="AHY38" s="22"/>
      <c r="AHZ38" s="22"/>
      <c r="AIA38" s="22"/>
      <c r="AIB38" s="22"/>
      <c r="AIC38" s="22"/>
      <c r="AID38" s="22"/>
      <c r="AIE38" s="22"/>
      <c r="AIF38" s="22"/>
      <c r="AIG38" s="22"/>
      <c r="AIH38" s="22"/>
      <c r="AII38" s="22"/>
      <c r="AIJ38" s="22"/>
      <c r="AIK38" s="22"/>
      <c r="AIL38" s="22"/>
      <c r="AIM38" s="22"/>
      <c r="AIN38" s="22"/>
      <c r="AIO38" s="22"/>
      <c r="AIP38" s="22"/>
      <c r="AIQ38" s="22"/>
      <c r="AIR38" s="22"/>
      <c r="AIS38" s="22"/>
      <c r="AIT38" s="22"/>
      <c r="AIU38" s="22"/>
      <c r="AIV38" s="22"/>
      <c r="AIW38" s="22"/>
      <c r="AIX38" s="22"/>
      <c r="AIY38" s="22"/>
      <c r="AIZ38" s="22"/>
      <c r="AJA38" s="22"/>
      <c r="AJB38" s="22"/>
      <c r="AJC38" s="22"/>
      <c r="AJD38" s="22"/>
      <c r="AJE38" s="22"/>
      <c r="AJF38" s="22"/>
      <c r="AJG38" s="22"/>
      <c r="AJH38" s="22"/>
      <c r="AJI38" s="22"/>
      <c r="AJJ38" s="22"/>
      <c r="AJK38" s="22"/>
      <c r="AJL38" s="22"/>
      <c r="AJM38" s="22"/>
      <c r="AJN38" s="22"/>
      <c r="AJO38" s="22"/>
      <c r="AJP38" s="22"/>
      <c r="AJQ38" s="22"/>
      <c r="AJR38" s="22"/>
      <c r="AJS38" s="22"/>
      <c r="AJT38" s="22"/>
      <c r="AJU38" s="22"/>
      <c r="AJV38" s="22"/>
      <c r="AJW38" s="22"/>
      <c r="AJX38" s="22"/>
      <c r="AJY38" s="22"/>
      <c r="AJZ38" s="22"/>
      <c r="AKA38" s="22"/>
      <c r="AKB38" s="22"/>
      <c r="AKC38" s="22"/>
      <c r="AKD38" s="22"/>
      <c r="AKE38" s="22"/>
      <c r="AKF38" s="22"/>
      <c r="AKG38" s="22"/>
      <c r="AKH38" s="22"/>
      <c r="AKI38" s="22"/>
      <c r="AKJ38" s="22"/>
      <c r="AKK38" s="22"/>
      <c r="AKL38" s="22"/>
      <c r="AKM38" s="22"/>
      <c r="AKN38" s="22"/>
      <c r="AKO38" s="22"/>
      <c r="AKP38" s="22"/>
      <c r="AKQ38" s="22"/>
      <c r="AKR38" s="22"/>
      <c r="AKS38" s="22"/>
      <c r="AKT38" s="22"/>
      <c r="AKU38" s="22"/>
      <c r="AKV38" s="22"/>
      <c r="AKW38" s="22"/>
      <c r="AKX38" s="22"/>
      <c r="AKY38" s="22"/>
      <c r="AKZ38" s="22"/>
      <c r="ALA38" s="22"/>
      <c r="ALB38" s="22"/>
      <c r="ALC38" s="22"/>
      <c r="ALD38" s="22"/>
      <c r="ALE38" s="22"/>
      <c r="ALF38" s="22"/>
      <c r="ALG38" s="22"/>
      <c r="ALH38" s="22"/>
      <c r="ALI38" s="22"/>
      <c r="ALJ38" s="22"/>
      <c r="ALK38" s="22"/>
      <c r="ALL38" s="22"/>
      <c r="ALM38" s="22"/>
      <c r="ALN38" s="22"/>
      <c r="ALO38" s="22"/>
      <c r="ALP38" s="22"/>
      <c r="ALQ38" s="22"/>
      <c r="ALR38" s="22"/>
    </row>
    <row r="39" spans="6:1006" x14ac:dyDescent="0.2">
      <c r="F39" s="21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  <c r="IZ39" s="22"/>
      <c r="JA39" s="22"/>
      <c r="JB39" s="22"/>
      <c r="JC39" s="22"/>
      <c r="JD39" s="22"/>
      <c r="JE39" s="22"/>
      <c r="JF39" s="22"/>
      <c r="JG39" s="22"/>
      <c r="JH39" s="22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2"/>
      <c r="LK39" s="22"/>
      <c r="LL39" s="22"/>
      <c r="LM39" s="22"/>
      <c r="LN39" s="22"/>
      <c r="LO39" s="22"/>
      <c r="LP39" s="22"/>
      <c r="LQ39" s="22"/>
      <c r="LR39" s="22"/>
      <c r="LS39" s="22"/>
      <c r="LT39" s="22"/>
      <c r="LU39" s="22"/>
      <c r="LV39" s="22"/>
      <c r="LW39" s="22"/>
      <c r="LX39" s="22"/>
      <c r="LY39" s="22"/>
      <c r="LZ39" s="22"/>
      <c r="MA39" s="22"/>
      <c r="MB39" s="22"/>
      <c r="MC39" s="22"/>
      <c r="MD39" s="22"/>
      <c r="ME39" s="22"/>
      <c r="MF39" s="22"/>
      <c r="MG39" s="22"/>
      <c r="MH39" s="22"/>
      <c r="MI39" s="22"/>
      <c r="MJ39" s="22"/>
      <c r="MK39" s="22"/>
      <c r="ML39" s="22"/>
      <c r="MM39" s="22"/>
      <c r="MN39" s="22"/>
      <c r="MO39" s="22"/>
      <c r="MP39" s="22"/>
      <c r="MQ39" s="22"/>
      <c r="MR39" s="22"/>
      <c r="MS39" s="22"/>
      <c r="MT39" s="22"/>
      <c r="MU39" s="22"/>
      <c r="MV39" s="22"/>
      <c r="MW39" s="22"/>
      <c r="MX39" s="22"/>
      <c r="MY39" s="22"/>
      <c r="MZ39" s="22"/>
      <c r="NA39" s="22"/>
      <c r="NB39" s="22"/>
      <c r="NC39" s="22"/>
      <c r="ND39" s="22"/>
      <c r="NE39" s="22"/>
      <c r="NF39" s="22"/>
      <c r="NG39" s="22"/>
      <c r="NH39" s="22"/>
      <c r="NI39" s="22"/>
      <c r="NJ39" s="22"/>
      <c r="NK39" s="22"/>
      <c r="NL39" s="22"/>
      <c r="NM39" s="22"/>
      <c r="NN39" s="22"/>
      <c r="NO39" s="22"/>
      <c r="NP39" s="22"/>
      <c r="NQ39" s="22"/>
      <c r="NR39" s="22"/>
      <c r="NS39" s="22"/>
      <c r="NT39" s="22"/>
      <c r="NU39" s="22"/>
      <c r="NV39" s="22"/>
      <c r="NW39" s="22"/>
      <c r="NX39" s="22"/>
      <c r="NY39" s="22"/>
      <c r="NZ39" s="22"/>
      <c r="OA39" s="22"/>
      <c r="OB39" s="22"/>
      <c r="OC39" s="22"/>
      <c r="OD39" s="22"/>
      <c r="OE39" s="22"/>
      <c r="OF39" s="22"/>
      <c r="OG39" s="22"/>
      <c r="OH39" s="22"/>
      <c r="OI39" s="22"/>
      <c r="OJ39" s="22"/>
      <c r="OK39" s="22"/>
      <c r="OL39" s="22"/>
      <c r="OM39" s="22"/>
      <c r="ON39" s="22"/>
      <c r="OO39" s="22"/>
      <c r="OP39" s="22"/>
      <c r="OQ39" s="22"/>
      <c r="OR39" s="22"/>
      <c r="OS39" s="22"/>
      <c r="OT39" s="22"/>
      <c r="OU39" s="22"/>
      <c r="OV39" s="22"/>
      <c r="OW39" s="22"/>
      <c r="OX39" s="22"/>
      <c r="OY39" s="22"/>
      <c r="OZ39" s="22"/>
      <c r="PA39" s="22"/>
      <c r="PB39" s="22"/>
      <c r="PC39" s="22"/>
      <c r="PD39" s="22"/>
      <c r="PE39" s="22"/>
      <c r="PF39" s="22"/>
      <c r="PG39" s="22"/>
      <c r="PH39" s="22"/>
      <c r="PI39" s="22"/>
      <c r="PJ39" s="22"/>
      <c r="PK39" s="22"/>
      <c r="PL39" s="22"/>
      <c r="PM39" s="22"/>
      <c r="PN39" s="22"/>
      <c r="PO39" s="22"/>
      <c r="PP39" s="22"/>
      <c r="PQ39" s="22"/>
      <c r="PR39" s="22"/>
      <c r="PS39" s="22"/>
      <c r="PT39" s="22"/>
      <c r="PU39" s="22"/>
      <c r="PV39" s="22"/>
      <c r="PW39" s="22"/>
      <c r="PX39" s="22"/>
      <c r="PY39" s="22"/>
      <c r="PZ39" s="22"/>
      <c r="QA39" s="22"/>
      <c r="QB39" s="22"/>
      <c r="QC39" s="22"/>
      <c r="QD39" s="22"/>
      <c r="QE39" s="22"/>
      <c r="QF39" s="22"/>
      <c r="QG39" s="22"/>
      <c r="QH39" s="22"/>
      <c r="QI39" s="22"/>
      <c r="QJ39" s="22"/>
      <c r="QK39" s="22"/>
      <c r="QL39" s="22"/>
      <c r="QM39" s="22"/>
      <c r="QN39" s="22"/>
      <c r="QO39" s="22"/>
      <c r="QP39" s="22"/>
      <c r="QQ39" s="22"/>
      <c r="QR39" s="22"/>
      <c r="QS39" s="22"/>
      <c r="QT39" s="22"/>
      <c r="QU39" s="22"/>
      <c r="QV39" s="22"/>
      <c r="QW39" s="22"/>
      <c r="QX39" s="22"/>
      <c r="QY39" s="22"/>
      <c r="QZ39" s="22"/>
      <c r="RA39" s="22"/>
      <c r="RB39" s="22"/>
      <c r="RC39" s="22"/>
      <c r="RD39" s="22"/>
      <c r="RE39" s="22"/>
      <c r="RF39" s="22"/>
      <c r="RG39" s="22"/>
      <c r="RH39" s="22"/>
      <c r="RI39" s="22"/>
      <c r="RJ39" s="22"/>
      <c r="RK39" s="22"/>
      <c r="RL39" s="22"/>
      <c r="RM39" s="22"/>
      <c r="RN39" s="22"/>
      <c r="RO39" s="22"/>
      <c r="RP39" s="22"/>
      <c r="RQ39" s="22"/>
      <c r="RR39" s="22"/>
      <c r="RS39" s="22"/>
      <c r="RT39" s="22"/>
      <c r="RU39" s="22"/>
      <c r="RV39" s="22"/>
      <c r="RW39" s="22"/>
      <c r="RX39" s="22"/>
      <c r="RY39" s="22"/>
      <c r="RZ39" s="22"/>
      <c r="SA39" s="22"/>
      <c r="SB39" s="22"/>
      <c r="SC39" s="22"/>
      <c r="SD39" s="22"/>
      <c r="SE39" s="22"/>
      <c r="SF39" s="22"/>
      <c r="SG39" s="22"/>
      <c r="SH39" s="22"/>
      <c r="SI39" s="22"/>
      <c r="SJ39" s="22"/>
      <c r="SK39" s="22"/>
      <c r="SL39" s="22"/>
      <c r="SM39" s="22"/>
      <c r="SN39" s="22"/>
      <c r="SO39" s="22"/>
      <c r="SP39" s="22"/>
      <c r="SQ39" s="22"/>
      <c r="SR39" s="22"/>
      <c r="SS39" s="22"/>
      <c r="ST39" s="22"/>
      <c r="SU39" s="22"/>
      <c r="SV39" s="22"/>
      <c r="SW39" s="22"/>
      <c r="SX39" s="22"/>
      <c r="SY39" s="22"/>
      <c r="SZ39" s="22"/>
      <c r="TA39" s="22"/>
      <c r="TB39" s="22"/>
      <c r="TC39" s="22"/>
      <c r="TD39" s="22"/>
      <c r="TE39" s="22"/>
      <c r="TF39" s="22"/>
      <c r="TG39" s="22"/>
      <c r="TH39" s="22"/>
      <c r="TI39" s="22"/>
      <c r="TJ39" s="22"/>
      <c r="TK39" s="22"/>
      <c r="TL39" s="22"/>
      <c r="TM39" s="22"/>
      <c r="TN39" s="22"/>
      <c r="TO39" s="22"/>
      <c r="TP39" s="22"/>
      <c r="TQ39" s="22"/>
      <c r="TR39" s="22"/>
      <c r="TS39" s="22"/>
      <c r="TT39" s="22"/>
      <c r="TU39" s="22"/>
      <c r="TV39" s="22"/>
      <c r="TW39" s="22"/>
      <c r="TX39" s="22"/>
      <c r="TY39" s="22"/>
      <c r="TZ39" s="22"/>
      <c r="UA39" s="22"/>
      <c r="UB39" s="22"/>
      <c r="UC39" s="22"/>
      <c r="UD39" s="22"/>
      <c r="UE39" s="22"/>
      <c r="UF39" s="22"/>
      <c r="UG39" s="22"/>
      <c r="UH39" s="22"/>
      <c r="UI39" s="22"/>
      <c r="UJ39" s="22"/>
      <c r="UK39" s="22"/>
      <c r="UL39" s="22"/>
      <c r="UM39" s="22"/>
      <c r="UN39" s="22"/>
      <c r="UO39" s="22"/>
      <c r="UP39" s="22"/>
      <c r="UQ39" s="22"/>
      <c r="UR39" s="22"/>
      <c r="US39" s="22"/>
      <c r="UT39" s="22"/>
      <c r="UU39" s="22"/>
      <c r="UV39" s="22"/>
      <c r="UW39" s="22"/>
      <c r="UX39" s="22"/>
      <c r="UY39" s="22"/>
      <c r="UZ39" s="22"/>
      <c r="VA39" s="22"/>
      <c r="VB39" s="22"/>
      <c r="VC39" s="22"/>
      <c r="VD39" s="22"/>
      <c r="VE39" s="22"/>
      <c r="VF39" s="22"/>
      <c r="VG39" s="22"/>
      <c r="VH39" s="22"/>
      <c r="VI39" s="22"/>
      <c r="VJ39" s="22"/>
      <c r="VK39" s="22"/>
      <c r="VL39" s="22"/>
      <c r="VM39" s="22"/>
      <c r="VN39" s="22"/>
      <c r="VO39" s="22"/>
      <c r="VP39" s="22"/>
      <c r="VQ39" s="22"/>
      <c r="VR39" s="22"/>
      <c r="VS39" s="22"/>
      <c r="VT39" s="22"/>
      <c r="VU39" s="22"/>
      <c r="VV39" s="22"/>
      <c r="VW39" s="22"/>
      <c r="VX39" s="22"/>
      <c r="VY39" s="22"/>
      <c r="VZ39" s="22"/>
      <c r="WA39" s="22"/>
      <c r="WB39" s="22"/>
      <c r="WC39" s="22"/>
      <c r="WD39" s="22"/>
      <c r="WE39" s="22"/>
      <c r="WF39" s="22"/>
      <c r="WG39" s="22"/>
      <c r="WH39" s="22"/>
      <c r="WI39" s="22"/>
      <c r="WJ39" s="22"/>
      <c r="WK39" s="22"/>
      <c r="WL39" s="22"/>
      <c r="WM39" s="22"/>
      <c r="WN39" s="22"/>
      <c r="WO39" s="22"/>
      <c r="WP39" s="22"/>
      <c r="WQ39" s="22"/>
      <c r="WR39" s="22"/>
      <c r="WS39" s="22"/>
      <c r="WT39" s="22"/>
      <c r="WU39" s="22"/>
      <c r="WV39" s="22"/>
      <c r="WW39" s="22"/>
      <c r="WX39" s="22"/>
      <c r="WY39" s="22"/>
      <c r="WZ39" s="22"/>
      <c r="XA39" s="22"/>
      <c r="XB39" s="22"/>
      <c r="XC39" s="22"/>
      <c r="XD39" s="22"/>
      <c r="XE39" s="22"/>
      <c r="XF39" s="22"/>
      <c r="XG39" s="22"/>
      <c r="XH39" s="22"/>
      <c r="XI39" s="22"/>
      <c r="XJ39" s="22"/>
      <c r="XK39" s="22"/>
      <c r="XL39" s="22"/>
      <c r="XM39" s="22"/>
      <c r="XN39" s="22"/>
      <c r="XO39" s="22"/>
      <c r="XP39" s="22"/>
      <c r="XQ39" s="22"/>
      <c r="XR39" s="22"/>
      <c r="XS39" s="22"/>
      <c r="XT39" s="22"/>
      <c r="XU39" s="22"/>
      <c r="XV39" s="22"/>
      <c r="XW39" s="22"/>
      <c r="XX39" s="22"/>
      <c r="XY39" s="22"/>
      <c r="XZ39" s="22"/>
      <c r="YA39" s="22"/>
      <c r="YB39" s="22"/>
      <c r="YC39" s="22"/>
      <c r="YD39" s="22"/>
      <c r="YE39" s="22"/>
      <c r="YF39" s="22"/>
      <c r="YG39" s="22"/>
      <c r="YH39" s="22"/>
      <c r="YI39" s="22"/>
      <c r="YJ39" s="22"/>
      <c r="YK39" s="22"/>
      <c r="YL39" s="22"/>
      <c r="YM39" s="22"/>
      <c r="YN39" s="22"/>
      <c r="YO39" s="22"/>
      <c r="YP39" s="22"/>
      <c r="YQ39" s="22"/>
      <c r="YR39" s="22"/>
      <c r="YS39" s="22"/>
      <c r="YT39" s="22"/>
      <c r="YU39" s="22"/>
      <c r="YV39" s="22"/>
      <c r="YW39" s="22"/>
      <c r="YX39" s="22"/>
      <c r="YY39" s="22"/>
      <c r="YZ39" s="22"/>
      <c r="ZA39" s="22"/>
      <c r="ZB39" s="22"/>
      <c r="ZC39" s="22"/>
      <c r="ZD39" s="22"/>
      <c r="ZE39" s="22"/>
      <c r="ZF39" s="22"/>
      <c r="ZG39" s="22"/>
      <c r="ZH39" s="22"/>
      <c r="ZI39" s="22"/>
      <c r="ZJ39" s="22"/>
      <c r="ZK39" s="22"/>
      <c r="ZL39" s="22"/>
      <c r="ZM39" s="22"/>
      <c r="ZN39" s="22"/>
      <c r="ZO39" s="22"/>
      <c r="ZP39" s="22"/>
      <c r="ZQ39" s="22"/>
      <c r="ZR39" s="22"/>
      <c r="ZS39" s="22"/>
      <c r="ZT39" s="22"/>
      <c r="ZU39" s="22"/>
      <c r="ZV39" s="22"/>
      <c r="ZW39" s="22"/>
      <c r="ZX39" s="22"/>
      <c r="ZY39" s="22"/>
      <c r="ZZ39" s="22"/>
      <c r="AAA39" s="22"/>
      <c r="AAB39" s="22"/>
      <c r="AAC39" s="22"/>
      <c r="AAD39" s="22"/>
      <c r="AAE39" s="22"/>
      <c r="AAF39" s="22"/>
      <c r="AAG39" s="22"/>
      <c r="AAH39" s="22"/>
      <c r="AAI39" s="22"/>
      <c r="AAJ39" s="22"/>
      <c r="AAK39" s="22"/>
      <c r="AAL39" s="22"/>
      <c r="AAM39" s="22"/>
      <c r="AAN39" s="22"/>
      <c r="AAO39" s="22"/>
      <c r="AAP39" s="22"/>
      <c r="AAQ39" s="22"/>
      <c r="AAR39" s="22"/>
      <c r="AAS39" s="22"/>
      <c r="AAT39" s="22"/>
      <c r="AAU39" s="22"/>
      <c r="AAV39" s="22"/>
      <c r="AAW39" s="22"/>
      <c r="AAX39" s="22"/>
      <c r="AAY39" s="22"/>
      <c r="AAZ39" s="22"/>
      <c r="ABA39" s="22"/>
      <c r="ABB39" s="22"/>
      <c r="ABC39" s="22"/>
      <c r="ABD39" s="22"/>
      <c r="ABE39" s="22"/>
      <c r="ABF39" s="22"/>
      <c r="ABG39" s="22"/>
      <c r="ABH39" s="22"/>
      <c r="ABI39" s="22"/>
      <c r="ABJ39" s="22"/>
      <c r="ABK39" s="22"/>
      <c r="ABL39" s="22"/>
      <c r="ABM39" s="22"/>
      <c r="ABN39" s="22"/>
      <c r="ABO39" s="22"/>
      <c r="ABP39" s="22"/>
      <c r="ABQ39" s="22"/>
      <c r="ABR39" s="22"/>
      <c r="ABS39" s="22"/>
      <c r="ABT39" s="22"/>
      <c r="ABU39" s="22"/>
      <c r="ABV39" s="22"/>
      <c r="ABW39" s="22"/>
      <c r="ABX39" s="22"/>
      <c r="ABY39" s="22"/>
      <c r="ABZ39" s="22"/>
      <c r="ACA39" s="22"/>
      <c r="ACB39" s="22"/>
      <c r="ACC39" s="22"/>
      <c r="ACD39" s="22"/>
      <c r="ACE39" s="22"/>
      <c r="ACF39" s="22"/>
      <c r="ACG39" s="22"/>
      <c r="ACH39" s="22"/>
      <c r="ACI39" s="22"/>
      <c r="ACJ39" s="22"/>
      <c r="ACK39" s="22"/>
      <c r="ACL39" s="22"/>
      <c r="ACM39" s="22"/>
      <c r="ACN39" s="22"/>
      <c r="ACO39" s="22"/>
      <c r="ACP39" s="22"/>
      <c r="ACQ39" s="22"/>
      <c r="ACR39" s="22"/>
      <c r="ACS39" s="22"/>
      <c r="ACT39" s="22"/>
      <c r="ACU39" s="22"/>
      <c r="ACV39" s="22"/>
      <c r="ACW39" s="22"/>
      <c r="ACX39" s="22"/>
      <c r="ACY39" s="22"/>
      <c r="ACZ39" s="22"/>
      <c r="ADA39" s="22"/>
      <c r="ADB39" s="22"/>
      <c r="ADC39" s="22"/>
      <c r="ADD39" s="22"/>
      <c r="ADE39" s="22"/>
      <c r="ADF39" s="22"/>
      <c r="ADG39" s="22"/>
      <c r="ADH39" s="22"/>
      <c r="ADI39" s="22"/>
      <c r="ADJ39" s="22"/>
      <c r="ADK39" s="22"/>
      <c r="ADL39" s="22"/>
      <c r="ADM39" s="22"/>
      <c r="ADN39" s="22"/>
      <c r="ADO39" s="22"/>
      <c r="ADP39" s="22"/>
      <c r="ADQ39" s="22"/>
      <c r="ADR39" s="22"/>
      <c r="ADS39" s="22"/>
      <c r="ADT39" s="22"/>
      <c r="ADU39" s="22"/>
      <c r="ADV39" s="22"/>
      <c r="ADW39" s="22"/>
      <c r="ADX39" s="22"/>
      <c r="ADY39" s="22"/>
      <c r="ADZ39" s="22"/>
      <c r="AEA39" s="22"/>
      <c r="AEB39" s="22"/>
      <c r="AEC39" s="22"/>
      <c r="AED39" s="22"/>
      <c r="AEE39" s="22"/>
      <c r="AEF39" s="22"/>
      <c r="AEG39" s="22"/>
      <c r="AEH39" s="22"/>
      <c r="AEI39" s="22"/>
      <c r="AEJ39" s="22"/>
      <c r="AEK39" s="22"/>
      <c r="AEL39" s="22"/>
      <c r="AEM39" s="22"/>
      <c r="AEN39" s="22"/>
      <c r="AEO39" s="22"/>
      <c r="AEP39" s="22"/>
      <c r="AEQ39" s="22"/>
      <c r="AER39" s="22"/>
      <c r="AES39" s="22"/>
      <c r="AET39" s="22"/>
      <c r="AEU39" s="22"/>
      <c r="AEV39" s="22"/>
      <c r="AEW39" s="22"/>
      <c r="AEX39" s="22"/>
      <c r="AEY39" s="22"/>
      <c r="AEZ39" s="22"/>
      <c r="AFA39" s="22"/>
      <c r="AFB39" s="22"/>
      <c r="AFC39" s="22"/>
      <c r="AFD39" s="22"/>
      <c r="AFE39" s="22"/>
      <c r="AFF39" s="22"/>
      <c r="AFG39" s="22"/>
      <c r="AFH39" s="22"/>
      <c r="AFI39" s="22"/>
      <c r="AFJ39" s="22"/>
      <c r="AFK39" s="22"/>
      <c r="AFL39" s="22"/>
      <c r="AFM39" s="22"/>
      <c r="AFN39" s="22"/>
      <c r="AFO39" s="22"/>
      <c r="AFP39" s="22"/>
      <c r="AFQ39" s="22"/>
      <c r="AFR39" s="22"/>
      <c r="AFS39" s="22"/>
      <c r="AFT39" s="22"/>
      <c r="AFU39" s="22"/>
      <c r="AFV39" s="22"/>
      <c r="AFW39" s="22"/>
      <c r="AFX39" s="22"/>
      <c r="AFY39" s="22"/>
      <c r="AFZ39" s="22"/>
      <c r="AGA39" s="22"/>
      <c r="AGB39" s="22"/>
      <c r="AGC39" s="22"/>
      <c r="AGD39" s="22"/>
      <c r="AGE39" s="22"/>
      <c r="AGF39" s="22"/>
      <c r="AGG39" s="22"/>
      <c r="AGH39" s="22"/>
      <c r="AGI39" s="22"/>
      <c r="AGJ39" s="22"/>
      <c r="AGK39" s="22"/>
      <c r="AGL39" s="22"/>
      <c r="AGM39" s="22"/>
      <c r="AGN39" s="22"/>
      <c r="AGO39" s="22"/>
      <c r="AGP39" s="22"/>
      <c r="AGQ39" s="22"/>
      <c r="AGR39" s="22"/>
      <c r="AGS39" s="22"/>
      <c r="AGT39" s="22"/>
      <c r="AGU39" s="22"/>
      <c r="AGV39" s="22"/>
      <c r="AGW39" s="22"/>
      <c r="AGX39" s="22"/>
      <c r="AGY39" s="22"/>
      <c r="AGZ39" s="22"/>
      <c r="AHA39" s="22"/>
      <c r="AHB39" s="22"/>
      <c r="AHC39" s="22"/>
      <c r="AHD39" s="22"/>
      <c r="AHE39" s="22"/>
      <c r="AHF39" s="22"/>
      <c r="AHG39" s="22"/>
      <c r="AHH39" s="22"/>
      <c r="AHI39" s="22"/>
      <c r="AHJ39" s="22"/>
      <c r="AHK39" s="22"/>
      <c r="AHL39" s="22"/>
      <c r="AHM39" s="22"/>
      <c r="AHN39" s="22"/>
      <c r="AHO39" s="22"/>
      <c r="AHP39" s="22"/>
      <c r="AHQ39" s="22"/>
      <c r="AHR39" s="22"/>
      <c r="AHS39" s="22"/>
      <c r="AHT39" s="22"/>
      <c r="AHU39" s="22"/>
      <c r="AHV39" s="22"/>
      <c r="AHW39" s="22"/>
      <c r="AHX39" s="22"/>
      <c r="AHY39" s="22"/>
      <c r="AHZ39" s="22"/>
      <c r="AIA39" s="22"/>
      <c r="AIB39" s="22"/>
      <c r="AIC39" s="22"/>
      <c r="AID39" s="22"/>
      <c r="AIE39" s="22"/>
      <c r="AIF39" s="22"/>
      <c r="AIG39" s="22"/>
      <c r="AIH39" s="22"/>
      <c r="AII39" s="22"/>
      <c r="AIJ39" s="22"/>
      <c r="AIK39" s="22"/>
      <c r="AIL39" s="22"/>
      <c r="AIM39" s="22"/>
      <c r="AIN39" s="22"/>
      <c r="AIO39" s="22"/>
      <c r="AIP39" s="22"/>
      <c r="AIQ39" s="22"/>
      <c r="AIR39" s="22"/>
      <c r="AIS39" s="22"/>
      <c r="AIT39" s="22"/>
      <c r="AIU39" s="22"/>
      <c r="AIV39" s="22"/>
      <c r="AIW39" s="22"/>
      <c r="AIX39" s="22"/>
      <c r="AIY39" s="22"/>
      <c r="AIZ39" s="22"/>
      <c r="AJA39" s="22"/>
      <c r="AJB39" s="22"/>
      <c r="AJC39" s="22"/>
      <c r="AJD39" s="22"/>
      <c r="AJE39" s="22"/>
      <c r="AJF39" s="22"/>
      <c r="AJG39" s="22"/>
      <c r="AJH39" s="22"/>
      <c r="AJI39" s="22"/>
      <c r="AJJ39" s="22"/>
      <c r="AJK39" s="22"/>
      <c r="AJL39" s="22"/>
      <c r="AJM39" s="22"/>
      <c r="AJN39" s="22"/>
      <c r="AJO39" s="22"/>
      <c r="AJP39" s="22"/>
      <c r="AJQ39" s="22"/>
      <c r="AJR39" s="22"/>
      <c r="AJS39" s="22"/>
      <c r="AJT39" s="22"/>
      <c r="AJU39" s="22"/>
      <c r="AJV39" s="22"/>
      <c r="AJW39" s="22"/>
      <c r="AJX39" s="22"/>
      <c r="AJY39" s="22"/>
      <c r="AJZ39" s="22"/>
      <c r="AKA39" s="22"/>
      <c r="AKB39" s="22"/>
      <c r="AKC39" s="22"/>
      <c r="AKD39" s="22"/>
      <c r="AKE39" s="22"/>
      <c r="AKF39" s="22"/>
      <c r="AKG39" s="22"/>
      <c r="AKH39" s="22"/>
      <c r="AKI39" s="22"/>
      <c r="AKJ39" s="22"/>
      <c r="AKK39" s="22"/>
      <c r="AKL39" s="22"/>
      <c r="AKM39" s="22"/>
      <c r="AKN39" s="22"/>
      <c r="AKO39" s="22"/>
      <c r="AKP39" s="22"/>
      <c r="AKQ39" s="22"/>
      <c r="AKR39" s="22"/>
      <c r="AKS39" s="22"/>
      <c r="AKT39" s="22"/>
      <c r="AKU39" s="22"/>
      <c r="AKV39" s="22"/>
      <c r="AKW39" s="22"/>
      <c r="AKX39" s="22"/>
      <c r="AKY39" s="22"/>
      <c r="AKZ39" s="22"/>
      <c r="ALA39" s="22"/>
      <c r="ALB39" s="22"/>
      <c r="ALC39" s="22"/>
      <c r="ALD39" s="22"/>
      <c r="ALE39" s="22"/>
      <c r="ALF39" s="22"/>
      <c r="ALG39" s="22"/>
      <c r="ALH39" s="22"/>
      <c r="ALI39" s="22"/>
      <c r="ALJ39" s="22"/>
      <c r="ALK39" s="22"/>
      <c r="ALL39" s="22"/>
      <c r="ALM39" s="22"/>
      <c r="ALN39" s="22"/>
      <c r="ALO39" s="22"/>
      <c r="ALP39" s="22"/>
      <c r="ALQ39" s="22"/>
      <c r="ALR39" s="22"/>
    </row>
    <row r="40" spans="6:1006" x14ac:dyDescent="0.2">
      <c r="F40" s="21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  <c r="IZ40" s="22"/>
      <c r="JA40" s="22"/>
      <c r="JB40" s="22"/>
      <c r="JC40" s="22"/>
      <c r="JD40" s="22"/>
      <c r="JE40" s="22"/>
      <c r="JF40" s="22"/>
      <c r="JG40" s="22"/>
      <c r="JH40" s="22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2"/>
      <c r="LK40" s="22"/>
      <c r="LL40" s="22"/>
      <c r="LM40" s="22"/>
      <c r="LN40" s="22"/>
      <c r="LO40" s="22"/>
      <c r="LP40" s="22"/>
      <c r="LQ40" s="22"/>
      <c r="LR40" s="22"/>
      <c r="LS40" s="22"/>
      <c r="LT40" s="22"/>
      <c r="LU40" s="22"/>
      <c r="LV40" s="22"/>
      <c r="LW40" s="22"/>
      <c r="LX40" s="22"/>
      <c r="LY40" s="22"/>
      <c r="LZ40" s="22"/>
      <c r="MA40" s="22"/>
      <c r="MB40" s="22"/>
      <c r="MC40" s="22"/>
      <c r="MD40" s="22"/>
      <c r="ME40" s="22"/>
      <c r="MF40" s="22"/>
      <c r="MG40" s="22"/>
      <c r="MH40" s="22"/>
      <c r="MI40" s="22"/>
      <c r="MJ40" s="22"/>
      <c r="MK40" s="22"/>
      <c r="ML40" s="22"/>
      <c r="MM40" s="22"/>
      <c r="MN40" s="22"/>
      <c r="MO40" s="22"/>
      <c r="MP40" s="22"/>
      <c r="MQ40" s="22"/>
      <c r="MR40" s="22"/>
      <c r="MS40" s="22"/>
      <c r="MT40" s="22"/>
      <c r="MU40" s="22"/>
      <c r="MV40" s="22"/>
      <c r="MW40" s="22"/>
      <c r="MX40" s="22"/>
      <c r="MY40" s="22"/>
      <c r="MZ40" s="22"/>
      <c r="NA40" s="22"/>
      <c r="NB40" s="22"/>
      <c r="NC40" s="22"/>
      <c r="ND40" s="22"/>
      <c r="NE40" s="22"/>
      <c r="NF40" s="22"/>
      <c r="NG40" s="22"/>
      <c r="NH40" s="22"/>
      <c r="NI40" s="22"/>
      <c r="NJ40" s="22"/>
      <c r="NK40" s="22"/>
      <c r="NL40" s="22"/>
      <c r="NM40" s="22"/>
      <c r="NN40" s="22"/>
      <c r="NO40" s="22"/>
      <c r="NP40" s="22"/>
      <c r="NQ40" s="22"/>
      <c r="NR40" s="22"/>
      <c r="NS40" s="22"/>
      <c r="NT40" s="22"/>
      <c r="NU40" s="22"/>
      <c r="NV40" s="22"/>
      <c r="NW40" s="22"/>
      <c r="NX40" s="22"/>
      <c r="NY40" s="22"/>
      <c r="NZ40" s="22"/>
      <c r="OA40" s="22"/>
      <c r="OB40" s="22"/>
      <c r="OC40" s="22"/>
      <c r="OD40" s="22"/>
      <c r="OE40" s="22"/>
      <c r="OF40" s="22"/>
      <c r="OG40" s="22"/>
      <c r="OH40" s="22"/>
      <c r="OI40" s="22"/>
      <c r="OJ40" s="22"/>
      <c r="OK40" s="22"/>
      <c r="OL40" s="22"/>
      <c r="OM40" s="22"/>
      <c r="ON40" s="22"/>
      <c r="OO40" s="22"/>
      <c r="OP40" s="22"/>
      <c r="OQ40" s="22"/>
      <c r="OR40" s="22"/>
      <c r="OS40" s="22"/>
      <c r="OT40" s="22"/>
      <c r="OU40" s="22"/>
      <c r="OV40" s="22"/>
      <c r="OW40" s="22"/>
      <c r="OX40" s="22"/>
      <c r="OY40" s="22"/>
      <c r="OZ40" s="22"/>
      <c r="PA40" s="22"/>
      <c r="PB40" s="22"/>
      <c r="PC40" s="22"/>
      <c r="PD40" s="22"/>
      <c r="PE40" s="22"/>
      <c r="PF40" s="22"/>
      <c r="PG40" s="22"/>
      <c r="PH40" s="22"/>
      <c r="PI40" s="22"/>
      <c r="PJ40" s="22"/>
      <c r="PK40" s="22"/>
      <c r="PL40" s="22"/>
      <c r="PM40" s="22"/>
      <c r="PN40" s="22"/>
      <c r="PO40" s="22"/>
      <c r="PP40" s="22"/>
      <c r="PQ40" s="22"/>
      <c r="PR40" s="22"/>
      <c r="PS40" s="22"/>
      <c r="PT40" s="22"/>
      <c r="PU40" s="22"/>
      <c r="PV40" s="22"/>
      <c r="PW40" s="22"/>
      <c r="PX40" s="22"/>
      <c r="PY40" s="22"/>
      <c r="PZ40" s="22"/>
      <c r="QA40" s="22"/>
      <c r="QB40" s="22"/>
      <c r="QC40" s="22"/>
      <c r="QD40" s="22"/>
      <c r="QE40" s="22"/>
      <c r="QF40" s="22"/>
      <c r="QG40" s="22"/>
      <c r="QH40" s="22"/>
      <c r="QI40" s="22"/>
      <c r="QJ40" s="22"/>
      <c r="QK40" s="22"/>
      <c r="QL40" s="22"/>
      <c r="QM40" s="22"/>
      <c r="QN40" s="22"/>
      <c r="QO40" s="22"/>
      <c r="QP40" s="22"/>
      <c r="QQ40" s="22"/>
      <c r="QR40" s="22"/>
      <c r="QS40" s="22"/>
      <c r="QT40" s="22"/>
      <c r="QU40" s="22"/>
      <c r="QV40" s="22"/>
      <c r="QW40" s="22"/>
      <c r="QX40" s="22"/>
      <c r="QY40" s="22"/>
      <c r="QZ40" s="22"/>
      <c r="RA40" s="22"/>
      <c r="RB40" s="22"/>
      <c r="RC40" s="22"/>
      <c r="RD40" s="22"/>
      <c r="RE40" s="22"/>
      <c r="RF40" s="22"/>
      <c r="RG40" s="22"/>
      <c r="RH40" s="22"/>
      <c r="RI40" s="22"/>
      <c r="RJ40" s="22"/>
      <c r="RK40" s="22"/>
      <c r="RL40" s="22"/>
      <c r="RM40" s="22"/>
      <c r="RN40" s="22"/>
      <c r="RO40" s="22"/>
      <c r="RP40" s="22"/>
      <c r="RQ40" s="22"/>
      <c r="RR40" s="22"/>
      <c r="RS40" s="22"/>
      <c r="RT40" s="22"/>
      <c r="RU40" s="22"/>
      <c r="RV40" s="22"/>
      <c r="RW40" s="22"/>
      <c r="RX40" s="22"/>
      <c r="RY40" s="22"/>
      <c r="RZ40" s="22"/>
      <c r="SA40" s="22"/>
      <c r="SB40" s="22"/>
      <c r="SC40" s="22"/>
      <c r="SD40" s="22"/>
      <c r="SE40" s="22"/>
      <c r="SF40" s="22"/>
      <c r="SG40" s="22"/>
      <c r="SH40" s="22"/>
      <c r="SI40" s="22"/>
      <c r="SJ40" s="22"/>
      <c r="SK40" s="22"/>
      <c r="SL40" s="22"/>
      <c r="SM40" s="22"/>
      <c r="SN40" s="22"/>
      <c r="SO40" s="22"/>
      <c r="SP40" s="22"/>
      <c r="SQ40" s="22"/>
      <c r="SR40" s="22"/>
      <c r="SS40" s="22"/>
      <c r="ST40" s="22"/>
      <c r="SU40" s="22"/>
      <c r="SV40" s="22"/>
      <c r="SW40" s="22"/>
      <c r="SX40" s="22"/>
      <c r="SY40" s="22"/>
      <c r="SZ40" s="22"/>
      <c r="TA40" s="22"/>
      <c r="TB40" s="22"/>
      <c r="TC40" s="22"/>
      <c r="TD40" s="22"/>
      <c r="TE40" s="22"/>
      <c r="TF40" s="22"/>
      <c r="TG40" s="22"/>
      <c r="TH40" s="22"/>
      <c r="TI40" s="22"/>
      <c r="TJ40" s="22"/>
      <c r="TK40" s="22"/>
      <c r="TL40" s="22"/>
      <c r="TM40" s="22"/>
      <c r="TN40" s="22"/>
      <c r="TO40" s="22"/>
      <c r="TP40" s="22"/>
      <c r="TQ40" s="22"/>
      <c r="TR40" s="22"/>
      <c r="TS40" s="22"/>
      <c r="TT40" s="22"/>
      <c r="TU40" s="22"/>
      <c r="TV40" s="22"/>
      <c r="TW40" s="22"/>
      <c r="TX40" s="22"/>
      <c r="TY40" s="22"/>
      <c r="TZ40" s="22"/>
      <c r="UA40" s="22"/>
      <c r="UB40" s="22"/>
      <c r="UC40" s="22"/>
      <c r="UD40" s="22"/>
      <c r="UE40" s="22"/>
      <c r="UF40" s="22"/>
      <c r="UG40" s="22"/>
      <c r="UH40" s="22"/>
      <c r="UI40" s="22"/>
      <c r="UJ40" s="22"/>
      <c r="UK40" s="22"/>
      <c r="UL40" s="22"/>
      <c r="UM40" s="22"/>
      <c r="UN40" s="22"/>
      <c r="UO40" s="22"/>
      <c r="UP40" s="22"/>
      <c r="UQ40" s="22"/>
      <c r="UR40" s="22"/>
      <c r="US40" s="22"/>
      <c r="UT40" s="22"/>
      <c r="UU40" s="22"/>
      <c r="UV40" s="22"/>
      <c r="UW40" s="22"/>
      <c r="UX40" s="22"/>
      <c r="UY40" s="22"/>
      <c r="UZ40" s="22"/>
      <c r="VA40" s="22"/>
      <c r="VB40" s="22"/>
      <c r="VC40" s="22"/>
      <c r="VD40" s="22"/>
      <c r="VE40" s="22"/>
      <c r="VF40" s="22"/>
      <c r="VG40" s="22"/>
      <c r="VH40" s="22"/>
      <c r="VI40" s="22"/>
      <c r="VJ40" s="22"/>
      <c r="VK40" s="22"/>
      <c r="VL40" s="22"/>
      <c r="VM40" s="22"/>
      <c r="VN40" s="22"/>
      <c r="VO40" s="22"/>
      <c r="VP40" s="22"/>
      <c r="VQ40" s="22"/>
      <c r="VR40" s="22"/>
      <c r="VS40" s="22"/>
      <c r="VT40" s="22"/>
      <c r="VU40" s="22"/>
      <c r="VV40" s="22"/>
      <c r="VW40" s="22"/>
      <c r="VX40" s="22"/>
      <c r="VY40" s="22"/>
      <c r="VZ40" s="22"/>
      <c r="WA40" s="22"/>
      <c r="WB40" s="22"/>
      <c r="WC40" s="22"/>
      <c r="WD40" s="22"/>
      <c r="WE40" s="22"/>
      <c r="WF40" s="22"/>
      <c r="WG40" s="22"/>
      <c r="WH40" s="22"/>
      <c r="WI40" s="22"/>
      <c r="WJ40" s="22"/>
      <c r="WK40" s="22"/>
      <c r="WL40" s="22"/>
      <c r="WM40" s="22"/>
      <c r="WN40" s="22"/>
      <c r="WO40" s="22"/>
      <c r="WP40" s="22"/>
      <c r="WQ40" s="22"/>
      <c r="WR40" s="22"/>
      <c r="WS40" s="22"/>
      <c r="WT40" s="22"/>
      <c r="WU40" s="22"/>
      <c r="WV40" s="22"/>
      <c r="WW40" s="22"/>
      <c r="WX40" s="22"/>
      <c r="WY40" s="22"/>
      <c r="WZ40" s="22"/>
      <c r="XA40" s="22"/>
      <c r="XB40" s="22"/>
      <c r="XC40" s="22"/>
      <c r="XD40" s="22"/>
      <c r="XE40" s="22"/>
      <c r="XF40" s="22"/>
      <c r="XG40" s="22"/>
      <c r="XH40" s="22"/>
      <c r="XI40" s="22"/>
      <c r="XJ40" s="22"/>
      <c r="XK40" s="22"/>
      <c r="XL40" s="22"/>
      <c r="XM40" s="22"/>
      <c r="XN40" s="22"/>
      <c r="XO40" s="22"/>
      <c r="XP40" s="22"/>
      <c r="XQ40" s="22"/>
      <c r="XR40" s="22"/>
      <c r="XS40" s="22"/>
      <c r="XT40" s="22"/>
      <c r="XU40" s="22"/>
      <c r="XV40" s="22"/>
      <c r="XW40" s="22"/>
      <c r="XX40" s="22"/>
      <c r="XY40" s="22"/>
      <c r="XZ40" s="22"/>
      <c r="YA40" s="22"/>
      <c r="YB40" s="22"/>
      <c r="YC40" s="22"/>
      <c r="YD40" s="22"/>
      <c r="YE40" s="22"/>
      <c r="YF40" s="22"/>
      <c r="YG40" s="22"/>
      <c r="YH40" s="22"/>
      <c r="YI40" s="22"/>
      <c r="YJ40" s="22"/>
      <c r="YK40" s="22"/>
      <c r="YL40" s="22"/>
      <c r="YM40" s="22"/>
      <c r="YN40" s="22"/>
      <c r="YO40" s="22"/>
      <c r="YP40" s="22"/>
      <c r="YQ40" s="22"/>
      <c r="YR40" s="22"/>
      <c r="YS40" s="22"/>
      <c r="YT40" s="22"/>
      <c r="YU40" s="22"/>
      <c r="YV40" s="22"/>
      <c r="YW40" s="22"/>
      <c r="YX40" s="22"/>
      <c r="YY40" s="22"/>
      <c r="YZ40" s="22"/>
      <c r="ZA40" s="22"/>
      <c r="ZB40" s="22"/>
      <c r="ZC40" s="22"/>
      <c r="ZD40" s="22"/>
      <c r="ZE40" s="22"/>
      <c r="ZF40" s="22"/>
      <c r="ZG40" s="22"/>
      <c r="ZH40" s="22"/>
      <c r="ZI40" s="22"/>
      <c r="ZJ40" s="22"/>
      <c r="ZK40" s="22"/>
      <c r="ZL40" s="22"/>
      <c r="ZM40" s="22"/>
      <c r="ZN40" s="22"/>
      <c r="ZO40" s="22"/>
      <c r="ZP40" s="22"/>
      <c r="ZQ40" s="22"/>
      <c r="ZR40" s="22"/>
      <c r="ZS40" s="22"/>
      <c r="ZT40" s="22"/>
      <c r="ZU40" s="22"/>
      <c r="ZV40" s="22"/>
      <c r="ZW40" s="22"/>
      <c r="ZX40" s="22"/>
      <c r="ZY40" s="22"/>
      <c r="ZZ40" s="22"/>
      <c r="AAA40" s="22"/>
      <c r="AAB40" s="22"/>
      <c r="AAC40" s="22"/>
      <c r="AAD40" s="22"/>
      <c r="AAE40" s="22"/>
      <c r="AAF40" s="22"/>
      <c r="AAG40" s="22"/>
      <c r="AAH40" s="22"/>
      <c r="AAI40" s="22"/>
      <c r="AAJ40" s="22"/>
      <c r="AAK40" s="22"/>
      <c r="AAL40" s="22"/>
      <c r="AAM40" s="22"/>
      <c r="AAN40" s="22"/>
      <c r="AAO40" s="22"/>
      <c r="AAP40" s="22"/>
      <c r="AAQ40" s="22"/>
      <c r="AAR40" s="22"/>
      <c r="AAS40" s="22"/>
      <c r="AAT40" s="22"/>
      <c r="AAU40" s="22"/>
      <c r="AAV40" s="22"/>
      <c r="AAW40" s="22"/>
      <c r="AAX40" s="22"/>
      <c r="AAY40" s="22"/>
      <c r="AAZ40" s="22"/>
      <c r="ABA40" s="22"/>
      <c r="ABB40" s="22"/>
      <c r="ABC40" s="22"/>
      <c r="ABD40" s="22"/>
      <c r="ABE40" s="22"/>
      <c r="ABF40" s="22"/>
      <c r="ABG40" s="22"/>
      <c r="ABH40" s="22"/>
      <c r="ABI40" s="22"/>
      <c r="ABJ40" s="22"/>
      <c r="ABK40" s="22"/>
      <c r="ABL40" s="22"/>
      <c r="ABM40" s="22"/>
      <c r="ABN40" s="22"/>
      <c r="ABO40" s="22"/>
      <c r="ABP40" s="22"/>
      <c r="ABQ40" s="22"/>
      <c r="ABR40" s="22"/>
      <c r="ABS40" s="22"/>
      <c r="ABT40" s="22"/>
      <c r="ABU40" s="22"/>
      <c r="ABV40" s="22"/>
      <c r="ABW40" s="22"/>
      <c r="ABX40" s="22"/>
      <c r="ABY40" s="22"/>
      <c r="ABZ40" s="22"/>
      <c r="ACA40" s="22"/>
      <c r="ACB40" s="22"/>
      <c r="ACC40" s="22"/>
      <c r="ACD40" s="22"/>
      <c r="ACE40" s="22"/>
      <c r="ACF40" s="22"/>
      <c r="ACG40" s="22"/>
      <c r="ACH40" s="22"/>
      <c r="ACI40" s="22"/>
      <c r="ACJ40" s="22"/>
      <c r="ACK40" s="22"/>
      <c r="ACL40" s="22"/>
      <c r="ACM40" s="22"/>
      <c r="ACN40" s="22"/>
      <c r="ACO40" s="22"/>
      <c r="ACP40" s="22"/>
      <c r="ACQ40" s="22"/>
      <c r="ACR40" s="22"/>
      <c r="ACS40" s="22"/>
      <c r="ACT40" s="22"/>
      <c r="ACU40" s="22"/>
      <c r="ACV40" s="22"/>
      <c r="ACW40" s="22"/>
      <c r="ACX40" s="22"/>
      <c r="ACY40" s="22"/>
      <c r="ACZ40" s="22"/>
      <c r="ADA40" s="22"/>
      <c r="ADB40" s="22"/>
      <c r="ADC40" s="22"/>
      <c r="ADD40" s="22"/>
      <c r="ADE40" s="22"/>
      <c r="ADF40" s="22"/>
      <c r="ADG40" s="22"/>
      <c r="ADH40" s="22"/>
      <c r="ADI40" s="22"/>
      <c r="ADJ40" s="22"/>
      <c r="ADK40" s="22"/>
      <c r="ADL40" s="22"/>
      <c r="ADM40" s="22"/>
      <c r="ADN40" s="22"/>
      <c r="ADO40" s="22"/>
      <c r="ADP40" s="22"/>
      <c r="ADQ40" s="22"/>
      <c r="ADR40" s="22"/>
      <c r="ADS40" s="22"/>
      <c r="ADT40" s="22"/>
      <c r="ADU40" s="22"/>
      <c r="ADV40" s="22"/>
      <c r="ADW40" s="22"/>
      <c r="ADX40" s="22"/>
      <c r="ADY40" s="22"/>
      <c r="ADZ40" s="22"/>
      <c r="AEA40" s="22"/>
      <c r="AEB40" s="22"/>
      <c r="AEC40" s="22"/>
      <c r="AED40" s="22"/>
      <c r="AEE40" s="22"/>
      <c r="AEF40" s="22"/>
      <c r="AEG40" s="22"/>
      <c r="AEH40" s="22"/>
      <c r="AEI40" s="22"/>
      <c r="AEJ40" s="22"/>
      <c r="AEK40" s="22"/>
      <c r="AEL40" s="22"/>
      <c r="AEM40" s="22"/>
      <c r="AEN40" s="22"/>
      <c r="AEO40" s="22"/>
      <c r="AEP40" s="22"/>
      <c r="AEQ40" s="22"/>
      <c r="AER40" s="22"/>
      <c r="AES40" s="22"/>
      <c r="AET40" s="22"/>
      <c r="AEU40" s="22"/>
      <c r="AEV40" s="22"/>
      <c r="AEW40" s="22"/>
      <c r="AEX40" s="22"/>
      <c r="AEY40" s="22"/>
      <c r="AEZ40" s="22"/>
      <c r="AFA40" s="22"/>
      <c r="AFB40" s="22"/>
      <c r="AFC40" s="22"/>
      <c r="AFD40" s="22"/>
      <c r="AFE40" s="22"/>
      <c r="AFF40" s="22"/>
      <c r="AFG40" s="22"/>
      <c r="AFH40" s="22"/>
      <c r="AFI40" s="22"/>
      <c r="AFJ40" s="22"/>
      <c r="AFK40" s="22"/>
      <c r="AFL40" s="22"/>
      <c r="AFM40" s="22"/>
      <c r="AFN40" s="22"/>
      <c r="AFO40" s="22"/>
      <c r="AFP40" s="22"/>
      <c r="AFQ40" s="22"/>
      <c r="AFR40" s="22"/>
      <c r="AFS40" s="22"/>
      <c r="AFT40" s="22"/>
      <c r="AFU40" s="22"/>
      <c r="AFV40" s="22"/>
      <c r="AFW40" s="22"/>
      <c r="AFX40" s="22"/>
      <c r="AFY40" s="22"/>
      <c r="AFZ40" s="22"/>
      <c r="AGA40" s="22"/>
      <c r="AGB40" s="22"/>
      <c r="AGC40" s="22"/>
      <c r="AGD40" s="22"/>
      <c r="AGE40" s="22"/>
      <c r="AGF40" s="22"/>
      <c r="AGG40" s="22"/>
      <c r="AGH40" s="22"/>
      <c r="AGI40" s="22"/>
      <c r="AGJ40" s="22"/>
      <c r="AGK40" s="22"/>
      <c r="AGL40" s="22"/>
      <c r="AGM40" s="22"/>
      <c r="AGN40" s="22"/>
      <c r="AGO40" s="22"/>
      <c r="AGP40" s="22"/>
      <c r="AGQ40" s="22"/>
      <c r="AGR40" s="22"/>
      <c r="AGS40" s="22"/>
      <c r="AGT40" s="22"/>
      <c r="AGU40" s="22"/>
      <c r="AGV40" s="22"/>
      <c r="AGW40" s="22"/>
      <c r="AGX40" s="22"/>
      <c r="AGY40" s="22"/>
      <c r="AGZ40" s="22"/>
      <c r="AHA40" s="22"/>
      <c r="AHB40" s="22"/>
      <c r="AHC40" s="22"/>
      <c r="AHD40" s="22"/>
      <c r="AHE40" s="22"/>
      <c r="AHF40" s="22"/>
      <c r="AHG40" s="22"/>
      <c r="AHH40" s="22"/>
      <c r="AHI40" s="22"/>
      <c r="AHJ40" s="22"/>
      <c r="AHK40" s="22"/>
      <c r="AHL40" s="22"/>
      <c r="AHM40" s="22"/>
      <c r="AHN40" s="22"/>
      <c r="AHO40" s="22"/>
      <c r="AHP40" s="22"/>
      <c r="AHQ40" s="22"/>
      <c r="AHR40" s="22"/>
      <c r="AHS40" s="22"/>
      <c r="AHT40" s="22"/>
      <c r="AHU40" s="22"/>
      <c r="AHV40" s="22"/>
      <c r="AHW40" s="22"/>
      <c r="AHX40" s="22"/>
      <c r="AHY40" s="22"/>
      <c r="AHZ40" s="22"/>
      <c r="AIA40" s="22"/>
      <c r="AIB40" s="22"/>
      <c r="AIC40" s="22"/>
      <c r="AID40" s="22"/>
      <c r="AIE40" s="22"/>
      <c r="AIF40" s="22"/>
      <c r="AIG40" s="22"/>
      <c r="AIH40" s="22"/>
      <c r="AII40" s="22"/>
      <c r="AIJ40" s="22"/>
      <c r="AIK40" s="22"/>
      <c r="AIL40" s="22"/>
      <c r="AIM40" s="22"/>
      <c r="AIN40" s="22"/>
      <c r="AIO40" s="22"/>
      <c r="AIP40" s="22"/>
      <c r="AIQ40" s="22"/>
      <c r="AIR40" s="22"/>
      <c r="AIS40" s="22"/>
      <c r="AIT40" s="22"/>
      <c r="AIU40" s="22"/>
      <c r="AIV40" s="22"/>
      <c r="AIW40" s="22"/>
      <c r="AIX40" s="22"/>
      <c r="AIY40" s="22"/>
      <c r="AIZ40" s="22"/>
      <c r="AJA40" s="22"/>
      <c r="AJB40" s="22"/>
      <c r="AJC40" s="22"/>
      <c r="AJD40" s="22"/>
      <c r="AJE40" s="22"/>
      <c r="AJF40" s="22"/>
      <c r="AJG40" s="22"/>
      <c r="AJH40" s="22"/>
      <c r="AJI40" s="22"/>
      <c r="AJJ40" s="22"/>
      <c r="AJK40" s="22"/>
      <c r="AJL40" s="22"/>
      <c r="AJM40" s="22"/>
      <c r="AJN40" s="22"/>
      <c r="AJO40" s="22"/>
      <c r="AJP40" s="22"/>
      <c r="AJQ40" s="22"/>
      <c r="AJR40" s="22"/>
      <c r="AJS40" s="22"/>
      <c r="AJT40" s="22"/>
      <c r="AJU40" s="22"/>
      <c r="AJV40" s="22"/>
      <c r="AJW40" s="22"/>
      <c r="AJX40" s="22"/>
      <c r="AJY40" s="22"/>
      <c r="AJZ40" s="22"/>
      <c r="AKA40" s="22"/>
      <c r="AKB40" s="22"/>
      <c r="AKC40" s="22"/>
      <c r="AKD40" s="22"/>
      <c r="AKE40" s="22"/>
      <c r="AKF40" s="22"/>
      <c r="AKG40" s="22"/>
      <c r="AKH40" s="22"/>
      <c r="AKI40" s="22"/>
      <c r="AKJ40" s="22"/>
      <c r="AKK40" s="22"/>
      <c r="AKL40" s="22"/>
      <c r="AKM40" s="22"/>
      <c r="AKN40" s="22"/>
      <c r="AKO40" s="22"/>
      <c r="AKP40" s="22"/>
      <c r="AKQ40" s="22"/>
      <c r="AKR40" s="22"/>
      <c r="AKS40" s="22"/>
      <c r="AKT40" s="22"/>
      <c r="AKU40" s="22"/>
      <c r="AKV40" s="22"/>
      <c r="AKW40" s="22"/>
      <c r="AKX40" s="22"/>
      <c r="AKY40" s="22"/>
      <c r="AKZ40" s="22"/>
      <c r="ALA40" s="22"/>
      <c r="ALB40" s="22"/>
      <c r="ALC40" s="22"/>
      <c r="ALD40" s="22"/>
      <c r="ALE40" s="22"/>
      <c r="ALF40" s="22"/>
      <c r="ALG40" s="22"/>
      <c r="ALH40" s="22"/>
      <c r="ALI40" s="22"/>
      <c r="ALJ40" s="22"/>
      <c r="ALK40" s="22"/>
      <c r="ALL40" s="22"/>
      <c r="ALM40" s="22"/>
      <c r="ALN40" s="22"/>
      <c r="ALO40" s="22"/>
      <c r="ALP40" s="22"/>
      <c r="ALQ40" s="22"/>
      <c r="ALR40" s="22"/>
    </row>
    <row r="41" spans="6:1006" x14ac:dyDescent="0.2">
      <c r="F41" s="21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  <c r="IZ41" s="22"/>
      <c r="JA41" s="22"/>
      <c r="JB41" s="22"/>
      <c r="JC41" s="22"/>
      <c r="JD41" s="22"/>
      <c r="JE41" s="22"/>
      <c r="JF41" s="22"/>
      <c r="JG41" s="22"/>
      <c r="JH41" s="22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2"/>
      <c r="LK41" s="22"/>
      <c r="LL41" s="22"/>
      <c r="LM41" s="22"/>
      <c r="LN41" s="22"/>
      <c r="LO41" s="22"/>
      <c r="LP41" s="22"/>
      <c r="LQ41" s="22"/>
      <c r="LR41" s="22"/>
      <c r="LS41" s="22"/>
      <c r="LT41" s="22"/>
      <c r="LU41" s="22"/>
      <c r="LV41" s="22"/>
      <c r="LW41" s="22"/>
      <c r="LX41" s="22"/>
      <c r="LY41" s="22"/>
      <c r="LZ41" s="22"/>
      <c r="MA41" s="22"/>
      <c r="MB41" s="22"/>
      <c r="MC41" s="22"/>
      <c r="MD41" s="22"/>
      <c r="ME41" s="22"/>
      <c r="MF41" s="22"/>
      <c r="MG41" s="22"/>
      <c r="MH41" s="22"/>
      <c r="MI41" s="22"/>
      <c r="MJ41" s="22"/>
      <c r="MK41" s="22"/>
      <c r="ML41" s="22"/>
      <c r="MM41" s="22"/>
      <c r="MN41" s="22"/>
      <c r="MO41" s="22"/>
      <c r="MP41" s="22"/>
      <c r="MQ41" s="22"/>
      <c r="MR41" s="22"/>
      <c r="MS41" s="22"/>
      <c r="MT41" s="22"/>
      <c r="MU41" s="22"/>
      <c r="MV41" s="22"/>
      <c r="MW41" s="22"/>
      <c r="MX41" s="22"/>
      <c r="MY41" s="22"/>
      <c r="MZ41" s="22"/>
      <c r="NA41" s="22"/>
      <c r="NB41" s="22"/>
      <c r="NC41" s="22"/>
      <c r="ND41" s="22"/>
      <c r="NE41" s="22"/>
      <c r="NF41" s="22"/>
      <c r="NG41" s="22"/>
      <c r="NH41" s="22"/>
      <c r="NI41" s="22"/>
      <c r="NJ41" s="22"/>
      <c r="NK41" s="22"/>
      <c r="NL41" s="22"/>
      <c r="NM41" s="22"/>
      <c r="NN41" s="22"/>
      <c r="NO41" s="22"/>
      <c r="NP41" s="22"/>
      <c r="NQ41" s="22"/>
      <c r="NR41" s="22"/>
      <c r="NS41" s="22"/>
      <c r="NT41" s="22"/>
      <c r="NU41" s="22"/>
      <c r="NV41" s="22"/>
      <c r="NW41" s="22"/>
      <c r="NX41" s="22"/>
      <c r="NY41" s="22"/>
      <c r="NZ41" s="22"/>
      <c r="OA41" s="22"/>
      <c r="OB41" s="22"/>
      <c r="OC41" s="22"/>
      <c r="OD41" s="22"/>
      <c r="OE41" s="22"/>
      <c r="OF41" s="22"/>
      <c r="OG41" s="22"/>
      <c r="OH41" s="22"/>
      <c r="OI41" s="22"/>
      <c r="OJ41" s="22"/>
      <c r="OK41" s="22"/>
      <c r="OL41" s="22"/>
      <c r="OM41" s="22"/>
      <c r="ON41" s="22"/>
      <c r="OO41" s="22"/>
      <c r="OP41" s="22"/>
      <c r="OQ41" s="22"/>
      <c r="OR41" s="22"/>
      <c r="OS41" s="22"/>
      <c r="OT41" s="22"/>
      <c r="OU41" s="22"/>
      <c r="OV41" s="22"/>
      <c r="OW41" s="22"/>
      <c r="OX41" s="22"/>
      <c r="OY41" s="22"/>
      <c r="OZ41" s="22"/>
      <c r="PA41" s="22"/>
      <c r="PB41" s="22"/>
      <c r="PC41" s="22"/>
      <c r="PD41" s="22"/>
      <c r="PE41" s="22"/>
      <c r="PF41" s="22"/>
      <c r="PG41" s="22"/>
      <c r="PH41" s="22"/>
      <c r="PI41" s="22"/>
      <c r="PJ41" s="22"/>
      <c r="PK41" s="22"/>
      <c r="PL41" s="22"/>
      <c r="PM41" s="22"/>
      <c r="PN41" s="22"/>
      <c r="PO41" s="22"/>
      <c r="PP41" s="22"/>
      <c r="PQ41" s="22"/>
      <c r="PR41" s="22"/>
      <c r="PS41" s="22"/>
      <c r="PT41" s="22"/>
      <c r="PU41" s="22"/>
      <c r="PV41" s="22"/>
      <c r="PW41" s="22"/>
      <c r="PX41" s="22"/>
      <c r="PY41" s="22"/>
      <c r="PZ41" s="22"/>
      <c r="QA41" s="22"/>
      <c r="QB41" s="22"/>
      <c r="QC41" s="22"/>
      <c r="QD41" s="22"/>
      <c r="QE41" s="22"/>
      <c r="QF41" s="22"/>
      <c r="QG41" s="22"/>
      <c r="QH41" s="22"/>
      <c r="QI41" s="22"/>
      <c r="QJ41" s="22"/>
      <c r="QK41" s="22"/>
      <c r="QL41" s="22"/>
      <c r="QM41" s="22"/>
      <c r="QN41" s="22"/>
      <c r="QO41" s="22"/>
      <c r="QP41" s="22"/>
      <c r="QQ41" s="22"/>
      <c r="QR41" s="22"/>
      <c r="QS41" s="22"/>
      <c r="QT41" s="22"/>
      <c r="QU41" s="22"/>
      <c r="QV41" s="22"/>
      <c r="QW41" s="22"/>
      <c r="QX41" s="22"/>
      <c r="QY41" s="22"/>
      <c r="QZ41" s="22"/>
      <c r="RA41" s="22"/>
      <c r="RB41" s="22"/>
      <c r="RC41" s="22"/>
      <c r="RD41" s="22"/>
      <c r="RE41" s="22"/>
      <c r="RF41" s="22"/>
      <c r="RG41" s="22"/>
      <c r="RH41" s="22"/>
      <c r="RI41" s="22"/>
      <c r="RJ41" s="22"/>
      <c r="RK41" s="22"/>
      <c r="RL41" s="22"/>
      <c r="RM41" s="22"/>
      <c r="RN41" s="22"/>
      <c r="RO41" s="22"/>
      <c r="RP41" s="22"/>
      <c r="RQ41" s="22"/>
      <c r="RR41" s="22"/>
      <c r="RS41" s="22"/>
      <c r="RT41" s="22"/>
      <c r="RU41" s="22"/>
      <c r="RV41" s="22"/>
      <c r="RW41" s="22"/>
      <c r="RX41" s="22"/>
      <c r="RY41" s="22"/>
      <c r="RZ41" s="22"/>
      <c r="SA41" s="22"/>
      <c r="SB41" s="22"/>
      <c r="SC41" s="22"/>
      <c r="SD41" s="22"/>
      <c r="SE41" s="22"/>
      <c r="SF41" s="22"/>
      <c r="SG41" s="22"/>
      <c r="SH41" s="22"/>
      <c r="SI41" s="22"/>
      <c r="SJ41" s="22"/>
      <c r="SK41" s="22"/>
      <c r="SL41" s="22"/>
      <c r="SM41" s="22"/>
      <c r="SN41" s="22"/>
      <c r="SO41" s="22"/>
      <c r="SP41" s="22"/>
      <c r="SQ41" s="22"/>
      <c r="SR41" s="22"/>
      <c r="SS41" s="22"/>
      <c r="ST41" s="22"/>
      <c r="SU41" s="22"/>
      <c r="SV41" s="22"/>
      <c r="SW41" s="22"/>
      <c r="SX41" s="22"/>
      <c r="SY41" s="22"/>
      <c r="SZ41" s="22"/>
      <c r="TA41" s="22"/>
      <c r="TB41" s="22"/>
      <c r="TC41" s="22"/>
      <c r="TD41" s="22"/>
      <c r="TE41" s="22"/>
      <c r="TF41" s="22"/>
      <c r="TG41" s="22"/>
      <c r="TH41" s="22"/>
      <c r="TI41" s="22"/>
      <c r="TJ41" s="22"/>
      <c r="TK41" s="22"/>
      <c r="TL41" s="22"/>
      <c r="TM41" s="22"/>
      <c r="TN41" s="22"/>
      <c r="TO41" s="22"/>
      <c r="TP41" s="22"/>
      <c r="TQ41" s="22"/>
      <c r="TR41" s="22"/>
      <c r="TS41" s="22"/>
      <c r="TT41" s="22"/>
      <c r="TU41" s="22"/>
      <c r="TV41" s="22"/>
      <c r="TW41" s="22"/>
      <c r="TX41" s="22"/>
      <c r="TY41" s="22"/>
      <c r="TZ41" s="22"/>
      <c r="UA41" s="22"/>
      <c r="UB41" s="22"/>
      <c r="UC41" s="22"/>
      <c r="UD41" s="22"/>
      <c r="UE41" s="22"/>
      <c r="UF41" s="22"/>
      <c r="UG41" s="22"/>
      <c r="UH41" s="22"/>
      <c r="UI41" s="22"/>
      <c r="UJ41" s="22"/>
      <c r="UK41" s="22"/>
      <c r="UL41" s="22"/>
      <c r="UM41" s="22"/>
      <c r="UN41" s="22"/>
      <c r="UO41" s="22"/>
      <c r="UP41" s="22"/>
      <c r="UQ41" s="22"/>
      <c r="UR41" s="22"/>
      <c r="US41" s="22"/>
      <c r="UT41" s="22"/>
      <c r="UU41" s="22"/>
      <c r="UV41" s="22"/>
      <c r="UW41" s="22"/>
      <c r="UX41" s="22"/>
      <c r="UY41" s="22"/>
      <c r="UZ41" s="22"/>
      <c r="VA41" s="22"/>
      <c r="VB41" s="22"/>
      <c r="VC41" s="22"/>
      <c r="VD41" s="22"/>
      <c r="VE41" s="22"/>
      <c r="VF41" s="22"/>
      <c r="VG41" s="22"/>
      <c r="VH41" s="22"/>
      <c r="VI41" s="22"/>
      <c r="VJ41" s="22"/>
      <c r="VK41" s="22"/>
      <c r="VL41" s="22"/>
      <c r="VM41" s="22"/>
      <c r="VN41" s="22"/>
      <c r="VO41" s="22"/>
      <c r="VP41" s="22"/>
      <c r="VQ41" s="22"/>
      <c r="VR41" s="22"/>
      <c r="VS41" s="22"/>
      <c r="VT41" s="22"/>
      <c r="VU41" s="22"/>
      <c r="VV41" s="22"/>
      <c r="VW41" s="22"/>
      <c r="VX41" s="22"/>
      <c r="VY41" s="22"/>
      <c r="VZ41" s="22"/>
      <c r="WA41" s="22"/>
      <c r="WB41" s="22"/>
      <c r="WC41" s="22"/>
      <c r="WD41" s="22"/>
      <c r="WE41" s="22"/>
      <c r="WF41" s="22"/>
      <c r="WG41" s="22"/>
      <c r="WH41" s="22"/>
      <c r="WI41" s="22"/>
      <c r="WJ41" s="22"/>
      <c r="WK41" s="22"/>
      <c r="WL41" s="22"/>
      <c r="WM41" s="22"/>
      <c r="WN41" s="22"/>
      <c r="WO41" s="22"/>
      <c r="WP41" s="22"/>
      <c r="WQ41" s="22"/>
      <c r="WR41" s="22"/>
      <c r="WS41" s="22"/>
      <c r="WT41" s="22"/>
      <c r="WU41" s="22"/>
      <c r="WV41" s="22"/>
      <c r="WW41" s="22"/>
      <c r="WX41" s="22"/>
      <c r="WY41" s="22"/>
      <c r="WZ41" s="22"/>
      <c r="XA41" s="22"/>
      <c r="XB41" s="22"/>
      <c r="XC41" s="22"/>
      <c r="XD41" s="22"/>
      <c r="XE41" s="22"/>
      <c r="XF41" s="22"/>
      <c r="XG41" s="22"/>
      <c r="XH41" s="22"/>
      <c r="XI41" s="22"/>
      <c r="XJ41" s="22"/>
      <c r="XK41" s="22"/>
      <c r="XL41" s="22"/>
      <c r="XM41" s="22"/>
      <c r="XN41" s="22"/>
      <c r="XO41" s="22"/>
      <c r="XP41" s="22"/>
      <c r="XQ41" s="22"/>
      <c r="XR41" s="22"/>
      <c r="XS41" s="22"/>
      <c r="XT41" s="22"/>
      <c r="XU41" s="22"/>
      <c r="XV41" s="22"/>
      <c r="XW41" s="22"/>
      <c r="XX41" s="22"/>
      <c r="XY41" s="22"/>
      <c r="XZ41" s="22"/>
      <c r="YA41" s="22"/>
      <c r="YB41" s="22"/>
      <c r="YC41" s="22"/>
      <c r="YD41" s="22"/>
      <c r="YE41" s="22"/>
      <c r="YF41" s="22"/>
      <c r="YG41" s="22"/>
      <c r="YH41" s="22"/>
      <c r="YI41" s="22"/>
      <c r="YJ41" s="22"/>
      <c r="YK41" s="22"/>
      <c r="YL41" s="22"/>
      <c r="YM41" s="22"/>
      <c r="YN41" s="22"/>
      <c r="YO41" s="22"/>
      <c r="YP41" s="22"/>
      <c r="YQ41" s="22"/>
      <c r="YR41" s="22"/>
      <c r="YS41" s="22"/>
      <c r="YT41" s="22"/>
      <c r="YU41" s="22"/>
      <c r="YV41" s="22"/>
      <c r="YW41" s="22"/>
      <c r="YX41" s="22"/>
      <c r="YY41" s="22"/>
      <c r="YZ41" s="22"/>
      <c r="ZA41" s="22"/>
      <c r="ZB41" s="22"/>
      <c r="ZC41" s="22"/>
      <c r="ZD41" s="22"/>
      <c r="ZE41" s="22"/>
      <c r="ZF41" s="22"/>
      <c r="ZG41" s="22"/>
      <c r="ZH41" s="22"/>
      <c r="ZI41" s="22"/>
      <c r="ZJ41" s="22"/>
      <c r="ZK41" s="22"/>
      <c r="ZL41" s="22"/>
      <c r="ZM41" s="22"/>
      <c r="ZN41" s="22"/>
      <c r="ZO41" s="22"/>
      <c r="ZP41" s="22"/>
      <c r="ZQ41" s="22"/>
      <c r="ZR41" s="22"/>
      <c r="ZS41" s="22"/>
      <c r="ZT41" s="22"/>
      <c r="ZU41" s="22"/>
      <c r="ZV41" s="22"/>
      <c r="ZW41" s="22"/>
      <c r="ZX41" s="22"/>
      <c r="ZY41" s="22"/>
      <c r="ZZ41" s="22"/>
      <c r="AAA41" s="22"/>
      <c r="AAB41" s="22"/>
      <c r="AAC41" s="22"/>
      <c r="AAD41" s="22"/>
      <c r="AAE41" s="22"/>
      <c r="AAF41" s="22"/>
      <c r="AAG41" s="22"/>
      <c r="AAH41" s="22"/>
      <c r="AAI41" s="22"/>
      <c r="AAJ41" s="22"/>
      <c r="AAK41" s="22"/>
      <c r="AAL41" s="22"/>
      <c r="AAM41" s="22"/>
      <c r="AAN41" s="22"/>
      <c r="AAO41" s="22"/>
      <c r="AAP41" s="22"/>
      <c r="AAQ41" s="22"/>
      <c r="AAR41" s="22"/>
      <c r="AAS41" s="22"/>
      <c r="AAT41" s="22"/>
      <c r="AAU41" s="22"/>
      <c r="AAV41" s="22"/>
      <c r="AAW41" s="22"/>
      <c r="AAX41" s="22"/>
      <c r="AAY41" s="22"/>
      <c r="AAZ41" s="22"/>
      <c r="ABA41" s="22"/>
      <c r="ABB41" s="22"/>
      <c r="ABC41" s="22"/>
      <c r="ABD41" s="22"/>
      <c r="ABE41" s="22"/>
      <c r="ABF41" s="22"/>
      <c r="ABG41" s="22"/>
      <c r="ABH41" s="22"/>
      <c r="ABI41" s="22"/>
      <c r="ABJ41" s="22"/>
      <c r="ABK41" s="22"/>
      <c r="ABL41" s="22"/>
      <c r="ABM41" s="22"/>
      <c r="ABN41" s="22"/>
      <c r="ABO41" s="22"/>
      <c r="ABP41" s="22"/>
      <c r="ABQ41" s="22"/>
      <c r="ABR41" s="22"/>
      <c r="ABS41" s="22"/>
      <c r="ABT41" s="22"/>
      <c r="ABU41" s="22"/>
      <c r="ABV41" s="22"/>
      <c r="ABW41" s="22"/>
      <c r="ABX41" s="22"/>
      <c r="ABY41" s="22"/>
      <c r="ABZ41" s="22"/>
      <c r="ACA41" s="22"/>
      <c r="ACB41" s="22"/>
      <c r="ACC41" s="22"/>
      <c r="ACD41" s="22"/>
      <c r="ACE41" s="22"/>
      <c r="ACF41" s="22"/>
      <c r="ACG41" s="22"/>
      <c r="ACH41" s="22"/>
      <c r="ACI41" s="22"/>
      <c r="ACJ41" s="22"/>
      <c r="ACK41" s="22"/>
      <c r="ACL41" s="22"/>
      <c r="ACM41" s="22"/>
      <c r="ACN41" s="22"/>
      <c r="ACO41" s="22"/>
      <c r="ACP41" s="22"/>
      <c r="ACQ41" s="22"/>
      <c r="ACR41" s="22"/>
      <c r="ACS41" s="22"/>
      <c r="ACT41" s="22"/>
      <c r="ACU41" s="22"/>
      <c r="ACV41" s="22"/>
      <c r="ACW41" s="22"/>
      <c r="ACX41" s="22"/>
      <c r="ACY41" s="22"/>
      <c r="ACZ41" s="22"/>
      <c r="ADA41" s="22"/>
      <c r="ADB41" s="22"/>
      <c r="ADC41" s="22"/>
      <c r="ADD41" s="22"/>
      <c r="ADE41" s="22"/>
      <c r="ADF41" s="22"/>
      <c r="ADG41" s="22"/>
      <c r="ADH41" s="22"/>
      <c r="ADI41" s="22"/>
      <c r="ADJ41" s="22"/>
      <c r="ADK41" s="22"/>
      <c r="ADL41" s="22"/>
      <c r="ADM41" s="22"/>
      <c r="ADN41" s="22"/>
      <c r="ADO41" s="22"/>
      <c r="ADP41" s="22"/>
      <c r="ADQ41" s="22"/>
      <c r="ADR41" s="22"/>
      <c r="ADS41" s="22"/>
      <c r="ADT41" s="22"/>
      <c r="ADU41" s="22"/>
      <c r="ADV41" s="22"/>
      <c r="ADW41" s="22"/>
      <c r="ADX41" s="22"/>
      <c r="ADY41" s="22"/>
      <c r="ADZ41" s="22"/>
      <c r="AEA41" s="22"/>
      <c r="AEB41" s="22"/>
      <c r="AEC41" s="22"/>
      <c r="AED41" s="22"/>
      <c r="AEE41" s="22"/>
      <c r="AEF41" s="22"/>
      <c r="AEG41" s="22"/>
      <c r="AEH41" s="22"/>
      <c r="AEI41" s="22"/>
      <c r="AEJ41" s="22"/>
      <c r="AEK41" s="22"/>
      <c r="AEL41" s="22"/>
      <c r="AEM41" s="22"/>
      <c r="AEN41" s="22"/>
      <c r="AEO41" s="22"/>
      <c r="AEP41" s="22"/>
      <c r="AEQ41" s="22"/>
      <c r="AER41" s="22"/>
      <c r="AES41" s="22"/>
      <c r="AET41" s="22"/>
      <c r="AEU41" s="22"/>
      <c r="AEV41" s="22"/>
      <c r="AEW41" s="22"/>
      <c r="AEX41" s="22"/>
      <c r="AEY41" s="22"/>
      <c r="AEZ41" s="22"/>
      <c r="AFA41" s="22"/>
      <c r="AFB41" s="22"/>
      <c r="AFC41" s="22"/>
      <c r="AFD41" s="22"/>
      <c r="AFE41" s="22"/>
      <c r="AFF41" s="22"/>
      <c r="AFG41" s="22"/>
      <c r="AFH41" s="22"/>
      <c r="AFI41" s="22"/>
      <c r="AFJ41" s="22"/>
      <c r="AFK41" s="22"/>
      <c r="AFL41" s="22"/>
      <c r="AFM41" s="22"/>
      <c r="AFN41" s="22"/>
      <c r="AFO41" s="22"/>
      <c r="AFP41" s="22"/>
      <c r="AFQ41" s="22"/>
      <c r="AFR41" s="22"/>
      <c r="AFS41" s="22"/>
      <c r="AFT41" s="22"/>
      <c r="AFU41" s="22"/>
      <c r="AFV41" s="22"/>
      <c r="AFW41" s="22"/>
      <c r="AFX41" s="22"/>
      <c r="AFY41" s="22"/>
      <c r="AFZ41" s="22"/>
      <c r="AGA41" s="22"/>
      <c r="AGB41" s="22"/>
      <c r="AGC41" s="22"/>
      <c r="AGD41" s="22"/>
      <c r="AGE41" s="22"/>
      <c r="AGF41" s="22"/>
      <c r="AGG41" s="22"/>
      <c r="AGH41" s="22"/>
      <c r="AGI41" s="22"/>
      <c r="AGJ41" s="22"/>
      <c r="AGK41" s="22"/>
      <c r="AGL41" s="22"/>
      <c r="AGM41" s="22"/>
      <c r="AGN41" s="22"/>
      <c r="AGO41" s="22"/>
      <c r="AGP41" s="22"/>
      <c r="AGQ41" s="22"/>
      <c r="AGR41" s="22"/>
      <c r="AGS41" s="22"/>
      <c r="AGT41" s="22"/>
      <c r="AGU41" s="22"/>
      <c r="AGV41" s="22"/>
      <c r="AGW41" s="22"/>
      <c r="AGX41" s="22"/>
      <c r="AGY41" s="22"/>
      <c r="AGZ41" s="22"/>
      <c r="AHA41" s="22"/>
      <c r="AHB41" s="22"/>
      <c r="AHC41" s="22"/>
      <c r="AHD41" s="22"/>
      <c r="AHE41" s="22"/>
      <c r="AHF41" s="22"/>
      <c r="AHG41" s="22"/>
      <c r="AHH41" s="22"/>
      <c r="AHI41" s="22"/>
      <c r="AHJ41" s="22"/>
      <c r="AHK41" s="22"/>
      <c r="AHL41" s="22"/>
      <c r="AHM41" s="22"/>
      <c r="AHN41" s="22"/>
      <c r="AHO41" s="22"/>
      <c r="AHP41" s="22"/>
      <c r="AHQ41" s="22"/>
      <c r="AHR41" s="22"/>
      <c r="AHS41" s="22"/>
      <c r="AHT41" s="22"/>
      <c r="AHU41" s="22"/>
      <c r="AHV41" s="22"/>
      <c r="AHW41" s="22"/>
      <c r="AHX41" s="22"/>
      <c r="AHY41" s="22"/>
      <c r="AHZ41" s="22"/>
      <c r="AIA41" s="22"/>
      <c r="AIB41" s="22"/>
      <c r="AIC41" s="22"/>
      <c r="AID41" s="22"/>
      <c r="AIE41" s="22"/>
      <c r="AIF41" s="22"/>
      <c r="AIG41" s="22"/>
      <c r="AIH41" s="22"/>
      <c r="AII41" s="22"/>
      <c r="AIJ41" s="22"/>
      <c r="AIK41" s="22"/>
      <c r="AIL41" s="22"/>
      <c r="AIM41" s="22"/>
      <c r="AIN41" s="22"/>
      <c r="AIO41" s="22"/>
      <c r="AIP41" s="22"/>
      <c r="AIQ41" s="22"/>
      <c r="AIR41" s="22"/>
      <c r="AIS41" s="22"/>
      <c r="AIT41" s="22"/>
      <c r="AIU41" s="22"/>
      <c r="AIV41" s="22"/>
      <c r="AIW41" s="22"/>
      <c r="AIX41" s="22"/>
      <c r="AIY41" s="22"/>
      <c r="AIZ41" s="22"/>
      <c r="AJA41" s="22"/>
      <c r="AJB41" s="22"/>
      <c r="AJC41" s="22"/>
      <c r="AJD41" s="22"/>
      <c r="AJE41" s="22"/>
      <c r="AJF41" s="22"/>
      <c r="AJG41" s="22"/>
      <c r="AJH41" s="22"/>
      <c r="AJI41" s="22"/>
      <c r="AJJ41" s="22"/>
      <c r="AJK41" s="22"/>
      <c r="AJL41" s="22"/>
      <c r="AJM41" s="22"/>
      <c r="AJN41" s="22"/>
      <c r="AJO41" s="22"/>
      <c r="AJP41" s="22"/>
      <c r="AJQ41" s="22"/>
      <c r="AJR41" s="22"/>
      <c r="AJS41" s="22"/>
      <c r="AJT41" s="22"/>
      <c r="AJU41" s="22"/>
      <c r="AJV41" s="22"/>
      <c r="AJW41" s="22"/>
      <c r="AJX41" s="22"/>
      <c r="AJY41" s="22"/>
      <c r="AJZ41" s="22"/>
      <c r="AKA41" s="22"/>
      <c r="AKB41" s="22"/>
      <c r="AKC41" s="22"/>
      <c r="AKD41" s="22"/>
      <c r="AKE41" s="22"/>
      <c r="AKF41" s="22"/>
      <c r="AKG41" s="22"/>
      <c r="AKH41" s="22"/>
      <c r="AKI41" s="22"/>
      <c r="AKJ41" s="22"/>
      <c r="AKK41" s="22"/>
      <c r="AKL41" s="22"/>
      <c r="AKM41" s="22"/>
      <c r="AKN41" s="22"/>
      <c r="AKO41" s="22"/>
      <c r="AKP41" s="22"/>
      <c r="AKQ41" s="22"/>
      <c r="AKR41" s="22"/>
      <c r="AKS41" s="22"/>
      <c r="AKT41" s="22"/>
      <c r="AKU41" s="22"/>
      <c r="AKV41" s="22"/>
      <c r="AKW41" s="22"/>
      <c r="AKX41" s="22"/>
      <c r="AKY41" s="22"/>
      <c r="AKZ41" s="22"/>
      <c r="ALA41" s="22"/>
      <c r="ALB41" s="22"/>
      <c r="ALC41" s="22"/>
      <c r="ALD41" s="22"/>
      <c r="ALE41" s="22"/>
      <c r="ALF41" s="22"/>
      <c r="ALG41" s="22"/>
      <c r="ALH41" s="22"/>
      <c r="ALI41" s="22"/>
      <c r="ALJ41" s="22"/>
      <c r="ALK41" s="22"/>
      <c r="ALL41" s="22"/>
      <c r="ALM41" s="22"/>
      <c r="ALN41" s="22"/>
      <c r="ALO41" s="22"/>
      <c r="ALP41" s="22"/>
      <c r="ALQ41" s="22"/>
      <c r="ALR41" s="22"/>
    </row>
    <row r="42" spans="6:1006" x14ac:dyDescent="0.2">
      <c r="F42" s="2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  <c r="IZ42" s="22"/>
      <c r="JA42" s="22"/>
      <c r="JB42" s="22"/>
      <c r="JC42" s="22"/>
      <c r="JD42" s="22"/>
      <c r="JE42" s="22"/>
      <c r="JF42" s="22"/>
      <c r="JG42" s="22"/>
      <c r="JH42" s="22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2"/>
      <c r="LK42" s="22"/>
      <c r="LL42" s="22"/>
      <c r="LM42" s="22"/>
      <c r="LN42" s="22"/>
      <c r="LO42" s="22"/>
      <c r="LP42" s="22"/>
      <c r="LQ42" s="22"/>
      <c r="LR42" s="22"/>
      <c r="LS42" s="22"/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2"/>
      <c r="MF42" s="22"/>
      <c r="MG42" s="22"/>
      <c r="MH42" s="22"/>
      <c r="MI42" s="22"/>
      <c r="MJ42" s="22"/>
      <c r="MK42" s="22"/>
      <c r="ML42" s="22"/>
      <c r="MM42" s="22"/>
      <c r="MN42" s="22"/>
      <c r="MO42" s="22"/>
      <c r="MP42" s="22"/>
      <c r="MQ42" s="22"/>
      <c r="MR42" s="22"/>
      <c r="MS42" s="22"/>
      <c r="MT42" s="22"/>
      <c r="MU42" s="22"/>
      <c r="MV42" s="22"/>
      <c r="MW42" s="22"/>
      <c r="MX42" s="22"/>
      <c r="MY42" s="22"/>
      <c r="MZ42" s="22"/>
      <c r="NA42" s="22"/>
      <c r="NB42" s="22"/>
      <c r="NC42" s="22"/>
      <c r="ND42" s="22"/>
      <c r="NE42" s="22"/>
      <c r="NF42" s="22"/>
      <c r="NG42" s="22"/>
      <c r="NH42" s="22"/>
      <c r="NI42" s="22"/>
      <c r="NJ42" s="22"/>
      <c r="NK42" s="22"/>
      <c r="NL42" s="22"/>
      <c r="NM42" s="22"/>
      <c r="NN42" s="22"/>
      <c r="NO42" s="22"/>
      <c r="NP42" s="22"/>
      <c r="NQ42" s="22"/>
      <c r="NR42" s="22"/>
      <c r="NS42" s="22"/>
      <c r="NT42" s="22"/>
      <c r="NU42" s="22"/>
      <c r="NV42" s="22"/>
      <c r="NW42" s="22"/>
      <c r="NX42" s="22"/>
      <c r="NY42" s="22"/>
      <c r="NZ42" s="22"/>
      <c r="OA42" s="22"/>
      <c r="OB42" s="22"/>
      <c r="OC42" s="22"/>
      <c r="OD42" s="22"/>
      <c r="OE42" s="22"/>
      <c r="OF42" s="22"/>
      <c r="OG42" s="22"/>
      <c r="OH42" s="22"/>
      <c r="OI42" s="22"/>
      <c r="OJ42" s="22"/>
      <c r="OK42" s="22"/>
      <c r="OL42" s="22"/>
      <c r="OM42" s="22"/>
      <c r="ON42" s="22"/>
      <c r="OO42" s="22"/>
      <c r="OP42" s="22"/>
      <c r="OQ42" s="22"/>
      <c r="OR42" s="22"/>
      <c r="OS42" s="22"/>
      <c r="OT42" s="22"/>
      <c r="OU42" s="22"/>
      <c r="OV42" s="22"/>
      <c r="OW42" s="22"/>
      <c r="OX42" s="22"/>
      <c r="OY42" s="22"/>
      <c r="OZ42" s="22"/>
      <c r="PA42" s="22"/>
      <c r="PB42" s="22"/>
      <c r="PC42" s="22"/>
      <c r="PD42" s="22"/>
      <c r="PE42" s="22"/>
      <c r="PF42" s="22"/>
      <c r="PG42" s="22"/>
      <c r="PH42" s="22"/>
      <c r="PI42" s="22"/>
      <c r="PJ42" s="22"/>
      <c r="PK42" s="22"/>
      <c r="PL42" s="22"/>
      <c r="PM42" s="22"/>
      <c r="PN42" s="22"/>
      <c r="PO42" s="22"/>
      <c r="PP42" s="22"/>
      <c r="PQ42" s="22"/>
      <c r="PR42" s="22"/>
      <c r="PS42" s="22"/>
      <c r="PT42" s="22"/>
      <c r="PU42" s="22"/>
      <c r="PV42" s="22"/>
      <c r="PW42" s="22"/>
      <c r="PX42" s="22"/>
      <c r="PY42" s="22"/>
      <c r="PZ42" s="22"/>
      <c r="QA42" s="22"/>
      <c r="QB42" s="22"/>
      <c r="QC42" s="22"/>
      <c r="QD42" s="22"/>
      <c r="QE42" s="22"/>
      <c r="QF42" s="22"/>
      <c r="QG42" s="22"/>
      <c r="QH42" s="22"/>
      <c r="QI42" s="22"/>
      <c r="QJ42" s="22"/>
      <c r="QK42" s="22"/>
      <c r="QL42" s="22"/>
      <c r="QM42" s="22"/>
      <c r="QN42" s="22"/>
      <c r="QO42" s="22"/>
      <c r="QP42" s="22"/>
      <c r="QQ42" s="22"/>
      <c r="QR42" s="22"/>
      <c r="QS42" s="22"/>
      <c r="QT42" s="22"/>
      <c r="QU42" s="22"/>
      <c r="QV42" s="22"/>
      <c r="QW42" s="22"/>
      <c r="QX42" s="22"/>
      <c r="QY42" s="22"/>
      <c r="QZ42" s="22"/>
      <c r="RA42" s="22"/>
      <c r="RB42" s="22"/>
      <c r="RC42" s="22"/>
      <c r="RD42" s="22"/>
      <c r="RE42" s="22"/>
      <c r="RF42" s="22"/>
      <c r="RG42" s="22"/>
      <c r="RH42" s="22"/>
      <c r="RI42" s="22"/>
      <c r="RJ42" s="22"/>
      <c r="RK42" s="22"/>
      <c r="RL42" s="22"/>
      <c r="RM42" s="22"/>
      <c r="RN42" s="22"/>
      <c r="RO42" s="22"/>
      <c r="RP42" s="22"/>
      <c r="RQ42" s="22"/>
      <c r="RR42" s="22"/>
      <c r="RS42" s="22"/>
      <c r="RT42" s="22"/>
      <c r="RU42" s="22"/>
      <c r="RV42" s="22"/>
      <c r="RW42" s="22"/>
      <c r="RX42" s="22"/>
      <c r="RY42" s="22"/>
      <c r="RZ42" s="22"/>
      <c r="SA42" s="22"/>
      <c r="SB42" s="22"/>
      <c r="SC42" s="22"/>
      <c r="SD42" s="22"/>
      <c r="SE42" s="22"/>
      <c r="SF42" s="22"/>
      <c r="SG42" s="22"/>
      <c r="SH42" s="22"/>
      <c r="SI42" s="22"/>
      <c r="SJ42" s="22"/>
      <c r="SK42" s="22"/>
      <c r="SL42" s="22"/>
      <c r="SM42" s="22"/>
      <c r="SN42" s="22"/>
      <c r="SO42" s="22"/>
      <c r="SP42" s="22"/>
      <c r="SQ42" s="22"/>
      <c r="SR42" s="22"/>
      <c r="SS42" s="22"/>
      <c r="ST42" s="22"/>
      <c r="SU42" s="22"/>
      <c r="SV42" s="22"/>
      <c r="SW42" s="22"/>
      <c r="SX42" s="22"/>
      <c r="SY42" s="22"/>
      <c r="SZ42" s="22"/>
      <c r="TA42" s="22"/>
      <c r="TB42" s="22"/>
      <c r="TC42" s="22"/>
      <c r="TD42" s="22"/>
      <c r="TE42" s="22"/>
      <c r="TF42" s="22"/>
      <c r="TG42" s="22"/>
      <c r="TH42" s="22"/>
      <c r="TI42" s="22"/>
      <c r="TJ42" s="22"/>
      <c r="TK42" s="22"/>
      <c r="TL42" s="22"/>
      <c r="TM42" s="22"/>
      <c r="TN42" s="22"/>
      <c r="TO42" s="22"/>
      <c r="TP42" s="22"/>
      <c r="TQ42" s="22"/>
      <c r="TR42" s="22"/>
      <c r="TS42" s="22"/>
      <c r="TT42" s="22"/>
      <c r="TU42" s="22"/>
      <c r="TV42" s="22"/>
      <c r="TW42" s="22"/>
      <c r="TX42" s="22"/>
      <c r="TY42" s="22"/>
      <c r="TZ42" s="22"/>
      <c r="UA42" s="22"/>
      <c r="UB42" s="22"/>
      <c r="UC42" s="22"/>
      <c r="UD42" s="22"/>
      <c r="UE42" s="22"/>
      <c r="UF42" s="22"/>
      <c r="UG42" s="22"/>
      <c r="UH42" s="22"/>
      <c r="UI42" s="22"/>
      <c r="UJ42" s="22"/>
      <c r="UK42" s="22"/>
      <c r="UL42" s="22"/>
      <c r="UM42" s="22"/>
      <c r="UN42" s="22"/>
      <c r="UO42" s="22"/>
      <c r="UP42" s="22"/>
      <c r="UQ42" s="22"/>
      <c r="UR42" s="22"/>
      <c r="US42" s="22"/>
      <c r="UT42" s="22"/>
      <c r="UU42" s="22"/>
      <c r="UV42" s="22"/>
      <c r="UW42" s="22"/>
      <c r="UX42" s="22"/>
      <c r="UY42" s="22"/>
      <c r="UZ42" s="22"/>
      <c r="VA42" s="22"/>
      <c r="VB42" s="22"/>
      <c r="VC42" s="22"/>
      <c r="VD42" s="22"/>
      <c r="VE42" s="22"/>
      <c r="VF42" s="22"/>
      <c r="VG42" s="22"/>
      <c r="VH42" s="22"/>
      <c r="VI42" s="22"/>
      <c r="VJ42" s="22"/>
      <c r="VK42" s="22"/>
      <c r="VL42" s="22"/>
      <c r="VM42" s="22"/>
      <c r="VN42" s="22"/>
      <c r="VO42" s="22"/>
      <c r="VP42" s="22"/>
      <c r="VQ42" s="22"/>
      <c r="VR42" s="22"/>
      <c r="VS42" s="22"/>
      <c r="VT42" s="22"/>
      <c r="VU42" s="22"/>
      <c r="VV42" s="22"/>
      <c r="VW42" s="22"/>
      <c r="VX42" s="22"/>
      <c r="VY42" s="22"/>
      <c r="VZ42" s="22"/>
      <c r="WA42" s="22"/>
      <c r="WB42" s="22"/>
      <c r="WC42" s="22"/>
      <c r="WD42" s="22"/>
      <c r="WE42" s="22"/>
      <c r="WF42" s="22"/>
      <c r="WG42" s="22"/>
      <c r="WH42" s="22"/>
      <c r="WI42" s="22"/>
      <c r="WJ42" s="22"/>
      <c r="WK42" s="22"/>
      <c r="WL42" s="22"/>
      <c r="WM42" s="22"/>
      <c r="WN42" s="22"/>
      <c r="WO42" s="22"/>
      <c r="WP42" s="22"/>
      <c r="WQ42" s="22"/>
      <c r="WR42" s="22"/>
      <c r="WS42" s="22"/>
      <c r="WT42" s="22"/>
      <c r="WU42" s="22"/>
      <c r="WV42" s="22"/>
      <c r="WW42" s="22"/>
      <c r="WX42" s="22"/>
      <c r="WY42" s="22"/>
      <c r="WZ42" s="22"/>
      <c r="XA42" s="22"/>
      <c r="XB42" s="22"/>
      <c r="XC42" s="22"/>
      <c r="XD42" s="22"/>
      <c r="XE42" s="22"/>
      <c r="XF42" s="22"/>
      <c r="XG42" s="22"/>
      <c r="XH42" s="22"/>
      <c r="XI42" s="22"/>
      <c r="XJ42" s="22"/>
      <c r="XK42" s="22"/>
      <c r="XL42" s="22"/>
      <c r="XM42" s="22"/>
      <c r="XN42" s="22"/>
      <c r="XO42" s="22"/>
      <c r="XP42" s="22"/>
      <c r="XQ42" s="22"/>
      <c r="XR42" s="22"/>
      <c r="XS42" s="22"/>
      <c r="XT42" s="22"/>
      <c r="XU42" s="22"/>
      <c r="XV42" s="22"/>
      <c r="XW42" s="22"/>
      <c r="XX42" s="22"/>
      <c r="XY42" s="22"/>
      <c r="XZ42" s="22"/>
      <c r="YA42" s="22"/>
      <c r="YB42" s="22"/>
      <c r="YC42" s="22"/>
      <c r="YD42" s="22"/>
      <c r="YE42" s="22"/>
      <c r="YF42" s="22"/>
      <c r="YG42" s="22"/>
      <c r="YH42" s="22"/>
      <c r="YI42" s="22"/>
      <c r="YJ42" s="22"/>
      <c r="YK42" s="22"/>
      <c r="YL42" s="22"/>
      <c r="YM42" s="22"/>
      <c r="YN42" s="22"/>
      <c r="YO42" s="22"/>
      <c r="YP42" s="22"/>
      <c r="YQ42" s="22"/>
      <c r="YR42" s="22"/>
      <c r="YS42" s="22"/>
      <c r="YT42" s="22"/>
      <c r="YU42" s="22"/>
      <c r="YV42" s="22"/>
      <c r="YW42" s="22"/>
      <c r="YX42" s="22"/>
      <c r="YY42" s="22"/>
      <c r="YZ42" s="22"/>
      <c r="ZA42" s="22"/>
      <c r="ZB42" s="22"/>
      <c r="ZC42" s="22"/>
      <c r="ZD42" s="22"/>
      <c r="ZE42" s="22"/>
      <c r="ZF42" s="22"/>
      <c r="ZG42" s="22"/>
      <c r="ZH42" s="22"/>
      <c r="ZI42" s="22"/>
      <c r="ZJ42" s="22"/>
      <c r="ZK42" s="22"/>
      <c r="ZL42" s="22"/>
      <c r="ZM42" s="22"/>
      <c r="ZN42" s="22"/>
      <c r="ZO42" s="22"/>
      <c r="ZP42" s="22"/>
      <c r="ZQ42" s="22"/>
      <c r="ZR42" s="22"/>
      <c r="ZS42" s="22"/>
      <c r="ZT42" s="22"/>
      <c r="ZU42" s="22"/>
      <c r="ZV42" s="22"/>
      <c r="ZW42" s="22"/>
      <c r="ZX42" s="22"/>
      <c r="ZY42" s="22"/>
      <c r="ZZ42" s="22"/>
      <c r="AAA42" s="22"/>
      <c r="AAB42" s="22"/>
      <c r="AAC42" s="22"/>
      <c r="AAD42" s="22"/>
      <c r="AAE42" s="22"/>
      <c r="AAF42" s="22"/>
      <c r="AAG42" s="22"/>
      <c r="AAH42" s="22"/>
      <c r="AAI42" s="22"/>
      <c r="AAJ42" s="22"/>
      <c r="AAK42" s="22"/>
      <c r="AAL42" s="22"/>
      <c r="AAM42" s="22"/>
      <c r="AAN42" s="22"/>
      <c r="AAO42" s="22"/>
      <c r="AAP42" s="22"/>
      <c r="AAQ42" s="22"/>
      <c r="AAR42" s="22"/>
      <c r="AAS42" s="22"/>
      <c r="AAT42" s="22"/>
      <c r="AAU42" s="22"/>
      <c r="AAV42" s="22"/>
      <c r="AAW42" s="22"/>
      <c r="AAX42" s="22"/>
      <c r="AAY42" s="22"/>
      <c r="AAZ42" s="22"/>
      <c r="ABA42" s="22"/>
      <c r="ABB42" s="22"/>
      <c r="ABC42" s="22"/>
      <c r="ABD42" s="22"/>
      <c r="ABE42" s="22"/>
      <c r="ABF42" s="22"/>
      <c r="ABG42" s="22"/>
      <c r="ABH42" s="22"/>
      <c r="ABI42" s="22"/>
      <c r="ABJ42" s="22"/>
      <c r="ABK42" s="22"/>
      <c r="ABL42" s="22"/>
      <c r="ABM42" s="22"/>
      <c r="ABN42" s="22"/>
      <c r="ABO42" s="22"/>
      <c r="ABP42" s="22"/>
      <c r="ABQ42" s="22"/>
      <c r="ABR42" s="22"/>
      <c r="ABS42" s="22"/>
      <c r="ABT42" s="22"/>
      <c r="ABU42" s="22"/>
      <c r="ABV42" s="22"/>
      <c r="ABW42" s="22"/>
      <c r="ABX42" s="22"/>
      <c r="ABY42" s="22"/>
      <c r="ABZ42" s="22"/>
      <c r="ACA42" s="22"/>
      <c r="ACB42" s="22"/>
      <c r="ACC42" s="22"/>
      <c r="ACD42" s="22"/>
      <c r="ACE42" s="22"/>
      <c r="ACF42" s="22"/>
      <c r="ACG42" s="22"/>
      <c r="ACH42" s="22"/>
      <c r="ACI42" s="22"/>
      <c r="ACJ42" s="22"/>
      <c r="ACK42" s="22"/>
      <c r="ACL42" s="22"/>
      <c r="ACM42" s="22"/>
      <c r="ACN42" s="22"/>
      <c r="ACO42" s="22"/>
      <c r="ACP42" s="22"/>
      <c r="ACQ42" s="22"/>
      <c r="ACR42" s="22"/>
      <c r="ACS42" s="22"/>
      <c r="ACT42" s="22"/>
      <c r="ACU42" s="22"/>
      <c r="ACV42" s="22"/>
      <c r="ACW42" s="22"/>
      <c r="ACX42" s="22"/>
      <c r="ACY42" s="22"/>
      <c r="ACZ42" s="22"/>
      <c r="ADA42" s="22"/>
      <c r="ADB42" s="22"/>
      <c r="ADC42" s="22"/>
      <c r="ADD42" s="22"/>
      <c r="ADE42" s="22"/>
      <c r="ADF42" s="22"/>
      <c r="ADG42" s="22"/>
      <c r="ADH42" s="22"/>
      <c r="ADI42" s="22"/>
      <c r="ADJ42" s="22"/>
      <c r="ADK42" s="22"/>
      <c r="ADL42" s="22"/>
      <c r="ADM42" s="22"/>
      <c r="ADN42" s="22"/>
      <c r="ADO42" s="22"/>
      <c r="ADP42" s="22"/>
      <c r="ADQ42" s="22"/>
      <c r="ADR42" s="22"/>
      <c r="ADS42" s="22"/>
      <c r="ADT42" s="22"/>
      <c r="ADU42" s="22"/>
      <c r="ADV42" s="22"/>
      <c r="ADW42" s="22"/>
      <c r="ADX42" s="22"/>
      <c r="ADY42" s="22"/>
      <c r="ADZ42" s="22"/>
      <c r="AEA42" s="22"/>
      <c r="AEB42" s="22"/>
      <c r="AEC42" s="22"/>
      <c r="AED42" s="22"/>
      <c r="AEE42" s="22"/>
      <c r="AEF42" s="22"/>
      <c r="AEG42" s="22"/>
      <c r="AEH42" s="22"/>
      <c r="AEI42" s="22"/>
      <c r="AEJ42" s="22"/>
      <c r="AEK42" s="22"/>
      <c r="AEL42" s="22"/>
      <c r="AEM42" s="22"/>
      <c r="AEN42" s="22"/>
      <c r="AEO42" s="22"/>
      <c r="AEP42" s="22"/>
      <c r="AEQ42" s="22"/>
      <c r="AER42" s="22"/>
      <c r="AES42" s="22"/>
      <c r="AET42" s="22"/>
      <c r="AEU42" s="22"/>
      <c r="AEV42" s="22"/>
      <c r="AEW42" s="22"/>
      <c r="AEX42" s="22"/>
      <c r="AEY42" s="22"/>
      <c r="AEZ42" s="22"/>
      <c r="AFA42" s="22"/>
      <c r="AFB42" s="22"/>
      <c r="AFC42" s="22"/>
      <c r="AFD42" s="22"/>
      <c r="AFE42" s="22"/>
      <c r="AFF42" s="22"/>
      <c r="AFG42" s="22"/>
      <c r="AFH42" s="22"/>
      <c r="AFI42" s="22"/>
      <c r="AFJ42" s="22"/>
      <c r="AFK42" s="22"/>
      <c r="AFL42" s="22"/>
      <c r="AFM42" s="22"/>
      <c r="AFN42" s="22"/>
      <c r="AFO42" s="22"/>
      <c r="AFP42" s="22"/>
      <c r="AFQ42" s="22"/>
      <c r="AFR42" s="22"/>
      <c r="AFS42" s="22"/>
      <c r="AFT42" s="22"/>
      <c r="AFU42" s="22"/>
      <c r="AFV42" s="22"/>
      <c r="AFW42" s="22"/>
      <c r="AFX42" s="22"/>
      <c r="AFY42" s="22"/>
      <c r="AFZ42" s="22"/>
      <c r="AGA42" s="22"/>
      <c r="AGB42" s="22"/>
      <c r="AGC42" s="22"/>
      <c r="AGD42" s="22"/>
      <c r="AGE42" s="22"/>
      <c r="AGF42" s="22"/>
      <c r="AGG42" s="22"/>
      <c r="AGH42" s="22"/>
      <c r="AGI42" s="22"/>
      <c r="AGJ42" s="22"/>
      <c r="AGK42" s="22"/>
      <c r="AGL42" s="22"/>
      <c r="AGM42" s="22"/>
      <c r="AGN42" s="22"/>
      <c r="AGO42" s="22"/>
      <c r="AGP42" s="22"/>
      <c r="AGQ42" s="22"/>
      <c r="AGR42" s="22"/>
      <c r="AGS42" s="22"/>
      <c r="AGT42" s="22"/>
      <c r="AGU42" s="22"/>
      <c r="AGV42" s="22"/>
      <c r="AGW42" s="22"/>
      <c r="AGX42" s="22"/>
      <c r="AGY42" s="22"/>
      <c r="AGZ42" s="22"/>
      <c r="AHA42" s="22"/>
      <c r="AHB42" s="22"/>
      <c r="AHC42" s="22"/>
      <c r="AHD42" s="22"/>
      <c r="AHE42" s="22"/>
      <c r="AHF42" s="22"/>
      <c r="AHG42" s="22"/>
      <c r="AHH42" s="22"/>
      <c r="AHI42" s="22"/>
      <c r="AHJ42" s="22"/>
      <c r="AHK42" s="22"/>
      <c r="AHL42" s="22"/>
      <c r="AHM42" s="22"/>
      <c r="AHN42" s="22"/>
      <c r="AHO42" s="22"/>
      <c r="AHP42" s="22"/>
      <c r="AHQ42" s="22"/>
      <c r="AHR42" s="22"/>
      <c r="AHS42" s="22"/>
      <c r="AHT42" s="22"/>
      <c r="AHU42" s="22"/>
      <c r="AHV42" s="22"/>
      <c r="AHW42" s="22"/>
      <c r="AHX42" s="22"/>
      <c r="AHY42" s="22"/>
      <c r="AHZ42" s="22"/>
      <c r="AIA42" s="22"/>
      <c r="AIB42" s="22"/>
      <c r="AIC42" s="22"/>
      <c r="AID42" s="22"/>
      <c r="AIE42" s="22"/>
      <c r="AIF42" s="22"/>
      <c r="AIG42" s="22"/>
      <c r="AIH42" s="22"/>
      <c r="AII42" s="22"/>
      <c r="AIJ42" s="22"/>
      <c r="AIK42" s="22"/>
      <c r="AIL42" s="22"/>
      <c r="AIM42" s="22"/>
      <c r="AIN42" s="22"/>
      <c r="AIO42" s="22"/>
      <c r="AIP42" s="22"/>
      <c r="AIQ42" s="22"/>
      <c r="AIR42" s="22"/>
      <c r="AIS42" s="22"/>
      <c r="AIT42" s="22"/>
      <c r="AIU42" s="22"/>
      <c r="AIV42" s="22"/>
      <c r="AIW42" s="22"/>
      <c r="AIX42" s="22"/>
      <c r="AIY42" s="22"/>
      <c r="AIZ42" s="22"/>
      <c r="AJA42" s="22"/>
      <c r="AJB42" s="22"/>
      <c r="AJC42" s="22"/>
      <c r="AJD42" s="22"/>
      <c r="AJE42" s="22"/>
      <c r="AJF42" s="22"/>
      <c r="AJG42" s="22"/>
      <c r="AJH42" s="22"/>
      <c r="AJI42" s="22"/>
      <c r="AJJ42" s="22"/>
      <c r="AJK42" s="22"/>
      <c r="AJL42" s="22"/>
      <c r="AJM42" s="22"/>
      <c r="AJN42" s="22"/>
      <c r="AJO42" s="22"/>
      <c r="AJP42" s="22"/>
      <c r="AJQ42" s="22"/>
      <c r="AJR42" s="22"/>
      <c r="AJS42" s="22"/>
      <c r="AJT42" s="22"/>
      <c r="AJU42" s="22"/>
      <c r="AJV42" s="22"/>
      <c r="AJW42" s="22"/>
      <c r="AJX42" s="22"/>
      <c r="AJY42" s="22"/>
      <c r="AJZ42" s="22"/>
      <c r="AKA42" s="22"/>
      <c r="AKB42" s="22"/>
      <c r="AKC42" s="22"/>
      <c r="AKD42" s="22"/>
      <c r="AKE42" s="22"/>
      <c r="AKF42" s="22"/>
      <c r="AKG42" s="22"/>
      <c r="AKH42" s="22"/>
      <c r="AKI42" s="22"/>
      <c r="AKJ42" s="22"/>
      <c r="AKK42" s="22"/>
      <c r="AKL42" s="22"/>
      <c r="AKM42" s="22"/>
      <c r="AKN42" s="22"/>
      <c r="AKO42" s="22"/>
      <c r="AKP42" s="22"/>
      <c r="AKQ42" s="22"/>
      <c r="AKR42" s="22"/>
      <c r="AKS42" s="22"/>
      <c r="AKT42" s="22"/>
      <c r="AKU42" s="22"/>
      <c r="AKV42" s="22"/>
      <c r="AKW42" s="22"/>
      <c r="AKX42" s="22"/>
      <c r="AKY42" s="22"/>
      <c r="AKZ42" s="22"/>
      <c r="ALA42" s="22"/>
      <c r="ALB42" s="22"/>
      <c r="ALC42" s="22"/>
      <c r="ALD42" s="22"/>
      <c r="ALE42" s="22"/>
      <c r="ALF42" s="22"/>
      <c r="ALG42" s="22"/>
      <c r="ALH42" s="22"/>
      <c r="ALI42" s="22"/>
      <c r="ALJ42" s="22"/>
      <c r="ALK42" s="22"/>
      <c r="ALL42" s="22"/>
      <c r="ALM42" s="22"/>
      <c r="ALN42" s="22"/>
      <c r="ALO42" s="22"/>
      <c r="ALP42" s="22"/>
      <c r="ALQ42" s="22"/>
      <c r="ALR42" s="22"/>
    </row>
    <row r="43" spans="6:1006" x14ac:dyDescent="0.2">
      <c r="F43" s="21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  <c r="IZ43" s="22"/>
      <c r="JA43" s="22"/>
      <c r="JB43" s="22"/>
      <c r="JC43" s="22"/>
      <c r="JD43" s="22"/>
      <c r="JE43" s="22"/>
      <c r="JF43" s="22"/>
      <c r="JG43" s="22"/>
      <c r="JH43" s="22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2"/>
      <c r="LK43" s="22"/>
      <c r="LL43" s="22"/>
      <c r="LM43" s="22"/>
      <c r="LN43" s="22"/>
      <c r="LO43" s="22"/>
      <c r="LP43" s="22"/>
      <c r="LQ43" s="22"/>
      <c r="LR43" s="22"/>
      <c r="LS43" s="22"/>
      <c r="LT43" s="22"/>
      <c r="LU43" s="22"/>
      <c r="LV43" s="22"/>
      <c r="LW43" s="22"/>
      <c r="LX43" s="22"/>
      <c r="LY43" s="22"/>
      <c r="LZ43" s="22"/>
      <c r="MA43" s="22"/>
      <c r="MB43" s="22"/>
      <c r="MC43" s="22"/>
      <c r="MD43" s="22"/>
      <c r="ME43" s="22"/>
      <c r="MF43" s="22"/>
      <c r="MG43" s="22"/>
      <c r="MH43" s="22"/>
      <c r="MI43" s="22"/>
      <c r="MJ43" s="22"/>
      <c r="MK43" s="22"/>
      <c r="ML43" s="22"/>
      <c r="MM43" s="22"/>
      <c r="MN43" s="22"/>
      <c r="MO43" s="22"/>
      <c r="MP43" s="22"/>
      <c r="MQ43" s="22"/>
      <c r="MR43" s="22"/>
      <c r="MS43" s="22"/>
      <c r="MT43" s="22"/>
      <c r="MU43" s="22"/>
      <c r="MV43" s="22"/>
      <c r="MW43" s="22"/>
      <c r="MX43" s="22"/>
      <c r="MY43" s="22"/>
      <c r="MZ43" s="22"/>
      <c r="NA43" s="22"/>
      <c r="NB43" s="22"/>
      <c r="NC43" s="22"/>
      <c r="ND43" s="22"/>
      <c r="NE43" s="22"/>
      <c r="NF43" s="22"/>
      <c r="NG43" s="22"/>
      <c r="NH43" s="22"/>
      <c r="NI43" s="22"/>
      <c r="NJ43" s="22"/>
      <c r="NK43" s="22"/>
      <c r="NL43" s="22"/>
      <c r="NM43" s="22"/>
      <c r="NN43" s="22"/>
      <c r="NO43" s="22"/>
      <c r="NP43" s="22"/>
      <c r="NQ43" s="22"/>
      <c r="NR43" s="22"/>
      <c r="NS43" s="22"/>
      <c r="NT43" s="22"/>
      <c r="NU43" s="22"/>
      <c r="NV43" s="22"/>
      <c r="NW43" s="22"/>
      <c r="NX43" s="22"/>
      <c r="NY43" s="22"/>
      <c r="NZ43" s="22"/>
      <c r="OA43" s="22"/>
      <c r="OB43" s="22"/>
      <c r="OC43" s="22"/>
      <c r="OD43" s="22"/>
      <c r="OE43" s="22"/>
      <c r="OF43" s="22"/>
      <c r="OG43" s="22"/>
      <c r="OH43" s="22"/>
      <c r="OI43" s="22"/>
      <c r="OJ43" s="22"/>
      <c r="OK43" s="22"/>
      <c r="OL43" s="22"/>
      <c r="OM43" s="22"/>
      <c r="ON43" s="22"/>
      <c r="OO43" s="22"/>
      <c r="OP43" s="22"/>
      <c r="OQ43" s="22"/>
      <c r="OR43" s="22"/>
      <c r="OS43" s="22"/>
      <c r="OT43" s="22"/>
      <c r="OU43" s="22"/>
      <c r="OV43" s="22"/>
      <c r="OW43" s="22"/>
      <c r="OX43" s="22"/>
      <c r="OY43" s="22"/>
      <c r="OZ43" s="22"/>
      <c r="PA43" s="22"/>
      <c r="PB43" s="22"/>
      <c r="PC43" s="22"/>
      <c r="PD43" s="22"/>
      <c r="PE43" s="22"/>
      <c r="PF43" s="22"/>
      <c r="PG43" s="22"/>
      <c r="PH43" s="22"/>
      <c r="PI43" s="22"/>
      <c r="PJ43" s="22"/>
      <c r="PK43" s="22"/>
      <c r="PL43" s="22"/>
      <c r="PM43" s="22"/>
      <c r="PN43" s="22"/>
      <c r="PO43" s="22"/>
      <c r="PP43" s="22"/>
      <c r="PQ43" s="22"/>
      <c r="PR43" s="22"/>
      <c r="PS43" s="22"/>
      <c r="PT43" s="22"/>
      <c r="PU43" s="22"/>
      <c r="PV43" s="22"/>
      <c r="PW43" s="22"/>
      <c r="PX43" s="22"/>
      <c r="PY43" s="22"/>
      <c r="PZ43" s="22"/>
      <c r="QA43" s="22"/>
      <c r="QB43" s="22"/>
      <c r="QC43" s="22"/>
      <c r="QD43" s="22"/>
      <c r="QE43" s="22"/>
      <c r="QF43" s="22"/>
      <c r="QG43" s="22"/>
      <c r="QH43" s="22"/>
      <c r="QI43" s="22"/>
      <c r="QJ43" s="22"/>
      <c r="QK43" s="22"/>
      <c r="QL43" s="22"/>
      <c r="QM43" s="22"/>
      <c r="QN43" s="22"/>
      <c r="QO43" s="22"/>
      <c r="QP43" s="22"/>
      <c r="QQ43" s="22"/>
      <c r="QR43" s="22"/>
      <c r="QS43" s="22"/>
      <c r="QT43" s="22"/>
      <c r="QU43" s="22"/>
      <c r="QV43" s="22"/>
      <c r="QW43" s="22"/>
      <c r="QX43" s="22"/>
      <c r="QY43" s="22"/>
      <c r="QZ43" s="22"/>
      <c r="RA43" s="22"/>
      <c r="RB43" s="22"/>
      <c r="RC43" s="22"/>
      <c r="RD43" s="22"/>
      <c r="RE43" s="22"/>
      <c r="RF43" s="22"/>
      <c r="RG43" s="22"/>
      <c r="RH43" s="22"/>
      <c r="RI43" s="22"/>
      <c r="RJ43" s="22"/>
      <c r="RK43" s="22"/>
      <c r="RL43" s="22"/>
      <c r="RM43" s="22"/>
      <c r="RN43" s="22"/>
      <c r="RO43" s="22"/>
      <c r="RP43" s="22"/>
      <c r="RQ43" s="22"/>
      <c r="RR43" s="22"/>
      <c r="RS43" s="22"/>
      <c r="RT43" s="22"/>
      <c r="RU43" s="22"/>
      <c r="RV43" s="22"/>
      <c r="RW43" s="22"/>
      <c r="RX43" s="22"/>
      <c r="RY43" s="22"/>
      <c r="RZ43" s="22"/>
      <c r="SA43" s="22"/>
      <c r="SB43" s="22"/>
      <c r="SC43" s="22"/>
      <c r="SD43" s="22"/>
      <c r="SE43" s="22"/>
      <c r="SF43" s="22"/>
      <c r="SG43" s="22"/>
      <c r="SH43" s="22"/>
      <c r="SI43" s="22"/>
      <c r="SJ43" s="22"/>
      <c r="SK43" s="22"/>
      <c r="SL43" s="22"/>
      <c r="SM43" s="22"/>
      <c r="SN43" s="22"/>
      <c r="SO43" s="22"/>
      <c r="SP43" s="22"/>
      <c r="SQ43" s="22"/>
      <c r="SR43" s="22"/>
      <c r="SS43" s="22"/>
      <c r="ST43" s="22"/>
      <c r="SU43" s="22"/>
      <c r="SV43" s="22"/>
      <c r="SW43" s="22"/>
      <c r="SX43" s="22"/>
      <c r="SY43" s="22"/>
      <c r="SZ43" s="22"/>
      <c r="TA43" s="22"/>
      <c r="TB43" s="22"/>
      <c r="TC43" s="22"/>
      <c r="TD43" s="22"/>
      <c r="TE43" s="22"/>
      <c r="TF43" s="22"/>
      <c r="TG43" s="22"/>
      <c r="TH43" s="22"/>
      <c r="TI43" s="22"/>
      <c r="TJ43" s="22"/>
      <c r="TK43" s="22"/>
      <c r="TL43" s="22"/>
      <c r="TM43" s="22"/>
      <c r="TN43" s="22"/>
      <c r="TO43" s="22"/>
      <c r="TP43" s="22"/>
      <c r="TQ43" s="22"/>
      <c r="TR43" s="22"/>
      <c r="TS43" s="22"/>
      <c r="TT43" s="22"/>
      <c r="TU43" s="22"/>
      <c r="TV43" s="22"/>
      <c r="TW43" s="22"/>
      <c r="TX43" s="22"/>
      <c r="TY43" s="22"/>
      <c r="TZ43" s="22"/>
      <c r="UA43" s="22"/>
      <c r="UB43" s="22"/>
      <c r="UC43" s="22"/>
      <c r="UD43" s="22"/>
      <c r="UE43" s="22"/>
      <c r="UF43" s="22"/>
      <c r="UG43" s="22"/>
      <c r="UH43" s="22"/>
      <c r="UI43" s="22"/>
      <c r="UJ43" s="22"/>
      <c r="UK43" s="22"/>
      <c r="UL43" s="22"/>
      <c r="UM43" s="22"/>
      <c r="UN43" s="22"/>
      <c r="UO43" s="22"/>
      <c r="UP43" s="22"/>
      <c r="UQ43" s="22"/>
      <c r="UR43" s="22"/>
      <c r="US43" s="22"/>
      <c r="UT43" s="22"/>
      <c r="UU43" s="22"/>
      <c r="UV43" s="22"/>
      <c r="UW43" s="22"/>
      <c r="UX43" s="22"/>
      <c r="UY43" s="22"/>
      <c r="UZ43" s="22"/>
      <c r="VA43" s="22"/>
      <c r="VB43" s="22"/>
      <c r="VC43" s="22"/>
      <c r="VD43" s="22"/>
      <c r="VE43" s="22"/>
      <c r="VF43" s="22"/>
      <c r="VG43" s="22"/>
      <c r="VH43" s="22"/>
      <c r="VI43" s="22"/>
      <c r="VJ43" s="22"/>
      <c r="VK43" s="22"/>
      <c r="VL43" s="22"/>
      <c r="VM43" s="22"/>
      <c r="VN43" s="22"/>
      <c r="VO43" s="22"/>
      <c r="VP43" s="22"/>
      <c r="VQ43" s="22"/>
      <c r="VR43" s="22"/>
      <c r="VS43" s="22"/>
      <c r="VT43" s="22"/>
      <c r="VU43" s="22"/>
      <c r="VV43" s="22"/>
      <c r="VW43" s="22"/>
      <c r="VX43" s="22"/>
      <c r="VY43" s="22"/>
      <c r="VZ43" s="22"/>
      <c r="WA43" s="22"/>
      <c r="WB43" s="22"/>
      <c r="WC43" s="22"/>
      <c r="WD43" s="22"/>
      <c r="WE43" s="22"/>
      <c r="WF43" s="22"/>
      <c r="WG43" s="22"/>
      <c r="WH43" s="22"/>
      <c r="WI43" s="22"/>
      <c r="WJ43" s="22"/>
      <c r="WK43" s="22"/>
      <c r="WL43" s="22"/>
      <c r="WM43" s="22"/>
      <c r="WN43" s="22"/>
      <c r="WO43" s="22"/>
      <c r="WP43" s="22"/>
      <c r="WQ43" s="22"/>
      <c r="WR43" s="22"/>
      <c r="WS43" s="22"/>
      <c r="WT43" s="22"/>
      <c r="WU43" s="22"/>
      <c r="WV43" s="22"/>
      <c r="WW43" s="22"/>
      <c r="WX43" s="22"/>
      <c r="WY43" s="22"/>
      <c r="WZ43" s="22"/>
      <c r="XA43" s="22"/>
      <c r="XB43" s="22"/>
      <c r="XC43" s="22"/>
      <c r="XD43" s="22"/>
      <c r="XE43" s="22"/>
      <c r="XF43" s="22"/>
      <c r="XG43" s="22"/>
      <c r="XH43" s="22"/>
      <c r="XI43" s="22"/>
      <c r="XJ43" s="22"/>
      <c r="XK43" s="22"/>
      <c r="XL43" s="22"/>
      <c r="XM43" s="22"/>
      <c r="XN43" s="22"/>
      <c r="XO43" s="22"/>
      <c r="XP43" s="22"/>
      <c r="XQ43" s="22"/>
      <c r="XR43" s="22"/>
      <c r="XS43" s="22"/>
      <c r="XT43" s="22"/>
      <c r="XU43" s="22"/>
      <c r="XV43" s="22"/>
      <c r="XW43" s="22"/>
      <c r="XX43" s="22"/>
      <c r="XY43" s="22"/>
      <c r="XZ43" s="22"/>
      <c r="YA43" s="22"/>
      <c r="YB43" s="22"/>
      <c r="YC43" s="22"/>
      <c r="YD43" s="22"/>
      <c r="YE43" s="22"/>
      <c r="YF43" s="22"/>
      <c r="YG43" s="22"/>
      <c r="YH43" s="22"/>
      <c r="YI43" s="22"/>
      <c r="YJ43" s="22"/>
      <c r="YK43" s="22"/>
      <c r="YL43" s="22"/>
      <c r="YM43" s="22"/>
      <c r="YN43" s="22"/>
      <c r="YO43" s="22"/>
      <c r="YP43" s="22"/>
      <c r="YQ43" s="22"/>
      <c r="YR43" s="22"/>
      <c r="YS43" s="22"/>
      <c r="YT43" s="22"/>
      <c r="YU43" s="22"/>
      <c r="YV43" s="22"/>
      <c r="YW43" s="22"/>
      <c r="YX43" s="22"/>
      <c r="YY43" s="22"/>
      <c r="YZ43" s="22"/>
      <c r="ZA43" s="22"/>
      <c r="ZB43" s="22"/>
      <c r="ZC43" s="22"/>
      <c r="ZD43" s="22"/>
      <c r="ZE43" s="22"/>
      <c r="ZF43" s="22"/>
      <c r="ZG43" s="22"/>
      <c r="ZH43" s="22"/>
      <c r="ZI43" s="22"/>
      <c r="ZJ43" s="22"/>
      <c r="ZK43" s="22"/>
      <c r="ZL43" s="22"/>
      <c r="ZM43" s="22"/>
      <c r="ZN43" s="22"/>
      <c r="ZO43" s="22"/>
      <c r="ZP43" s="22"/>
      <c r="ZQ43" s="22"/>
      <c r="ZR43" s="22"/>
      <c r="ZS43" s="22"/>
      <c r="ZT43" s="22"/>
      <c r="ZU43" s="22"/>
      <c r="ZV43" s="22"/>
      <c r="ZW43" s="22"/>
      <c r="ZX43" s="22"/>
      <c r="ZY43" s="22"/>
      <c r="ZZ43" s="22"/>
      <c r="AAA43" s="22"/>
      <c r="AAB43" s="22"/>
      <c r="AAC43" s="22"/>
      <c r="AAD43" s="22"/>
      <c r="AAE43" s="22"/>
      <c r="AAF43" s="22"/>
      <c r="AAG43" s="22"/>
      <c r="AAH43" s="22"/>
      <c r="AAI43" s="22"/>
      <c r="AAJ43" s="22"/>
      <c r="AAK43" s="22"/>
      <c r="AAL43" s="22"/>
      <c r="AAM43" s="22"/>
      <c r="AAN43" s="22"/>
      <c r="AAO43" s="22"/>
      <c r="AAP43" s="22"/>
      <c r="AAQ43" s="22"/>
      <c r="AAR43" s="22"/>
      <c r="AAS43" s="22"/>
      <c r="AAT43" s="22"/>
      <c r="AAU43" s="22"/>
      <c r="AAV43" s="22"/>
      <c r="AAW43" s="22"/>
      <c r="AAX43" s="22"/>
      <c r="AAY43" s="22"/>
      <c r="AAZ43" s="22"/>
      <c r="ABA43" s="22"/>
      <c r="ABB43" s="22"/>
      <c r="ABC43" s="22"/>
      <c r="ABD43" s="22"/>
      <c r="ABE43" s="22"/>
      <c r="ABF43" s="22"/>
      <c r="ABG43" s="22"/>
      <c r="ABH43" s="22"/>
      <c r="ABI43" s="22"/>
      <c r="ABJ43" s="22"/>
      <c r="ABK43" s="22"/>
      <c r="ABL43" s="22"/>
      <c r="ABM43" s="22"/>
      <c r="ABN43" s="22"/>
      <c r="ABO43" s="22"/>
      <c r="ABP43" s="22"/>
      <c r="ABQ43" s="22"/>
      <c r="ABR43" s="22"/>
      <c r="ABS43" s="22"/>
      <c r="ABT43" s="22"/>
      <c r="ABU43" s="22"/>
      <c r="ABV43" s="22"/>
      <c r="ABW43" s="22"/>
      <c r="ABX43" s="22"/>
      <c r="ABY43" s="22"/>
      <c r="ABZ43" s="22"/>
      <c r="ACA43" s="22"/>
      <c r="ACB43" s="22"/>
      <c r="ACC43" s="22"/>
      <c r="ACD43" s="22"/>
      <c r="ACE43" s="22"/>
      <c r="ACF43" s="22"/>
      <c r="ACG43" s="22"/>
      <c r="ACH43" s="22"/>
      <c r="ACI43" s="22"/>
      <c r="ACJ43" s="22"/>
      <c r="ACK43" s="22"/>
      <c r="ACL43" s="22"/>
      <c r="ACM43" s="22"/>
      <c r="ACN43" s="22"/>
      <c r="ACO43" s="22"/>
      <c r="ACP43" s="22"/>
      <c r="ACQ43" s="22"/>
      <c r="ACR43" s="22"/>
      <c r="ACS43" s="22"/>
      <c r="ACT43" s="22"/>
      <c r="ACU43" s="22"/>
      <c r="ACV43" s="22"/>
      <c r="ACW43" s="22"/>
      <c r="ACX43" s="22"/>
      <c r="ACY43" s="22"/>
      <c r="ACZ43" s="22"/>
      <c r="ADA43" s="22"/>
      <c r="ADB43" s="22"/>
      <c r="ADC43" s="22"/>
      <c r="ADD43" s="22"/>
      <c r="ADE43" s="22"/>
      <c r="ADF43" s="22"/>
      <c r="ADG43" s="22"/>
      <c r="ADH43" s="22"/>
      <c r="ADI43" s="22"/>
      <c r="ADJ43" s="22"/>
      <c r="ADK43" s="22"/>
      <c r="ADL43" s="22"/>
      <c r="ADM43" s="22"/>
      <c r="ADN43" s="22"/>
      <c r="ADO43" s="22"/>
      <c r="ADP43" s="22"/>
      <c r="ADQ43" s="22"/>
      <c r="ADR43" s="22"/>
      <c r="ADS43" s="22"/>
      <c r="ADT43" s="22"/>
      <c r="ADU43" s="22"/>
      <c r="ADV43" s="22"/>
      <c r="ADW43" s="22"/>
      <c r="ADX43" s="22"/>
      <c r="ADY43" s="22"/>
      <c r="ADZ43" s="22"/>
      <c r="AEA43" s="22"/>
      <c r="AEB43" s="22"/>
      <c r="AEC43" s="22"/>
      <c r="AED43" s="22"/>
      <c r="AEE43" s="22"/>
      <c r="AEF43" s="22"/>
      <c r="AEG43" s="22"/>
      <c r="AEH43" s="22"/>
      <c r="AEI43" s="22"/>
      <c r="AEJ43" s="22"/>
      <c r="AEK43" s="22"/>
      <c r="AEL43" s="22"/>
      <c r="AEM43" s="22"/>
      <c r="AEN43" s="22"/>
      <c r="AEO43" s="22"/>
      <c r="AEP43" s="22"/>
      <c r="AEQ43" s="22"/>
      <c r="AER43" s="22"/>
      <c r="AES43" s="22"/>
      <c r="AET43" s="22"/>
      <c r="AEU43" s="22"/>
      <c r="AEV43" s="22"/>
      <c r="AEW43" s="22"/>
      <c r="AEX43" s="22"/>
      <c r="AEY43" s="22"/>
      <c r="AEZ43" s="22"/>
      <c r="AFA43" s="22"/>
      <c r="AFB43" s="22"/>
      <c r="AFC43" s="22"/>
      <c r="AFD43" s="22"/>
      <c r="AFE43" s="22"/>
      <c r="AFF43" s="22"/>
      <c r="AFG43" s="22"/>
      <c r="AFH43" s="22"/>
      <c r="AFI43" s="22"/>
      <c r="AFJ43" s="22"/>
      <c r="AFK43" s="22"/>
      <c r="AFL43" s="22"/>
      <c r="AFM43" s="22"/>
      <c r="AFN43" s="22"/>
      <c r="AFO43" s="22"/>
      <c r="AFP43" s="22"/>
      <c r="AFQ43" s="22"/>
      <c r="AFR43" s="22"/>
      <c r="AFS43" s="22"/>
      <c r="AFT43" s="22"/>
      <c r="AFU43" s="22"/>
      <c r="AFV43" s="22"/>
      <c r="AFW43" s="22"/>
      <c r="AFX43" s="22"/>
      <c r="AFY43" s="22"/>
      <c r="AFZ43" s="22"/>
      <c r="AGA43" s="22"/>
      <c r="AGB43" s="22"/>
      <c r="AGC43" s="22"/>
      <c r="AGD43" s="22"/>
      <c r="AGE43" s="22"/>
      <c r="AGF43" s="22"/>
      <c r="AGG43" s="22"/>
      <c r="AGH43" s="22"/>
      <c r="AGI43" s="22"/>
      <c r="AGJ43" s="22"/>
      <c r="AGK43" s="22"/>
      <c r="AGL43" s="22"/>
      <c r="AGM43" s="22"/>
      <c r="AGN43" s="22"/>
      <c r="AGO43" s="22"/>
      <c r="AGP43" s="22"/>
      <c r="AGQ43" s="22"/>
      <c r="AGR43" s="22"/>
      <c r="AGS43" s="22"/>
      <c r="AGT43" s="22"/>
      <c r="AGU43" s="22"/>
      <c r="AGV43" s="22"/>
      <c r="AGW43" s="22"/>
      <c r="AGX43" s="22"/>
      <c r="AGY43" s="22"/>
      <c r="AGZ43" s="22"/>
      <c r="AHA43" s="22"/>
      <c r="AHB43" s="22"/>
      <c r="AHC43" s="22"/>
      <c r="AHD43" s="22"/>
      <c r="AHE43" s="22"/>
      <c r="AHF43" s="22"/>
      <c r="AHG43" s="22"/>
      <c r="AHH43" s="22"/>
      <c r="AHI43" s="22"/>
      <c r="AHJ43" s="22"/>
      <c r="AHK43" s="22"/>
      <c r="AHL43" s="22"/>
      <c r="AHM43" s="22"/>
      <c r="AHN43" s="22"/>
      <c r="AHO43" s="22"/>
      <c r="AHP43" s="22"/>
      <c r="AHQ43" s="22"/>
      <c r="AHR43" s="22"/>
      <c r="AHS43" s="22"/>
      <c r="AHT43" s="22"/>
      <c r="AHU43" s="22"/>
      <c r="AHV43" s="22"/>
      <c r="AHW43" s="22"/>
      <c r="AHX43" s="22"/>
      <c r="AHY43" s="22"/>
      <c r="AHZ43" s="22"/>
      <c r="AIA43" s="22"/>
      <c r="AIB43" s="22"/>
      <c r="AIC43" s="22"/>
      <c r="AID43" s="22"/>
      <c r="AIE43" s="22"/>
      <c r="AIF43" s="22"/>
      <c r="AIG43" s="22"/>
      <c r="AIH43" s="22"/>
      <c r="AII43" s="22"/>
      <c r="AIJ43" s="22"/>
      <c r="AIK43" s="22"/>
      <c r="AIL43" s="22"/>
      <c r="AIM43" s="22"/>
      <c r="AIN43" s="22"/>
      <c r="AIO43" s="22"/>
      <c r="AIP43" s="22"/>
      <c r="AIQ43" s="22"/>
      <c r="AIR43" s="22"/>
      <c r="AIS43" s="22"/>
      <c r="AIT43" s="22"/>
      <c r="AIU43" s="22"/>
      <c r="AIV43" s="22"/>
      <c r="AIW43" s="22"/>
      <c r="AIX43" s="22"/>
      <c r="AIY43" s="22"/>
      <c r="AIZ43" s="22"/>
      <c r="AJA43" s="22"/>
      <c r="AJB43" s="22"/>
      <c r="AJC43" s="22"/>
      <c r="AJD43" s="22"/>
      <c r="AJE43" s="22"/>
      <c r="AJF43" s="22"/>
      <c r="AJG43" s="22"/>
      <c r="AJH43" s="22"/>
      <c r="AJI43" s="22"/>
      <c r="AJJ43" s="22"/>
      <c r="AJK43" s="22"/>
      <c r="AJL43" s="22"/>
      <c r="AJM43" s="22"/>
      <c r="AJN43" s="22"/>
      <c r="AJO43" s="22"/>
      <c r="AJP43" s="22"/>
      <c r="AJQ43" s="22"/>
      <c r="AJR43" s="22"/>
      <c r="AJS43" s="22"/>
      <c r="AJT43" s="22"/>
      <c r="AJU43" s="22"/>
      <c r="AJV43" s="22"/>
      <c r="AJW43" s="22"/>
      <c r="AJX43" s="22"/>
      <c r="AJY43" s="22"/>
      <c r="AJZ43" s="22"/>
      <c r="AKA43" s="22"/>
      <c r="AKB43" s="22"/>
      <c r="AKC43" s="22"/>
      <c r="AKD43" s="22"/>
      <c r="AKE43" s="22"/>
      <c r="AKF43" s="22"/>
      <c r="AKG43" s="22"/>
      <c r="AKH43" s="22"/>
      <c r="AKI43" s="22"/>
      <c r="AKJ43" s="22"/>
      <c r="AKK43" s="22"/>
      <c r="AKL43" s="22"/>
      <c r="AKM43" s="22"/>
      <c r="AKN43" s="22"/>
      <c r="AKO43" s="22"/>
      <c r="AKP43" s="22"/>
      <c r="AKQ43" s="22"/>
      <c r="AKR43" s="22"/>
      <c r="AKS43" s="22"/>
      <c r="AKT43" s="22"/>
      <c r="AKU43" s="22"/>
      <c r="AKV43" s="22"/>
      <c r="AKW43" s="22"/>
      <c r="AKX43" s="22"/>
      <c r="AKY43" s="22"/>
      <c r="AKZ43" s="22"/>
      <c r="ALA43" s="22"/>
      <c r="ALB43" s="22"/>
      <c r="ALC43" s="22"/>
      <c r="ALD43" s="22"/>
      <c r="ALE43" s="22"/>
      <c r="ALF43" s="22"/>
      <c r="ALG43" s="22"/>
      <c r="ALH43" s="22"/>
      <c r="ALI43" s="22"/>
      <c r="ALJ43" s="22"/>
      <c r="ALK43" s="22"/>
      <c r="ALL43" s="22"/>
      <c r="ALM43" s="22"/>
      <c r="ALN43" s="22"/>
      <c r="ALO43" s="22"/>
      <c r="ALP43" s="22"/>
      <c r="ALQ43" s="22"/>
      <c r="ALR43" s="22"/>
    </row>
    <row r="44" spans="6:1006" x14ac:dyDescent="0.2">
      <c r="F44" s="21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  <c r="IZ44" s="22"/>
      <c r="JA44" s="22"/>
      <c r="JB44" s="22"/>
      <c r="JC44" s="22"/>
      <c r="JD44" s="22"/>
      <c r="JE44" s="22"/>
      <c r="JF44" s="22"/>
      <c r="JG44" s="22"/>
      <c r="JH44" s="22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2"/>
      <c r="LK44" s="22"/>
      <c r="LL44" s="22"/>
      <c r="LM44" s="22"/>
      <c r="LN44" s="22"/>
      <c r="LO44" s="22"/>
      <c r="LP44" s="22"/>
      <c r="LQ44" s="22"/>
      <c r="LR44" s="22"/>
      <c r="LS44" s="22"/>
      <c r="LT44" s="22"/>
      <c r="LU44" s="22"/>
      <c r="LV44" s="22"/>
      <c r="LW44" s="22"/>
      <c r="LX44" s="22"/>
      <c r="LY44" s="22"/>
      <c r="LZ44" s="22"/>
      <c r="MA44" s="22"/>
      <c r="MB44" s="22"/>
      <c r="MC44" s="22"/>
      <c r="MD44" s="22"/>
      <c r="ME44" s="22"/>
      <c r="MF44" s="22"/>
      <c r="MG44" s="22"/>
      <c r="MH44" s="22"/>
      <c r="MI44" s="22"/>
      <c r="MJ44" s="22"/>
      <c r="MK44" s="22"/>
      <c r="ML44" s="22"/>
      <c r="MM44" s="22"/>
      <c r="MN44" s="22"/>
      <c r="MO44" s="22"/>
      <c r="MP44" s="22"/>
      <c r="MQ44" s="22"/>
      <c r="MR44" s="22"/>
      <c r="MS44" s="22"/>
      <c r="MT44" s="22"/>
      <c r="MU44" s="22"/>
      <c r="MV44" s="22"/>
      <c r="MW44" s="22"/>
      <c r="MX44" s="22"/>
      <c r="MY44" s="22"/>
      <c r="MZ44" s="22"/>
      <c r="NA44" s="22"/>
      <c r="NB44" s="22"/>
      <c r="NC44" s="22"/>
      <c r="ND44" s="22"/>
      <c r="NE44" s="22"/>
      <c r="NF44" s="22"/>
      <c r="NG44" s="22"/>
      <c r="NH44" s="22"/>
      <c r="NI44" s="22"/>
      <c r="NJ44" s="22"/>
      <c r="NK44" s="22"/>
      <c r="NL44" s="22"/>
      <c r="NM44" s="22"/>
      <c r="NN44" s="22"/>
      <c r="NO44" s="22"/>
      <c r="NP44" s="22"/>
      <c r="NQ44" s="22"/>
      <c r="NR44" s="22"/>
      <c r="NS44" s="22"/>
      <c r="NT44" s="22"/>
      <c r="NU44" s="22"/>
      <c r="NV44" s="22"/>
      <c r="NW44" s="22"/>
      <c r="NX44" s="22"/>
      <c r="NY44" s="22"/>
      <c r="NZ44" s="22"/>
      <c r="OA44" s="22"/>
      <c r="OB44" s="22"/>
      <c r="OC44" s="22"/>
      <c r="OD44" s="22"/>
      <c r="OE44" s="22"/>
      <c r="OF44" s="22"/>
      <c r="OG44" s="22"/>
      <c r="OH44" s="22"/>
      <c r="OI44" s="22"/>
      <c r="OJ44" s="22"/>
      <c r="OK44" s="22"/>
      <c r="OL44" s="22"/>
      <c r="OM44" s="22"/>
      <c r="ON44" s="22"/>
      <c r="OO44" s="22"/>
      <c r="OP44" s="22"/>
      <c r="OQ44" s="22"/>
      <c r="OR44" s="22"/>
      <c r="OS44" s="22"/>
      <c r="OT44" s="22"/>
      <c r="OU44" s="22"/>
      <c r="OV44" s="22"/>
      <c r="OW44" s="22"/>
      <c r="OX44" s="22"/>
      <c r="OY44" s="22"/>
      <c r="OZ44" s="22"/>
      <c r="PA44" s="22"/>
      <c r="PB44" s="22"/>
      <c r="PC44" s="22"/>
      <c r="PD44" s="22"/>
      <c r="PE44" s="22"/>
      <c r="PF44" s="22"/>
      <c r="PG44" s="22"/>
      <c r="PH44" s="22"/>
      <c r="PI44" s="22"/>
      <c r="PJ44" s="22"/>
      <c r="PK44" s="22"/>
      <c r="PL44" s="22"/>
      <c r="PM44" s="22"/>
      <c r="PN44" s="22"/>
      <c r="PO44" s="22"/>
      <c r="PP44" s="22"/>
      <c r="PQ44" s="22"/>
      <c r="PR44" s="22"/>
      <c r="PS44" s="22"/>
      <c r="PT44" s="22"/>
      <c r="PU44" s="22"/>
      <c r="PV44" s="22"/>
      <c r="PW44" s="22"/>
      <c r="PX44" s="22"/>
      <c r="PY44" s="22"/>
      <c r="PZ44" s="22"/>
      <c r="QA44" s="22"/>
      <c r="QB44" s="22"/>
      <c r="QC44" s="22"/>
      <c r="QD44" s="22"/>
      <c r="QE44" s="22"/>
      <c r="QF44" s="22"/>
      <c r="QG44" s="22"/>
      <c r="QH44" s="22"/>
      <c r="QI44" s="22"/>
      <c r="QJ44" s="22"/>
      <c r="QK44" s="22"/>
      <c r="QL44" s="22"/>
      <c r="QM44" s="22"/>
      <c r="QN44" s="22"/>
      <c r="QO44" s="22"/>
      <c r="QP44" s="22"/>
      <c r="QQ44" s="22"/>
      <c r="QR44" s="22"/>
      <c r="QS44" s="22"/>
      <c r="QT44" s="22"/>
      <c r="QU44" s="22"/>
      <c r="QV44" s="22"/>
      <c r="QW44" s="22"/>
      <c r="QX44" s="22"/>
      <c r="QY44" s="22"/>
      <c r="QZ44" s="22"/>
      <c r="RA44" s="22"/>
      <c r="RB44" s="22"/>
      <c r="RC44" s="22"/>
      <c r="RD44" s="22"/>
      <c r="RE44" s="22"/>
      <c r="RF44" s="22"/>
      <c r="RG44" s="22"/>
      <c r="RH44" s="22"/>
      <c r="RI44" s="22"/>
      <c r="RJ44" s="22"/>
      <c r="RK44" s="22"/>
      <c r="RL44" s="22"/>
      <c r="RM44" s="22"/>
      <c r="RN44" s="22"/>
      <c r="RO44" s="22"/>
      <c r="RP44" s="22"/>
      <c r="RQ44" s="22"/>
      <c r="RR44" s="22"/>
      <c r="RS44" s="22"/>
      <c r="RT44" s="22"/>
      <c r="RU44" s="22"/>
      <c r="RV44" s="22"/>
      <c r="RW44" s="22"/>
      <c r="RX44" s="22"/>
      <c r="RY44" s="22"/>
      <c r="RZ44" s="22"/>
      <c r="SA44" s="22"/>
      <c r="SB44" s="22"/>
      <c r="SC44" s="22"/>
      <c r="SD44" s="22"/>
      <c r="SE44" s="22"/>
      <c r="SF44" s="22"/>
      <c r="SG44" s="22"/>
      <c r="SH44" s="22"/>
      <c r="SI44" s="22"/>
      <c r="SJ44" s="22"/>
      <c r="SK44" s="22"/>
      <c r="SL44" s="22"/>
      <c r="SM44" s="22"/>
      <c r="SN44" s="22"/>
      <c r="SO44" s="22"/>
      <c r="SP44" s="22"/>
      <c r="SQ44" s="22"/>
      <c r="SR44" s="22"/>
      <c r="SS44" s="22"/>
      <c r="ST44" s="22"/>
      <c r="SU44" s="22"/>
      <c r="SV44" s="22"/>
      <c r="SW44" s="22"/>
      <c r="SX44" s="22"/>
      <c r="SY44" s="22"/>
      <c r="SZ44" s="22"/>
      <c r="TA44" s="22"/>
      <c r="TB44" s="22"/>
      <c r="TC44" s="22"/>
      <c r="TD44" s="22"/>
      <c r="TE44" s="22"/>
      <c r="TF44" s="22"/>
      <c r="TG44" s="22"/>
      <c r="TH44" s="22"/>
      <c r="TI44" s="22"/>
      <c r="TJ44" s="22"/>
      <c r="TK44" s="22"/>
      <c r="TL44" s="22"/>
      <c r="TM44" s="22"/>
      <c r="TN44" s="22"/>
      <c r="TO44" s="22"/>
      <c r="TP44" s="22"/>
      <c r="TQ44" s="22"/>
      <c r="TR44" s="22"/>
      <c r="TS44" s="22"/>
      <c r="TT44" s="22"/>
      <c r="TU44" s="22"/>
      <c r="TV44" s="22"/>
      <c r="TW44" s="22"/>
      <c r="TX44" s="22"/>
      <c r="TY44" s="22"/>
      <c r="TZ44" s="22"/>
      <c r="UA44" s="22"/>
      <c r="UB44" s="22"/>
      <c r="UC44" s="22"/>
      <c r="UD44" s="22"/>
      <c r="UE44" s="22"/>
      <c r="UF44" s="22"/>
      <c r="UG44" s="22"/>
      <c r="UH44" s="22"/>
      <c r="UI44" s="22"/>
      <c r="UJ44" s="22"/>
      <c r="UK44" s="22"/>
      <c r="UL44" s="22"/>
      <c r="UM44" s="22"/>
      <c r="UN44" s="22"/>
      <c r="UO44" s="22"/>
      <c r="UP44" s="22"/>
      <c r="UQ44" s="22"/>
      <c r="UR44" s="22"/>
      <c r="US44" s="22"/>
      <c r="UT44" s="22"/>
      <c r="UU44" s="22"/>
      <c r="UV44" s="22"/>
      <c r="UW44" s="22"/>
      <c r="UX44" s="22"/>
      <c r="UY44" s="22"/>
      <c r="UZ44" s="22"/>
      <c r="VA44" s="22"/>
      <c r="VB44" s="22"/>
      <c r="VC44" s="22"/>
      <c r="VD44" s="22"/>
      <c r="VE44" s="22"/>
      <c r="VF44" s="22"/>
      <c r="VG44" s="22"/>
      <c r="VH44" s="22"/>
      <c r="VI44" s="22"/>
      <c r="VJ44" s="22"/>
      <c r="VK44" s="22"/>
      <c r="VL44" s="22"/>
      <c r="VM44" s="22"/>
      <c r="VN44" s="22"/>
      <c r="VO44" s="22"/>
      <c r="VP44" s="22"/>
      <c r="VQ44" s="22"/>
      <c r="VR44" s="22"/>
      <c r="VS44" s="22"/>
      <c r="VT44" s="22"/>
      <c r="VU44" s="22"/>
      <c r="VV44" s="22"/>
      <c r="VW44" s="22"/>
      <c r="VX44" s="22"/>
      <c r="VY44" s="22"/>
      <c r="VZ44" s="22"/>
      <c r="WA44" s="22"/>
      <c r="WB44" s="22"/>
      <c r="WC44" s="22"/>
      <c r="WD44" s="22"/>
      <c r="WE44" s="22"/>
      <c r="WF44" s="22"/>
      <c r="WG44" s="22"/>
      <c r="WH44" s="22"/>
      <c r="WI44" s="22"/>
      <c r="WJ44" s="22"/>
      <c r="WK44" s="22"/>
      <c r="WL44" s="22"/>
      <c r="WM44" s="22"/>
      <c r="WN44" s="22"/>
      <c r="WO44" s="22"/>
      <c r="WP44" s="22"/>
      <c r="WQ44" s="22"/>
      <c r="WR44" s="22"/>
      <c r="WS44" s="22"/>
      <c r="WT44" s="22"/>
      <c r="WU44" s="22"/>
      <c r="WV44" s="22"/>
      <c r="WW44" s="22"/>
      <c r="WX44" s="22"/>
      <c r="WY44" s="22"/>
      <c r="WZ44" s="22"/>
      <c r="XA44" s="22"/>
      <c r="XB44" s="22"/>
      <c r="XC44" s="22"/>
      <c r="XD44" s="22"/>
      <c r="XE44" s="22"/>
      <c r="XF44" s="22"/>
      <c r="XG44" s="22"/>
      <c r="XH44" s="22"/>
      <c r="XI44" s="22"/>
      <c r="XJ44" s="22"/>
      <c r="XK44" s="22"/>
      <c r="XL44" s="22"/>
      <c r="XM44" s="22"/>
      <c r="XN44" s="22"/>
      <c r="XO44" s="22"/>
      <c r="XP44" s="22"/>
      <c r="XQ44" s="22"/>
      <c r="XR44" s="22"/>
      <c r="XS44" s="22"/>
      <c r="XT44" s="22"/>
      <c r="XU44" s="22"/>
      <c r="XV44" s="22"/>
      <c r="XW44" s="22"/>
      <c r="XX44" s="22"/>
      <c r="XY44" s="22"/>
      <c r="XZ44" s="22"/>
      <c r="YA44" s="22"/>
      <c r="YB44" s="22"/>
      <c r="YC44" s="22"/>
      <c r="YD44" s="22"/>
      <c r="YE44" s="22"/>
      <c r="YF44" s="22"/>
      <c r="YG44" s="22"/>
      <c r="YH44" s="22"/>
      <c r="YI44" s="22"/>
      <c r="YJ44" s="22"/>
      <c r="YK44" s="22"/>
      <c r="YL44" s="22"/>
      <c r="YM44" s="22"/>
      <c r="YN44" s="22"/>
      <c r="YO44" s="22"/>
      <c r="YP44" s="22"/>
      <c r="YQ44" s="22"/>
      <c r="YR44" s="22"/>
      <c r="YS44" s="22"/>
      <c r="YT44" s="22"/>
      <c r="YU44" s="22"/>
      <c r="YV44" s="22"/>
      <c r="YW44" s="22"/>
      <c r="YX44" s="22"/>
      <c r="YY44" s="22"/>
      <c r="YZ44" s="22"/>
      <c r="ZA44" s="22"/>
      <c r="ZB44" s="22"/>
      <c r="ZC44" s="22"/>
      <c r="ZD44" s="22"/>
      <c r="ZE44" s="22"/>
      <c r="ZF44" s="22"/>
      <c r="ZG44" s="22"/>
      <c r="ZH44" s="22"/>
      <c r="ZI44" s="22"/>
      <c r="ZJ44" s="22"/>
      <c r="ZK44" s="22"/>
      <c r="ZL44" s="22"/>
      <c r="ZM44" s="22"/>
      <c r="ZN44" s="22"/>
      <c r="ZO44" s="22"/>
      <c r="ZP44" s="22"/>
      <c r="ZQ44" s="22"/>
      <c r="ZR44" s="22"/>
      <c r="ZS44" s="22"/>
      <c r="ZT44" s="22"/>
      <c r="ZU44" s="22"/>
      <c r="ZV44" s="22"/>
      <c r="ZW44" s="22"/>
      <c r="ZX44" s="22"/>
      <c r="ZY44" s="22"/>
      <c r="ZZ44" s="22"/>
      <c r="AAA44" s="22"/>
      <c r="AAB44" s="22"/>
      <c r="AAC44" s="22"/>
      <c r="AAD44" s="22"/>
      <c r="AAE44" s="22"/>
      <c r="AAF44" s="22"/>
      <c r="AAG44" s="22"/>
      <c r="AAH44" s="22"/>
      <c r="AAI44" s="22"/>
      <c r="AAJ44" s="22"/>
      <c r="AAK44" s="22"/>
      <c r="AAL44" s="22"/>
      <c r="AAM44" s="22"/>
      <c r="AAN44" s="22"/>
      <c r="AAO44" s="22"/>
      <c r="AAP44" s="22"/>
      <c r="AAQ44" s="22"/>
      <c r="AAR44" s="22"/>
      <c r="AAS44" s="22"/>
      <c r="AAT44" s="22"/>
      <c r="AAU44" s="22"/>
      <c r="AAV44" s="22"/>
      <c r="AAW44" s="22"/>
      <c r="AAX44" s="22"/>
      <c r="AAY44" s="22"/>
      <c r="AAZ44" s="22"/>
      <c r="ABA44" s="22"/>
      <c r="ABB44" s="22"/>
      <c r="ABC44" s="22"/>
      <c r="ABD44" s="22"/>
      <c r="ABE44" s="22"/>
      <c r="ABF44" s="22"/>
      <c r="ABG44" s="22"/>
      <c r="ABH44" s="22"/>
      <c r="ABI44" s="22"/>
      <c r="ABJ44" s="22"/>
      <c r="ABK44" s="22"/>
      <c r="ABL44" s="22"/>
      <c r="ABM44" s="22"/>
      <c r="ABN44" s="22"/>
      <c r="ABO44" s="22"/>
      <c r="ABP44" s="22"/>
      <c r="ABQ44" s="22"/>
      <c r="ABR44" s="22"/>
      <c r="ABS44" s="22"/>
      <c r="ABT44" s="22"/>
      <c r="ABU44" s="22"/>
      <c r="ABV44" s="22"/>
      <c r="ABW44" s="22"/>
      <c r="ABX44" s="22"/>
      <c r="ABY44" s="22"/>
      <c r="ABZ44" s="22"/>
      <c r="ACA44" s="22"/>
      <c r="ACB44" s="22"/>
      <c r="ACC44" s="22"/>
      <c r="ACD44" s="22"/>
      <c r="ACE44" s="22"/>
      <c r="ACF44" s="22"/>
      <c r="ACG44" s="22"/>
      <c r="ACH44" s="22"/>
      <c r="ACI44" s="22"/>
      <c r="ACJ44" s="22"/>
      <c r="ACK44" s="22"/>
      <c r="ACL44" s="22"/>
      <c r="ACM44" s="22"/>
      <c r="ACN44" s="22"/>
      <c r="ACO44" s="22"/>
      <c r="ACP44" s="22"/>
      <c r="ACQ44" s="22"/>
      <c r="ACR44" s="22"/>
      <c r="ACS44" s="22"/>
      <c r="ACT44" s="22"/>
      <c r="ACU44" s="22"/>
      <c r="ACV44" s="22"/>
      <c r="ACW44" s="22"/>
      <c r="ACX44" s="22"/>
      <c r="ACY44" s="22"/>
      <c r="ACZ44" s="22"/>
      <c r="ADA44" s="22"/>
      <c r="ADB44" s="22"/>
      <c r="ADC44" s="22"/>
      <c r="ADD44" s="22"/>
      <c r="ADE44" s="22"/>
      <c r="ADF44" s="22"/>
      <c r="ADG44" s="22"/>
      <c r="ADH44" s="22"/>
      <c r="ADI44" s="22"/>
      <c r="ADJ44" s="22"/>
      <c r="ADK44" s="22"/>
      <c r="ADL44" s="22"/>
      <c r="ADM44" s="22"/>
      <c r="ADN44" s="22"/>
      <c r="ADO44" s="22"/>
      <c r="ADP44" s="22"/>
      <c r="ADQ44" s="22"/>
      <c r="ADR44" s="22"/>
      <c r="ADS44" s="22"/>
      <c r="ADT44" s="22"/>
      <c r="ADU44" s="22"/>
      <c r="ADV44" s="22"/>
      <c r="ADW44" s="22"/>
      <c r="ADX44" s="22"/>
      <c r="ADY44" s="22"/>
      <c r="ADZ44" s="22"/>
      <c r="AEA44" s="22"/>
      <c r="AEB44" s="22"/>
      <c r="AEC44" s="22"/>
      <c r="AED44" s="22"/>
      <c r="AEE44" s="22"/>
      <c r="AEF44" s="22"/>
      <c r="AEG44" s="22"/>
      <c r="AEH44" s="22"/>
      <c r="AEI44" s="22"/>
      <c r="AEJ44" s="22"/>
      <c r="AEK44" s="22"/>
      <c r="AEL44" s="22"/>
      <c r="AEM44" s="22"/>
      <c r="AEN44" s="22"/>
      <c r="AEO44" s="22"/>
      <c r="AEP44" s="22"/>
      <c r="AEQ44" s="22"/>
      <c r="AER44" s="22"/>
      <c r="AES44" s="22"/>
      <c r="AET44" s="22"/>
      <c r="AEU44" s="22"/>
      <c r="AEV44" s="22"/>
      <c r="AEW44" s="22"/>
      <c r="AEX44" s="22"/>
      <c r="AEY44" s="22"/>
      <c r="AEZ44" s="22"/>
      <c r="AFA44" s="22"/>
      <c r="AFB44" s="22"/>
      <c r="AFC44" s="22"/>
      <c r="AFD44" s="22"/>
      <c r="AFE44" s="22"/>
      <c r="AFF44" s="22"/>
      <c r="AFG44" s="22"/>
      <c r="AFH44" s="22"/>
      <c r="AFI44" s="22"/>
      <c r="AFJ44" s="22"/>
      <c r="AFK44" s="22"/>
      <c r="AFL44" s="22"/>
      <c r="AFM44" s="22"/>
      <c r="AFN44" s="22"/>
      <c r="AFO44" s="22"/>
      <c r="AFP44" s="22"/>
      <c r="AFQ44" s="22"/>
      <c r="AFR44" s="22"/>
      <c r="AFS44" s="22"/>
      <c r="AFT44" s="22"/>
      <c r="AFU44" s="22"/>
      <c r="AFV44" s="22"/>
      <c r="AFW44" s="22"/>
      <c r="AFX44" s="22"/>
      <c r="AFY44" s="22"/>
      <c r="AFZ44" s="22"/>
      <c r="AGA44" s="22"/>
      <c r="AGB44" s="22"/>
      <c r="AGC44" s="22"/>
      <c r="AGD44" s="22"/>
      <c r="AGE44" s="22"/>
      <c r="AGF44" s="22"/>
      <c r="AGG44" s="22"/>
      <c r="AGH44" s="22"/>
      <c r="AGI44" s="22"/>
      <c r="AGJ44" s="22"/>
      <c r="AGK44" s="22"/>
      <c r="AGL44" s="22"/>
      <c r="AGM44" s="22"/>
      <c r="AGN44" s="22"/>
      <c r="AGO44" s="22"/>
      <c r="AGP44" s="22"/>
      <c r="AGQ44" s="22"/>
      <c r="AGR44" s="22"/>
      <c r="AGS44" s="22"/>
      <c r="AGT44" s="22"/>
      <c r="AGU44" s="22"/>
      <c r="AGV44" s="22"/>
      <c r="AGW44" s="22"/>
      <c r="AGX44" s="22"/>
      <c r="AGY44" s="22"/>
      <c r="AGZ44" s="22"/>
      <c r="AHA44" s="22"/>
      <c r="AHB44" s="22"/>
      <c r="AHC44" s="22"/>
      <c r="AHD44" s="22"/>
      <c r="AHE44" s="22"/>
      <c r="AHF44" s="22"/>
      <c r="AHG44" s="22"/>
      <c r="AHH44" s="22"/>
      <c r="AHI44" s="22"/>
      <c r="AHJ44" s="22"/>
      <c r="AHK44" s="22"/>
      <c r="AHL44" s="22"/>
      <c r="AHM44" s="22"/>
      <c r="AHN44" s="22"/>
      <c r="AHO44" s="22"/>
      <c r="AHP44" s="22"/>
      <c r="AHQ44" s="22"/>
      <c r="AHR44" s="22"/>
      <c r="AHS44" s="22"/>
      <c r="AHT44" s="22"/>
      <c r="AHU44" s="22"/>
      <c r="AHV44" s="22"/>
      <c r="AHW44" s="22"/>
      <c r="AHX44" s="22"/>
      <c r="AHY44" s="22"/>
      <c r="AHZ44" s="22"/>
      <c r="AIA44" s="22"/>
      <c r="AIB44" s="22"/>
      <c r="AIC44" s="22"/>
      <c r="AID44" s="22"/>
      <c r="AIE44" s="22"/>
      <c r="AIF44" s="22"/>
      <c r="AIG44" s="22"/>
      <c r="AIH44" s="22"/>
      <c r="AII44" s="22"/>
      <c r="AIJ44" s="22"/>
      <c r="AIK44" s="22"/>
      <c r="AIL44" s="22"/>
      <c r="AIM44" s="22"/>
      <c r="AIN44" s="22"/>
      <c r="AIO44" s="22"/>
      <c r="AIP44" s="22"/>
      <c r="AIQ44" s="22"/>
      <c r="AIR44" s="22"/>
      <c r="AIS44" s="22"/>
      <c r="AIT44" s="22"/>
      <c r="AIU44" s="22"/>
      <c r="AIV44" s="22"/>
      <c r="AIW44" s="22"/>
      <c r="AIX44" s="22"/>
      <c r="AIY44" s="22"/>
      <c r="AIZ44" s="22"/>
      <c r="AJA44" s="22"/>
      <c r="AJB44" s="22"/>
      <c r="AJC44" s="22"/>
      <c r="AJD44" s="22"/>
      <c r="AJE44" s="22"/>
      <c r="AJF44" s="22"/>
      <c r="AJG44" s="22"/>
      <c r="AJH44" s="22"/>
      <c r="AJI44" s="22"/>
      <c r="AJJ44" s="22"/>
      <c r="AJK44" s="22"/>
      <c r="AJL44" s="22"/>
      <c r="AJM44" s="22"/>
      <c r="AJN44" s="22"/>
      <c r="AJO44" s="22"/>
      <c r="AJP44" s="22"/>
      <c r="AJQ44" s="22"/>
      <c r="AJR44" s="22"/>
      <c r="AJS44" s="22"/>
      <c r="AJT44" s="22"/>
      <c r="AJU44" s="22"/>
      <c r="AJV44" s="22"/>
      <c r="AJW44" s="22"/>
      <c r="AJX44" s="22"/>
      <c r="AJY44" s="22"/>
      <c r="AJZ44" s="22"/>
      <c r="AKA44" s="22"/>
      <c r="AKB44" s="22"/>
      <c r="AKC44" s="22"/>
      <c r="AKD44" s="22"/>
      <c r="AKE44" s="22"/>
      <c r="AKF44" s="22"/>
      <c r="AKG44" s="22"/>
      <c r="AKH44" s="22"/>
      <c r="AKI44" s="22"/>
      <c r="AKJ44" s="22"/>
      <c r="AKK44" s="22"/>
      <c r="AKL44" s="22"/>
      <c r="AKM44" s="22"/>
      <c r="AKN44" s="22"/>
      <c r="AKO44" s="22"/>
      <c r="AKP44" s="22"/>
      <c r="AKQ44" s="22"/>
      <c r="AKR44" s="22"/>
      <c r="AKS44" s="22"/>
      <c r="AKT44" s="22"/>
      <c r="AKU44" s="22"/>
      <c r="AKV44" s="22"/>
      <c r="AKW44" s="22"/>
      <c r="AKX44" s="22"/>
      <c r="AKY44" s="22"/>
      <c r="AKZ44" s="22"/>
      <c r="ALA44" s="22"/>
      <c r="ALB44" s="22"/>
      <c r="ALC44" s="22"/>
      <c r="ALD44" s="22"/>
      <c r="ALE44" s="22"/>
      <c r="ALF44" s="22"/>
      <c r="ALG44" s="22"/>
      <c r="ALH44" s="22"/>
      <c r="ALI44" s="22"/>
      <c r="ALJ44" s="22"/>
      <c r="ALK44" s="22"/>
      <c r="ALL44" s="22"/>
      <c r="ALM44" s="22"/>
      <c r="ALN44" s="22"/>
      <c r="ALO44" s="22"/>
      <c r="ALP44" s="22"/>
      <c r="ALQ44" s="22"/>
      <c r="ALR44" s="22"/>
    </row>
    <row r="45" spans="6:1006" x14ac:dyDescent="0.2">
      <c r="F45" s="21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  <c r="IZ45" s="22"/>
      <c r="JA45" s="22"/>
      <c r="JB45" s="22"/>
      <c r="JC45" s="22"/>
      <c r="JD45" s="22"/>
      <c r="JE45" s="22"/>
      <c r="JF45" s="22"/>
      <c r="JG45" s="22"/>
      <c r="JH45" s="22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2"/>
      <c r="LK45" s="22"/>
      <c r="LL45" s="22"/>
      <c r="LM45" s="22"/>
      <c r="LN45" s="22"/>
      <c r="LO45" s="22"/>
      <c r="LP45" s="22"/>
      <c r="LQ45" s="22"/>
      <c r="LR45" s="22"/>
      <c r="LS45" s="22"/>
      <c r="LT45" s="22"/>
      <c r="LU45" s="22"/>
      <c r="LV45" s="22"/>
      <c r="LW45" s="22"/>
      <c r="LX45" s="22"/>
      <c r="LY45" s="22"/>
      <c r="LZ45" s="22"/>
      <c r="MA45" s="22"/>
      <c r="MB45" s="22"/>
      <c r="MC45" s="22"/>
      <c r="MD45" s="22"/>
      <c r="ME45" s="22"/>
      <c r="MF45" s="22"/>
      <c r="MG45" s="22"/>
      <c r="MH45" s="22"/>
      <c r="MI45" s="22"/>
      <c r="MJ45" s="22"/>
      <c r="MK45" s="22"/>
      <c r="ML45" s="22"/>
      <c r="MM45" s="22"/>
      <c r="MN45" s="22"/>
      <c r="MO45" s="22"/>
      <c r="MP45" s="22"/>
      <c r="MQ45" s="22"/>
      <c r="MR45" s="22"/>
      <c r="MS45" s="22"/>
      <c r="MT45" s="22"/>
      <c r="MU45" s="22"/>
      <c r="MV45" s="22"/>
      <c r="MW45" s="22"/>
      <c r="MX45" s="22"/>
      <c r="MY45" s="22"/>
      <c r="MZ45" s="22"/>
      <c r="NA45" s="22"/>
      <c r="NB45" s="22"/>
      <c r="NC45" s="22"/>
      <c r="ND45" s="22"/>
      <c r="NE45" s="22"/>
      <c r="NF45" s="22"/>
      <c r="NG45" s="22"/>
      <c r="NH45" s="22"/>
      <c r="NI45" s="22"/>
      <c r="NJ45" s="22"/>
      <c r="NK45" s="22"/>
      <c r="NL45" s="22"/>
      <c r="NM45" s="22"/>
      <c r="NN45" s="22"/>
      <c r="NO45" s="22"/>
      <c r="NP45" s="22"/>
      <c r="NQ45" s="22"/>
      <c r="NR45" s="22"/>
      <c r="NS45" s="22"/>
      <c r="NT45" s="22"/>
      <c r="NU45" s="22"/>
      <c r="NV45" s="22"/>
      <c r="NW45" s="22"/>
      <c r="NX45" s="22"/>
      <c r="NY45" s="22"/>
      <c r="NZ45" s="22"/>
      <c r="OA45" s="22"/>
      <c r="OB45" s="22"/>
      <c r="OC45" s="22"/>
      <c r="OD45" s="22"/>
      <c r="OE45" s="22"/>
      <c r="OF45" s="22"/>
      <c r="OG45" s="22"/>
      <c r="OH45" s="22"/>
      <c r="OI45" s="22"/>
      <c r="OJ45" s="22"/>
      <c r="OK45" s="22"/>
      <c r="OL45" s="22"/>
      <c r="OM45" s="22"/>
      <c r="ON45" s="22"/>
      <c r="OO45" s="22"/>
      <c r="OP45" s="22"/>
      <c r="OQ45" s="22"/>
      <c r="OR45" s="22"/>
      <c r="OS45" s="22"/>
      <c r="OT45" s="22"/>
      <c r="OU45" s="22"/>
      <c r="OV45" s="22"/>
      <c r="OW45" s="22"/>
      <c r="OX45" s="22"/>
      <c r="OY45" s="22"/>
      <c r="OZ45" s="22"/>
      <c r="PA45" s="22"/>
      <c r="PB45" s="22"/>
      <c r="PC45" s="22"/>
      <c r="PD45" s="22"/>
      <c r="PE45" s="22"/>
      <c r="PF45" s="22"/>
      <c r="PG45" s="22"/>
      <c r="PH45" s="22"/>
      <c r="PI45" s="22"/>
      <c r="PJ45" s="22"/>
      <c r="PK45" s="22"/>
      <c r="PL45" s="22"/>
      <c r="PM45" s="22"/>
      <c r="PN45" s="22"/>
      <c r="PO45" s="22"/>
      <c r="PP45" s="22"/>
      <c r="PQ45" s="22"/>
      <c r="PR45" s="22"/>
      <c r="PS45" s="22"/>
      <c r="PT45" s="22"/>
      <c r="PU45" s="22"/>
      <c r="PV45" s="22"/>
      <c r="PW45" s="22"/>
      <c r="PX45" s="22"/>
      <c r="PY45" s="22"/>
      <c r="PZ45" s="22"/>
      <c r="QA45" s="22"/>
      <c r="QB45" s="22"/>
      <c r="QC45" s="22"/>
      <c r="QD45" s="22"/>
      <c r="QE45" s="22"/>
      <c r="QF45" s="22"/>
      <c r="QG45" s="22"/>
      <c r="QH45" s="22"/>
      <c r="QI45" s="22"/>
      <c r="QJ45" s="22"/>
      <c r="QK45" s="22"/>
      <c r="QL45" s="22"/>
      <c r="QM45" s="22"/>
      <c r="QN45" s="22"/>
      <c r="QO45" s="22"/>
      <c r="QP45" s="22"/>
      <c r="QQ45" s="22"/>
      <c r="QR45" s="22"/>
      <c r="QS45" s="22"/>
      <c r="QT45" s="22"/>
      <c r="QU45" s="22"/>
      <c r="QV45" s="22"/>
      <c r="QW45" s="22"/>
      <c r="QX45" s="22"/>
      <c r="QY45" s="22"/>
      <c r="QZ45" s="22"/>
      <c r="RA45" s="22"/>
      <c r="RB45" s="22"/>
      <c r="RC45" s="22"/>
      <c r="RD45" s="22"/>
      <c r="RE45" s="22"/>
      <c r="RF45" s="22"/>
      <c r="RG45" s="22"/>
      <c r="RH45" s="22"/>
      <c r="RI45" s="22"/>
      <c r="RJ45" s="22"/>
      <c r="RK45" s="22"/>
      <c r="RL45" s="22"/>
      <c r="RM45" s="22"/>
      <c r="RN45" s="22"/>
      <c r="RO45" s="22"/>
      <c r="RP45" s="22"/>
      <c r="RQ45" s="22"/>
      <c r="RR45" s="22"/>
      <c r="RS45" s="22"/>
      <c r="RT45" s="22"/>
      <c r="RU45" s="22"/>
      <c r="RV45" s="22"/>
      <c r="RW45" s="22"/>
      <c r="RX45" s="22"/>
      <c r="RY45" s="22"/>
      <c r="RZ45" s="22"/>
      <c r="SA45" s="22"/>
      <c r="SB45" s="22"/>
      <c r="SC45" s="22"/>
      <c r="SD45" s="22"/>
      <c r="SE45" s="22"/>
      <c r="SF45" s="22"/>
      <c r="SG45" s="22"/>
      <c r="SH45" s="22"/>
      <c r="SI45" s="22"/>
      <c r="SJ45" s="22"/>
      <c r="SK45" s="22"/>
      <c r="SL45" s="22"/>
      <c r="SM45" s="22"/>
      <c r="SN45" s="22"/>
      <c r="SO45" s="22"/>
      <c r="SP45" s="22"/>
      <c r="SQ45" s="22"/>
      <c r="SR45" s="22"/>
      <c r="SS45" s="22"/>
      <c r="ST45" s="22"/>
      <c r="SU45" s="22"/>
      <c r="SV45" s="22"/>
      <c r="SW45" s="22"/>
      <c r="SX45" s="22"/>
      <c r="SY45" s="22"/>
      <c r="SZ45" s="22"/>
      <c r="TA45" s="22"/>
      <c r="TB45" s="22"/>
      <c r="TC45" s="22"/>
      <c r="TD45" s="22"/>
      <c r="TE45" s="22"/>
      <c r="TF45" s="22"/>
      <c r="TG45" s="22"/>
      <c r="TH45" s="22"/>
      <c r="TI45" s="22"/>
      <c r="TJ45" s="22"/>
      <c r="TK45" s="22"/>
      <c r="TL45" s="22"/>
      <c r="TM45" s="22"/>
      <c r="TN45" s="22"/>
      <c r="TO45" s="22"/>
      <c r="TP45" s="22"/>
      <c r="TQ45" s="22"/>
      <c r="TR45" s="22"/>
      <c r="TS45" s="22"/>
      <c r="TT45" s="22"/>
      <c r="TU45" s="22"/>
      <c r="TV45" s="22"/>
      <c r="TW45" s="22"/>
      <c r="TX45" s="22"/>
      <c r="TY45" s="22"/>
      <c r="TZ45" s="22"/>
      <c r="UA45" s="22"/>
      <c r="UB45" s="22"/>
      <c r="UC45" s="22"/>
      <c r="UD45" s="22"/>
      <c r="UE45" s="22"/>
      <c r="UF45" s="22"/>
      <c r="UG45" s="22"/>
      <c r="UH45" s="22"/>
      <c r="UI45" s="22"/>
      <c r="UJ45" s="22"/>
      <c r="UK45" s="22"/>
      <c r="UL45" s="22"/>
      <c r="UM45" s="22"/>
      <c r="UN45" s="22"/>
      <c r="UO45" s="22"/>
      <c r="UP45" s="22"/>
      <c r="UQ45" s="22"/>
      <c r="UR45" s="22"/>
      <c r="US45" s="22"/>
      <c r="UT45" s="22"/>
      <c r="UU45" s="22"/>
      <c r="UV45" s="22"/>
      <c r="UW45" s="22"/>
      <c r="UX45" s="22"/>
      <c r="UY45" s="22"/>
      <c r="UZ45" s="22"/>
      <c r="VA45" s="22"/>
      <c r="VB45" s="22"/>
      <c r="VC45" s="22"/>
      <c r="VD45" s="22"/>
      <c r="VE45" s="22"/>
      <c r="VF45" s="22"/>
      <c r="VG45" s="22"/>
      <c r="VH45" s="22"/>
      <c r="VI45" s="22"/>
      <c r="VJ45" s="22"/>
      <c r="VK45" s="22"/>
      <c r="VL45" s="22"/>
      <c r="VM45" s="22"/>
      <c r="VN45" s="22"/>
      <c r="VO45" s="22"/>
      <c r="VP45" s="22"/>
      <c r="VQ45" s="22"/>
      <c r="VR45" s="22"/>
      <c r="VS45" s="22"/>
      <c r="VT45" s="22"/>
      <c r="VU45" s="22"/>
      <c r="VV45" s="22"/>
      <c r="VW45" s="22"/>
      <c r="VX45" s="22"/>
      <c r="VY45" s="22"/>
      <c r="VZ45" s="22"/>
      <c r="WA45" s="22"/>
      <c r="WB45" s="22"/>
      <c r="WC45" s="22"/>
      <c r="WD45" s="22"/>
      <c r="WE45" s="22"/>
      <c r="WF45" s="22"/>
      <c r="WG45" s="22"/>
      <c r="WH45" s="22"/>
      <c r="WI45" s="22"/>
      <c r="WJ45" s="22"/>
      <c r="WK45" s="22"/>
      <c r="WL45" s="22"/>
      <c r="WM45" s="22"/>
      <c r="WN45" s="22"/>
      <c r="WO45" s="22"/>
      <c r="WP45" s="22"/>
      <c r="WQ45" s="22"/>
      <c r="WR45" s="22"/>
      <c r="WS45" s="22"/>
      <c r="WT45" s="22"/>
      <c r="WU45" s="22"/>
      <c r="WV45" s="22"/>
      <c r="WW45" s="22"/>
      <c r="WX45" s="22"/>
      <c r="WY45" s="22"/>
      <c r="WZ45" s="22"/>
      <c r="XA45" s="22"/>
      <c r="XB45" s="22"/>
      <c r="XC45" s="22"/>
      <c r="XD45" s="22"/>
      <c r="XE45" s="22"/>
      <c r="XF45" s="22"/>
      <c r="XG45" s="22"/>
      <c r="XH45" s="22"/>
      <c r="XI45" s="22"/>
      <c r="XJ45" s="22"/>
      <c r="XK45" s="22"/>
      <c r="XL45" s="22"/>
      <c r="XM45" s="22"/>
      <c r="XN45" s="22"/>
      <c r="XO45" s="22"/>
      <c r="XP45" s="22"/>
      <c r="XQ45" s="22"/>
      <c r="XR45" s="22"/>
      <c r="XS45" s="22"/>
      <c r="XT45" s="22"/>
      <c r="XU45" s="22"/>
      <c r="XV45" s="22"/>
      <c r="XW45" s="22"/>
      <c r="XX45" s="22"/>
      <c r="XY45" s="22"/>
      <c r="XZ45" s="22"/>
      <c r="YA45" s="22"/>
      <c r="YB45" s="22"/>
      <c r="YC45" s="22"/>
      <c r="YD45" s="22"/>
      <c r="YE45" s="22"/>
      <c r="YF45" s="22"/>
      <c r="YG45" s="22"/>
      <c r="YH45" s="22"/>
      <c r="YI45" s="22"/>
      <c r="YJ45" s="22"/>
      <c r="YK45" s="22"/>
      <c r="YL45" s="22"/>
      <c r="YM45" s="22"/>
      <c r="YN45" s="22"/>
      <c r="YO45" s="22"/>
      <c r="YP45" s="22"/>
      <c r="YQ45" s="22"/>
      <c r="YR45" s="22"/>
      <c r="YS45" s="22"/>
      <c r="YT45" s="22"/>
      <c r="YU45" s="22"/>
      <c r="YV45" s="22"/>
      <c r="YW45" s="22"/>
      <c r="YX45" s="22"/>
      <c r="YY45" s="22"/>
      <c r="YZ45" s="22"/>
      <c r="ZA45" s="22"/>
      <c r="ZB45" s="22"/>
      <c r="ZC45" s="22"/>
      <c r="ZD45" s="22"/>
      <c r="ZE45" s="22"/>
      <c r="ZF45" s="22"/>
      <c r="ZG45" s="22"/>
      <c r="ZH45" s="22"/>
      <c r="ZI45" s="22"/>
      <c r="ZJ45" s="22"/>
      <c r="ZK45" s="22"/>
      <c r="ZL45" s="22"/>
      <c r="ZM45" s="22"/>
      <c r="ZN45" s="22"/>
      <c r="ZO45" s="22"/>
      <c r="ZP45" s="22"/>
      <c r="ZQ45" s="22"/>
      <c r="ZR45" s="22"/>
      <c r="ZS45" s="22"/>
      <c r="ZT45" s="22"/>
      <c r="ZU45" s="22"/>
      <c r="ZV45" s="22"/>
      <c r="ZW45" s="22"/>
      <c r="ZX45" s="22"/>
      <c r="ZY45" s="22"/>
      <c r="ZZ45" s="22"/>
      <c r="AAA45" s="22"/>
      <c r="AAB45" s="22"/>
      <c r="AAC45" s="22"/>
      <c r="AAD45" s="22"/>
      <c r="AAE45" s="22"/>
      <c r="AAF45" s="22"/>
      <c r="AAG45" s="22"/>
      <c r="AAH45" s="22"/>
      <c r="AAI45" s="22"/>
      <c r="AAJ45" s="22"/>
      <c r="AAK45" s="22"/>
      <c r="AAL45" s="22"/>
      <c r="AAM45" s="22"/>
      <c r="AAN45" s="22"/>
      <c r="AAO45" s="22"/>
      <c r="AAP45" s="22"/>
      <c r="AAQ45" s="22"/>
      <c r="AAR45" s="22"/>
      <c r="AAS45" s="22"/>
      <c r="AAT45" s="22"/>
      <c r="AAU45" s="22"/>
      <c r="AAV45" s="22"/>
      <c r="AAW45" s="22"/>
      <c r="AAX45" s="22"/>
      <c r="AAY45" s="22"/>
      <c r="AAZ45" s="22"/>
      <c r="ABA45" s="22"/>
      <c r="ABB45" s="22"/>
      <c r="ABC45" s="22"/>
      <c r="ABD45" s="22"/>
      <c r="ABE45" s="22"/>
      <c r="ABF45" s="22"/>
      <c r="ABG45" s="22"/>
      <c r="ABH45" s="22"/>
      <c r="ABI45" s="22"/>
      <c r="ABJ45" s="22"/>
      <c r="ABK45" s="22"/>
      <c r="ABL45" s="22"/>
      <c r="ABM45" s="22"/>
      <c r="ABN45" s="22"/>
      <c r="ABO45" s="22"/>
      <c r="ABP45" s="22"/>
      <c r="ABQ45" s="22"/>
      <c r="ABR45" s="22"/>
      <c r="ABS45" s="22"/>
      <c r="ABT45" s="22"/>
      <c r="ABU45" s="22"/>
      <c r="ABV45" s="22"/>
      <c r="ABW45" s="22"/>
      <c r="ABX45" s="22"/>
      <c r="ABY45" s="22"/>
      <c r="ABZ45" s="22"/>
      <c r="ACA45" s="22"/>
      <c r="ACB45" s="22"/>
      <c r="ACC45" s="22"/>
      <c r="ACD45" s="22"/>
      <c r="ACE45" s="22"/>
      <c r="ACF45" s="22"/>
      <c r="ACG45" s="22"/>
      <c r="ACH45" s="22"/>
      <c r="ACI45" s="22"/>
      <c r="ACJ45" s="22"/>
      <c r="ACK45" s="22"/>
      <c r="ACL45" s="22"/>
      <c r="ACM45" s="22"/>
      <c r="ACN45" s="22"/>
      <c r="ACO45" s="22"/>
      <c r="ACP45" s="22"/>
      <c r="ACQ45" s="22"/>
      <c r="ACR45" s="22"/>
      <c r="ACS45" s="22"/>
      <c r="ACT45" s="22"/>
      <c r="ACU45" s="22"/>
      <c r="ACV45" s="22"/>
      <c r="ACW45" s="22"/>
      <c r="ACX45" s="22"/>
      <c r="ACY45" s="22"/>
      <c r="ACZ45" s="22"/>
      <c r="ADA45" s="22"/>
      <c r="ADB45" s="22"/>
      <c r="ADC45" s="22"/>
      <c r="ADD45" s="22"/>
      <c r="ADE45" s="22"/>
      <c r="ADF45" s="22"/>
      <c r="ADG45" s="22"/>
      <c r="ADH45" s="22"/>
      <c r="ADI45" s="22"/>
      <c r="ADJ45" s="22"/>
      <c r="ADK45" s="22"/>
      <c r="ADL45" s="22"/>
      <c r="ADM45" s="22"/>
      <c r="ADN45" s="22"/>
      <c r="ADO45" s="22"/>
      <c r="ADP45" s="22"/>
      <c r="ADQ45" s="22"/>
      <c r="ADR45" s="22"/>
      <c r="ADS45" s="22"/>
      <c r="ADT45" s="22"/>
      <c r="ADU45" s="22"/>
      <c r="ADV45" s="22"/>
      <c r="ADW45" s="22"/>
      <c r="ADX45" s="22"/>
      <c r="ADY45" s="22"/>
      <c r="ADZ45" s="22"/>
      <c r="AEA45" s="22"/>
      <c r="AEB45" s="22"/>
      <c r="AEC45" s="22"/>
      <c r="AED45" s="22"/>
      <c r="AEE45" s="22"/>
      <c r="AEF45" s="22"/>
      <c r="AEG45" s="22"/>
      <c r="AEH45" s="22"/>
      <c r="AEI45" s="22"/>
      <c r="AEJ45" s="22"/>
      <c r="AEK45" s="22"/>
      <c r="AEL45" s="22"/>
      <c r="AEM45" s="22"/>
      <c r="AEN45" s="22"/>
      <c r="AEO45" s="22"/>
      <c r="AEP45" s="22"/>
      <c r="AEQ45" s="22"/>
      <c r="AER45" s="22"/>
      <c r="AES45" s="22"/>
      <c r="AET45" s="22"/>
      <c r="AEU45" s="22"/>
      <c r="AEV45" s="22"/>
      <c r="AEW45" s="22"/>
      <c r="AEX45" s="22"/>
      <c r="AEY45" s="22"/>
      <c r="AEZ45" s="22"/>
      <c r="AFA45" s="22"/>
      <c r="AFB45" s="22"/>
      <c r="AFC45" s="22"/>
      <c r="AFD45" s="22"/>
      <c r="AFE45" s="22"/>
      <c r="AFF45" s="22"/>
      <c r="AFG45" s="22"/>
      <c r="AFH45" s="22"/>
      <c r="AFI45" s="22"/>
      <c r="AFJ45" s="22"/>
      <c r="AFK45" s="22"/>
      <c r="AFL45" s="22"/>
      <c r="AFM45" s="22"/>
      <c r="AFN45" s="22"/>
      <c r="AFO45" s="22"/>
      <c r="AFP45" s="22"/>
      <c r="AFQ45" s="22"/>
      <c r="AFR45" s="22"/>
      <c r="AFS45" s="22"/>
      <c r="AFT45" s="22"/>
      <c r="AFU45" s="22"/>
      <c r="AFV45" s="22"/>
      <c r="AFW45" s="22"/>
      <c r="AFX45" s="22"/>
      <c r="AFY45" s="22"/>
      <c r="AFZ45" s="22"/>
      <c r="AGA45" s="22"/>
      <c r="AGB45" s="22"/>
      <c r="AGC45" s="22"/>
      <c r="AGD45" s="22"/>
      <c r="AGE45" s="22"/>
      <c r="AGF45" s="22"/>
      <c r="AGG45" s="22"/>
      <c r="AGH45" s="22"/>
      <c r="AGI45" s="22"/>
      <c r="AGJ45" s="22"/>
      <c r="AGK45" s="22"/>
      <c r="AGL45" s="22"/>
      <c r="AGM45" s="22"/>
      <c r="AGN45" s="22"/>
      <c r="AGO45" s="22"/>
      <c r="AGP45" s="22"/>
      <c r="AGQ45" s="22"/>
      <c r="AGR45" s="22"/>
      <c r="AGS45" s="22"/>
      <c r="AGT45" s="22"/>
      <c r="AGU45" s="22"/>
      <c r="AGV45" s="22"/>
      <c r="AGW45" s="22"/>
      <c r="AGX45" s="22"/>
      <c r="AGY45" s="22"/>
      <c r="AGZ45" s="22"/>
      <c r="AHA45" s="22"/>
      <c r="AHB45" s="22"/>
      <c r="AHC45" s="22"/>
      <c r="AHD45" s="22"/>
      <c r="AHE45" s="22"/>
      <c r="AHF45" s="22"/>
      <c r="AHG45" s="22"/>
      <c r="AHH45" s="22"/>
      <c r="AHI45" s="22"/>
      <c r="AHJ45" s="22"/>
      <c r="AHK45" s="22"/>
      <c r="AHL45" s="22"/>
      <c r="AHM45" s="22"/>
      <c r="AHN45" s="22"/>
      <c r="AHO45" s="22"/>
      <c r="AHP45" s="22"/>
      <c r="AHQ45" s="22"/>
      <c r="AHR45" s="22"/>
      <c r="AHS45" s="22"/>
      <c r="AHT45" s="22"/>
      <c r="AHU45" s="22"/>
      <c r="AHV45" s="22"/>
      <c r="AHW45" s="22"/>
      <c r="AHX45" s="22"/>
      <c r="AHY45" s="22"/>
      <c r="AHZ45" s="22"/>
      <c r="AIA45" s="22"/>
      <c r="AIB45" s="22"/>
      <c r="AIC45" s="22"/>
      <c r="AID45" s="22"/>
      <c r="AIE45" s="22"/>
      <c r="AIF45" s="22"/>
      <c r="AIG45" s="22"/>
      <c r="AIH45" s="22"/>
      <c r="AII45" s="22"/>
      <c r="AIJ45" s="22"/>
      <c r="AIK45" s="22"/>
      <c r="AIL45" s="22"/>
      <c r="AIM45" s="22"/>
      <c r="AIN45" s="22"/>
      <c r="AIO45" s="22"/>
      <c r="AIP45" s="22"/>
      <c r="AIQ45" s="22"/>
      <c r="AIR45" s="22"/>
      <c r="AIS45" s="22"/>
      <c r="AIT45" s="22"/>
      <c r="AIU45" s="22"/>
      <c r="AIV45" s="22"/>
      <c r="AIW45" s="22"/>
      <c r="AIX45" s="22"/>
      <c r="AIY45" s="22"/>
      <c r="AIZ45" s="22"/>
      <c r="AJA45" s="22"/>
      <c r="AJB45" s="22"/>
      <c r="AJC45" s="22"/>
      <c r="AJD45" s="22"/>
      <c r="AJE45" s="22"/>
      <c r="AJF45" s="22"/>
      <c r="AJG45" s="22"/>
      <c r="AJH45" s="22"/>
      <c r="AJI45" s="22"/>
      <c r="AJJ45" s="22"/>
      <c r="AJK45" s="22"/>
      <c r="AJL45" s="22"/>
      <c r="AJM45" s="22"/>
      <c r="AJN45" s="22"/>
      <c r="AJO45" s="22"/>
      <c r="AJP45" s="22"/>
      <c r="AJQ45" s="22"/>
      <c r="AJR45" s="22"/>
      <c r="AJS45" s="22"/>
      <c r="AJT45" s="22"/>
      <c r="AJU45" s="22"/>
      <c r="AJV45" s="22"/>
      <c r="AJW45" s="22"/>
      <c r="AJX45" s="22"/>
      <c r="AJY45" s="22"/>
      <c r="AJZ45" s="22"/>
      <c r="AKA45" s="22"/>
      <c r="AKB45" s="22"/>
      <c r="AKC45" s="22"/>
      <c r="AKD45" s="22"/>
      <c r="AKE45" s="22"/>
      <c r="AKF45" s="22"/>
      <c r="AKG45" s="22"/>
      <c r="AKH45" s="22"/>
      <c r="AKI45" s="22"/>
      <c r="AKJ45" s="22"/>
      <c r="AKK45" s="22"/>
      <c r="AKL45" s="22"/>
      <c r="AKM45" s="22"/>
      <c r="AKN45" s="22"/>
      <c r="AKO45" s="22"/>
      <c r="AKP45" s="22"/>
      <c r="AKQ45" s="22"/>
      <c r="AKR45" s="22"/>
      <c r="AKS45" s="22"/>
      <c r="AKT45" s="22"/>
      <c r="AKU45" s="22"/>
      <c r="AKV45" s="22"/>
      <c r="AKW45" s="22"/>
      <c r="AKX45" s="22"/>
      <c r="AKY45" s="22"/>
      <c r="AKZ45" s="22"/>
      <c r="ALA45" s="22"/>
      <c r="ALB45" s="22"/>
      <c r="ALC45" s="22"/>
      <c r="ALD45" s="22"/>
      <c r="ALE45" s="22"/>
      <c r="ALF45" s="22"/>
      <c r="ALG45" s="22"/>
      <c r="ALH45" s="22"/>
      <c r="ALI45" s="22"/>
      <c r="ALJ45" s="22"/>
      <c r="ALK45" s="22"/>
      <c r="ALL45" s="22"/>
      <c r="ALM45" s="22"/>
      <c r="ALN45" s="22"/>
      <c r="ALO45" s="22"/>
      <c r="ALP45" s="22"/>
      <c r="ALQ45" s="22"/>
      <c r="ALR45" s="22"/>
    </row>
    <row r="46" spans="6:1006" x14ac:dyDescent="0.2">
      <c r="F46" s="21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  <c r="IZ46" s="22"/>
      <c r="JA46" s="22"/>
      <c r="JB46" s="22"/>
      <c r="JC46" s="22"/>
      <c r="JD46" s="22"/>
      <c r="JE46" s="22"/>
      <c r="JF46" s="22"/>
      <c r="JG46" s="22"/>
      <c r="JH46" s="22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2"/>
      <c r="LK46" s="22"/>
      <c r="LL46" s="22"/>
      <c r="LM46" s="22"/>
      <c r="LN46" s="22"/>
      <c r="LO46" s="22"/>
      <c r="LP46" s="22"/>
      <c r="LQ46" s="22"/>
      <c r="LR46" s="22"/>
      <c r="LS46" s="22"/>
      <c r="LT46" s="22"/>
      <c r="LU46" s="22"/>
      <c r="LV46" s="22"/>
      <c r="LW46" s="22"/>
      <c r="LX46" s="22"/>
      <c r="LY46" s="22"/>
      <c r="LZ46" s="22"/>
      <c r="MA46" s="22"/>
      <c r="MB46" s="22"/>
      <c r="MC46" s="22"/>
      <c r="MD46" s="22"/>
      <c r="ME46" s="22"/>
      <c r="MF46" s="22"/>
      <c r="MG46" s="22"/>
      <c r="MH46" s="22"/>
      <c r="MI46" s="22"/>
      <c r="MJ46" s="22"/>
      <c r="MK46" s="22"/>
      <c r="ML46" s="22"/>
      <c r="MM46" s="22"/>
      <c r="MN46" s="22"/>
      <c r="MO46" s="22"/>
      <c r="MP46" s="22"/>
      <c r="MQ46" s="22"/>
      <c r="MR46" s="22"/>
      <c r="MS46" s="22"/>
      <c r="MT46" s="22"/>
      <c r="MU46" s="22"/>
      <c r="MV46" s="22"/>
      <c r="MW46" s="22"/>
      <c r="MX46" s="22"/>
      <c r="MY46" s="22"/>
      <c r="MZ46" s="22"/>
      <c r="NA46" s="22"/>
      <c r="NB46" s="22"/>
      <c r="NC46" s="22"/>
      <c r="ND46" s="22"/>
      <c r="NE46" s="22"/>
      <c r="NF46" s="22"/>
      <c r="NG46" s="22"/>
      <c r="NH46" s="22"/>
      <c r="NI46" s="22"/>
      <c r="NJ46" s="22"/>
      <c r="NK46" s="22"/>
      <c r="NL46" s="22"/>
      <c r="NM46" s="22"/>
      <c r="NN46" s="22"/>
      <c r="NO46" s="22"/>
      <c r="NP46" s="22"/>
      <c r="NQ46" s="22"/>
      <c r="NR46" s="22"/>
      <c r="NS46" s="22"/>
      <c r="NT46" s="22"/>
      <c r="NU46" s="22"/>
      <c r="NV46" s="22"/>
      <c r="NW46" s="22"/>
      <c r="NX46" s="22"/>
      <c r="NY46" s="22"/>
      <c r="NZ46" s="22"/>
      <c r="OA46" s="22"/>
      <c r="OB46" s="22"/>
      <c r="OC46" s="22"/>
      <c r="OD46" s="22"/>
      <c r="OE46" s="22"/>
      <c r="OF46" s="22"/>
      <c r="OG46" s="22"/>
      <c r="OH46" s="22"/>
      <c r="OI46" s="22"/>
      <c r="OJ46" s="22"/>
      <c r="OK46" s="22"/>
      <c r="OL46" s="22"/>
      <c r="OM46" s="22"/>
      <c r="ON46" s="22"/>
      <c r="OO46" s="22"/>
      <c r="OP46" s="22"/>
      <c r="OQ46" s="22"/>
      <c r="OR46" s="22"/>
      <c r="OS46" s="22"/>
      <c r="OT46" s="22"/>
      <c r="OU46" s="22"/>
      <c r="OV46" s="22"/>
      <c r="OW46" s="22"/>
      <c r="OX46" s="22"/>
      <c r="OY46" s="22"/>
      <c r="OZ46" s="22"/>
      <c r="PA46" s="22"/>
      <c r="PB46" s="22"/>
      <c r="PC46" s="22"/>
      <c r="PD46" s="22"/>
      <c r="PE46" s="22"/>
      <c r="PF46" s="22"/>
      <c r="PG46" s="22"/>
      <c r="PH46" s="22"/>
      <c r="PI46" s="22"/>
      <c r="PJ46" s="22"/>
      <c r="PK46" s="22"/>
      <c r="PL46" s="22"/>
      <c r="PM46" s="22"/>
      <c r="PN46" s="22"/>
      <c r="PO46" s="22"/>
      <c r="PP46" s="22"/>
      <c r="PQ46" s="22"/>
      <c r="PR46" s="22"/>
      <c r="PS46" s="22"/>
      <c r="PT46" s="22"/>
      <c r="PU46" s="22"/>
      <c r="PV46" s="22"/>
      <c r="PW46" s="22"/>
      <c r="PX46" s="22"/>
      <c r="PY46" s="22"/>
      <c r="PZ46" s="22"/>
      <c r="QA46" s="22"/>
      <c r="QB46" s="22"/>
      <c r="QC46" s="22"/>
      <c r="QD46" s="22"/>
      <c r="QE46" s="22"/>
      <c r="QF46" s="22"/>
      <c r="QG46" s="22"/>
      <c r="QH46" s="22"/>
      <c r="QI46" s="22"/>
      <c r="QJ46" s="22"/>
      <c r="QK46" s="22"/>
      <c r="QL46" s="22"/>
      <c r="QM46" s="22"/>
      <c r="QN46" s="22"/>
      <c r="QO46" s="22"/>
      <c r="QP46" s="22"/>
      <c r="QQ46" s="22"/>
      <c r="QR46" s="22"/>
      <c r="QS46" s="22"/>
      <c r="QT46" s="22"/>
      <c r="QU46" s="22"/>
      <c r="QV46" s="22"/>
      <c r="QW46" s="22"/>
      <c r="QX46" s="22"/>
      <c r="QY46" s="22"/>
      <c r="QZ46" s="22"/>
      <c r="RA46" s="22"/>
      <c r="RB46" s="22"/>
      <c r="RC46" s="22"/>
      <c r="RD46" s="22"/>
      <c r="RE46" s="22"/>
      <c r="RF46" s="22"/>
      <c r="RG46" s="22"/>
      <c r="RH46" s="22"/>
      <c r="RI46" s="22"/>
      <c r="RJ46" s="22"/>
      <c r="RK46" s="22"/>
      <c r="RL46" s="22"/>
      <c r="RM46" s="22"/>
      <c r="RN46" s="22"/>
      <c r="RO46" s="22"/>
      <c r="RP46" s="22"/>
      <c r="RQ46" s="22"/>
      <c r="RR46" s="22"/>
      <c r="RS46" s="22"/>
      <c r="RT46" s="22"/>
      <c r="RU46" s="22"/>
      <c r="RV46" s="22"/>
      <c r="RW46" s="22"/>
      <c r="RX46" s="22"/>
      <c r="RY46" s="22"/>
      <c r="RZ46" s="22"/>
      <c r="SA46" s="22"/>
      <c r="SB46" s="22"/>
      <c r="SC46" s="22"/>
      <c r="SD46" s="22"/>
      <c r="SE46" s="22"/>
      <c r="SF46" s="22"/>
      <c r="SG46" s="22"/>
      <c r="SH46" s="22"/>
      <c r="SI46" s="22"/>
      <c r="SJ46" s="22"/>
      <c r="SK46" s="22"/>
      <c r="SL46" s="22"/>
      <c r="SM46" s="22"/>
      <c r="SN46" s="22"/>
      <c r="SO46" s="22"/>
      <c r="SP46" s="22"/>
      <c r="SQ46" s="22"/>
      <c r="SR46" s="22"/>
      <c r="SS46" s="22"/>
      <c r="ST46" s="22"/>
      <c r="SU46" s="22"/>
      <c r="SV46" s="22"/>
      <c r="SW46" s="22"/>
      <c r="SX46" s="22"/>
      <c r="SY46" s="22"/>
      <c r="SZ46" s="22"/>
      <c r="TA46" s="22"/>
      <c r="TB46" s="22"/>
      <c r="TC46" s="22"/>
      <c r="TD46" s="22"/>
      <c r="TE46" s="22"/>
      <c r="TF46" s="22"/>
      <c r="TG46" s="22"/>
      <c r="TH46" s="22"/>
      <c r="TI46" s="22"/>
      <c r="TJ46" s="22"/>
      <c r="TK46" s="22"/>
      <c r="TL46" s="22"/>
      <c r="TM46" s="22"/>
      <c r="TN46" s="22"/>
      <c r="TO46" s="22"/>
      <c r="TP46" s="22"/>
      <c r="TQ46" s="22"/>
      <c r="TR46" s="22"/>
      <c r="TS46" s="22"/>
      <c r="TT46" s="22"/>
      <c r="TU46" s="22"/>
      <c r="TV46" s="22"/>
      <c r="TW46" s="22"/>
      <c r="TX46" s="22"/>
      <c r="TY46" s="22"/>
      <c r="TZ46" s="22"/>
      <c r="UA46" s="22"/>
      <c r="UB46" s="22"/>
      <c r="UC46" s="22"/>
      <c r="UD46" s="22"/>
      <c r="UE46" s="22"/>
      <c r="UF46" s="22"/>
      <c r="UG46" s="22"/>
      <c r="UH46" s="22"/>
      <c r="UI46" s="22"/>
      <c r="UJ46" s="22"/>
      <c r="UK46" s="22"/>
      <c r="UL46" s="22"/>
      <c r="UM46" s="22"/>
      <c r="UN46" s="22"/>
      <c r="UO46" s="22"/>
      <c r="UP46" s="22"/>
      <c r="UQ46" s="22"/>
      <c r="UR46" s="22"/>
      <c r="US46" s="22"/>
      <c r="UT46" s="22"/>
      <c r="UU46" s="22"/>
      <c r="UV46" s="22"/>
      <c r="UW46" s="22"/>
      <c r="UX46" s="22"/>
      <c r="UY46" s="22"/>
      <c r="UZ46" s="22"/>
      <c r="VA46" s="22"/>
      <c r="VB46" s="22"/>
      <c r="VC46" s="22"/>
      <c r="VD46" s="22"/>
      <c r="VE46" s="22"/>
      <c r="VF46" s="22"/>
      <c r="VG46" s="22"/>
      <c r="VH46" s="22"/>
      <c r="VI46" s="22"/>
      <c r="VJ46" s="22"/>
      <c r="VK46" s="22"/>
      <c r="VL46" s="22"/>
      <c r="VM46" s="22"/>
      <c r="VN46" s="22"/>
      <c r="VO46" s="22"/>
      <c r="VP46" s="22"/>
      <c r="VQ46" s="22"/>
      <c r="VR46" s="22"/>
      <c r="VS46" s="22"/>
      <c r="VT46" s="22"/>
      <c r="VU46" s="22"/>
      <c r="VV46" s="22"/>
      <c r="VW46" s="22"/>
      <c r="VX46" s="22"/>
      <c r="VY46" s="22"/>
      <c r="VZ46" s="22"/>
      <c r="WA46" s="22"/>
      <c r="WB46" s="22"/>
      <c r="WC46" s="22"/>
      <c r="WD46" s="22"/>
      <c r="WE46" s="22"/>
      <c r="WF46" s="22"/>
      <c r="WG46" s="22"/>
      <c r="WH46" s="22"/>
      <c r="WI46" s="22"/>
      <c r="WJ46" s="22"/>
      <c r="WK46" s="22"/>
      <c r="WL46" s="22"/>
      <c r="WM46" s="22"/>
      <c r="WN46" s="22"/>
      <c r="WO46" s="22"/>
      <c r="WP46" s="22"/>
      <c r="WQ46" s="22"/>
      <c r="WR46" s="22"/>
      <c r="WS46" s="22"/>
      <c r="WT46" s="22"/>
      <c r="WU46" s="22"/>
      <c r="WV46" s="22"/>
      <c r="WW46" s="22"/>
      <c r="WX46" s="22"/>
      <c r="WY46" s="22"/>
      <c r="WZ46" s="22"/>
      <c r="XA46" s="22"/>
      <c r="XB46" s="22"/>
      <c r="XC46" s="22"/>
      <c r="XD46" s="22"/>
      <c r="XE46" s="22"/>
      <c r="XF46" s="22"/>
      <c r="XG46" s="22"/>
      <c r="XH46" s="22"/>
      <c r="XI46" s="22"/>
      <c r="XJ46" s="22"/>
      <c r="XK46" s="22"/>
      <c r="XL46" s="22"/>
      <c r="XM46" s="22"/>
      <c r="XN46" s="22"/>
      <c r="XO46" s="22"/>
      <c r="XP46" s="22"/>
      <c r="XQ46" s="22"/>
      <c r="XR46" s="22"/>
      <c r="XS46" s="22"/>
      <c r="XT46" s="22"/>
      <c r="XU46" s="22"/>
      <c r="XV46" s="22"/>
      <c r="XW46" s="22"/>
      <c r="XX46" s="22"/>
      <c r="XY46" s="22"/>
      <c r="XZ46" s="22"/>
      <c r="YA46" s="22"/>
      <c r="YB46" s="22"/>
      <c r="YC46" s="22"/>
      <c r="YD46" s="22"/>
      <c r="YE46" s="22"/>
      <c r="YF46" s="22"/>
      <c r="YG46" s="22"/>
      <c r="YH46" s="22"/>
      <c r="YI46" s="22"/>
      <c r="YJ46" s="22"/>
      <c r="YK46" s="22"/>
      <c r="YL46" s="22"/>
      <c r="YM46" s="22"/>
      <c r="YN46" s="22"/>
      <c r="YO46" s="22"/>
      <c r="YP46" s="22"/>
      <c r="YQ46" s="22"/>
      <c r="YR46" s="22"/>
      <c r="YS46" s="22"/>
      <c r="YT46" s="22"/>
      <c r="YU46" s="22"/>
      <c r="YV46" s="22"/>
      <c r="YW46" s="22"/>
      <c r="YX46" s="22"/>
      <c r="YY46" s="22"/>
      <c r="YZ46" s="22"/>
      <c r="ZA46" s="22"/>
      <c r="ZB46" s="22"/>
      <c r="ZC46" s="22"/>
      <c r="ZD46" s="22"/>
      <c r="ZE46" s="22"/>
      <c r="ZF46" s="22"/>
      <c r="ZG46" s="22"/>
      <c r="ZH46" s="22"/>
      <c r="ZI46" s="22"/>
      <c r="ZJ46" s="22"/>
      <c r="ZK46" s="22"/>
      <c r="ZL46" s="22"/>
      <c r="ZM46" s="22"/>
      <c r="ZN46" s="22"/>
      <c r="ZO46" s="22"/>
      <c r="ZP46" s="22"/>
      <c r="ZQ46" s="22"/>
      <c r="ZR46" s="22"/>
      <c r="ZS46" s="22"/>
      <c r="ZT46" s="22"/>
      <c r="ZU46" s="22"/>
      <c r="ZV46" s="22"/>
      <c r="ZW46" s="22"/>
      <c r="ZX46" s="22"/>
      <c r="ZY46" s="22"/>
      <c r="ZZ46" s="22"/>
      <c r="AAA46" s="22"/>
      <c r="AAB46" s="22"/>
      <c r="AAC46" s="22"/>
      <c r="AAD46" s="22"/>
      <c r="AAE46" s="22"/>
      <c r="AAF46" s="22"/>
      <c r="AAG46" s="22"/>
      <c r="AAH46" s="22"/>
      <c r="AAI46" s="22"/>
      <c r="AAJ46" s="22"/>
      <c r="AAK46" s="22"/>
      <c r="AAL46" s="22"/>
      <c r="AAM46" s="22"/>
      <c r="AAN46" s="22"/>
      <c r="AAO46" s="22"/>
      <c r="AAP46" s="22"/>
      <c r="AAQ46" s="22"/>
      <c r="AAR46" s="22"/>
      <c r="AAS46" s="22"/>
      <c r="AAT46" s="22"/>
      <c r="AAU46" s="22"/>
      <c r="AAV46" s="22"/>
      <c r="AAW46" s="22"/>
      <c r="AAX46" s="22"/>
      <c r="AAY46" s="22"/>
      <c r="AAZ46" s="22"/>
      <c r="ABA46" s="22"/>
      <c r="ABB46" s="22"/>
      <c r="ABC46" s="22"/>
      <c r="ABD46" s="22"/>
      <c r="ABE46" s="22"/>
      <c r="ABF46" s="22"/>
      <c r="ABG46" s="22"/>
      <c r="ABH46" s="22"/>
      <c r="ABI46" s="22"/>
      <c r="ABJ46" s="22"/>
      <c r="ABK46" s="22"/>
      <c r="ABL46" s="22"/>
      <c r="ABM46" s="22"/>
      <c r="ABN46" s="22"/>
      <c r="ABO46" s="22"/>
      <c r="ABP46" s="22"/>
      <c r="ABQ46" s="22"/>
      <c r="ABR46" s="22"/>
      <c r="ABS46" s="22"/>
      <c r="ABT46" s="22"/>
      <c r="ABU46" s="22"/>
      <c r="ABV46" s="22"/>
      <c r="ABW46" s="22"/>
      <c r="ABX46" s="22"/>
      <c r="ABY46" s="22"/>
      <c r="ABZ46" s="22"/>
      <c r="ACA46" s="22"/>
      <c r="ACB46" s="22"/>
      <c r="ACC46" s="22"/>
      <c r="ACD46" s="22"/>
      <c r="ACE46" s="22"/>
      <c r="ACF46" s="22"/>
      <c r="ACG46" s="22"/>
      <c r="ACH46" s="22"/>
      <c r="ACI46" s="22"/>
      <c r="ACJ46" s="22"/>
      <c r="ACK46" s="22"/>
      <c r="ACL46" s="22"/>
      <c r="ACM46" s="22"/>
      <c r="ACN46" s="22"/>
      <c r="ACO46" s="22"/>
      <c r="ACP46" s="22"/>
      <c r="ACQ46" s="22"/>
      <c r="ACR46" s="22"/>
      <c r="ACS46" s="22"/>
      <c r="ACT46" s="22"/>
      <c r="ACU46" s="22"/>
      <c r="ACV46" s="22"/>
      <c r="ACW46" s="22"/>
      <c r="ACX46" s="22"/>
      <c r="ACY46" s="22"/>
      <c r="ACZ46" s="22"/>
      <c r="ADA46" s="22"/>
      <c r="ADB46" s="22"/>
      <c r="ADC46" s="22"/>
      <c r="ADD46" s="22"/>
      <c r="ADE46" s="22"/>
      <c r="ADF46" s="22"/>
      <c r="ADG46" s="22"/>
      <c r="ADH46" s="22"/>
      <c r="ADI46" s="22"/>
      <c r="ADJ46" s="22"/>
      <c r="ADK46" s="22"/>
      <c r="ADL46" s="22"/>
      <c r="ADM46" s="22"/>
      <c r="ADN46" s="22"/>
      <c r="ADO46" s="22"/>
      <c r="ADP46" s="22"/>
      <c r="ADQ46" s="22"/>
      <c r="ADR46" s="22"/>
      <c r="ADS46" s="22"/>
      <c r="ADT46" s="22"/>
      <c r="ADU46" s="22"/>
      <c r="ADV46" s="22"/>
      <c r="ADW46" s="22"/>
      <c r="ADX46" s="22"/>
      <c r="ADY46" s="22"/>
      <c r="ADZ46" s="22"/>
      <c r="AEA46" s="22"/>
      <c r="AEB46" s="22"/>
      <c r="AEC46" s="22"/>
      <c r="AED46" s="22"/>
      <c r="AEE46" s="22"/>
      <c r="AEF46" s="22"/>
      <c r="AEG46" s="22"/>
      <c r="AEH46" s="22"/>
      <c r="AEI46" s="22"/>
      <c r="AEJ46" s="22"/>
      <c r="AEK46" s="22"/>
      <c r="AEL46" s="22"/>
      <c r="AEM46" s="22"/>
      <c r="AEN46" s="22"/>
      <c r="AEO46" s="22"/>
      <c r="AEP46" s="22"/>
      <c r="AEQ46" s="22"/>
      <c r="AER46" s="22"/>
      <c r="AES46" s="22"/>
      <c r="AET46" s="22"/>
      <c r="AEU46" s="22"/>
      <c r="AEV46" s="22"/>
      <c r="AEW46" s="22"/>
      <c r="AEX46" s="22"/>
      <c r="AEY46" s="22"/>
      <c r="AEZ46" s="22"/>
      <c r="AFA46" s="22"/>
      <c r="AFB46" s="22"/>
      <c r="AFC46" s="22"/>
      <c r="AFD46" s="22"/>
      <c r="AFE46" s="22"/>
      <c r="AFF46" s="22"/>
      <c r="AFG46" s="22"/>
      <c r="AFH46" s="22"/>
      <c r="AFI46" s="22"/>
      <c r="AFJ46" s="22"/>
      <c r="AFK46" s="22"/>
      <c r="AFL46" s="22"/>
      <c r="AFM46" s="22"/>
      <c r="AFN46" s="22"/>
      <c r="AFO46" s="22"/>
      <c r="AFP46" s="22"/>
      <c r="AFQ46" s="22"/>
      <c r="AFR46" s="22"/>
      <c r="AFS46" s="22"/>
      <c r="AFT46" s="22"/>
      <c r="AFU46" s="22"/>
      <c r="AFV46" s="22"/>
      <c r="AFW46" s="22"/>
      <c r="AFX46" s="22"/>
      <c r="AFY46" s="22"/>
      <c r="AFZ46" s="22"/>
      <c r="AGA46" s="22"/>
      <c r="AGB46" s="22"/>
      <c r="AGC46" s="22"/>
      <c r="AGD46" s="22"/>
      <c r="AGE46" s="22"/>
      <c r="AGF46" s="22"/>
      <c r="AGG46" s="22"/>
      <c r="AGH46" s="22"/>
      <c r="AGI46" s="22"/>
      <c r="AGJ46" s="22"/>
      <c r="AGK46" s="22"/>
      <c r="AGL46" s="22"/>
      <c r="AGM46" s="22"/>
      <c r="AGN46" s="22"/>
      <c r="AGO46" s="22"/>
      <c r="AGP46" s="22"/>
      <c r="AGQ46" s="22"/>
      <c r="AGR46" s="22"/>
      <c r="AGS46" s="22"/>
      <c r="AGT46" s="22"/>
      <c r="AGU46" s="22"/>
      <c r="AGV46" s="22"/>
      <c r="AGW46" s="22"/>
      <c r="AGX46" s="22"/>
      <c r="AGY46" s="22"/>
      <c r="AGZ46" s="22"/>
      <c r="AHA46" s="22"/>
      <c r="AHB46" s="22"/>
      <c r="AHC46" s="22"/>
      <c r="AHD46" s="22"/>
      <c r="AHE46" s="22"/>
      <c r="AHF46" s="22"/>
      <c r="AHG46" s="22"/>
      <c r="AHH46" s="22"/>
      <c r="AHI46" s="22"/>
      <c r="AHJ46" s="22"/>
      <c r="AHK46" s="22"/>
      <c r="AHL46" s="22"/>
      <c r="AHM46" s="22"/>
      <c r="AHN46" s="22"/>
      <c r="AHO46" s="22"/>
      <c r="AHP46" s="22"/>
      <c r="AHQ46" s="22"/>
      <c r="AHR46" s="22"/>
      <c r="AHS46" s="22"/>
      <c r="AHT46" s="22"/>
      <c r="AHU46" s="22"/>
      <c r="AHV46" s="22"/>
      <c r="AHW46" s="22"/>
      <c r="AHX46" s="22"/>
      <c r="AHY46" s="22"/>
      <c r="AHZ46" s="22"/>
      <c r="AIA46" s="22"/>
      <c r="AIB46" s="22"/>
      <c r="AIC46" s="22"/>
      <c r="AID46" s="22"/>
      <c r="AIE46" s="22"/>
      <c r="AIF46" s="22"/>
      <c r="AIG46" s="22"/>
      <c r="AIH46" s="22"/>
      <c r="AII46" s="22"/>
      <c r="AIJ46" s="22"/>
      <c r="AIK46" s="22"/>
      <c r="AIL46" s="22"/>
      <c r="AIM46" s="22"/>
      <c r="AIN46" s="22"/>
      <c r="AIO46" s="22"/>
      <c r="AIP46" s="22"/>
      <c r="AIQ46" s="22"/>
      <c r="AIR46" s="22"/>
      <c r="AIS46" s="22"/>
      <c r="AIT46" s="22"/>
      <c r="AIU46" s="22"/>
      <c r="AIV46" s="22"/>
      <c r="AIW46" s="22"/>
      <c r="AIX46" s="22"/>
      <c r="AIY46" s="22"/>
      <c r="AIZ46" s="22"/>
      <c r="AJA46" s="22"/>
      <c r="AJB46" s="22"/>
      <c r="AJC46" s="22"/>
      <c r="AJD46" s="22"/>
      <c r="AJE46" s="22"/>
      <c r="AJF46" s="22"/>
      <c r="AJG46" s="22"/>
      <c r="AJH46" s="22"/>
      <c r="AJI46" s="22"/>
      <c r="AJJ46" s="22"/>
      <c r="AJK46" s="22"/>
      <c r="AJL46" s="22"/>
      <c r="AJM46" s="22"/>
      <c r="AJN46" s="22"/>
      <c r="AJO46" s="22"/>
      <c r="AJP46" s="22"/>
      <c r="AJQ46" s="22"/>
      <c r="AJR46" s="22"/>
      <c r="AJS46" s="22"/>
      <c r="AJT46" s="22"/>
      <c r="AJU46" s="22"/>
      <c r="AJV46" s="22"/>
      <c r="AJW46" s="22"/>
      <c r="AJX46" s="22"/>
      <c r="AJY46" s="22"/>
      <c r="AJZ46" s="22"/>
      <c r="AKA46" s="22"/>
      <c r="AKB46" s="22"/>
      <c r="AKC46" s="22"/>
      <c r="AKD46" s="22"/>
      <c r="AKE46" s="22"/>
      <c r="AKF46" s="22"/>
      <c r="AKG46" s="22"/>
      <c r="AKH46" s="22"/>
      <c r="AKI46" s="22"/>
      <c r="AKJ46" s="22"/>
      <c r="AKK46" s="22"/>
      <c r="AKL46" s="22"/>
      <c r="AKM46" s="22"/>
      <c r="AKN46" s="22"/>
      <c r="AKO46" s="22"/>
      <c r="AKP46" s="22"/>
      <c r="AKQ46" s="22"/>
      <c r="AKR46" s="22"/>
      <c r="AKS46" s="22"/>
      <c r="AKT46" s="22"/>
      <c r="AKU46" s="22"/>
      <c r="AKV46" s="22"/>
      <c r="AKW46" s="22"/>
      <c r="AKX46" s="22"/>
      <c r="AKY46" s="22"/>
      <c r="AKZ46" s="22"/>
      <c r="ALA46" s="22"/>
      <c r="ALB46" s="22"/>
      <c r="ALC46" s="22"/>
      <c r="ALD46" s="22"/>
      <c r="ALE46" s="22"/>
      <c r="ALF46" s="22"/>
      <c r="ALG46" s="22"/>
      <c r="ALH46" s="22"/>
      <c r="ALI46" s="22"/>
      <c r="ALJ46" s="22"/>
      <c r="ALK46" s="22"/>
      <c r="ALL46" s="22"/>
      <c r="ALM46" s="22"/>
      <c r="ALN46" s="22"/>
      <c r="ALO46" s="22"/>
      <c r="ALP46" s="22"/>
      <c r="ALQ46" s="22"/>
      <c r="ALR46" s="22"/>
    </row>
    <row r="47" spans="6:1006" x14ac:dyDescent="0.2">
      <c r="F47" s="21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  <c r="IZ47" s="22"/>
      <c r="JA47" s="22"/>
      <c r="JB47" s="22"/>
      <c r="JC47" s="22"/>
      <c r="JD47" s="22"/>
      <c r="JE47" s="22"/>
      <c r="JF47" s="22"/>
      <c r="JG47" s="22"/>
      <c r="JH47" s="22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2"/>
      <c r="LK47" s="22"/>
      <c r="LL47" s="22"/>
      <c r="LM47" s="22"/>
      <c r="LN47" s="22"/>
      <c r="LO47" s="22"/>
      <c r="LP47" s="22"/>
      <c r="LQ47" s="22"/>
      <c r="LR47" s="22"/>
      <c r="LS47" s="22"/>
      <c r="LT47" s="22"/>
      <c r="LU47" s="22"/>
      <c r="LV47" s="22"/>
      <c r="LW47" s="22"/>
      <c r="LX47" s="22"/>
      <c r="LY47" s="22"/>
      <c r="LZ47" s="22"/>
      <c r="MA47" s="22"/>
      <c r="MB47" s="22"/>
      <c r="MC47" s="22"/>
      <c r="MD47" s="22"/>
      <c r="ME47" s="22"/>
      <c r="MF47" s="22"/>
      <c r="MG47" s="22"/>
      <c r="MH47" s="22"/>
      <c r="MI47" s="22"/>
      <c r="MJ47" s="22"/>
      <c r="MK47" s="22"/>
      <c r="ML47" s="22"/>
      <c r="MM47" s="22"/>
      <c r="MN47" s="22"/>
      <c r="MO47" s="22"/>
      <c r="MP47" s="22"/>
      <c r="MQ47" s="22"/>
      <c r="MR47" s="22"/>
      <c r="MS47" s="22"/>
      <c r="MT47" s="22"/>
      <c r="MU47" s="22"/>
      <c r="MV47" s="22"/>
      <c r="MW47" s="22"/>
      <c r="MX47" s="22"/>
      <c r="MY47" s="22"/>
      <c r="MZ47" s="22"/>
      <c r="NA47" s="22"/>
      <c r="NB47" s="22"/>
      <c r="NC47" s="22"/>
      <c r="ND47" s="22"/>
      <c r="NE47" s="22"/>
      <c r="NF47" s="22"/>
      <c r="NG47" s="22"/>
      <c r="NH47" s="22"/>
      <c r="NI47" s="22"/>
      <c r="NJ47" s="22"/>
      <c r="NK47" s="22"/>
      <c r="NL47" s="22"/>
      <c r="NM47" s="22"/>
      <c r="NN47" s="22"/>
      <c r="NO47" s="22"/>
      <c r="NP47" s="22"/>
      <c r="NQ47" s="22"/>
      <c r="NR47" s="22"/>
      <c r="NS47" s="22"/>
      <c r="NT47" s="22"/>
      <c r="NU47" s="22"/>
      <c r="NV47" s="22"/>
      <c r="NW47" s="22"/>
      <c r="NX47" s="22"/>
      <c r="NY47" s="22"/>
      <c r="NZ47" s="22"/>
      <c r="OA47" s="22"/>
      <c r="OB47" s="22"/>
      <c r="OC47" s="22"/>
      <c r="OD47" s="22"/>
      <c r="OE47" s="22"/>
      <c r="OF47" s="22"/>
      <c r="OG47" s="22"/>
      <c r="OH47" s="22"/>
      <c r="OI47" s="22"/>
      <c r="OJ47" s="22"/>
      <c r="OK47" s="22"/>
      <c r="OL47" s="22"/>
      <c r="OM47" s="22"/>
      <c r="ON47" s="22"/>
      <c r="OO47" s="22"/>
      <c r="OP47" s="22"/>
      <c r="OQ47" s="22"/>
      <c r="OR47" s="22"/>
      <c r="OS47" s="22"/>
      <c r="OT47" s="22"/>
      <c r="OU47" s="22"/>
      <c r="OV47" s="22"/>
      <c r="OW47" s="22"/>
      <c r="OX47" s="22"/>
      <c r="OY47" s="22"/>
      <c r="OZ47" s="22"/>
      <c r="PA47" s="22"/>
      <c r="PB47" s="22"/>
      <c r="PC47" s="22"/>
      <c r="PD47" s="22"/>
      <c r="PE47" s="22"/>
      <c r="PF47" s="22"/>
      <c r="PG47" s="22"/>
      <c r="PH47" s="22"/>
      <c r="PI47" s="22"/>
      <c r="PJ47" s="22"/>
      <c r="PK47" s="22"/>
      <c r="PL47" s="22"/>
      <c r="PM47" s="22"/>
      <c r="PN47" s="22"/>
      <c r="PO47" s="22"/>
      <c r="PP47" s="22"/>
      <c r="PQ47" s="22"/>
      <c r="PR47" s="22"/>
      <c r="PS47" s="22"/>
      <c r="PT47" s="22"/>
      <c r="PU47" s="22"/>
      <c r="PV47" s="22"/>
      <c r="PW47" s="22"/>
      <c r="PX47" s="22"/>
      <c r="PY47" s="22"/>
      <c r="PZ47" s="22"/>
      <c r="QA47" s="22"/>
      <c r="QB47" s="22"/>
      <c r="QC47" s="22"/>
      <c r="QD47" s="22"/>
      <c r="QE47" s="22"/>
      <c r="QF47" s="22"/>
      <c r="QG47" s="22"/>
      <c r="QH47" s="22"/>
      <c r="QI47" s="22"/>
      <c r="QJ47" s="22"/>
      <c r="QK47" s="22"/>
      <c r="QL47" s="22"/>
      <c r="QM47" s="22"/>
      <c r="QN47" s="22"/>
      <c r="QO47" s="22"/>
      <c r="QP47" s="22"/>
      <c r="QQ47" s="22"/>
      <c r="QR47" s="22"/>
      <c r="QS47" s="22"/>
      <c r="QT47" s="22"/>
      <c r="QU47" s="22"/>
      <c r="QV47" s="22"/>
      <c r="QW47" s="22"/>
      <c r="QX47" s="22"/>
      <c r="QY47" s="22"/>
      <c r="QZ47" s="22"/>
      <c r="RA47" s="22"/>
      <c r="RB47" s="22"/>
      <c r="RC47" s="22"/>
      <c r="RD47" s="22"/>
      <c r="RE47" s="22"/>
      <c r="RF47" s="22"/>
      <c r="RG47" s="22"/>
      <c r="RH47" s="22"/>
      <c r="RI47" s="22"/>
      <c r="RJ47" s="22"/>
      <c r="RK47" s="22"/>
      <c r="RL47" s="22"/>
      <c r="RM47" s="22"/>
      <c r="RN47" s="22"/>
      <c r="RO47" s="22"/>
      <c r="RP47" s="22"/>
      <c r="RQ47" s="22"/>
      <c r="RR47" s="22"/>
      <c r="RS47" s="22"/>
      <c r="RT47" s="22"/>
      <c r="RU47" s="22"/>
      <c r="RV47" s="22"/>
      <c r="RW47" s="22"/>
      <c r="RX47" s="22"/>
      <c r="RY47" s="22"/>
      <c r="RZ47" s="22"/>
      <c r="SA47" s="22"/>
      <c r="SB47" s="22"/>
      <c r="SC47" s="22"/>
      <c r="SD47" s="22"/>
      <c r="SE47" s="22"/>
      <c r="SF47" s="22"/>
      <c r="SG47" s="22"/>
      <c r="SH47" s="22"/>
      <c r="SI47" s="22"/>
      <c r="SJ47" s="22"/>
      <c r="SK47" s="22"/>
      <c r="SL47" s="22"/>
      <c r="SM47" s="22"/>
      <c r="SN47" s="22"/>
      <c r="SO47" s="22"/>
      <c r="SP47" s="22"/>
      <c r="SQ47" s="22"/>
      <c r="SR47" s="22"/>
      <c r="SS47" s="22"/>
      <c r="ST47" s="22"/>
      <c r="SU47" s="22"/>
      <c r="SV47" s="22"/>
      <c r="SW47" s="22"/>
      <c r="SX47" s="22"/>
      <c r="SY47" s="22"/>
      <c r="SZ47" s="22"/>
      <c r="TA47" s="22"/>
      <c r="TB47" s="22"/>
      <c r="TC47" s="22"/>
      <c r="TD47" s="22"/>
      <c r="TE47" s="22"/>
      <c r="TF47" s="22"/>
      <c r="TG47" s="22"/>
      <c r="TH47" s="22"/>
      <c r="TI47" s="22"/>
      <c r="TJ47" s="22"/>
      <c r="TK47" s="22"/>
      <c r="TL47" s="22"/>
      <c r="TM47" s="22"/>
      <c r="TN47" s="22"/>
      <c r="TO47" s="22"/>
      <c r="TP47" s="22"/>
      <c r="TQ47" s="22"/>
      <c r="TR47" s="22"/>
      <c r="TS47" s="22"/>
      <c r="TT47" s="22"/>
      <c r="TU47" s="22"/>
      <c r="TV47" s="22"/>
      <c r="TW47" s="22"/>
      <c r="TX47" s="22"/>
      <c r="TY47" s="22"/>
      <c r="TZ47" s="22"/>
      <c r="UA47" s="22"/>
      <c r="UB47" s="22"/>
      <c r="UC47" s="22"/>
      <c r="UD47" s="22"/>
      <c r="UE47" s="22"/>
      <c r="UF47" s="22"/>
      <c r="UG47" s="22"/>
      <c r="UH47" s="22"/>
      <c r="UI47" s="22"/>
      <c r="UJ47" s="22"/>
      <c r="UK47" s="22"/>
      <c r="UL47" s="22"/>
      <c r="UM47" s="22"/>
      <c r="UN47" s="22"/>
      <c r="UO47" s="22"/>
      <c r="UP47" s="22"/>
      <c r="UQ47" s="22"/>
      <c r="UR47" s="22"/>
      <c r="US47" s="22"/>
      <c r="UT47" s="22"/>
      <c r="UU47" s="22"/>
      <c r="UV47" s="22"/>
      <c r="UW47" s="22"/>
      <c r="UX47" s="22"/>
      <c r="UY47" s="22"/>
      <c r="UZ47" s="22"/>
      <c r="VA47" s="22"/>
      <c r="VB47" s="22"/>
      <c r="VC47" s="22"/>
      <c r="VD47" s="22"/>
      <c r="VE47" s="22"/>
      <c r="VF47" s="22"/>
      <c r="VG47" s="22"/>
      <c r="VH47" s="22"/>
      <c r="VI47" s="22"/>
      <c r="VJ47" s="22"/>
      <c r="VK47" s="22"/>
      <c r="VL47" s="22"/>
      <c r="VM47" s="22"/>
      <c r="VN47" s="22"/>
      <c r="VO47" s="22"/>
      <c r="VP47" s="22"/>
      <c r="VQ47" s="22"/>
      <c r="VR47" s="22"/>
      <c r="VS47" s="22"/>
      <c r="VT47" s="22"/>
      <c r="VU47" s="22"/>
      <c r="VV47" s="22"/>
      <c r="VW47" s="22"/>
      <c r="VX47" s="22"/>
      <c r="VY47" s="22"/>
      <c r="VZ47" s="22"/>
      <c r="WA47" s="22"/>
      <c r="WB47" s="22"/>
      <c r="WC47" s="22"/>
      <c r="WD47" s="22"/>
      <c r="WE47" s="22"/>
      <c r="WF47" s="22"/>
      <c r="WG47" s="22"/>
      <c r="WH47" s="22"/>
      <c r="WI47" s="22"/>
      <c r="WJ47" s="22"/>
      <c r="WK47" s="22"/>
      <c r="WL47" s="22"/>
      <c r="WM47" s="22"/>
      <c r="WN47" s="22"/>
      <c r="WO47" s="22"/>
      <c r="WP47" s="22"/>
      <c r="WQ47" s="22"/>
      <c r="WR47" s="22"/>
      <c r="WS47" s="22"/>
      <c r="WT47" s="22"/>
      <c r="WU47" s="22"/>
      <c r="WV47" s="22"/>
      <c r="WW47" s="22"/>
      <c r="WX47" s="22"/>
      <c r="WY47" s="22"/>
      <c r="WZ47" s="22"/>
      <c r="XA47" s="22"/>
      <c r="XB47" s="22"/>
      <c r="XC47" s="22"/>
      <c r="XD47" s="22"/>
      <c r="XE47" s="22"/>
      <c r="XF47" s="22"/>
      <c r="XG47" s="22"/>
      <c r="XH47" s="22"/>
      <c r="XI47" s="22"/>
      <c r="XJ47" s="22"/>
      <c r="XK47" s="22"/>
      <c r="XL47" s="22"/>
      <c r="XM47" s="22"/>
      <c r="XN47" s="22"/>
      <c r="XO47" s="22"/>
      <c r="XP47" s="22"/>
      <c r="XQ47" s="22"/>
      <c r="XR47" s="22"/>
      <c r="XS47" s="22"/>
      <c r="XT47" s="22"/>
      <c r="XU47" s="22"/>
      <c r="XV47" s="22"/>
      <c r="XW47" s="22"/>
      <c r="XX47" s="22"/>
      <c r="XY47" s="22"/>
      <c r="XZ47" s="22"/>
      <c r="YA47" s="22"/>
      <c r="YB47" s="22"/>
      <c r="YC47" s="22"/>
      <c r="YD47" s="22"/>
      <c r="YE47" s="22"/>
      <c r="YF47" s="22"/>
      <c r="YG47" s="22"/>
      <c r="YH47" s="22"/>
      <c r="YI47" s="22"/>
      <c r="YJ47" s="22"/>
      <c r="YK47" s="22"/>
      <c r="YL47" s="22"/>
      <c r="YM47" s="22"/>
      <c r="YN47" s="22"/>
      <c r="YO47" s="22"/>
      <c r="YP47" s="22"/>
      <c r="YQ47" s="22"/>
      <c r="YR47" s="22"/>
      <c r="YS47" s="22"/>
      <c r="YT47" s="22"/>
      <c r="YU47" s="22"/>
      <c r="YV47" s="22"/>
      <c r="YW47" s="22"/>
      <c r="YX47" s="22"/>
      <c r="YY47" s="22"/>
      <c r="YZ47" s="22"/>
      <c r="ZA47" s="22"/>
      <c r="ZB47" s="22"/>
      <c r="ZC47" s="22"/>
      <c r="ZD47" s="22"/>
      <c r="ZE47" s="22"/>
      <c r="ZF47" s="22"/>
      <c r="ZG47" s="22"/>
      <c r="ZH47" s="22"/>
      <c r="ZI47" s="22"/>
      <c r="ZJ47" s="22"/>
      <c r="ZK47" s="22"/>
      <c r="ZL47" s="22"/>
      <c r="ZM47" s="22"/>
      <c r="ZN47" s="22"/>
      <c r="ZO47" s="22"/>
      <c r="ZP47" s="22"/>
      <c r="ZQ47" s="22"/>
      <c r="ZR47" s="22"/>
      <c r="ZS47" s="22"/>
      <c r="ZT47" s="22"/>
      <c r="ZU47" s="22"/>
      <c r="ZV47" s="22"/>
      <c r="ZW47" s="22"/>
      <c r="ZX47" s="22"/>
      <c r="ZY47" s="22"/>
      <c r="ZZ47" s="22"/>
      <c r="AAA47" s="22"/>
      <c r="AAB47" s="22"/>
      <c r="AAC47" s="22"/>
      <c r="AAD47" s="22"/>
      <c r="AAE47" s="22"/>
      <c r="AAF47" s="22"/>
      <c r="AAG47" s="22"/>
      <c r="AAH47" s="22"/>
      <c r="AAI47" s="22"/>
      <c r="AAJ47" s="22"/>
      <c r="AAK47" s="22"/>
      <c r="AAL47" s="22"/>
      <c r="AAM47" s="22"/>
      <c r="AAN47" s="22"/>
      <c r="AAO47" s="22"/>
      <c r="AAP47" s="22"/>
      <c r="AAQ47" s="22"/>
      <c r="AAR47" s="22"/>
      <c r="AAS47" s="22"/>
      <c r="AAT47" s="22"/>
      <c r="AAU47" s="22"/>
      <c r="AAV47" s="22"/>
      <c r="AAW47" s="22"/>
      <c r="AAX47" s="22"/>
      <c r="AAY47" s="22"/>
      <c r="AAZ47" s="22"/>
      <c r="ABA47" s="22"/>
      <c r="ABB47" s="22"/>
      <c r="ABC47" s="22"/>
      <c r="ABD47" s="22"/>
      <c r="ABE47" s="22"/>
      <c r="ABF47" s="22"/>
      <c r="ABG47" s="22"/>
      <c r="ABH47" s="22"/>
      <c r="ABI47" s="22"/>
      <c r="ABJ47" s="22"/>
      <c r="ABK47" s="22"/>
      <c r="ABL47" s="22"/>
      <c r="ABM47" s="22"/>
      <c r="ABN47" s="22"/>
      <c r="ABO47" s="22"/>
      <c r="ABP47" s="22"/>
      <c r="ABQ47" s="22"/>
      <c r="ABR47" s="22"/>
      <c r="ABS47" s="22"/>
      <c r="ABT47" s="22"/>
      <c r="ABU47" s="22"/>
      <c r="ABV47" s="22"/>
      <c r="ABW47" s="22"/>
      <c r="ABX47" s="22"/>
      <c r="ABY47" s="22"/>
      <c r="ABZ47" s="22"/>
      <c r="ACA47" s="22"/>
      <c r="ACB47" s="22"/>
      <c r="ACC47" s="22"/>
      <c r="ACD47" s="22"/>
      <c r="ACE47" s="22"/>
      <c r="ACF47" s="22"/>
      <c r="ACG47" s="22"/>
      <c r="ACH47" s="22"/>
      <c r="ACI47" s="22"/>
      <c r="ACJ47" s="22"/>
      <c r="ACK47" s="22"/>
      <c r="ACL47" s="22"/>
      <c r="ACM47" s="22"/>
      <c r="ACN47" s="22"/>
      <c r="ACO47" s="22"/>
      <c r="ACP47" s="22"/>
      <c r="ACQ47" s="22"/>
      <c r="ACR47" s="22"/>
      <c r="ACS47" s="22"/>
      <c r="ACT47" s="22"/>
      <c r="ACU47" s="22"/>
      <c r="ACV47" s="22"/>
      <c r="ACW47" s="22"/>
      <c r="ACX47" s="22"/>
      <c r="ACY47" s="22"/>
      <c r="ACZ47" s="22"/>
      <c r="ADA47" s="22"/>
      <c r="ADB47" s="22"/>
      <c r="ADC47" s="22"/>
      <c r="ADD47" s="22"/>
      <c r="ADE47" s="22"/>
      <c r="ADF47" s="22"/>
      <c r="ADG47" s="22"/>
      <c r="ADH47" s="22"/>
      <c r="ADI47" s="22"/>
      <c r="ADJ47" s="22"/>
      <c r="ADK47" s="22"/>
      <c r="ADL47" s="22"/>
      <c r="ADM47" s="22"/>
      <c r="ADN47" s="22"/>
      <c r="ADO47" s="22"/>
      <c r="ADP47" s="22"/>
      <c r="ADQ47" s="22"/>
      <c r="ADR47" s="22"/>
      <c r="ADS47" s="22"/>
      <c r="ADT47" s="22"/>
      <c r="ADU47" s="22"/>
      <c r="ADV47" s="22"/>
      <c r="ADW47" s="22"/>
      <c r="ADX47" s="22"/>
      <c r="ADY47" s="22"/>
      <c r="ADZ47" s="22"/>
      <c r="AEA47" s="22"/>
      <c r="AEB47" s="22"/>
      <c r="AEC47" s="22"/>
      <c r="AED47" s="22"/>
      <c r="AEE47" s="22"/>
      <c r="AEF47" s="22"/>
      <c r="AEG47" s="22"/>
      <c r="AEH47" s="22"/>
      <c r="AEI47" s="22"/>
      <c r="AEJ47" s="22"/>
      <c r="AEK47" s="22"/>
      <c r="AEL47" s="22"/>
      <c r="AEM47" s="22"/>
      <c r="AEN47" s="22"/>
      <c r="AEO47" s="22"/>
      <c r="AEP47" s="22"/>
      <c r="AEQ47" s="22"/>
      <c r="AER47" s="22"/>
      <c r="AES47" s="22"/>
      <c r="AET47" s="22"/>
      <c r="AEU47" s="22"/>
      <c r="AEV47" s="22"/>
      <c r="AEW47" s="22"/>
      <c r="AEX47" s="22"/>
      <c r="AEY47" s="22"/>
      <c r="AEZ47" s="22"/>
      <c r="AFA47" s="22"/>
      <c r="AFB47" s="22"/>
      <c r="AFC47" s="22"/>
      <c r="AFD47" s="22"/>
      <c r="AFE47" s="22"/>
      <c r="AFF47" s="22"/>
      <c r="AFG47" s="22"/>
      <c r="AFH47" s="22"/>
      <c r="AFI47" s="22"/>
      <c r="AFJ47" s="22"/>
      <c r="AFK47" s="22"/>
      <c r="AFL47" s="22"/>
      <c r="AFM47" s="22"/>
      <c r="AFN47" s="22"/>
      <c r="AFO47" s="22"/>
      <c r="AFP47" s="22"/>
      <c r="AFQ47" s="22"/>
      <c r="AFR47" s="22"/>
      <c r="AFS47" s="22"/>
      <c r="AFT47" s="22"/>
      <c r="AFU47" s="22"/>
      <c r="AFV47" s="22"/>
      <c r="AFW47" s="22"/>
      <c r="AFX47" s="22"/>
      <c r="AFY47" s="22"/>
      <c r="AFZ47" s="22"/>
      <c r="AGA47" s="22"/>
      <c r="AGB47" s="22"/>
      <c r="AGC47" s="22"/>
      <c r="AGD47" s="22"/>
      <c r="AGE47" s="22"/>
      <c r="AGF47" s="22"/>
      <c r="AGG47" s="22"/>
      <c r="AGH47" s="22"/>
      <c r="AGI47" s="22"/>
      <c r="AGJ47" s="22"/>
      <c r="AGK47" s="22"/>
      <c r="AGL47" s="22"/>
      <c r="AGM47" s="22"/>
      <c r="AGN47" s="22"/>
      <c r="AGO47" s="22"/>
      <c r="AGP47" s="22"/>
      <c r="AGQ47" s="22"/>
      <c r="AGR47" s="22"/>
      <c r="AGS47" s="22"/>
      <c r="AGT47" s="22"/>
      <c r="AGU47" s="22"/>
      <c r="AGV47" s="22"/>
      <c r="AGW47" s="22"/>
      <c r="AGX47" s="22"/>
      <c r="AGY47" s="22"/>
      <c r="AGZ47" s="22"/>
      <c r="AHA47" s="22"/>
      <c r="AHB47" s="22"/>
      <c r="AHC47" s="22"/>
      <c r="AHD47" s="22"/>
      <c r="AHE47" s="22"/>
      <c r="AHF47" s="22"/>
      <c r="AHG47" s="22"/>
      <c r="AHH47" s="22"/>
      <c r="AHI47" s="22"/>
      <c r="AHJ47" s="22"/>
      <c r="AHK47" s="22"/>
      <c r="AHL47" s="22"/>
      <c r="AHM47" s="22"/>
      <c r="AHN47" s="22"/>
      <c r="AHO47" s="22"/>
      <c r="AHP47" s="22"/>
      <c r="AHQ47" s="22"/>
      <c r="AHR47" s="22"/>
      <c r="AHS47" s="22"/>
      <c r="AHT47" s="22"/>
      <c r="AHU47" s="22"/>
      <c r="AHV47" s="22"/>
      <c r="AHW47" s="22"/>
      <c r="AHX47" s="22"/>
      <c r="AHY47" s="22"/>
      <c r="AHZ47" s="22"/>
      <c r="AIA47" s="22"/>
      <c r="AIB47" s="22"/>
      <c r="AIC47" s="22"/>
      <c r="AID47" s="22"/>
      <c r="AIE47" s="22"/>
      <c r="AIF47" s="22"/>
      <c r="AIG47" s="22"/>
      <c r="AIH47" s="22"/>
      <c r="AII47" s="22"/>
      <c r="AIJ47" s="22"/>
      <c r="AIK47" s="22"/>
      <c r="AIL47" s="22"/>
      <c r="AIM47" s="22"/>
      <c r="AIN47" s="22"/>
      <c r="AIO47" s="22"/>
      <c r="AIP47" s="22"/>
      <c r="AIQ47" s="22"/>
      <c r="AIR47" s="22"/>
      <c r="AIS47" s="22"/>
      <c r="AIT47" s="22"/>
      <c r="AIU47" s="22"/>
      <c r="AIV47" s="22"/>
      <c r="AIW47" s="22"/>
      <c r="AIX47" s="22"/>
      <c r="AIY47" s="22"/>
      <c r="AIZ47" s="22"/>
      <c r="AJA47" s="22"/>
      <c r="AJB47" s="22"/>
      <c r="AJC47" s="22"/>
      <c r="AJD47" s="22"/>
      <c r="AJE47" s="22"/>
      <c r="AJF47" s="22"/>
      <c r="AJG47" s="22"/>
      <c r="AJH47" s="22"/>
      <c r="AJI47" s="22"/>
      <c r="AJJ47" s="22"/>
      <c r="AJK47" s="22"/>
      <c r="AJL47" s="22"/>
      <c r="AJM47" s="22"/>
      <c r="AJN47" s="22"/>
      <c r="AJO47" s="22"/>
      <c r="AJP47" s="22"/>
      <c r="AJQ47" s="22"/>
      <c r="AJR47" s="22"/>
      <c r="AJS47" s="22"/>
      <c r="AJT47" s="22"/>
      <c r="AJU47" s="22"/>
      <c r="AJV47" s="22"/>
      <c r="AJW47" s="22"/>
      <c r="AJX47" s="22"/>
      <c r="AJY47" s="22"/>
      <c r="AJZ47" s="22"/>
      <c r="AKA47" s="22"/>
      <c r="AKB47" s="22"/>
      <c r="AKC47" s="22"/>
      <c r="AKD47" s="22"/>
      <c r="AKE47" s="22"/>
      <c r="AKF47" s="22"/>
      <c r="AKG47" s="22"/>
      <c r="AKH47" s="22"/>
      <c r="AKI47" s="22"/>
      <c r="AKJ47" s="22"/>
      <c r="AKK47" s="22"/>
      <c r="AKL47" s="22"/>
      <c r="AKM47" s="22"/>
      <c r="AKN47" s="22"/>
      <c r="AKO47" s="22"/>
      <c r="AKP47" s="22"/>
      <c r="AKQ47" s="22"/>
      <c r="AKR47" s="22"/>
      <c r="AKS47" s="22"/>
      <c r="AKT47" s="22"/>
      <c r="AKU47" s="22"/>
      <c r="AKV47" s="22"/>
      <c r="AKW47" s="22"/>
      <c r="AKX47" s="22"/>
      <c r="AKY47" s="22"/>
      <c r="AKZ47" s="22"/>
      <c r="ALA47" s="22"/>
      <c r="ALB47" s="22"/>
      <c r="ALC47" s="22"/>
      <c r="ALD47" s="22"/>
      <c r="ALE47" s="22"/>
      <c r="ALF47" s="22"/>
      <c r="ALG47" s="22"/>
      <c r="ALH47" s="22"/>
      <c r="ALI47" s="22"/>
      <c r="ALJ47" s="22"/>
      <c r="ALK47" s="22"/>
      <c r="ALL47" s="22"/>
      <c r="ALM47" s="22"/>
      <c r="ALN47" s="22"/>
      <c r="ALO47" s="22"/>
      <c r="ALP47" s="22"/>
      <c r="ALQ47" s="22"/>
      <c r="ALR47" s="22"/>
    </row>
    <row r="48" spans="6:1006" x14ac:dyDescent="0.2">
      <c r="F48" s="21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  <c r="IZ48" s="22"/>
      <c r="JA48" s="22"/>
      <c r="JB48" s="22"/>
      <c r="JC48" s="22"/>
      <c r="JD48" s="22"/>
      <c r="JE48" s="22"/>
      <c r="JF48" s="22"/>
      <c r="JG48" s="22"/>
      <c r="JH48" s="22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2"/>
      <c r="LK48" s="22"/>
      <c r="LL48" s="22"/>
      <c r="LM48" s="22"/>
      <c r="LN48" s="22"/>
      <c r="LO48" s="22"/>
      <c r="LP48" s="22"/>
      <c r="LQ48" s="22"/>
      <c r="LR48" s="22"/>
      <c r="LS48" s="22"/>
      <c r="LT48" s="22"/>
      <c r="LU48" s="22"/>
      <c r="LV48" s="22"/>
      <c r="LW48" s="22"/>
      <c r="LX48" s="22"/>
      <c r="LY48" s="22"/>
      <c r="LZ48" s="22"/>
      <c r="MA48" s="22"/>
      <c r="MB48" s="22"/>
      <c r="MC48" s="22"/>
      <c r="MD48" s="22"/>
      <c r="ME48" s="22"/>
      <c r="MF48" s="22"/>
      <c r="MG48" s="22"/>
      <c r="MH48" s="22"/>
      <c r="MI48" s="22"/>
      <c r="MJ48" s="22"/>
      <c r="MK48" s="22"/>
      <c r="ML48" s="22"/>
      <c r="MM48" s="22"/>
      <c r="MN48" s="22"/>
      <c r="MO48" s="22"/>
      <c r="MP48" s="22"/>
      <c r="MQ48" s="22"/>
      <c r="MR48" s="22"/>
      <c r="MS48" s="22"/>
      <c r="MT48" s="22"/>
      <c r="MU48" s="22"/>
      <c r="MV48" s="22"/>
      <c r="MW48" s="22"/>
      <c r="MX48" s="22"/>
      <c r="MY48" s="22"/>
      <c r="MZ48" s="22"/>
      <c r="NA48" s="22"/>
      <c r="NB48" s="22"/>
      <c r="NC48" s="22"/>
      <c r="ND48" s="22"/>
      <c r="NE48" s="22"/>
      <c r="NF48" s="22"/>
      <c r="NG48" s="22"/>
      <c r="NH48" s="22"/>
      <c r="NI48" s="22"/>
      <c r="NJ48" s="22"/>
      <c r="NK48" s="22"/>
      <c r="NL48" s="22"/>
      <c r="NM48" s="22"/>
      <c r="NN48" s="22"/>
      <c r="NO48" s="22"/>
      <c r="NP48" s="22"/>
      <c r="NQ48" s="22"/>
      <c r="NR48" s="22"/>
      <c r="NS48" s="22"/>
      <c r="NT48" s="22"/>
      <c r="NU48" s="22"/>
      <c r="NV48" s="22"/>
      <c r="NW48" s="22"/>
      <c r="NX48" s="22"/>
      <c r="NY48" s="22"/>
      <c r="NZ48" s="22"/>
      <c r="OA48" s="22"/>
      <c r="OB48" s="22"/>
      <c r="OC48" s="22"/>
      <c r="OD48" s="22"/>
      <c r="OE48" s="22"/>
      <c r="OF48" s="22"/>
      <c r="OG48" s="22"/>
      <c r="OH48" s="22"/>
      <c r="OI48" s="22"/>
      <c r="OJ48" s="22"/>
      <c r="OK48" s="22"/>
      <c r="OL48" s="22"/>
      <c r="OM48" s="22"/>
      <c r="ON48" s="22"/>
      <c r="OO48" s="22"/>
      <c r="OP48" s="22"/>
      <c r="OQ48" s="22"/>
      <c r="OR48" s="22"/>
      <c r="OS48" s="22"/>
      <c r="OT48" s="22"/>
      <c r="OU48" s="22"/>
      <c r="OV48" s="22"/>
      <c r="OW48" s="22"/>
      <c r="OX48" s="22"/>
      <c r="OY48" s="22"/>
      <c r="OZ48" s="22"/>
      <c r="PA48" s="22"/>
      <c r="PB48" s="22"/>
      <c r="PC48" s="22"/>
      <c r="PD48" s="22"/>
      <c r="PE48" s="22"/>
      <c r="PF48" s="22"/>
      <c r="PG48" s="22"/>
      <c r="PH48" s="22"/>
      <c r="PI48" s="22"/>
      <c r="PJ48" s="22"/>
      <c r="PK48" s="22"/>
      <c r="PL48" s="22"/>
      <c r="PM48" s="22"/>
      <c r="PN48" s="22"/>
      <c r="PO48" s="22"/>
      <c r="PP48" s="22"/>
      <c r="PQ48" s="22"/>
      <c r="PR48" s="22"/>
      <c r="PS48" s="22"/>
      <c r="PT48" s="22"/>
      <c r="PU48" s="22"/>
      <c r="PV48" s="22"/>
      <c r="PW48" s="22"/>
      <c r="PX48" s="22"/>
      <c r="PY48" s="22"/>
      <c r="PZ48" s="22"/>
      <c r="QA48" s="22"/>
      <c r="QB48" s="22"/>
      <c r="QC48" s="22"/>
      <c r="QD48" s="22"/>
      <c r="QE48" s="22"/>
      <c r="QF48" s="22"/>
      <c r="QG48" s="22"/>
      <c r="QH48" s="22"/>
      <c r="QI48" s="22"/>
      <c r="QJ48" s="22"/>
      <c r="QK48" s="22"/>
      <c r="QL48" s="22"/>
      <c r="QM48" s="22"/>
      <c r="QN48" s="22"/>
      <c r="QO48" s="22"/>
      <c r="QP48" s="22"/>
      <c r="QQ48" s="22"/>
      <c r="QR48" s="22"/>
      <c r="QS48" s="22"/>
      <c r="QT48" s="22"/>
      <c r="QU48" s="22"/>
      <c r="QV48" s="22"/>
      <c r="QW48" s="22"/>
      <c r="QX48" s="22"/>
      <c r="QY48" s="22"/>
      <c r="QZ48" s="22"/>
      <c r="RA48" s="22"/>
      <c r="RB48" s="22"/>
      <c r="RC48" s="22"/>
      <c r="RD48" s="22"/>
      <c r="RE48" s="22"/>
      <c r="RF48" s="22"/>
      <c r="RG48" s="22"/>
      <c r="RH48" s="22"/>
      <c r="RI48" s="22"/>
      <c r="RJ48" s="22"/>
      <c r="RK48" s="22"/>
      <c r="RL48" s="22"/>
      <c r="RM48" s="22"/>
      <c r="RN48" s="22"/>
      <c r="RO48" s="22"/>
      <c r="RP48" s="22"/>
      <c r="RQ48" s="22"/>
      <c r="RR48" s="22"/>
      <c r="RS48" s="22"/>
      <c r="RT48" s="22"/>
      <c r="RU48" s="22"/>
      <c r="RV48" s="22"/>
      <c r="RW48" s="22"/>
      <c r="RX48" s="22"/>
      <c r="RY48" s="22"/>
      <c r="RZ48" s="22"/>
      <c r="SA48" s="22"/>
      <c r="SB48" s="22"/>
      <c r="SC48" s="22"/>
      <c r="SD48" s="22"/>
      <c r="SE48" s="22"/>
      <c r="SF48" s="22"/>
      <c r="SG48" s="22"/>
      <c r="SH48" s="22"/>
      <c r="SI48" s="22"/>
      <c r="SJ48" s="22"/>
      <c r="SK48" s="22"/>
      <c r="SL48" s="22"/>
      <c r="SM48" s="22"/>
      <c r="SN48" s="22"/>
      <c r="SO48" s="22"/>
      <c r="SP48" s="22"/>
      <c r="SQ48" s="22"/>
      <c r="SR48" s="22"/>
      <c r="SS48" s="22"/>
      <c r="ST48" s="22"/>
      <c r="SU48" s="22"/>
      <c r="SV48" s="22"/>
      <c r="SW48" s="22"/>
      <c r="SX48" s="22"/>
      <c r="SY48" s="22"/>
      <c r="SZ48" s="22"/>
      <c r="TA48" s="22"/>
      <c r="TB48" s="22"/>
      <c r="TC48" s="22"/>
      <c r="TD48" s="22"/>
      <c r="TE48" s="22"/>
      <c r="TF48" s="22"/>
      <c r="TG48" s="22"/>
      <c r="TH48" s="22"/>
      <c r="TI48" s="22"/>
      <c r="TJ48" s="22"/>
      <c r="TK48" s="22"/>
      <c r="TL48" s="22"/>
      <c r="TM48" s="22"/>
      <c r="TN48" s="22"/>
      <c r="TO48" s="22"/>
      <c r="TP48" s="22"/>
      <c r="TQ48" s="22"/>
      <c r="TR48" s="22"/>
      <c r="TS48" s="22"/>
      <c r="TT48" s="22"/>
      <c r="TU48" s="22"/>
      <c r="TV48" s="22"/>
      <c r="TW48" s="22"/>
      <c r="TX48" s="22"/>
      <c r="TY48" s="22"/>
      <c r="TZ48" s="22"/>
      <c r="UA48" s="22"/>
      <c r="UB48" s="22"/>
      <c r="UC48" s="22"/>
      <c r="UD48" s="22"/>
      <c r="UE48" s="22"/>
      <c r="UF48" s="22"/>
      <c r="UG48" s="22"/>
      <c r="UH48" s="22"/>
      <c r="UI48" s="22"/>
      <c r="UJ48" s="22"/>
      <c r="UK48" s="22"/>
      <c r="UL48" s="22"/>
      <c r="UM48" s="22"/>
      <c r="UN48" s="22"/>
      <c r="UO48" s="22"/>
      <c r="UP48" s="22"/>
      <c r="UQ48" s="22"/>
      <c r="UR48" s="22"/>
      <c r="US48" s="22"/>
      <c r="UT48" s="22"/>
      <c r="UU48" s="22"/>
      <c r="UV48" s="22"/>
      <c r="UW48" s="22"/>
      <c r="UX48" s="22"/>
      <c r="UY48" s="22"/>
      <c r="UZ48" s="22"/>
      <c r="VA48" s="22"/>
      <c r="VB48" s="22"/>
      <c r="VC48" s="22"/>
      <c r="VD48" s="22"/>
      <c r="VE48" s="22"/>
      <c r="VF48" s="22"/>
      <c r="VG48" s="22"/>
      <c r="VH48" s="22"/>
      <c r="VI48" s="22"/>
      <c r="VJ48" s="22"/>
      <c r="VK48" s="22"/>
      <c r="VL48" s="22"/>
      <c r="VM48" s="22"/>
      <c r="VN48" s="22"/>
      <c r="VO48" s="22"/>
      <c r="VP48" s="22"/>
      <c r="VQ48" s="22"/>
      <c r="VR48" s="22"/>
      <c r="VS48" s="22"/>
      <c r="VT48" s="22"/>
      <c r="VU48" s="22"/>
      <c r="VV48" s="22"/>
      <c r="VW48" s="22"/>
      <c r="VX48" s="22"/>
      <c r="VY48" s="22"/>
      <c r="VZ48" s="22"/>
      <c r="WA48" s="22"/>
      <c r="WB48" s="22"/>
      <c r="WC48" s="22"/>
      <c r="WD48" s="22"/>
      <c r="WE48" s="22"/>
      <c r="WF48" s="22"/>
      <c r="WG48" s="22"/>
      <c r="WH48" s="22"/>
      <c r="WI48" s="22"/>
      <c r="WJ48" s="22"/>
      <c r="WK48" s="22"/>
      <c r="WL48" s="22"/>
      <c r="WM48" s="22"/>
      <c r="WN48" s="22"/>
      <c r="WO48" s="22"/>
      <c r="WP48" s="22"/>
      <c r="WQ48" s="22"/>
      <c r="WR48" s="22"/>
      <c r="WS48" s="22"/>
      <c r="WT48" s="22"/>
      <c r="WU48" s="22"/>
      <c r="WV48" s="22"/>
      <c r="WW48" s="22"/>
      <c r="WX48" s="22"/>
      <c r="WY48" s="22"/>
      <c r="WZ48" s="22"/>
      <c r="XA48" s="22"/>
      <c r="XB48" s="22"/>
      <c r="XC48" s="22"/>
      <c r="XD48" s="22"/>
      <c r="XE48" s="22"/>
      <c r="XF48" s="22"/>
      <c r="XG48" s="22"/>
      <c r="XH48" s="22"/>
      <c r="XI48" s="22"/>
      <c r="XJ48" s="22"/>
      <c r="XK48" s="22"/>
      <c r="XL48" s="22"/>
      <c r="XM48" s="22"/>
      <c r="XN48" s="22"/>
      <c r="XO48" s="22"/>
      <c r="XP48" s="22"/>
      <c r="XQ48" s="22"/>
      <c r="XR48" s="22"/>
      <c r="XS48" s="22"/>
      <c r="XT48" s="22"/>
      <c r="XU48" s="22"/>
      <c r="XV48" s="22"/>
      <c r="XW48" s="22"/>
      <c r="XX48" s="22"/>
      <c r="XY48" s="22"/>
      <c r="XZ48" s="22"/>
      <c r="YA48" s="22"/>
      <c r="YB48" s="22"/>
      <c r="YC48" s="22"/>
      <c r="YD48" s="22"/>
      <c r="YE48" s="22"/>
      <c r="YF48" s="22"/>
      <c r="YG48" s="22"/>
      <c r="YH48" s="22"/>
      <c r="YI48" s="22"/>
      <c r="YJ48" s="22"/>
      <c r="YK48" s="22"/>
      <c r="YL48" s="22"/>
      <c r="YM48" s="22"/>
      <c r="YN48" s="22"/>
      <c r="YO48" s="22"/>
      <c r="YP48" s="22"/>
      <c r="YQ48" s="22"/>
      <c r="YR48" s="22"/>
      <c r="YS48" s="22"/>
      <c r="YT48" s="22"/>
      <c r="YU48" s="22"/>
      <c r="YV48" s="22"/>
      <c r="YW48" s="22"/>
      <c r="YX48" s="22"/>
      <c r="YY48" s="22"/>
      <c r="YZ48" s="22"/>
      <c r="ZA48" s="22"/>
      <c r="ZB48" s="22"/>
      <c r="ZC48" s="22"/>
      <c r="ZD48" s="22"/>
      <c r="ZE48" s="22"/>
      <c r="ZF48" s="22"/>
      <c r="ZG48" s="22"/>
      <c r="ZH48" s="22"/>
      <c r="ZI48" s="22"/>
      <c r="ZJ48" s="22"/>
      <c r="ZK48" s="22"/>
      <c r="ZL48" s="22"/>
      <c r="ZM48" s="22"/>
      <c r="ZN48" s="22"/>
      <c r="ZO48" s="22"/>
      <c r="ZP48" s="22"/>
      <c r="ZQ48" s="22"/>
      <c r="ZR48" s="22"/>
      <c r="ZS48" s="22"/>
      <c r="ZT48" s="22"/>
      <c r="ZU48" s="22"/>
      <c r="ZV48" s="22"/>
      <c r="ZW48" s="22"/>
      <c r="ZX48" s="22"/>
      <c r="ZY48" s="22"/>
      <c r="ZZ48" s="22"/>
      <c r="AAA48" s="22"/>
      <c r="AAB48" s="22"/>
      <c r="AAC48" s="22"/>
      <c r="AAD48" s="22"/>
      <c r="AAE48" s="22"/>
      <c r="AAF48" s="22"/>
      <c r="AAG48" s="22"/>
      <c r="AAH48" s="22"/>
      <c r="AAI48" s="22"/>
      <c r="AAJ48" s="22"/>
      <c r="AAK48" s="22"/>
      <c r="AAL48" s="22"/>
      <c r="AAM48" s="22"/>
      <c r="AAN48" s="22"/>
      <c r="AAO48" s="22"/>
      <c r="AAP48" s="22"/>
      <c r="AAQ48" s="22"/>
      <c r="AAR48" s="22"/>
      <c r="AAS48" s="22"/>
      <c r="AAT48" s="22"/>
      <c r="AAU48" s="22"/>
      <c r="AAV48" s="22"/>
      <c r="AAW48" s="22"/>
      <c r="AAX48" s="22"/>
      <c r="AAY48" s="22"/>
      <c r="AAZ48" s="22"/>
      <c r="ABA48" s="22"/>
      <c r="ABB48" s="22"/>
      <c r="ABC48" s="22"/>
      <c r="ABD48" s="22"/>
      <c r="ABE48" s="22"/>
      <c r="ABF48" s="22"/>
      <c r="ABG48" s="22"/>
      <c r="ABH48" s="22"/>
      <c r="ABI48" s="22"/>
      <c r="ABJ48" s="22"/>
      <c r="ABK48" s="22"/>
      <c r="ABL48" s="22"/>
      <c r="ABM48" s="22"/>
      <c r="ABN48" s="22"/>
      <c r="ABO48" s="22"/>
      <c r="ABP48" s="22"/>
      <c r="ABQ48" s="22"/>
      <c r="ABR48" s="22"/>
      <c r="ABS48" s="22"/>
      <c r="ABT48" s="22"/>
      <c r="ABU48" s="22"/>
      <c r="ABV48" s="22"/>
      <c r="ABW48" s="22"/>
      <c r="ABX48" s="22"/>
      <c r="ABY48" s="22"/>
      <c r="ABZ48" s="22"/>
      <c r="ACA48" s="22"/>
      <c r="ACB48" s="22"/>
      <c r="ACC48" s="22"/>
      <c r="ACD48" s="22"/>
      <c r="ACE48" s="22"/>
      <c r="ACF48" s="22"/>
      <c r="ACG48" s="22"/>
      <c r="ACH48" s="22"/>
      <c r="ACI48" s="22"/>
      <c r="ACJ48" s="22"/>
      <c r="ACK48" s="22"/>
      <c r="ACL48" s="22"/>
      <c r="ACM48" s="22"/>
      <c r="ACN48" s="22"/>
      <c r="ACO48" s="22"/>
      <c r="ACP48" s="22"/>
      <c r="ACQ48" s="22"/>
      <c r="ACR48" s="22"/>
      <c r="ACS48" s="22"/>
      <c r="ACT48" s="22"/>
      <c r="ACU48" s="22"/>
      <c r="ACV48" s="22"/>
      <c r="ACW48" s="22"/>
      <c r="ACX48" s="22"/>
      <c r="ACY48" s="22"/>
      <c r="ACZ48" s="22"/>
      <c r="ADA48" s="22"/>
      <c r="ADB48" s="22"/>
      <c r="ADC48" s="22"/>
      <c r="ADD48" s="22"/>
      <c r="ADE48" s="22"/>
      <c r="ADF48" s="22"/>
      <c r="ADG48" s="22"/>
      <c r="ADH48" s="22"/>
      <c r="ADI48" s="22"/>
      <c r="ADJ48" s="22"/>
      <c r="ADK48" s="22"/>
      <c r="ADL48" s="22"/>
      <c r="ADM48" s="22"/>
      <c r="ADN48" s="22"/>
      <c r="ADO48" s="22"/>
      <c r="ADP48" s="22"/>
      <c r="ADQ48" s="22"/>
      <c r="ADR48" s="22"/>
      <c r="ADS48" s="22"/>
      <c r="ADT48" s="22"/>
      <c r="ADU48" s="22"/>
      <c r="ADV48" s="22"/>
      <c r="ADW48" s="22"/>
      <c r="ADX48" s="22"/>
      <c r="ADY48" s="22"/>
      <c r="ADZ48" s="22"/>
      <c r="AEA48" s="22"/>
      <c r="AEB48" s="22"/>
      <c r="AEC48" s="22"/>
      <c r="AED48" s="22"/>
      <c r="AEE48" s="22"/>
      <c r="AEF48" s="22"/>
      <c r="AEG48" s="22"/>
      <c r="AEH48" s="22"/>
      <c r="AEI48" s="22"/>
      <c r="AEJ48" s="22"/>
      <c r="AEK48" s="22"/>
      <c r="AEL48" s="22"/>
      <c r="AEM48" s="22"/>
      <c r="AEN48" s="22"/>
      <c r="AEO48" s="22"/>
      <c r="AEP48" s="22"/>
      <c r="AEQ48" s="22"/>
      <c r="AER48" s="22"/>
      <c r="AES48" s="22"/>
      <c r="AET48" s="22"/>
      <c r="AEU48" s="22"/>
      <c r="AEV48" s="22"/>
      <c r="AEW48" s="22"/>
      <c r="AEX48" s="22"/>
      <c r="AEY48" s="22"/>
      <c r="AEZ48" s="22"/>
      <c r="AFA48" s="22"/>
      <c r="AFB48" s="22"/>
      <c r="AFC48" s="22"/>
      <c r="AFD48" s="22"/>
      <c r="AFE48" s="22"/>
      <c r="AFF48" s="22"/>
      <c r="AFG48" s="22"/>
      <c r="AFH48" s="22"/>
      <c r="AFI48" s="22"/>
      <c r="AFJ48" s="22"/>
      <c r="AFK48" s="22"/>
      <c r="AFL48" s="22"/>
      <c r="AFM48" s="22"/>
      <c r="AFN48" s="22"/>
      <c r="AFO48" s="22"/>
      <c r="AFP48" s="22"/>
      <c r="AFQ48" s="22"/>
      <c r="AFR48" s="22"/>
      <c r="AFS48" s="22"/>
      <c r="AFT48" s="22"/>
      <c r="AFU48" s="22"/>
      <c r="AFV48" s="22"/>
      <c r="AFW48" s="22"/>
      <c r="AFX48" s="22"/>
      <c r="AFY48" s="22"/>
      <c r="AFZ48" s="22"/>
      <c r="AGA48" s="22"/>
      <c r="AGB48" s="22"/>
      <c r="AGC48" s="22"/>
      <c r="AGD48" s="22"/>
      <c r="AGE48" s="22"/>
      <c r="AGF48" s="22"/>
      <c r="AGG48" s="22"/>
      <c r="AGH48" s="22"/>
      <c r="AGI48" s="22"/>
      <c r="AGJ48" s="22"/>
      <c r="AGK48" s="22"/>
      <c r="AGL48" s="22"/>
      <c r="AGM48" s="22"/>
      <c r="AGN48" s="22"/>
      <c r="AGO48" s="22"/>
      <c r="AGP48" s="22"/>
      <c r="AGQ48" s="22"/>
      <c r="AGR48" s="22"/>
      <c r="AGS48" s="22"/>
      <c r="AGT48" s="22"/>
      <c r="AGU48" s="22"/>
      <c r="AGV48" s="22"/>
      <c r="AGW48" s="22"/>
      <c r="AGX48" s="22"/>
      <c r="AGY48" s="22"/>
      <c r="AGZ48" s="22"/>
      <c r="AHA48" s="22"/>
      <c r="AHB48" s="22"/>
      <c r="AHC48" s="22"/>
      <c r="AHD48" s="22"/>
      <c r="AHE48" s="22"/>
      <c r="AHF48" s="22"/>
      <c r="AHG48" s="22"/>
      <c r="AHH48" s="22"/>
      <c r="AHI48" s="22"/>
      <c r="AHJ48" s="22"/>
      <c r="AHK48" s="22"/>
      <c r="AHL48" s="22"/>
      <c r="AHM48" s="22"/>
      <c r="AHN48" s="22"/>
      <c r="AHO48" s="22"/>
      <c r="AHP48" s="22"/>
      <c r="AHQ48" s="22"/>
      <c r="AHR48" s="22"/>
      <c r="AHS48" s="22"/>
      <c r="AHT48" s="22"/>
      <c r="AHU48" s="22"/>
      <c r="AHV48" s="22"/>
      <c r="AHW48" s="22"/>
      <c r="AHX48" s="22"/>
      <c r="AHY48" s="22"/>
      <c r="AHZ48" s="22"/>
      <c r="AIA48" s="22"/>
      <c r="AIB48" s="22"/>
      <c r="AIC48" s="22"/>
      <c r="AID48" s="22"/>
      <c r="AIE48" s="22"/>
      <c r="AIF48" s="22"/>
      <c r="AIG48" s="22"/>
      <c r="AIH48" s="22"/>
      <c r="AII48" s="22"/>
      <c r="AIJ48" s="22"/>
      <c r="AIK48" s="22"/>
      <c r="AIL48" s="22"/>
      <c r="AIM48" s="22"/>
      <c r="AIN48" s="22"/>
      <c r="AIO48" s="22"/>
      <c r="AIP48" s="22"/>
      <c r="AIQ48" s="22"/>
      <c r="AIR48" s="22"/>
      <c r="AIS48" s="22"/>
      <c r="AIT48" s="22"/>
      <c r="AIU48" s="22"/>
      <c r="AIV48" s="22"/>
      <c r="AIW48" s="22"/>
      <c r="AIX48" s="22"/>
      <c r="AIY48" s="22"/>
      <c r="AIZ48" s="22"/>
      <c r="AJA48" s="22"/>
      <c r="AJB48" s="22"/>
      <c r="AJC48" s="22"/>
      <c r="AJD48" s="22"/>
      <c r="AJE48" s="22"/>
      <c r="AJF48" s="22"/>
      <c r="AJG48" s="22"/>
      <c r="AJH48" s="22"/>
      <c r="AJI48" s="22"/>
      <c r="AJJ48" s="22"/>
      <c r="AJK48" s="22"/>
      <c r="AJL48" s="22"/>
      <c r="AJM48" s="22"/>
      <c r="AJN48" s="22"/>
      <c r="AJO48" s="22"/>
      <c r="AJP48" s="22"/>
      <c r="AJQ48" s="22"/>
      <c r="AJR48" s="22"/>
      <c r="AJS48" s="22"/>
      <c r="AJT48" s="22"/>
      <c r="AJU48" s="22"/>
      <c r="AJV48" s="22"/>
      <c r="AJW48" s="22"/>
      <c r="AJX48" s="22"/>
      <c r="AJY48" s="22"/>
      <c r="AJZ48" s="22"/>
      <c r="AKA48" s="22"/>
      <c r="AKB48" s="22"/>
      <c r="AKC48" s="22"/>
      <c r="AKD48" s="22"/>
      <c r="AKE48" s="22"/>
      <c r="AKF48" s="22"/>
      <c r="AKG48" s="22"/>
      <c r="AKH48" s="22"/>
      <c r="AKI48" s="22"/>
      <c r="AKJ48" s="22"/>
      <c r="AKK48" s="22"/>
      <c r="AKL48" s="22"/>
      <c r="AKM48" s="22"/>
      <c r="AKN48" s="22"/>
      <c r="AKO48" s="22"/>
      <c r="AKP48" s="22"/>
      <c r="AKQ48" s="22"/>
      <c r="AKR48" s="22"/>
      <c r="AKS48" s="22"/>
      <c r="AKT48" s="22"/>
      <c r="AKU48" s="22"/>
      <c r="AKV48" s="22"/>
      <c r="AKW48" s="22"/>
      <c r="AKX48" s="22"/>
      <c r="AKY48" s="22"/>
      <c r="AKZ48" s="22"/>
      <c r="ALA48" s="22"/>
      <c r="ALB48" s="22"/>
      <c r="ALC48" s="22"/>
      <c r="ALD48" s="22"/>
      <c r="ALE48" s="22"/>
      <c r="ALF48" s="22"/>
      <c r="ALG48" s="22"/>
      <c r="ALH48" s="22"/>
      <c r="ALI48" s="22"/>
      <c r="ALJ48" s="22"/>
      <c r="ALK48" s="22"/>
      <c r="ALL48" s="22"/>
      <c r="ALM48" s="22"/>
      <c r="ALN48" s="22"/>
      <c r="ALO48" s="22"/>
      <c r="ALP48" s="22"/>
      <c r="ALQ48" s="22"/>
      <c r="ALR48" s="22"/>
    </row>
    <row r="49" spans="5:1006" x14ac:dyDescent="0.2">
      <c r="F49" s="23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  <c r="IZ49" s="22"/>
      <c r="JA49" s="22"/>
      <c r="JB49" s="22"/>
      <c r="JC49" s="22"/>
      <c r="JD49" s="22"/>
      <c r="JE49" s="22"/>
      <c r="JF49" s="22"/>
      <c r="JG49" s="22"/>
      <c r="JH49" s="22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2"/>
      <c r="LK49" s="22"/>
      <c r="LL49" s="22"/>
      <c r="LM49" s="22"/>
      <c r="LN49" s="22"/>
      <c r="LO49" s="22"/>
      <c r="LP49" s="22"/>
      <c r="LQ49" s="22"/>
      <c r="LR49" s="22"/>
      <c r="LS49" s="22"/>
      <c r="LT49" s="22"/>
      <c r="LU49" s="22"/>
      <c r="LV49" s="22"/>
      <c r="LW49" s="22"/>
      <c r="LX49" s="22"/>
      <c r="LY49" s="22"/>
      <c r="LZ49" s="22"/>
      <c r="MA49" s="22"/>
      <c r="MB49" s="22"/>
      <c r="MC49" s="22"/>
      <c r="MD49" s="22"/>
      <c r="ME49" s="22"/>
      <c r="MF49" s="22"/>
      <c r="MG49" s="22"/>
      <c r="MH49" s="22"/>
      <c r="MI49" s="22"/>
      <c r="MJ49" s="22"/>
      <c r="MK49" s="22"/>
      <c r="ML49" s="22"/>
      <c r="MM49" s="22"/>
      <c r="MN49" s="22"/>
      <c r="MO49" s="22"/>
      <c r="MP49" s="22"/>
      <c r="MQ49" s="22"/>
      <c r="MR49" s="22"/>
      <c r="MS49" s="22"/>
      <c r="MT49" s="22"/>
      <c r="MU49" s="22"/>
      <c r="MV49" s="22"/>
      <c r="MW49" s="22"/>
      <c r="MX49" s="22"/>
      <c r="MY49" s="22"/>
      <c r="MZ49" s="22"/>
      <c r="NA49" s="22"/>
      <c r="NB49" s="22"/>
      <c r="NC49" s="22"/>
      <c r="ND49" s="22"/>
      <c r="NE49" s="22"/>
      <c r="NF49" s="22"/>
      <c r="NG49" s="22"/>
      <c r="NH49" s="22"/>
      <c r="NI49" s="22"/>
      <c r="NJ49" s="22"/>
      <c r="NK49" s="22"/>
      <c r="NL49" s="22"/>
      <c r="NM49" s="22"/>
      <c r="NN49" s="22"/>
      <c r="NO49" s="22"/>
      <c r="NP49" s="22"/>
      <c r="NQ49" s="22"/>
      <c r="NR49" s="22"/>
      <c r="NS49" s="22"/>
      <c r="NT49" s="22"/>
      <c r="NU49" s="22"/>
      <c r="NV49" s="22"/>
      <c r="NW49" s="22"/>
      <c r="NX49" s="22"/>
      <c r="NY49" s="22"/>
      <c r="NZ49" s="22"/>
      <c r="OA49" s="22"/>
      <c r="OB49" s="22"/>
      <c r="OC49" s="22"/>
      <c r="OD49" s="22"/>
      <c r="OE49" s="22"/>
      <c r="OF49" s="22"/>
      <c r="OG49" s="22"/>
      <c r="OH49" s="22"/>
      <c r="OI49" s="22"/>
      <c r="OJ49" s="22"/>
      <c r="OK49" s="22"/>
      <c r="OL49" s="22"/>
      <c r="OM49" s="22"/>
      <c r="ON49" s="22"/>
      <c r="OO49" s="22"/>
      <c r="OP49" s="22"/>
      <c r="OQ49" s="22"/>
      <c r="OR49" s="22"/>
      <c r="OS49" s="22"/>
      <c r="OT49" s="22"/>
      <c r="OU49" s="22"/>
      <c r="OV49" s="22"/>
      <c r="OW49" s="22"/>
      <c r="OX49" s="22"/>
      <c r="OY49" s="22"/>
      <c r="OZ49" s="22"/>
      <c r="PA49" s="22"/>
      <c r="PB49" s="22"/>
      <c r="PC49" s="22"/>
      <c r="PD49" s="22"/>
      <c r="PE49" s="22"/>
      <c r="PF49" s="22"/>
      <c r="PG49" s="22"/>
      <c r="PH49" s="22"/>
      <c r="PI49" s="22"/>
      <c r="PJ49" s="22"/>
      <c r="PK49" s="22"/>
      <c r="PL49" s="22"/>
      <c r="PM49" s="22"/>
      <c r="PN49" s="22"/>
      <c r="PO49" s="22"/>
      <c r="PP49" s="22"/>
      <c r="PQ49" s="22"/>
      <c r="PR49" s="22"/>
      <c r="PS49" s="22"/>
      <c r="PT49" s="22"/>
      <c r="PU49" s="22"/>
      <c r="PV49" s="22"/>
      <c r="PW49" s="22"/>
      <c r="PX49" s="22"/>
      <c r="PY49" s="22"/>
      <c r="PZ49" s="22"/>
      <c r="QA49" s="22"/>
      <c r="QB49" s="22"/>
      <c r="QC49" s="22"/>
      <c r="QD49" s="22"/>
      <c r="QE49" s="22"/>
      <c r="QF49" s="22"/>
      <c r="QG49" s="22"/>
      <c r="QH49" s="22"/>
      <c r="QI49" s="22"/>
      <c r="QJ49" s="22"/>
      <c r="QK49" s="22"/>
      <c r="QL49" s="22"/>
      <c r="QM49" s="22"/>
      <c r="QN49" s="22"/>
      <c r="QO49" s="22"/>
      <c r="QP49" s="22"/>
      <c r="QQ49" s="22"/>
      <c r="QR49" s="22"/>
      <c r="QS49" s="22"/>
      <c r="QT49" s="22"/>
      <c r="QU49" s="22"/>
      <c r="QV49" s="22"/>
      <c r="QW49" s="22"/>
      <c r="QX49" s="22"/>
      <c r="QY49" s="22"/>
      <c r="QZ49" s="22"/>
      <c r="RA49" s="22"/>
      <c r="RB49" s="22"/>
      <c r="RC49" s="22"/>
      <c r="RD49" s="22"/>
      <c r="RE49" s="22"/>
      <c r="RF49" s="22"/>
      <c r="RG49" s="22"/>
      <c r="RH49" s="22"/>
      <c r="RI49" s="22"/>
      <c r="RJ49" s="22"/>
      <c r="RK49" s="22"/>
      <c r="RL49" s="22"/>
      <c r="RM49" s="22"/>
      <c r="RN49" s="22"/>
      <c r="RO49" s="22"/>
      <c r="RP49" s="22"/>
      <c r="RQ49" s="22"/>
      <c r="RR49" s="22"/>
      <c r="RS49" s="22"/>
      <c r="RT49" s="22"/>
      <c r="RU49" s="22"/>
      <c r="RV49" s="22"/>
      <c r="RW49" s="22"/>
      <c r="RX49" s="22"/>
      <c r="RY49" s="22"/>
      <c r="RZ49" s="22"/>
      <c r="SA49" s="22"/>
      <c r="SB49" s="22"/>
      <c r="SC49" s="22"/>
      <c r="SD49" s="22"/>
      <c r="SE49" s="22"/>
      <c r="SF49" s="22"/>
      <c r="SG49" s="22"/>
      <c r="SH49" s="22"/>
      <c r="SI49" s="22"/>
      <c r="SJ49" s="22"/>
      <c r="SK49" s="22"/>
      <c r="SL49" s="22"/>
      <c r="SM49" s="22"/>
      <c r="SN49" s="22"/>
      <c r="SO49" s="22"/>
      <c r="SP49" s="22"/>
      <c r="SQ49" s="22"/>
      <c r="SR49" s="22"/>
      <c r="SS49" s="22"/>
      <c r="ST49" s="22"/>
      <c r="SU49" s="22"/>
      <c r="SV49" s="22"/>
      <c r="SW49" s="22"/>
      <c r="SX49" s="22"/>
      <c r="SY49" s="22"/>
      <c r="SZ49" s="22"/>
      <c r="TA49" s="22"/>
      <c r="TB49" s="22"/>
      <c r="TC49" s="22"/>
      <c r="TD49" s="22"/>
      <c r="TE49" s="22"/>
      <c r="TF49" s="22"/>
      <c r="TG49" s="22"/>
      <c r="TH49" s="22"/>
      <c r="TI49" s="22"/>
      <c r="TJ49" s="22"/>
      <c r="TK49" s="22"/>
      <c r="TL49" s="22"/>
      <c r="TM49" s="22"/>
      <c r="TN49" s="22"/>
      <c r="TO49" s="22"/>
      <c r="TP49" s="22"/>
      <c r="TQ49" s="22"/>
      <c r="TR49" s="22"/>
      <c r="TS49" s="22"/>
      <c r="TT49" s="22"/>
      <c r="TU49" s="22"/>
      <c r="TV49" s="22"/>
      <c r="TW49" s="22"/>
      <c r="TX49" s="22"/>
      <c r="TY49" s="22"/>
      <c r="TZ49" s="22"/>
      <c r="UA49" s="22"/>
      <c r="UB49" s="22"/>
      <c r="UC49" s="22"/>
      <c r="UD49" s="22"/>
      <c r="UE49" s="22"/>
      <c r="UF49" s="22"/>
      <c r="UG49" s="22"/>
      <c r="UH49" s="22"/>
      <c r="UI49" s="22"/>
      <c r="UJ49" s="22"/>
      <c r="UK49" s="22"/>
      <c r="UL49" s="22"/>
      <c r="UM49" s="22"/>
      <c r="UN49" s="22"/>
      <c r="UO49" s="22"/>
      <c r="UP49" s="22"/>
      <c r="UQ49" s="22"/>
      <c r="UR49" s="22"/>
      <c r="US49" s="22"/>
      <c r="UT49" s="22"/>
      <c r="UU49" s="22"/>
      <c r="UV49" s="22"/>
      <c r="UW49" s="22"/>
      <c r="UX49" s="22"/>
      <c r="UY49" s="22"/>
      <c r="UZ49" s="22"/>
      <c r="VA49" s="22"/>
      <c r="VB49" s="22"/>
      <c r="VC49" s="22"/>
      <c r="VD49" s="22"/>
      <c r="VE49" s="22"/>
      <c r="VF49" s="22"/>
      <c r="VG49" s="22"/>
      <c r="VH49" s="22"/>
      <c r="VI49" s="22"/>
      <c r="VJ49" s="22"/>
      <c r="VK49" s="22"/>
      <c r="VL49" s="22"/>
      <c r="VM49" s="22"/>
      <c r="VN49" s="22"/>
      <c r="VO49" s="22"/>
      <c r="VP49" s="22"/>
      <c r="VQ49" s="22"/>
      <c r="VR49" s="22"/>
      <c r="VS49" s="22"/>
      <c r="VT49" s="22"/>
      <c r="VU49" s="22"/>
      <c r="VV49" s="22"/>
      <c r="VW49" s="22"/>
      <c r="VX49" s="22"/>
      <c r="VY49" s="22"/>
      <c r="VZ49" s="22"/>
      <c r="WA49" s="22"/>
      <c r="WB49" s="22"/>
      <c r="WC49" s="22"/>
      <c r="WD49" s="22"/>
      <c r="WE49" s="22"/>
      <c r="WF49" s="22"/>
      <c r="WG49" s="22"/>
      <c r="WH49" s="22"/>
      <c r="WI49" s="22"/>
      <c r="WJ49" s="22"/>
      <c r="WK49" s="22"/>
      <c r="WL49" s="22"/>
      <c r="WM49" s="22"/>
      <c r="WN49" s="22"/>
      <c r="WO49" s="22"/>
      <c r="WP49" s="22"/>
      <c r="WQ49" s="22"/>
      <c r="WR49" s="22"/>
      <c r="WS49" s="22"/>
      <c r="WT49" s="22"/>
      <c r="WU49" s="22"/>
      <c r="WV49" s="22"/>
      <c r="WW49" s="22"/>
      <c r="WX49" s="22"/>
      <c r="WY49" s="22"/>
      <c r="WZ49" s="22"/>
      <c r="XA49" s="22"/>
      <c r="XB49" s="22"/>
      <c r="XC49" s="22"/>
      <c r="XD49" s="22"/>
      <c r="XE49" s="22"/>
      <c r="XF49" s="22"/>
      <c r="XG49" s="22"/>
      <c r="XH49" s="22"/>
      <c r="XI49" s="22"/>
      <c r="XJ49" s="22"/>
      <c r="XK49" s="22"/>
      <c r="XL49" s="22"/>
      <c r="XM49" s="22"/>
      <c r="XN49" s="22"/>
      <c r="XO49" s="22"/>
      <c r="XP49" s="22"/>
      <c r="XQ49" s="22"/>
      <c r="XR49" s="22"/>
      <c r="XS49" s="22"/>
      <c r="XT49" s="22"/>
      <c r="XU49" s="22"/>
      <c r="XV49" s="22"/>
      <c r="XW49" s="22"/>
      <c r="XX49" s="22"/>
      <c r="XY49" s="22"/>
      <c r="XZ49" s="22"/>
      <c r="YA49" s="22"/>
      <c r="YB49" s="22"/>
      <c r="YC49" s="22"/>
      <c r="YD49" s="22"/>
      <c r="YE49" s="22"/>
      <c r="YF49" s="22"/>
      <c r="YG49" s="22"/>
      <c r="YH49" s="22"/>
      <c r="YI49" s="22"/>
      <c r="YJ49" s="22"/>
      <c r="YK49" s="22"/>
      <c r="YL49" s="22"/>
      <c r="YM49" s="22"/>
      <c r="YN49" s="22"/>
      <c r="YO49" s="22"/>
      <c r="YP49" s="22"/>
      <c r="YQ49" s="22"/>
      <c r="YR49" s="22"/>
      <c r="YS49" s="22"/>
      <c r="YT49" s="22"/>
      <c r="YU49" s="22"/>
      <c r="YV49" s="22"/>
      <c r="YW49" s="22"/>
      <c r="YX49" s="22"/>
      <c r="YY49" s="22"/>
      <c r="YZ49" s="22"/>
      <c r="ZA49" s="22"/>
      <c r="ZB49" s="22"/>
      <c r="ZC49" s="22"/>
      <c r="ZD49" s="22"/>
      <c r="ZE49" s="22"/>
      <c r="ZF49" s="22"/>
      <c r="ZG49" s="22"/>
      <c r="ZH49" s="22"/>
      <c r="ZI49" s="22"/>
      <c r="ZJ49" s="22"/>
      <c r="ZK49" s="22"/>
      <c r="ZL49" s="22"/>
      <c r="ZM49" s="22"/>
      <c r="ZN49" s="22"/>
      <c r="ZO49" s="22"/>
      <c r="ZP49" s="22"/>
      <c r="ZQ49" s="22"/>
      <c r="ZR49" s="22"/>
      <c r="ZS49" s="22"/>
      <c r="ZT49" s="22"/>
      <c r="ZU49" s="22"/>
      <c r="ZV49" s="22"/>
      <c r="ZW49" s="22"/>
      <c r="ZX49" s="22"/>
      <c r="ZY49" s="22"/>
      <c r="ZZ49" s="22"/>
      <c r="AAA49" s="22"/>
      <c r="AAB49" s="22"/>
      <c r="AAC49" s="22"/>
      <c r="AAD49" s="22"/>
      <c r="AAE49" s="22"/>
      <c r="AAF49" s="22"/>
      <c r="AAG49" s="22"/>
      <c r="AAH49" s="22"/>
      <c r="AAI49" s="22"/>
      <c r="AAJ49" s="22"/>
      <c r="AAK49" s="22"/>
      <c r="AAL49" s="22"/>
      <c r="AAM49" s="22"/>
      <c r="AAN49" s="22"/>
      <c r="AAO49" s="22"/>
      <c r="AAP49" s="22"/>
      <c r="AAQ49" s="22"/>
      <c r="AAR49" s="22"/>
      <c r="AAS49" s="22"/>
      <c r="AAT49" s="22"/>
      <c r="AAU49" s="22"/>
      <c r="AAV49" s="22"/>
      <c r="AAW49" s="22"/>
      <c r="AAX49" s="22"/>
      <c r="AAY49" s="22"/>
      <c r="AAZ49" s="22"/>
      <c r="ABA49" s="22"/>
      <c r="ABB49" s="22"/>
      <c r="ABC49" s="22"/>
      <c r="ABD49" s="22"/>
      <c r="ABE49" s="22"/>
      <c r="ABF49" s="22"/>
      <c r="ABG49" s="22"/>
      <c r="ABH49" s="22"/>
      <c r="ABI49" s="22"/>
      <c r="ABJ49" s="22"/>
      <c r="ABK49" s="22"/>
      <c r="ABL49" s="22"/>
      <c r="ABM49" s="22"/>
      <c r="ABN49" s="22"/>
      <c r="ABO49" s="22"/>
      <c r="ABP49" s="22"/>
      <c r="ABQ49" s="22"/>
      <c r="ABR49" s="22"/>
      <c r="ABS49" s="22"/>
      <c r="ABT49" s="22"/>
      <c r="ABU49" s="22"/>
      <c r="ABV49" s="22"/>
      <c r="ABW49" s="22"/>
      <c r="ABX49" s="22"/>
      <c r="ABY49" s="22"/>
      <c r="ABZ49" s="22"/>
      <c r="ACA49" s="22"/>
      <c r="ACB49" s="22"/>
      <c r="ACC49" s="22"/>
      <c r="ACD49" s="22"/>
      <c r="ACE49" s="22"/>
      <c r="ACF49" s="22"/>
      <c r="ACG49" s="22"/>
      <c r="ACH49" s="22"/>
      <c r="ACI49" s="22"/>
      <c r="ACJ49" s="22"/>
      <c r="ACK49" s="22"/>
      <c r="ACL49" s="22"/>
      <c r="ACM49" s="22"/>
      <c r="ACN49" s="22"/>
      <c r="ACO49" s="22"/>
      <c r="ACP49" s="22"/>
      <c r="ACQ49" s="22"/>
      <c r="ACR49" s="22"/>
      <c r="ACS49" s="22"/>
      <c r="ACT49" s="22"/>
      <c r="ACU49" s="22"/>
      <c r="ACV49" s="22"/>
      <c r="ACW49" s="22"/>
      <c r="ACX49" s="22"/>
      <c r="ACY49" s="22"/>
      <c r="ACZ49" s="22"/>
      <c r="ADA49" s="22"/>
      <c r="ADB49" s="22"/>
      <c r="ADC49" s="22"/>
      <c r="ADD49" s="22"/>
      <c r="ADE49" s="22"/>
      <c r="ADF49" s="22"/>
      <c r="ADG49" s="22"/>
      <c r="ADH49" s="22"/>
      <c r="ADI49" s="22"/>
      <c r="ADJ49" s="22"/>
      <c r="ADK49" s="22"/>
      <c r="ADL49" s="22"/>
      <c r="ADM49" s="22"/>
      <c r="ADN49" s="22"/>
      <c r="ADO49" s="22"/>
      <c r="ADP49" s="22"/>
      <c r="ADQ49" s="22"/>
      <c r="ADR49" s="22"/>
      <c r="ADS49" s="22"/>
      <c r="ADT49" s="22"/>
      <c r="ADU49" s="22"/>
      <c r="ADV49" s="22"/>
      <c r="ADW49" s="22"/>
      <c r="ADX49" s="22"/>
      <c r="ADY49" s="22"/>
      <c r="ADZ49" s="22"/>
      <c r="AEA49" s="22"/>
      <c r="AEB49" s="22"/>
      <c r="AEC49" s="22"/>
      <c r="AED49" s="22"/>
      <c r="AEE49" s="22"/>
      <c r="AEF49" s="22"/>
      <c r="AEG49" s="22"/>
      <c r="AEH49" s="22"/>
      <c r="AEI49" s="22"/>
      <c r="AEJ49" s="22"/>
      <c r="AEK49" s="22"/>
      <c r="AEL49" s="22"/>
      <c r="AEM49" s="22"/>
      <c r="AEN49" s="22"/>
      <c r="AEO49" s="22"/>
      <c r="AEP49" s="22"/>
      <c r="AEQ49" s="22"/>
      <c r="AER49" s="22"/>
      <c r="AES49" s="22"/>
      <c r="AET49" s="22"/>
      <c r="AEU49" s="22"/>
      <c r="AEV49" s="22"/>
      <c r="AEW49" s="22"/>
      <c r="AEX49" s="22"/>
      <c r="AEY49" s="22"/>
      <c r="AEZ49" s="22"/>
      <c r="AFA49" s="22"/>
      <c r="AFB49" s="22"/>
      <c r="AFC49" s="22"/>
      <c r="AFD49" s="22"/>
      <c r="AFE49" s="22"/>
      <c r="AFF49" s="22"/>
      <c r="AFG49" s="22"/>
      <c r="AFH49" s="22"/>
      <c r="AFI49" s="22"/>
      <c r="AFJ49" s="22"/>
      <c r="AFK49" s="22"/>
      <c r="AFL49" s="22"/>
      <c r="AFM49" s="22"/>
      <c r="AFN49" s="22"/>
      <c r="AFO49" s="22"/>
      <c r="AFP49" s="22"/>
      <c r="AFQ49" s="22"/>
      <c r="AFR49" s="22"/>
      <c r="AFS49" s="22"/>
      <c r="AFT49" s="22"/>
      <c r="AFU49" s="22"/>
      <c r="AFV49" s="22"/>
      <c r="AFW49" s="22"/>
      <c r="AFX49" s="22"/>
      <c r="AFY49" s="22"/>
      <c r="AFZ49" s="22"/>
      <c r="AGA49" s="22"/>
      <c r="AGB49" s="22"/>
      <c r="AGC49" s="22"/>
      <c r="AGD49" s="22"/>
      <c r="AGE49" s="22"/>
      <c r="AGF49" s="22"/>
      <c r="AGG49" s="22"/>
      <c r="AGH49" s="22"/>
      <c r="AGI49" s="22"/>
      <c r="AGJ49" s="22"/>
      <c r="AGK49" s="22"/>
      <c r="AGL49" s="22"/>
      <c r="AGM49" s="22"/>
      <c r="AGN49" s="22"/>
      <c r="AGO49" s="22"/>
      <c r="AGP49" s="22"/>
      <c r="AGQ49" s="22"/>
      <c r="AGR49" s="22"/>
      <c r="AGS49" s="22"/>
      <c r="AGT49" s="22"/>
      <c r="AGU49" s="22"/>
      <c r="AGV49" s="22"/>
      <c r="AGW49" s="22"/>
      <c r="AGX49" s="22"/>
      <c r="AGY49" s="22"/>
      <c r="AGZ49" s="22"/>
      <c r="AHA49" s="22"/>
      <c r="AHB49" s="22"/>
      <c r="AHC49" s="22"/>
      <c r="AHD49" s="22"/>
      <c r="AHE49" s="22"/>
      <c r="AHF49" s="22"/>
      <c r="AHG49" s="22"/>
      <c r="AHH49" s="22"/>
      <c r="AHI49" s="22"/>
      <c r="AHJ49" s="22"/>
      <c r="AHK49" s="22"/>
      <c r="AHL49" s="22"/>
      <c r="AHM49" s="22"/>
      <c r="AHN49" s="22"/>
      <c r="AHO49" s="22"/>
      <c r="AHP49" s="22"/>
      <c r="AHQ49" s="22"/>
      <c r="AHR49" s="22"/>
      <c r="AHS49" s="22"/>
      <c r="AHT49" s="22"/>
      <c r="AHU49" s="22"/>
      <c r="AHV49" s="22"/>
      <c r="AHW49" s="22"/>
      <c r="AHX49" s="22"/>
      <c r="AHY49" s="22"/>
      <c r="AHZ49" s="22"/>
      <c r="AIA49" s="22"/>
      <c r="AIB49" s="22"/>
      <c r="AIC49" s="22"/>
      <c r="AID49" s="22"/>
      <c r="AIE49" s="22"/>
      <c r="AIF49" s="22"/>
      <c r="AIG49" s="22"/>
      <c r="AIH49" s="22"/>
      <c r="AII49" s="22"/>
      <c r="AIJ49" s="22"/>
      <c r="AIK49" s="22"/>
      <c r="AIL49" s="22"/>
      <c r="AIM49" s="22"/>
      <c r="AIN49" s="22"/>
      <c r="AIO49" s="22"/>
      <c r="AIP49" s="22"/>
      <c r="AIQ49" s="22"/>
      <c r="AIR49" s="22"/>
      <c r="AIS49" s="22"/>
      <c r="AIT49" s="22"/>
      <c r="AIU49" s="22"/>
      <c r="AIV49" s="22"/>
      <c r="AIW49" s="22"/>
      <c r="AIX49" s="22"/>
      <c r="AIY49" s="22"/>
      <c r="AIZ49" s="22"/>
      <c r="AJA49" s="22"/>
      <c r="AJB49" s="22"/>
      <c r="AJC49" s="22"/>
      <c r="AJD49" s="22"/>
      <c r="AJE49" s="22"/>
      <c r="AJF49" s="22"/>
      <c r="AJG49" s="22"/>
      <c r="AJH49" s="22"/>
      <c r="AJI49" s="22"/>
      <c r="AJJ49" s="22"/>
      <c r="AJK49" s="22"/>
      <c r="AJL49" s="22"/>
      <c r="AJM49" s="22"/>
      <c r="AJN49" s="22"/>
      <c r="AJO49" s="22"/>
      <c r="AJP49" s="22"/>
      <c r="AJQ49" s="22"/>
      <c r="AJR49" s="22"/>
      <c r="AJS49" s="22"/>
      <c r="AJT49" s="22"/>
      <c r="AJU49" s="22"/>
      <c r="AJV49" s="22"/>
      <c r="AJW49" s="22"/>
      <c r="AJX49" s="22"/>
      <c r="AJY49" s="22"/>
      <c r="AJZ49" s="22"/>
      <c r="AKA49" s="22"/>
      <c r="AKB49" s="22"/>
      <c r="AKC49" s="22"/>
      <c r="AKD49" s="22"/>
      <c r="AKE49" s="22"/>
      <c r="AKF49" s="22"/>
      <c r="AKG49" s="22"/>
      <c r="AKH49" s="22"/>
      <c r="AKI49" s="22"/>
      <c r="AKJ49" s="22"/>
      <c r="AKK49" s="22"/>
      <c r="AKL49" s="22"/>
      <c r="AKM49" s="22"/>
      <c r="AKN49" s="22"/>
      <c r="AKO49" s="22"/>
      <c r="AKP49" s="22"/>
      <c r="AKQ49" s="22"/>
      <c r="AKR49" s="22"/>
      <c r="AKS49" s="22"/>
      <c r="AKT49" s="22"/>
      <c r="AKU49" s="22"/>
      <c r="AKV49" s="22"/>
      <c r="AKW49" s="22"/>
      <c r="AKX49" s="22"/>
      <c r="AKY49" s="22"/>
      <c r="AKZ49" s="22"/>
      <c r="ALA49" s="22"/>
      <c r="ALB49" s="22"/>
      <c r="ALC49" s="22"/>
      <c r="ALD49" s="22"/>
      <c r="ALE49" s="22"/>
      <c r="ALF49" s="22"/>
      <c r="ALG49" s="22"/>
      <c r="ALH49" s="22"/>
      <c r="ALI49" s="22"/>
      <c r="ALJ49" s="22"/>
      <c r="ALK49" s="22"/>
      <c r="ALL49" s="22"/>
      <c r="ALM49" s="22"/>
      <c r="ALN49" s="22"/>
      <c r="ALO49" s="22"/>
      <c r="ALP49" s="22"/>
      <c r="ALQ49" s="22"/>
      <c r="ALR49" s="22"/>
    </row>
    <row r="50" spans="5:1006" x14ac:dyDescent="0.2">
      <c r="E50" s="59"/>
      <c r="F50" s="59"/>
      <c r="G50" s="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  <c r="IZ50" s="22"/>
      <c r="JA50" s="22"/>
      <c r="JB50" s="22"/>
      <c r="JC50" s="22"/>
      <c r="JD50" s="22"/>
      <c r="JE50" s="22"/>
      <c r="JF50" s="22"/>
      <c r="JG50" s="22"/>
      <c r="JH50" s="22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2"/>
      <c r="LK50" s="22"/>
      <c r="LL50" s="22"/>
      <c r="LM50" s="22"/>
      <c r="LN50" s="22"/>
      <c r="LO50" s="22"/>
      <c r="LP50" s="22"/>
      <c r="LQ50" s="22"/>
      <c r="LR50" s="22"/>
      <c r="LS50" s="22"/>
      <c r="LT50" s="22"/>
      <c r="LU50" s="22"/>
      <c r="LV50" s="22"/>
      <c r="LW50" s="22"/>
      <c r="LX50" s="22"/>
      <c r="LY50" s="22"/>
      <c r="LZ50" s="22"/>
      <c r="MA50" s="22"/>
      <c r="MB50" s="22"/>
      <c r="MC50" s="22"/>
      <c r="MD50" s="22"/>
      <c r="ME50" s="22"/>
      <c r="MF50" s="22"/>
      <c r="MG50" s="22"/>
      <c r="MH50" s="22"/>
      <c r="MI50" s="22"/>
      <c r="MJ50" s="22"/>
      <c r="MK50" s="22"/>
      <c r="ML50" s="22"/>
      <c r="MM50" s="22"/>
      <c r="MN50" s="22"/>
      <c r="MO50" s="22"/>
      <c r="MP50" s="22"/>
      <c r="MQ50" s="22"/>
      <c r="MR50" s="22"/>
      <c r="MS50" s="22"/>
      <c r="MT50" s="22"/>
      <c r="MU50" s="22"/>
      <c r="MV50" s="22"/>
      <c r="MW50" s="22"/>
      <c r="MX50" s="22"/>
      <c r="MY50" s="22"/>
      <c r="MZ50" s="22"/>
      <c r="NA50" s="22"/>
      <c r="NB50" s="22"/>
      <c r="NC50" s="22"/>
      <c r="ND50" s="22"/>
      <c r="NE50" s="22"/>
      <c r="NF50" s="22"/>
      <c r="NG50" s="22"/>
      <c r="NH50" s="22"/>
      <c r="NI50" s="22"/>
      <c r="NJ50" s="22"/>
      <c r="NK50" s="22"/>
      <c r="NL50" s="22"/>
      <c r="NM50" s="22"/>
      <c r="NN50" s="22"/>
      <c r="NO50" s="22"/>
      <c r="NP50" s="22"/>
      <c r="NQ50" s="22"/>
      <c r="NR50" s="22"/>
      <c r="NS50" s="22"/>
      <c r="NT50" s="22"/>
      <c r="NU50" s="22"/>
      <c r="NV50" s="22"/>
      <c r="NW50" s="22"/>
      <c r="NX50" s="22"/>
      <c r="NY50" s="22"/>
      <c r="NZ50" s="22"/>
      <c r="OA50" s="22"/>
      <c r="OB50" s="22"/>
      <c r="OC50" s="22"/>
      <c r="OD50" s="22"/>
      <c r="OE50" s="22"/>
      <c r="OF50" s="22"/>
      <c r="OG50" s="22"/>
      <c r="OH50" s="22"/>
      <c r="OI50" s="22"/>
      <c r="OJ50" s="22"/>
      <c r="OK50" s="22"/>
      <c r="OL50" s="22"/>
      <c r="OM50" s="22"/>
      <c r="ON50" s="22"/>
      <c r="OO50" s="22"/>
      <c r="OP50" s="22"/>
      <c r="OQ50" s="22"/>
      <c r="OR50" s="22"/>
      <c r="OS50" s="22"/>
      <c r="OT50" s="22"/>
      <c r="OU50" s="22"/>
      <c r="OV50" s="22"/>
      <c r="OW50" s="22"/>
      <c r="OX50" s="22"/>
      <c r="OY50" s="22"/>
      <c r="OZ50" s="22"/>
      <c r="PA50" s="22"/>
      <c r="PB50" s="22"/>
      <c r="PC50" s="22"/>
      <c r="PD50" s="22"/>
      <c r="PE50" s="22"/>
      <c r="PF50" s="22"/>
      <c r="PG50" s="22"/>
      <c r="PH50" s="22"/>
      <c r="PI50" s="22"/>
      <c r="PJ50" s="22"/>
      <c r="PK50" s="22"/>
      <c r="PL50" s="22"/>
      <c r="PM50" s="22"/>
      <c r="PN50" s="22"/>
      <c r="PO50" s="22"/>
      <c r="PP50" s="22"/>
      <c r="PQ50" s="22"/>
      <c r="PR50" s="22"/>
      <c r="PS50" s="22"/>
      <c r="PT50" s="22"/>
      <c r="PU50" s="22"/>
      <c r="PV50" s="22"/>
      <c r="PW50" s="22"/>
      <c r="PX50" s="22"/>
      <c r="PY50" s="22"/>
      <c r="PZ50" s="22"/>
      <c r="QA50" s="22"/>
      <c r="QB50" s="22"/>
      <c r="QC50" s="22"/>
      <c r="QD50" s="22"/>
      <c r="QE50" s="22"/>
      <c r="QF50" s="22"/>
      <c r="QG50" s="22"/>
      <c r="QH50" s="22"/>
      <c r="QI50" s="22"/>
      <c r="QJ50" s="22"/>
      <c r="QK50" s="22"/>
      <c r="QL50" s="22"/>
      <c r="QM50" s="22"/>
      <c r="QN50" s="22"/>
      <c r="QO50" s="22"/>
      <c r="QP50" s="22"/>
      <c r="QQ50" s="22"/>
      <c r="QR50" s="22"/>
      <c r="QS50" s="22"/>
      <c r="QT50" s="22"/>
      <c r="QU50" s="22"/>
      <c r="QV50" s="22"/>
      <c r="QW50" s="22"/>
      <c r="QX50" s="22"/>
      <c r="QY50" s="22"/>
      <c r="QZ50" s="22"/>
      <c r="RA50" s="22"/>
      <c r="RB50" s="22"/>
      <c r="RC50" s="22"/>
      <c r="RD50" s="22"/>
      <c r="RE50" s="22"/>
      <c r="RF50" s="22"/>
      <c r="RG50" s="22"/>
      <c r="RH50" s="22"/>
      <c r="RI50" s="22"/>
      <c r="RJ50" s="22"/>
      <c r="RK50" s="22"/>
      <c r="RL50" s="22"/>
      <c r="RM50" s="22"/>
      <c r="RN50" s="22"/>
      <c r="RO50" s="22"/>
      <c r="RP50" s="22"/>
      <c r="RQ50" s="22"/>
      <c r="RR50" s="22"/>
      <c r="RS50" s="22"/>
      <c r="RT50" s="22"/>
      <c r="RU50" s="22"/>
      <c r="RV50" s="22"/>
      <c r="RW50" s="22"/>
      <c r="RX50" s="22"/>
      <c r="RY50" s="22"/>
      <c r="RZ50" s="22"/>
      <c r="SA50" s="22"/>
      <c r="SB50" s="22"/>
      <c r="SC50" s="22"/>
      <c r="SD50" s="22"/>
      <c r="SE50" s="22"/>
      <c r="SF50" s="22"/>
      <c r="SG50" s="22"/>
      <c r="SH50" s="22"/>
      <c r="SI50" s="22"/>
      <c r="SJ50" s="22"/>
      <c r="SK50" s="22"/>
      <c r="SL50" s="22"/>
      <c r="SM50" s="22"/>
      <c r="SN50" s="22"/>
      <c r="SO50" s="22"/>
      <c r="SP50" s="22"/>
      <c r="SQ50" s="22"/>
      <c r="SR50" s="22"/>
      <c r="SS50" s="22"/>
      <c r="ST50" s="22"/>
      <c r="SU50" s="22"/>
      <c r="SV50" s="22"/>
      <c r="SW50" s="22"/>
      <c r="SX50" s="22"/>
      <c r="SY50" s="22"/>
      <c r="SZ50" s="22"/>
      <c r="TA50" s="22"/>
      <c r="TB50" s="22"/>
      <c r="TC50" s="22"/>
      <c r="TD50" s="22"/>
      <c r="TE50" s="22"/>
      <c r="TF50" s="22"/>
      <c r="TG50" s="22"/>
      <c r="TH50" s="22"/>
      <c r="TI50" s="22"/>
      <c r="TJ50" s="22"/>
      <c r="TK50" s="22"/>
      <c r="TL50" s="22"/>
      <c r="TM50" s="22"/>
      <c r="TN50" s="22"/>
      <c r="TO50" s="22"/>
      <c r="TP50" s="22"/>
      <c r="TQ50" s="22"/>
      <c r="TR50" s="22"/>
      <c r="TS50" s="22"/>
      <c r="TT50" s="22"/>
      <c r="TU50" s="22"/>
      <c r="TV50" s="22"/>
      <c r="TW50" s="22"/>
      <c r="TX50" s="22"/>
      <c r="TY50" s="22"/>
      <c r="TZ50" s="22"/>
      <c r="UA50" s="22"/>
      <c r="UB50" s="22"/>
      <c r="UC50" s="22"/>
      <c r="UD50" s="22"/>
      <c r="UE50" s="22"/>
      <c r="UF50" s="22"/>
      <c r="UG50" s="22"/>
      <c r="UH50" s="22"/>
      <c r="UI50" s="22"/>
      <c r="UJ50" s="22"/>
      <c r="UK50" s="22"/>
      <c r="UL50" s="22"/>
      <c r="UM50" s="22"/>
      <c r="UN50" s="22"/>
      <c r="UO50" s="22"/>
      <c r="UP50" s="22"/>
      <c r="UQ50" s="22"/>
      <c r="UR50" s="22"/>
      <c r="US50" s="22"/>
      <c r="UT50" s="22"/>
      <c r="UU50" s="22"/>
      <c r="UV50" s="22"/>
      <c r="UW50" s="22"/>
      <c r="UX50" s="22"/>
      <c r="UY50" s="22"/>
      <c r="UZ50" s="22"/>
      <c r="VA50" s="22"/>
      <c r="VB50" s="22"/>
      <c r="VC50" s="22"/>
      <c r="VD50" s="22"/>
      <c r="VE50" s="22"/>
      <c r="VF50" s="22"/>
      <c r="VG50" s="22"/>
      <c r="VH50" s="22"/>
      <c r="VI50" s="22"/>
      <c r="VJ50" s="22"/>
      <c r="VK50" s="22"/>
      <c r="VL50" s="22"/>
      <c r="VM50" s="22"/>
      <c r="VN50" s="22"/>
      <c r="VO50" s="22"/>
      <c r="VP50" s="22"/>
      <c r="VQ50" s="22"/>
      <c r="VR50" s="22"/>
      <c r="VS50" s="22"/>
      <c r="VT50" s="22"/>
      <c r="VU50" s="22"/>
      <c r="VV50" s="22"/>
      <c r="VW50" s="22"/>
      <c r="VX50" s="22"/>
      <c r="VY50" s="22"/>
      <c r="VZ50" s="22"/>
      <c r="WA50" s="22"/>
      <c r="WB50" s="22"/>
      <c r="WC50" s="22"/>
      <c r="WD50" s="22"/>
      <c r="WE50" s="22"/>
      <c r="WF50" s="22"/>
      <c r="WG50" s="22"/>
      <c r="WH50" s="22"/>
      <c r="WI50" s="22"/>
      <c r="WJ50" s="22"/>
      <c r="WK50" s="22"/>
      <c r="WL50" s="22"/>
      <c r="WM50" s="22"/>
      <c r="WN50" s="22"/>
      <c r="WO50" s="22"/>
      <c r="WP50" s="22"/>
      <c r="WQ50" s="22"/>
      <c r="WR50" s="22"/>
      <c r="WS50" s="22"/>
      <c r="WT50" s="22"/>
      <c r="WU50" s="22"/>
      <c r="WV50" s="22"/>
      <c r="WW50" s="22"/>
      <c r="WX50" s="22"/>
      <c r="WY50" s="22"/>
      <c r="WZ50" s="22"/>
      <c r="XA50" s="22"/>
      <c r="XB50" s="22"/>
      <c r="XC50" s="22"/>
      <c r="XD50" s="22"/>
      <c r="XE50" s="22"/>
      <c r="XF50" s="22"/>
      <c r="XG50" s="22"/>
      <c r="XH50" s="22"/>
      <c r="XI50" s="22"/>
      <c r="XJ50" s="22"/>
      <c r="XK50" s="22"/>
      <c r="XL50" s="22"/>
      <c r="XM50" s="22"/>
      <c r="XN50" s="22"/>
      <c r="XO50" s="22"/>
      <c r="XP50" s="22"/>
      <c r="XQ50" s="22"/>
      <c r="XR50" s="22"/>
      <c r="XS50" s="22"/>
      <c r="XT50" s="22"/>
      <c r="XU50" s="22"/>
      <c r="XV50" s="22"/>
      <c r="XW50" s="22"/>
      <c r="XX50" s="22"/>
      <c r="XY50" s="22"/>
      <c r="XZ50" s="22"/>
      <c r="YA50" s="22"/>
      <c r="YB50" s="22"/>
      <c r="YC50" s="22"/>
      <c r="YD50" s="22"/>
      <c r="YE50" s="22"/>
      <c r="YF50" s="22"/>
      <c r="YG50" s="22"/>
      <c r="YH50" s="22"/>
      <c r="YI50" s="22"/>
      <c r="YJ50" s="22"/>
      <c r="YK50" s="22"/>
      <c r="YL50" s="22"/>
      <c r="YM50" s="22"/>
      <c r="YN50" s="22"/>
      <c r="YO50" s="22"/>
      <c r="YP50" s="22"/>
      <c r="YQ50" s="22"/>
      <c r="YR50" s="22"/>
      <c r="YS50" s="22"/>
      <c r="YT50" s="22"/>
      <c r="YU50" s="22"/>
      <c r="YV50" s="22"/>
      <c r="YW50" s="22"/>
      <c r="YX50" s="22"/>
      <c r="YY50" s="22"/>
      <c r="YZ50" s="22"/>
      <c r="ZA50" s="22"/>
      <c r="ZB50" s="22"/>
      <c r="ZC50" s="22"/>
      <c r="ZD50" s="22"/>
      <c r="ZE50" s="22"/>
      <c r="ZF50" s="22"/>
      <c r="ZG50" s="22"/>
      <c r="ZH50" s="22"/>
      <c r="ZI50" s="22"/>
      <c r="ZJ50" s="22"/>
      <c r="ZK50" s="22"/>
      <c r="ZL50" s="22"/>
      <c r="ZM50" s="22"/>
      <c r="ZN50" s="22"/>
      <c r="ZO50" s="22"/>
      <c r="ZP50" s="22"/>
      <c r="ZQ50" s="22"/>
      <c r="ZR50" s="22"/>
      <c r="ZS50" s="22"/>
      <c r="ZT50" s="22"/>
      <c r="ZU50" s="22"/>
      <c r="ZV50" s="22"/>
      <c r="ZW50" s="22"/>
      <c r="ZX50" s="22"/>
      <c r="ZY50" s="22"/>
      <c r="ZZ50" s="22"/>
      <c r="AAA50" s="22"/>
      <c r="AAB50" s="22"/>
      <c r="AAC50" s="22"/>
      <c r="AAD50" s="22"/>
      <c r="AAE50" s="22"/>
      <c r="AAF50" s="22"/>
      <c r="AAG50" s="22"/>
      <c r="AAH50" s="22"/>
      <c r="AAI50" s="22"/>
      <c r="AAJ50" s="22"/>
      <c r="AAK50" s="22"/>
      <c r="AAL50" s="22"/>
      <c r="AAM50" s="22"/>
      <c r="AAN50" s="22"/>
      <c r="AAO50" s="22"/>
      <c r="AAP50" s="22"/>
      <c r="AAQ50" s="22"/>
      <c r="AAR50" s="22"/>
      <c r="AAS50" s="22"/>
      <c r="AAT50" s="22"/>
      <c r="AAU50" s="22"/>
      <c r="AAV50" s="22"/>
      <c r="AAW50" s="22"/>
      <c r="AAX50" s="22"/>
      <c r="AAY50" s="22"/>
      <c r="AAZ50" s="22"/>
      <c r="ABA50" s="22"/>
      <c r="ABB50" s="22"/>
      <c r="ABC50" s="22"/>
      <c r="ABD50" s="22"/>
      <c r="ABE50" s="22"/>
      <c r="ABF50" s="22"/>
      <c r="ABG50" s="22"/>
      <c r="ABH50" s="22"/>
      <c r="ABI50" s="22"/>
      <c r="ABJ50" s="22"/>
      <c r="ABK50" s="22"/>
      <c r="ABL50" s="22"/>
      <c r="ABM50" s="22"/>
      <c r="ABN50" s="22"/>
      <c r="ABO50" s="22"/>
      <c r="ABP50" s="22"/>
      <c r="ABQ50" s="22"/>
      <c r="ABR50" s="22"/>
      <c r="ABS50" s="22"/>
      <c r="ABT50" s="22"/>
      <c r="ABU50" s="22"/>
      <c r="ABV50" s="22"/>
      <c r="ABW50" s="22"/>
      <c r="ABX50" s="22"/>
      <c r="ABY50" s="22"/>
      <c r="ABZ50" s="22"/>
      <c r="ACA50" s="22"/>
      <c r="ACB50" s="22"/>
      <c r="ACC50" s="22"/>
      <c r="ACD50" s="22"/>
      <c r="ACE50" s="22"/>
      <c r="ACF50" s="22"/>
      <c r="ACG50" s="22"/>
      <c r="ACH50" s="22"/>
      <c r="ACI50" s="22"/>
      <c r="ACJ50" s="22"/>
      <c r="ACK50" s="22"/>
      <c r="ACL50" s="22"/>
      <c r="ACM50" s="22"/>
      <c r="ACN50" s="22"/>
      <c r="ACO50" s="22"/>
      <c r="ACP50" s="22"/>
      <c r="ACQ50" s="22"/>
      <c r="ACR50" s="22"/>
      <c r="ACS50" s="22"/>
      <c r="ACT50" s="22"/>
      <c r="ACU50" s="22"/>
      <c r="ACV50" s="22"/>
      <c r="ACW50" s="22"/>
      <c r="ACX50" s="22"/>
      <c r="ACY50" s="22"/>
      <c r="ACZ50" s="22"/>
      <c r="ADA50" s="22"/>
      <c r="ADB50" s="22"/>
      <c r="ADC50" s="22"/>
      <c r="ADD50" s="22"/>
      <c r="ADE50" s="22"/>
      <c r="ADF50" s="22"/>
      <c r="ADG50" s="22"/>
      <c r="ADH50" s="22"/>
      <c r="ADI50" s="22"/>
      <c r="ADJ50" s="22"/>
      <c r="ADK50" s="22"/>
      <c r="ADL50" s="22"/>
      <c r="ADM50" s="22"/>
      <c r="ADN50" s="22"/>
      <c r="ADO50" s="22"/>
      <c r="ADP50" s="22"/>
      <c r="ADQ50" s="22"/>
      <c r="ADR50" s="22"/>
      <c r="ADS50" s="22"/>
      <c r="ADT50" s="22"/>
      <c r="ADU50" s="22"/>
      <c r="ADV50" s="22"/>
      <c r="ADW50" s="22"/>
      <c r="ADX50" s="22"/>
      <c r="ADY50" s="22"/>
      <c r="ADZ50" s="22"/>
      <c r="AEA50" s="22"/>
      <c r="AEB50" s="22"/>
      <c r="AEC50" s="22"/>
      <c r="AED50" s="22"/>
      <c r="AEE50" s="22"/>
      <c r="AEF50" s="22"/>
      <c r="AEG50" s="22"/>
      <c r="AEH50" s="22"/>
      <c r="AEI50" s="22"/>
      <c r="AEJ50" s="22"/>
      <c r="AEK50" s="22"/>
      <c r="AEL50" s="22"/>
      <c r="AEM50" s="22"/>
      <c r="AEN50" s="22"/>
      <c r="AEO50" s="22"/>
      <c r="AEP50" s="22"/>
      <c r="AEQ50" s="22"/>
      <c r="AER50" s="22"/>
      <c r="AES50" s="22"/>
      <c r="AET50" s="22"/>
      <c r="AEU50" s="22"/>
      <c r="AEV50" s="22"/>
      <c r="AEW50" s="22"/>
      <c r="AEX50" s="22"/>
      <c r="AEY50" s="22"/>
      <c r="AEZ50" s="22"/>
      <c r="AFA50" s="22"/>
      <c r="AFB50" s="22"/>
      <c r="AFC50" s="22"/>
      <c r="AFD50" s="22"/>
      <c r="AFE50" s="22"/>
      <c r="AFF50" s="22"/>
      <c r="AFG50" s="22"/>
      <c r="AFH50" s="22"/>
      <c r="AFI50" s="22"/>
      <c r="AFJ50" s="22"/>
      <c r="AFK50" s="22"/>
      <c r="AFL50" s="22"/>
      <c r="AFM50" s="22"/>
      <c r="AFN50" s="22"/>
      <c r="AFO50" s="22"/>
      <c r="AFP50" s="22"/>
      <c r="AFQ50" s="22"/>
      <c r="AFR50" s="22"/>
      <c r="AFS50" s="22"/>
      <c r="AFT50" s="22"/>
      <c r="AFU50" s="22"/>
      <c r="AFV50" s="22"/>
      <c r="AFW50" s="22"/>
      <c r="AFX50" s="22"/>
      <c r="AFY50" s="22"/>
      <c r="AFZ50" s="22"/>
      <c r="AGA50" s="22"/>
      <c r="AGB50" s="22"/>
      <c r="AGC50" s="22"/>
      <c r="AGD50" s="22"/>
      <c r="AGE50" s="22"/>
      <c r="AGF50" s="22"/>
      <c r="AGG50" s="22"/>
      <c r="AGH50" s="22"/>
      <c r="AGI50" s="22"/>
      <c r="AGJ50" s="22"/>
      <c r="AGK50" s="22"/>
      <c r="AGL50" s="22"/>
      <c r="AGM50" s="22"/>
      <c r="AGN50" s="22"/>
      <c r="AGO50" s="22"/>
      <c r="AGP50" s="22"/>
      <c r="AGQ50" s="22"/>
      <c r="AGR50" s="22"/>
      <c r="AGS50" s="22"/>
      <c r="AGT50" s="22"/>
      <c r="AGU50" s="22"/>
      <c r="AGV50" s="22"/>
      <c r="AGW50" s="22"/>
      <c r="AGX50" s="22"/>
      <c r="AGY50" s="22"/>
      <c r="AGZ50" s="22"/>
      <c r="AHA50" s="22"/>
      <c r="AHB50" s="22"/>
      <c r="AHC50" s="22"/>
      <c r="AHD50" s="22"/>
      <c r="AHE50" s="22"/>
      <c r="AHF50" s="22"/>
      <c r="AHG50" s="22"/>
      <c r="AHH50" s="22"/>
      <c r="AHI50" s="22"/>
      <c r="AHJ50" s="22"/>
      <c r="AHK50" s="22"/>
      <c r="AHL50" s="22"/>
      <c r="AHM50" s="22"/>
      <c r="AHN50" s="22"/>
      <c r="AHO50" s="22"/>
      <c r="AHP50" s="22"/>
      <c r="AHQ50" s="22"/>
      <c r="AHR50" s="22"/>
      <c r="AHS50" s="22"/>
      <c r="AHT50" s="22"/>
      <c r="AHU50" s="22"/>
      <c r="AHV50" s="22"/>
      <c r="AHW50" s="22"/>
      <c r="AHX50" s="22"/>
      <c r="AHY50" s="22"/>
      <c r="AHZ50" s="22"/>
      <c r="AIA50" s="22"/>
      <c r="AIB50" s="22"/>
      <c r="AIC50" s="22"/>
      <c r="AID50" s="22"/>
      <c r="AIE50" s="22"/>
      <c r="AIF50" s="22"/>
      <c r="AIG50" s="22"/>
      <c r="AIH50" s="22"/>
      <c r="AII50" s="22"/>
      <c r="AIJ50" s="22"/>
      <c r="AIK50" s="22"/>
      <c r="AIL50" s="22"/>
      <c r="AIM50" s="22"/>
      <c r="AIN50" s="22"/>
      <c r="AIO50" s="22"/>
      <c r="AIP50" s="22"/>
      <c r="AIQ50" s="22"/>
      <c r="AIR50" s="22"/>
      <c r="AIS50" s="22"/>
      <c r="AIT50" s="22"/>
      <c r="AIU50" s="22"/>
      <c r="AIV50" s="22"/>
      <c r="AIW50" s="22"/>
      <c r="AIX50" s="22"/>
      <c r="AIY50" s="22"/>
      <c r="AIZ50" s="22"/>
      <c r="AJA50" s="22"/>
      <c r="AJB50" s="22"/>
      <c r="AJC50" s="22"/>
      <c r="AJD50" s="22"/>
      <c r="AJE50" s="22"/>
      <c r="AJF50" s="22"/>
      <c r="AJG50" s="22"/>
      <c r="AJH50" s="22"/>
      <c r="AJI50" s="22"/>
      <c r="AJJ50" s="22"/>
      <c r="AJK50" s="22"/>
      <c r="AJL50" s="22"/>
      <c r="AJM50" s="22"/>
      <c r="AJN50" s="22"/>
      <c r="AJO50" s="22"/>
      <c r="AJP50" s="22"/>
      <c r="AJQ50" s="22"/>
      <c r="AJR50" s="22"/>
      <c r="AJS50" s="22"/>
      <c r="AJT50" s="22"/>
      <c r="AJU50" s="22"/>
      <c r="AJV50" s="22"/>
      <c r="AJW50" s="22"/>
      <c r="AJX50" s="22"/>
      <c r="AJY50" s="22"/>
      <c r="AJZ50" s="22"/>
      <c r="AKA50" s="22"/>
      <c r="AKB50" s="22"/>
      <c r="AKC50" s="22"/>
      <c r="AKD50" s="22"/>
      <c r="AKE50" s="22"/>
      <c r="AKF50" s="22"/>
      <c r="AKG50" s="22"/>
      <c r="AKH50" s="22"/>
      <c r="AKI50" s="22"/>
      <c r="AKJ50" s="22"/>
      <c r="AKK50" s="22"/>
      <c r="AKL50" s="22"/>
      <c r="AKM50" s="22"/>
      <c r="AKN50" s="22"/>
      <c r="AKO50" s="22"/>
      <c r="AKP50" s="22"/>
      <c r="AKQ50" s="22"/>
      <c r="AKR50" s="22"/>
      <c r="AKS50" s="22"/>
      <c r="AKT50" s="22"/>
      <c r="AKU50" s="22"/>
      <c r="AKV50" s="22"/>
      <c r="AKW50" s="22"/>
      <c r="AKX50" s="22"/>
      <c r="AKY50" s="22"/>
      <c r="AKZ50" s="22"/>
      <c r="ALA50" s="22"/>
      <c r="ALB50" s="22"/>
      <c r="ALC50" s="22"/>
      <c r="ALD50" s="22"/>
      <c r="ALE50" s="22"/>
      <c r="ALF50" s="22"/>
      <c r="ALG50" s="22"/>
      <c r="ALH50" s="22"/>
      <c r="ALI50" s="22"/>
      <c r="ALJ50" s="22"/>
      <c r="ALK50" s="22"/>
      <c r="ALL50" s="22"/>
      <c r="ALM50" s="22"/>
      <c r="ALN50" s="22"/>
      <c r="ALO50" s="22"/>
      <c r="ALP50" s="22"/>
      <c r="ALQ50" s="22"/>
      <c r="ALR50" s="22"/>
    </row>
    <row r="51" spans="5:1006" x14ac:dyDescent="0.2">
      <c r="E51" s="59"/>
      <c r="F51" s="59"/>
      <c r="G51" s="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  <c r="IZ51" s="22"/>
      <c r="JA51" s="22"/>
      <c r="JB51" s="22"/>
      <c r="JC51" s="22"/>
      <c r="JD51" s="22"/>
      <c r="JE51" s="22"/>
      <c r="JF51" s="22"/>
      <c r="JG51" s="22"/>
      <c r="JH51" s="22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2"/>
      <c r="LK51" s="22"/>
      <c r="LL51" s="22"/>
      <c r="LM51" s="22"/>
      <c r="LN51" s="22"/>
      <c r="LO51" s="22"/>
      <c r="LP51" s="22"/>
      <c r="LQ51" s="22"/>
      <c r="LR51" s="22"/>
      <c r="LS51" s="22"/>
      <c r="LT51" s="22"/>
      <c r="LU51" s="22"/>
      <c r="LV51" s="22"/>
      <c r="LW51" s="22"/>
      <c r="LX51" s="22"/>
      <c r="LY51" s="22"/>
      <c r="LZ51" s="22"/>
      <c r="MA51" s="22"/>
      <c r="MB51" s="22"/>
      <c r="MC51" s="22"/>
      <c r="MD51" s="22"/>
      <c r="ME51" s="22"/>
      <c r="MF51" s="22"/>
      <c r="MG51" s="22"/>
      <c r="MH51" s="22"/>
      <c r="MI51" s="22"/>
      <c r="MJ51" s="22"/>
      <c r="MK51" s="22"/>
      <c r="ML51" s="22"/>
      <c r="MM51" s="22"/>
      <c r="MN51" s="22"/>
      <c r="MO51" s="22"/>
      <c r="MP51" s="22"/>
      <c r="MQ51" s="22"/>
      <c r="MR51" s="22"/>
      <c r="MS51" s="22"/>
      <c r="MT51" s="22"/>
      <c r="MU51" s="22"/>
      <c r="MV51" s="22"/>
      <c r="MW51" s="22"/>
      <c r="MX51" s="22"/>
      <c r="MY51" s="22"/>
      <c r="MZ51" s="22"/>
      <c r="NA51" s="22"/>
      <c r="NB51" s="22"/>
      <c r="NC51" s="22"/>
      <c r="ND51" s="22"/>
      <c r="NE51" s="22"/>
      <c r="NF51" s="22"/>
      <c r="NG51" s="22"/>
      <c r="NH51" s="22"/>
      <c r="NI51" s="22"/>
      <c r="NJ51" s="22"/>
      <c r="NK51" s="22"/>
      <c r="NL51" s="22"/>
      <c r="NM51" s="22"/>
      <c r="NN51" s="22"/>
      <c r="NO51" s="22"/>
      <c r="NP51" s="22"/>
      <c r="NQ51" s="22"/>
      <c r="NR51" s="22"/>
      <c r="NS51" s="22"/>
      <c r="NT51" s="22"/>
      <c r="NU51" s="22"/>
      <c r="NV51" s="22"/>
      <c r="NW51" s="22"/>
      <c r="NX51" s="22"/>
      <c r="NY51" s="22"/>
      <c r="NZ51" s="22"/>
      <c r="OA51" s="22"/>
      <c r="OB51" s="22"/>
      <c r="OC51" s="22"/>
      <c r="OD51" s="22"/>
      <c r="OE51" s="22"/>
      <c r="OF51" s="22"/>
      <c r="OG51" s="22"/>
      <c r="OH51" s="22"/>
      <c r="OI51" s="22"/>
      <c r="OJ51" s="22"/>
      <c r="OK51" s="22"/>
      <c r="OL51" s="22"/>
      <c r="OM51" s="22"/>
      <c r="ON51" s="22"/>
      <c r="OO51" s="22"/>
      <c r="OP51" s="22"/>
      <c r="OQ51" s="22"/>
      <c r="OR51" s="22"/>
      <c r="OS51" s="22"/>
      <c r="OT51" s="22"/>
      <c r="OU51" s="22"/>
      <c r="OV51" s="22"/>
      <c r="OW51" s="22"/>
      <c r="OX51" s="22"/>
      <c r="OY51" s="22"/>
      <c r="OZ51" s="22"/>
      <c r="PA51" s="22"/>
      <c r="PB51" s="22"/>
      <c r="PC51" s="22"/>
      <c r="PD51" s="22"/>
      <c r="PE51" s="22"/>
      <c r="PF51" s="22"/>
      <c r="PG51" s="22"/>
      <c r="PH51" s="22"/>
      <c r="PI51" s="22"/>
      <c r="PJ51" s="22"/>
      <c r="PK51" s="22"/>
      <c r="PL51" s="22"/>
      <c r="PM51" s="22"/>
      <c r="PN51" s="22"/>
      <c r="PO51" s="22"/>
      <c r="PP51" s="22"/>
      <c r="PQ51" s="22"/>
      <c r="PR51" s="22"/>
      <c r="PS51" s="22"/>
      <c r="PT51" s="22"/>
      <c r="PU51" s="22"/>
      <c r="PV51" s="22"/>
      <c r="PW51" s="22"/>
      <c r="PX51" s="22"/>
      <c r="PY51" s="22"/>
      <c r="PZ51" s="22"/>
      <c r="QA51" s="22"/>
      <c r="QB51" s="22"/>
      <c r="QC51" s="22"/>
      <c r="QD51" s="22"/>
      <c r="QE51" s="22"/>
      <c r="QF51" s="22"/>
      <c r="QG51" s="22"/>
      <c r="QH51" s="22"/>
      <c r="QI51" s="22"/>
      <c r="QJ51" s="22"/>
      <c r="QK51" s="22"/>
      <c r="QL51" s="22"/>
      <c r="QM51" s="22"/>
      <c r="QN51" s="22"/>
      <c r="QO51" s="22"/>
      <c r="QP51" s="22"/>
      <c r="QQ51" s="22"/>
      <c r="QR51" s="22"/>
      <c r="QS51" s="22"/>
      <c r="QT51" s="22"/>
      <c r="QU51" s="22"/>
      <c r="QV51" s="22"/>
      <c r="QW51" s="22"/>
      <c r="QX51" s="22"/>
      <c r="QY51" s="22"/>
      <c r="QZ51" s="22"/>
      <c r="RA51" s="22"/>
      <c r="RB51" s="22"/>
      <c r="RC51" s="22"/>
      <c r="RD51" s="22"/>
      <c r="RE51" s="22"/>
      <c r="RF51" s="22"/>
      <c r="RG51" s="22"/>
      <c r="RH51" s="22"/>
      <c r="RI51" s="22"/>
      <c r="RJ51" s="22"/>
      <c r="RK51" s="22"/>
      <c r="RL51" s="22"/>
      <c r="RM51" s="22"/>
      <c r="RN51" s="22"/>
      <c r="RO51" s="22"/>
      <c r="RP51" s="22"/>
      <c r="RQ51" s="22"/>
      <c r="RR51" s="22"/>
      <c r="RS51" s="22"/>
      <c r="RT51" s="22"/>
      <c r="RU51" s="22"/>
      <c r="RV51" s="22"/>
      <c r="RW51" s="22"/>
      <c r="RX51" s="22"/>
      <c r="RY51" s="22"/>
      <c r="RZ51" s="22"/>
      <c r="SA51" s="22"/>
      <c r="SB51" s="22"/>
      <c r="SC51" s="22"/>
      <c r="SD51" s="22"/>
      <c r="SE51" s="22"/>
      <c r="SF51" s="22"/>
      <c r="SG51" s="22"/>
      <c r="SH51" s="22"/>
      <c r="SI51" s="22"/>
      <c r="SJ51" s="22"/>
      <c r="SK51" s="22"/>
      <c r="SL51" s="22"/>
      <c r="SM51" s="22"/>
      <c r="SN51" s="22"/>
      <c r="SO51" s="22"/>
      <c r="SP51" s="22"/>
      <c r="SQ51" s="22"/>
      <c r="SR51" s="22"/>
      <c r="SS51" s="22"/>
      <c r="ST51" s="22"/>
      <c r="SU51" s="22"/>
      <c r="SV51" s="22"/>
      <c r="SW51" s="22"/>
      <c r="SX51" s="22"/>
      <c r="SY51" s="22"/>
      <c r="SZ51" s="22"/>
      <c r="TA51" s="22"/>
      <c r="TB51" s="22"/>
      <c r="TC51" s="22"/>
      <c r="TD51" s="22"/>
      <c r="TE51" s="22"/>
      <c r="TF51" s="22"/>
      <c r="TG51" s="22"/>
      <c r="TH51" s="22"/>
      <c r="TI51" s="22"/>
      <c r="TJ51" s="22"/>
      <c r="TK51" s="22"/>
      <c r="TL51" s="22"/>
      <c r="TM51" s="22"/>
      <c r="TN51" s="22"/>
      <c r="TO51" s="22"/>
      <c r="TP51" s="22"/>
      <c r="TQ51" s="22"/>
      <c r="TR51" s="22"/>
      <c r="TS51" s="22"/>
      <c r="TT51" s="22"/>
      <c r="TU51" s="22"/>
      <c r="TV51" s="22"/>
      <c r="TW51" s="22"/>
      <c r="TX51" s="22"/>
      <c r="TY51" s="22"/>
      <c r="TZ51" s="22"/>
      <c r="UA51" s="22"/>
      <c r="UB51" s="22"/>
      <c r="UC51" s="22"/>
      <c r="UD51" s="22"/>
      <c r="UE51" s="22"/>
      <c r="UF51" s="22"/>
      <c r="UG51" s="22"/>
      <c r="UH51" s="22"/>
      <c r="UI51" s="22"/>
      <c r="UJ51" s="22"/>
      <c r="UK51" s="22"/>
      <c r="UL51" s="22"/>
      <c r="UM51" s="22"/>
      <c r="UN51" s="22"/>
      <c r="UO51" s="22"/>
      <c r="UP51" s="22"/>
      <c r="UQ51" s="22"/>
      <c r="UR51" s="22"/>
      <c r="US51" s="22"/>
      <c r="UT51" s="22"/>
      <c r="UU51" s="22"/>
      <c r="UV51" s="22"/>
      <c r="UW51" s="22"/>
      <c r="UX51" s="22"/>
      <c r="UY51" s="22"/>
      <c r="UZ51" s="22"/>
      <c r="VA51" s="22"/>
      <c r="VB51" s="22"/>
      <c r="VC51" s="22"/>
      <c r="VD51" s="22"/>
      <c r="VE51" s="22"/>
      <c r="VF51" s="22"/>
      <c r="VG51" s="22"/>
      <c r="VH51" s="22"/>
      <c r="VI51" s="22"/>
      <c r="VJ51" s="22"/>
      <c r="VK51" s="22"/>
      <c r="VL51" s="22"/>
      <c r="VM51" s="22"/>
      <c r="VN51" s="22"/>
      <c r="VO51" s="22"/>
      <c r="VP51" s="22"/>
      <c r="VQ51" s="22"/>
      <c r="VR51" s="22"/>
      <c r="VS51" s="22"/>
      <c r="VT51" s="22"/>
      <c r="VU51" s="22"/>
      <c r="VV51" s="22"/>
      <c r="VW51" s="22"/>
      <c r="VX51" s="22"/>
      <c r="VY51" s="22"/>
      <c r="VZ51" s="22"/>
      <c r="WA51" s="22"/>
      <c r="WB51" s="22"/>
      <c r="WC51" s="22"/>
      <c r="WD51" s="22"/>
      <c r="WE51" s="22"/>
      <c r="WF51" s="22"/>
      <c r="WG51" s="22"/>
      <c r="WH51" s="22"/>
      <c r="WI51" s="22"/>
      <c r="WJ51" s="22"/>
      <c r="WK51" s="22"/>
      <c r="WL51" s="22"/>
      <c r="WM51" s="22"/>
      <c r="WN51" s="22"/>
      <c r="WO51" s="22"/>
      <c r="WP51" s="22"/>
      <c r="WQ51" s="22"/>
      <c r="WR51" s="22"/>
      <c r="WS51" s="22"/>
      <c r="WT51" s="22"/>
      <c r="WU51" s="22"/>
      <c r="WV51" s="22"/>
      <c r="WW51" s="22"/>
      <c r="WX51" s="22"/>
      <c r="WY51" s="22"/>
      <c r="WZ51" s="22"/>
      <c r="XA51" s="22"/>
      <c r="XB51" s="22"/>
      <c r="XC51" s="22"/>
      <c r="XD51" s="22"/>
      <c r="XE51" s="22"/>
      <c r="XF51" s="22"/>
      <c r="XG51" s="22"/>
      <c r="XH51" s="22"/>
      <c r="XI51" s="22"/>
      <c r="XJ51" s="22"/>
      <c r="XK51" s="22"/>
      <c r="XL51" s="22"/>
      <c r="XM51" s="22"/>
      <c r="XN51" s="22"/>
      <c r="XO51" s="22"/>
      <c r="XP51" s="22"/>
      <c r="XQ51" s="22"/>
      <c r="XR51" s="22"/>
      <c r="XS51" s="22"/>
      <c r="XT51" s="22"/>
      <c r="XU51" s="22"/>
      <c r="XV51" s="22"/>
      <c r="XW51" s="22"/>
      <c r="XX51" s="22"/>
      <c r="XY51" s="22"/>
      <c r="XZ51" s="22"/>
      <c r="YA51" s="22"/>
      <c r="YB51" s="22"/>
      <c r="YC51" s="22"/>
      <c r="YD51" s="22"/>
      <c r="YE51" s="22"/>
      <c r="YF51" s="22"/>
      <c r="YG51" s="22"/>
      <c r="YH51" s="22"/>
      <c r="YI51" s="22"/>
      <c r="YJ51" s="22"/>
      <c r="YK51" s="22"/>
      <c r="YL51" s="22"/>
      <c r="YM51" s="22"/>
      <c r="YN51" s="22"/>
      <c r="YO51" s="22"/>
      <c r="YP51" s="22"/>
      <c r="YQ51" s="22"/>
      <c r="YR51" s="22"/>
      <c r="YS51" s="22"/>
      <c r="YT51" s="22"/>
      <c r="YU51" s="22"/>
      <c r="YV51" s="22"/>
      <c r="YW51" s="22"/>
      <c r="YX51" s="22"/>
      <c r="YY51" s="22"/>
      <c r="YZ51" s="22"/>
      <c r="ZA51" s="22"/>
      <c r="ZB51" s="22"/>
      <c r="ZC51" s="22"/>
      <c r="ZD51" s="22"/>
      <c r="ZE51" s="22"/>
      <c r="ZF51" s="22"/>
      <c r="ZG51" s="22"/>
      <c r="ZH51" s="22"/>
      <c r="ZI51" s="22"/>
      <c r="ZJ51" s="22"/>
      <c r="ZK51" s="22"/>
      <c r="ZL51" s="22"/>
      <c r="ZM51" s="22"/>
      <c r="ZN51" s="22"/>
      <c r="ZO51" s="22"/>
      <c r="ZP51" s="22"/>
      <c r="ZQ51" s="22"/>
      <c r="ZR51" s="22"/>
      <c r="ZS51" s="22"/>
      <c r="ZT51" s="22"/>
      <c r="ZU51" s="22"/>
      <c r="ZV51" s="22"/>
      <c r="ZW51" s="22"/>
      <c r="ZX51" s="22"/>
      <c r="ZY51" s="22"/>
      <c r="ZZ51" s="22"/>
      <c r="AAA51" s="22"/>
      <c r="AAB51" s="22"/>
      <c r="AAC51" s="22"/>
      <c r="AAD51" s="22"/>
      <c r="AAE51" s="22"/>
      <c r="AAF51" s="22"/>
      <c r="AAG51" s="22"/>
      <c r="AAH51" s="22"/>
      <c r="AAI51" s="22"/>
      <c r="AAJ51" s="22"/>
      <c r="AAK51" s="22"/>
      <c r="AAL51" s="22"/>
      <c r="AAM51" s="22"/>
      <c r="AAN51" s="22"/>
      <c r="AAO51" s="22"/>
      <c r="AAP51" s="22"/>
      <c r="AAQ51" s="22"/>
      <c r="AAR51" s="22"/>
      <c r="AAS51" s="22"/>
      <c r="AAT51" s="22"/>
      <c r="AAU51" s="22"/>
      <c r="AAV51" s="22"/>
      <c r="AAW51" s="22"/>
      <c r="AAX51" s="22"/>
      <c r="AAY51" s="22"/>
      <c r="AAZ51" s="22"/>
      <c r="ABA51" s="22"/>
      <c r="ABB51" s="22"/>
      <c r="ABC51" s="22"/>
      <c r="ABD51" s="22"/>
      <c r="ABE51" s="22"/>
      <c r="ABF51" s="22"/>
      <c r="ABG51" s="22"/>
      <c r="ABH51" s="22"/>
      <c r="ABI51" s="22"/>
      <c r="ABJ51" s="22"/>
      <c r="ABK51" s="22"/>
      <c r="ABL51" s="22"/>
      <c r="ABM51" s="22"/>
      <c r="ABN51" s="22"/>
      <c r="ABO51" s="22"/>
      <c r="ABP51" s="22"/>
      <c r="ABQ51" s="22"/>
      <c r="ABR51" s="22"/>
      <c r="ABS51" s="22"/>
      <c r="ABT51" s="22"/>
      <c r="ABU51" s="22"/>
      <c r="ABV51" s="22"/>
      <c r="ABW51" s="22"/>
      <c r="ABX51" s="22"/>
      <c r="ABY51" s="22"/>
      <c r="ABZ51" s="22"/>
      <c r="ACA51" s="22"/>
      <c r="ACB51" s="22"/>
      <c r="ACC51" s="22"/>
      <c r="ACD51" s="22"/>
      <c r="ACE51" s="22"/>
      <c r="ACF51" s="22"/>
      <c r="ACG51" s="22"/>
      <c r="ACH51" s="22"/>
      <c r="ACI51" s="22"/>
      <c r="ACJ51" s="22"/>
      <c r="ACK51" s="22"/>
      <c r="ACL51" s="22"/>
      <c r="ACM51" s="22"/>
      <c r="ACN51" s="22"/>
      <c r="ACO51" s="22"/>
      <c r="ACP51" s="22"/>
      <c r="ACQ51" s="22"/>
      <c r="ACR51" s="22"/>
      <c r="ACS51" s="22"/>
      <c r="ACT51" s="22"/>
      <c r="ACU51" s="22"/>
      <c r="ACV51" s="22"/>
      <c r="ACW51" s="22"/>
      <c r="ACX51" s="22"/>
      <c r="ACY51" s="22"/>
      <c r="ACZ51" s="22"/>
      <c r="ADA51" s="22"/>
      <c r="ADB51" s="22"/>
      <c r="ADC51" s="22"/>
      <c r="ADD51" s="22"/>
      <c r="ADE51" s="22"/>
      <c r="ADF51" s="22"/>
      <c r="ADG51" s="22"/>
      <c r="ADH51" s="22"/>
      <c r="ADI51" s="22"/>
      <c r="ADJ51" s="22"/>
      <c r="ADK51" s="22"/>
      <c r="ADL51" s="22"/>
      <c r="ADM51" s="22"/>
      <c r="ADN51" s="22"/>
      <c r="ADO51" s="22"/>
      <c r="ADP51" s="22"/>
      <c r="ADQ51" s="22"/>
      <c r="ADR51" s="22"/>
      <c r="ADS51" s="22"/>
      <c r="ADT51" s="22"/>
      <c r="ADU51" s="22"/>
      <c r="ADV51" s="22"/>
      <c r="ADW51" s="22"/>
      <c r="ADX51" s="22"/>
      <c r="ADY51" s="22"/>
      <c r="ADZ51" s="22"/>
      <c r="AEA51" s="22"/>
      <c r="AEB51" s="22"/>
      <c r="AEC51" s="22"/>
      <c r="AED51" s="22"/>
      <c r="AEE51" s="22"/>
      <c r="AEF51" s="22"/>
      <c r="AEG51" s="22"/>
      <c r="AEH51" s="22"/>
      <c r="AEI51" s="22"/>
      <c r="AEJ51" s="22"/>
      <c r="AEK51" s="22"/>
      <c r="AEL51" s="22"/>
      <c r="AEM51" s="22"/>
      <c r="AEN51" s="22"/>
      <c r="AEO51" s="22"/>
      <c r="AEP51" s="22"/>
      <c r="AEQ51" s="22"/>
      <c r="AER51" s="22"/>
      <c r="AES51" s="22"/>
      <c r="AET51" s="22"/>
      <c r="AEU51" s="22"/>
      <c r="AEV51" s="22"/>
      <c r="AEW51" s="22"/>
      <c r="AEX51" s="22"/>
      <c r="AEY51" s="22"/>
      <c r="AEZ51" s="22"/>
      <c r="AFA51" s="22"/>
      <c r="AFB51" s="22"/>
      <c r="AFC51" s="22"/>
      <c r="AFD51" s="22"/>
      <c r="AFE51" s="22"/>
      <c r="AFF51" s="22"/>
      <c r="AFG51" s="22"/>
      <c r="AFH51" s="22"/>
      <c r="AFI51" s="22"/>
      <c r="AFJ51" s="22"/>
      <c r="AFK51" s="22"/>
      <c r="AFL51" s="22"/>
      <c r="AFM51" s="22"/>
      <c r="AFN51" s="22"/>
      <c r="AFO51" s="22"/>
      <c r="AFP51" s="22"/>
      <c r="AFQ51" s="22"/>
      <c r="AFR51" s="22"/>
      <c r="AFS51" s="22"/>
      <c r="AFT51" s="22"/>
      <c r="AFU51" s="22"/>
      <c r="AFV51" s="22"/>
      <c r="AFW51" s="22"/>
      <c r="AFX51" s="22"/>
      <c r="AFY51" s="22"/>
      <c r="AFZ51" s="22"/>
      <c r="AGA51" s="22"/>
      <c r="AGB51" s="22"/>
      <c r="AGC51" s="22"/>
      <c r="AGD51" s="22"/>
      <c r="AGE51" s="22"/>
      <c r="AGF51" s="22"/>
      <c r="AGG51" s="22"/>
      <c r="AGH51" s="22"/>
      <c r="AGI51" s="22"/>
      <c r="AGJ51" s="22"/>
      <c r="AGK51" s="22"/>
      <c r="AGL51" s="22"/>
      <c r="AGM51" s="22"/>
      <c r="AGN51" s="22"/>
      <c r="AGO51" s="22"/>
      <c r="AGP51" s="22"/>
      <c r="AGQ51" s="22"/>
      <c r="AGR51" s="22"/>
      <c r="AGS51" s="22"/>
      <c r="AGT51" s="22"/>
      <c r="AGU51" s="22"/>
      <c r="AGV51" s="22"/>
      <c r="AGW51" s="22"/>
      <c r="AGX51" s="22"/>
      <c r="AGY51" s="22"/>
      <c r="AGZ51" s="22"/>
      <c r="AHA51" s="22"/>
      <c r="AHB51" s="22"/>
      <c r="AHC51" s="22"/>
      <c r="AHD51" s="22"/>
      <c r="AHE51" s="22"/>
      <c r="AHF51" s="22"/>
      <c r="AHG51" s="22"/>
      <c r="AHH51" s="22"/>
      <c r="AHI51" s="22"/>
      <c r="AHJ51" s="22"/>
      <c r="AHK51" s="22"/>
      <c r="AHL51" s="22"/>
      <c r="AHM51" s="22"/>
      <c r="AHN51" s="22"/>
      <c r="AHO51" s="22"/>
      <c r="AHP51" s="22"/>
      <c r="AHQ51" s="22"/>
      <c r="AHR51" s="22"/>
      <c r="AHS51" s="22"/>
      <c r="AHT51" s="22"/>
      <c r="AHU51" s="22"/>
      <c r="AHV51" s="22"/>
      <c r="AHW51" s="22"/>
      <c r="AHX51" s="22"/>
      <c r="AHY51" s="22"/>
      <c r="AHZ51" s="22"/>
      <c r="AIA51" s="22"/>
      <c r="AIB51" s="22"/>
      <c r="AIC51" s="22"/>
      <c r="AID51" s="22"/>
      <c r="AIE51" s="22"/>
      <c r="AIF51" s="22"/>
      <c r="AIG51" s="22"/>
      <c r="AIH51" s="22"/>
      <c r="AII51" s="22"/>
      <c r="AIJ51" s="22"/>
      <c r="AIK51" s="22"/>
      <c r="AIL51" s="22"/>
      <c r="AIM51" s="22"/>
      <c r="AIN51" s="22"/>
      <c r="AIO51" s="22"/>
      <c r="AIP51" s="22"/>
      <c r="AIQ51" s="22"/>
      <c r="AIR51" s="22"/>
      <c r="AIS51" s="22"/>
      <c r="AIT51" s="22"/>
      <c r="AIU51" s="22"/>
      <c r="AIV51" s="22"/>
      <c r="AIW51" s="22"/>
      <c r="AIX51" s="22"/>
      <c r="AIY51" s="22"/>
      <c r="AIZ51" s="22"/>
      <c r="AJA51" s="22"/>
      <c r="AJB51" s="22"/>
      <c r="AJC51" s="22"/>
      <c r="AJD51" s="22"/>
      <c r="AJE51" s="22"/>
      <c r="AJF51" s="22"/>
      <c r="AJG51" s="22"/>
      <c r="AJH51" s="22"/>
      <c r="AJI51" s="22"/>
      <c r="AJJ51" s="22"/>
      <c r="AJK51" s="22"/>
      <c r="AJL51" s="22"/>
      <c r="AJM51" s="22"/>
      <c r="AJN51" s="22"/>
      <c r="AJO51" s="22"/>
      <c r="AJP51" s="22"/>
      <c r="AJQ51" s="22"/>
      <c r="AJR51" s="22"/>
      <c r="AJS51" s="22"/>
      <c r="AJT51" s="22"/>
      <c r="AJU51" s="22"/>
      <c r="AJV51" s="22"/>
      <c r="AJW51" s="22"/>
      <c r="AJX51" s="22"/>
      <c r="AJY51" s="22"/>
      <c r="AJZ51" s="22"/>
      <c r="AKA51" s="22"/>
      <c r="AKB51" s="22"/>
      <c r="AKC51" s="22"/>
      <c r="AKD51" s="22"/>
      <c r="AKE51" s="22"/>
      <c r="AKF51" s="22"/>
      <c r="AKG51" s="22"/>
      <c r="AKH51" s="22"/>
      <c r="AKI51" s="22"/>
      <c r="AKJ51" s="22"/>
      <c r="AKK51" s="22"/>
      <c r="AKL51" s="22"/>
      <c r="AKM51" s="22"/>
      <c r="AKN51" s="22"/>
      <c r="AKO51" s="22"/>
      <c r="AKP51" s="22"/>
      <c r="AKQ51" s="22"/>
      <c r="AKR51" s="22"/>
      <c r="AKS51" s="22"/>
      <c r="AKT51" s="22"/>
      <c r="AKU51" s="22"/>
      <c r="AKV51" s="22"/>
      <c r="AKW51" s="22"/>
      <c r="AKX51" s="22"/>
      <c r="AKY51" s="22"/>
      <c r="AKZ51" s="22"/>
      <c r="ALA51" s="22"/>
      <c r="ALB51" s="22"/>
      <c r="ALC51" s="22"/>
      <c r="ALD51" s="22"/>
      <c r="ALE51" s="22"/>
      <c r="ALF51" s="22"/>
      <c r="ALG51" s="22"/>
      <c r="ALH51" s="22"/>
      <c r="ALI51" s="22"/>
      <c r="ALJ51" s="22"/>
      <c r="ALK51" s="22"/>
      <c r="ALL51" s="22"/>
      <c r="ALM51" s="22"/>
      <c r="ALN51" s="22"/>
      <c r="ALO51" s="22"/>
      <c r="ALP51" s="22"/>
      <c r="ALQ51" s="22"/>
      <c r="ALR51" s="22"/>
    </row>
    <row r="52" spans="5:1006" x14ac:dyDescent="0.2">
      <c r="E52" s="59"/>
      <c r="F52" s="59"/>
      <c r="G52" s="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  <c r="IZ52" s="22"/>
      <c r="JA52" s="22"/>
      <c r="JB52" s="22"/>
      <c r="JC52" s="22"/>
      <c r="JD52" s="22"/>
      <c r="JE52" s="22"/>
      <c r="JF52" s="22"/>
      <c r="JG52" s="22"/>
      <c r="JH52" s="22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2"/>
      <c r="LK52" s="22"/>
      <c r="LL52" s="22"/>
      <c r="LM52" s="22"/>
      <c r="LN52" s="22"/>
      <c r="LO52" s="22"/>
      <c r="LP52" s="22"/>
      <c r="LQ52" s="22"/>
      <c r="LR52" s="22"/>
      <c r="LS52" s="22"/>
      <c r="LT52" s="22"/>
      <c r="LU52" s="22"/>
      <c r="LV52" s="22"/>
      <c r="LW52" s="22"/>
      <c r="LX52" s="22"/>
      <c r="LY52" s="22"/>
      <c r="LZ52" s="22"/>
      <c r="MA52" s="22"/>
      <c r="MB52" s="22"/>
      <c r="MC52" s="22"/>
      <c r="MD52" s="22"/>
      <c r="ME52" s="22"/>
      <c r="MF52" s="22"/>
      <c r="MG52" s="22"/>
      <c r="MH52" s="22"/>
      <c r="MI52" s="22"/>
      <c r="MJ52" s="22"/>
      <c r="MK52" s="22"/>
      <c r="ML52" s="22"/>
      <c r="MM52" s="22"/>
      <c r="MN52" s="22"/>
      <c r="MO52" s="22"/>
      <c r="MP52" s="22"/>
      <c r="MQ52" s="22"/>
      <c r="MR52" s="22"/>
      <c r="MS52" s="22"/>
      <c r="MT52" s="22"/>
      <c r="MU52" s="22"/>
      <c r="MV52" s="22"/>
      <c r="MW52" s="22"/>
      <c r="MX52" s="22"/>
      <c r="MY52" s="22"/>
      <c r="MZ52" s="22"/>
      <c r="NA52" s="22"/>
      <c r="NB52" s="22"/>
      <c r="NC52" s="22"/>
      <c r="ND52" s="22"/>
      <c r="NE52" s="22"/>
      <c r="NF52" s="22"/>
      <c r="NG52" s="22"/>
      <c r="NH52" s="22"/>
      <c r="NI52" s="22"/>
      <c r="NJ52" s="22"/>
      <c r="NK52" s="22"/>
      <c r="NL52" s="22"/>
      <c r="NM52" s="22"/>
      <c r="NN52" s="22"/>
      <c r="NO52" s="22"/>
      <c r="NP52" s="22"/>
      <c r="NQ52" s="22"/>
      <c r="NR52" s="22"/>
      <c r="NS52" s="22"/>
      <c r="NT52" s="22"/>
      <c r="NU52" s="22"/>
      <c r="NV52" s="22"/>
      <c r="NW52" s="22"/>
      <c r="NX52" s="22"/>
      <c r="NY52" s="22"/>
      <c r="NZ52" s="22"/>
      <c r="OA52" s="22"/>
      <c r="OB52" s="22"/>
      <c r="OC52" s="22"/>
      <c r="OD52" s="22"/>
      <c r="OE52" s="22"/>
      <c r="OF52" s="22"/>
      <c r="OG52" s="22"/>
      <c r="OH52" s="22"/>
      <c r="OI52" s="22"/>
      <c r="OJ52" s="22"/>
      <c r="OK52" s="22"/>
      <c r="OL52" s="22"/>
      <c r="OM52" s="22"/>
      <c r="ON52" s="22"/>
      <c r="OO52" s="22"/>
      <c r="OP52" s="22"/>
      <c r="OQ52" s="22"/>
      <c r="OR52" s="22"/>
      <c r="OS52" s="22"/>
      <c r="OT52" s="22"/>
      <c r="OU52" s="22"/>
      <c r="OV52" s="22"/>
      <c r="OW52" s="22"/>
      <c r="OX52" s="22"/>
      <c r="OY52" s="22"/>
      <c r="OZ52" s="22"/>
      <c r="PA52" s="22"/>
      <c r="PB52" s="22"/>
      <c r="PC52" s="22"/>
      <c r="PD52" s="22"/>
      <c r="PE52" s="22"/>
      <c r="PF52" s="22"/>
      <c r="PG52" s="22"/>
      <c r="PH52" s="22"/>
      <c r="PI52" s="22"/>
      <c r="PJ52" s="22"/>
      <c r="PK52" s="22"/>
      <c r="PL52" s="22"/>
      <c r="PM52" s="22"/>
      <c r="PN52" s="22"/>
      <c r="PO52" s="22"/>
      <c r="PP52" s="22"/>
      <c r="PQ52" s="22"/>
      <c r="PR52" s="22"/>
      <c r="PS52" s="22"/>
      <c r="PT52" s="22"/>
      <c r="PU52" s="22"/>
      <c r="PV52" s="22"/>
      <c r="PW52" s="22"/>
      <c r="PX52" s="22"/>
      <c r="PY52" s="22"/>
      <c r="PZ52" s="22"/>
      <c r="QA52" s="22"/>
      <c r="QB52" s="22"/>
      <c r="QC52" s="22"/>
      <c r="QD52" s="22"/>
      <c r="QE52" s="22"/>
      <c r="QF52" s="22"/>
      <c r="QG52" s="22"/>
      <c r="QH52" s="22"/>
      <c r="QI52" s="22"/>
      <c r="QJ52" s="22"/>
      <c r="QK52" s="22"/>
      <c r="QL52" s="22"/>
      <c r="QM52" s="22"/>
      <c r="QN52" s="22"/>
      <c r="QO52" s="22"/>
      <c r="QP52" s="22"/>
      <c r="QQ52" s="22"/>
      <c r="QR52" s="22"/>
      <c r="QS52" s="22"/>
      <c r="QT52" s="22"/>
      <c r="QU52" s="22"/>
      <c r="QV52" s="22"/>
      <c r="QW52" s="22"/>
      <c r="QX52" s="22"/>
      <c r="QY52" s="22"/>
      <c r="QZ52" s="22"/>
      <c r="RA52" s="22"/>
      <c r="RB52" s="22"/>
      <c r="RC52" s="22"/>
      <c r="RD52" s="22"/>
      <c r="RE52" s="22"/>
      <c r="RF52" s="22"/>
      <c r="RG52" s="22"/>
      <c r="RH52" s="22"/>
      <c r="RI52" s="22"/>
      <c r="RJ52" s="22"/>
      <c r="RK52" s="22"/>
      <c r="RL52" s="22"/>
      <c r="RM52" s="22"/>
      <c r="RN52" s="22"/>
      <c r="RO52" s="22"/>
      <c r="RP52" s="22"/>
      <c r="RQ52" s="22"/>
      <c r="RR52" s="22"/>
      <c r="RS52" s="22"/>
      <c r="RT52" s="22"/>
      <c r="RU52" s="22"/>
      <c r="RV52" s="22"/>
      <c r="RW52" s="22"/>
      <c r="RX52" s="22"/>
      <c r="RY52" s="22"/>
      <c r="RZ52" s="22"/>
      <c r="SA52" s="22"/>
      <c r="SB52" s="22"/>
      <c r="SC52" s="22"/>
      <c r="SD52" s="22"/>
      <c r="SE52" s="22"/>
      <c r="SF52" s="22"/>
      <c r="SG52" s="22"/>
      <c r="SH52" s="22"/>
      <c r="SI52" s="22"/>
      <c r="SJ52" s="22"/>
      <c r="SK52" s="22"/>
      <c r="SL52" s="22"/>
      <c r="SM52" s="22"/>
      <c r="SN52" s="22"/>
      <c r="SO52" s="22"/>
      <c r="SP52" s="22"/>
      <c r="SQ52" s="22"/>
      <c r="SR52" s="22"/>
      <c r="SS52" s="22"/>
      <c r="ST52" s="22"/>
      <c r="SU52" s="22"/>
      <c r="SV52" s="22"/>
      <c r="SW52" s="22"/>
      <c r="SX52" s="22"/>
      <c r="SY52" s="22"/>
      <c r="SZ52" s="22"/>
      <c r="TA52" s="22"/>
      <c r="TB52" s="22"/>
      <c r="TC52" s="22"/>
      <c r="TD52" s="22"/>
      <c r="TE52" s="22"/>
      <c r="TF52" s="22"/>
      <c r="TG52" s="22"/>
      <c r="TH52" s="22"/>
      <c r="TI52" s="22"/>
      <c r="TJ52" s="22"/>
      <c r="TK52" s="22"/>
      <c r="TL52" s="22"/>
      <c r="TM52" s="22"/>
      <c r="TN52" s="22"/>
      <c r="TO52" s="22"/>
      <c r="TP52" s="22"/>
      <c r="TQ52" s="22"/>
      <c r="TR52" s="22"/>
      <c r="TS52" s="22"/>
      <c r="TT52" s="22"/>
      <c r="TU52" s="22"/>
      <c r="TV52" s="22"/>
      <c r="TW52" s="22"/>
      <c r="TX52" s="22"/>
      <c r="TY52" s="22"/>
      <c r="TZ52" s="22"/>
      <c r="UA52" s="22"/>
      <c r="UB52" s="22"/>
      <c r="UC52" s="22"/>
      <c r="UD52" s="22"/>
      <c r="UE52" s="22"/>
      <c r="UF52" s="22"/>
      <c r="UG52" s="22"/>
      <c r="UH52" s="22"/>
      <c r="UI52" s="22"/>
      <c r="UJ52" s="22"/>
      <c r="UK52" s="22"/>
      <c r="UL52" s="22"/>
      <c r="UM52" s="22"/>
      <c r="UN52" s="22"/>
      <c r="UO52" s="22"/>
      <c r="UP52" s="22"/>
      <c r="UQ52" s="22"/>
      <c r="UR52" s="22"/>
      <c r="US52" s="22"/>
      <c r="UT52" s="22"/>
      <c r="UU52" s="22"/>
      <c r="UV52" s="22"/>
      <c r="UW52" s="22"/>
      <c r="UX52" s="22"/>
      <c r="UY52" s="22"/>
      <c r="UZ52" s="22"/>
      <c r="VA52" s="22"/>
      <c r="VB52" s="22"/>
      <c r="VC52" s="22"/>
      <c r="VD52" s="22"/>
      <c r="VE52" s="22"/>
      <c r="VF52" s="22"/>
      <c r="VG52" s="22"/>
      <c r="VH52" s="22"/>
      <c r="VI52" s="22"/>
      <c r="VJ52" s="22"/>
      <c r="VK52" s="22"/>
      <c r="VL52" s="22"/>
      <c r="VM52" s="22"/>
      <c r="VN52" s="22"/>
      <c r="VO52" s="22"/>
      <c r="VP52" s="22"/>
      <c r="VQ52" s="22"/>
      <c r="VR52" s="22"/>
      <c r="VS52" s="22"/>
      <c r="VT52" s="22"/>
      <c r="VU52" s="22"/>
      <c r="VV52" s="22"/>
      <c r="VW52" s="22"/>
      <c r="VX52" s="22"/>
      <c r="VY52" s="22"/>
      <c r="VZ52" s="22"/>
      <c r="WA52" s="22"/>
      <c r="WB52" s="22"/>
      <c r="WC52" s="22"/>
      <c r="WD52" s="22"/>
      <c r="WE52" s="22"/>
      <c r="WF52" s="22"/>
      <c r="WG52" s="22"/>
      <c r="WH52" s="22"/>
      <c r="WI52" s="22"/>
      <c r="WJ52" s="22"/>
      <c r="WK52" s="22"/>
      <c r="WL52" s="22"/>
      <c r="WM52" s="22"/>
      <c r="WN52" s="22"/>
      <c r="WO52" s="22"/>
      <c r="WP52" s="22"/>
      <c r="WQ52" s="22"/>
      <c r="WR52" s="22"/>
      <c r="WS52" s="22"/>
      <c r="WT52" s="22"/>
      <c r="WU52" s="22"/>
      <c r="WV52" s="22"/>
      <c r="WW52" s="22"/>
      <c r="WX52" s="22"/>
      <c r="WY52" s="22"/>
      <c r="WZ52" s="22"/>
      <c r="XA52" s="22"/>
      <c r="XB52" s="22"/>
      <c r="XC52" s="22"/>
      <c r="XD52" s="22"/>
      <c r="XE52" s="22"/>
      <c r="XF52" s="22"/>
      <c r="XG52" s="22"/>
      <c r="XH52" s="22"/>
      <c r="XI52" s="22"/>
      <c r="XJ52" s="22"/>
      <c r="XK52" s="22"/>
      <c r="XL52" s="22"/>
      <c r="XM52" s="22"/>
      <c r="XN52" s="22"/>
      <c r="XO52" s="22"/>
      <c r="XP52" s="22"/>
      <c r="XQ52" s="22"/>
      <c r="XR52" s="22"/>
      <c r="XS52" s="22"/>
      <c r="XT52" s="22"/>
      <c r="XU52" s="22"/>
      <c r="XV52" s="22"/>
      <c r="XW52" s="22"/>
      <c r="XX52" s="22"/>
      <c r="XY52" s="22"/>
      <c r="XZ52" s="22"/>
      <c r="YA52" s="22"/>
      <c r="YB52" s="22"/>
      <c r="YC52" s="22"/>
      <c r="YD52" s="22"/>
      <c r="YE52" s="22"/>
      <c r="YF52" s="22"/>
      <c r="YG52" s="22"/>
      <c r="YH52" s="22"/>
      <c r="YI52" s="22"/>
      <c r="YJ52" s="22"/>
      <c r="YK52" s="22"/>
      <c r="YL52" s="22"/>
      <c r="YM52" s="22"/>
      <c r="YN52" s="22"/>
      <c r="YO52" s="22"/>
      <c r="YP52" s="22"/>
      <c r="YQ52" s="22"/>
      <c r="YR52" s="22"/>
      <c r="YS52" s="22"/>
      <c r="YT52" s="22"/>
      <c r="YU52" s="22"/>
      <c r="YV52" s="22"/>
      <c r="YW52" s="22"/>
      <c r="YX52" s="22"/>
      <c r="YY52" s="22"/>
      <c r="YZ52" s="22"/>
      <c r="ZA52" s="22"/>
      <c r="ZB52" s="22"/>
      <c r="ZC52" s="22"/>
      <c r="ZD52" s="22"/>
      <c r="ZE52" s="22"/>
      <c r="ZF52" s="22"/>
      <c r="ZG52" s="22"/>
      <c r="ZH52" s="22"/>
      <c r="ZI52" s="22"/>
      <c r="ZJ52" s="22"/>
      <c r="ZK52" s="22"/>
      <c r="ZL52" s="22"/>
      <c r="ZM52" s="22"/>
      <c r="ZN52" s="22"/>
      <c r="ZO52" s="22"/>
      <c r="ZP52" s="22"/>
      <c r="ZQ52" s="22"/>
      <c r="ZR52" s="22"/>
      <c r="ZS52" s="22"/>
      <c r="ZT52" s="22"/>
      <c r="ZU52" s="22"/>
      <c r="ZV52" s="22"/>
      <c r="ZW52" s="22"/>
      <c r="ZX52" s="22"/>
      <c r="ZY52" s="22"/>
      <c r="ZZ52" s="22"/>
      <c r="AAA52" s="22"/>
      <c r="AAB52" s="22"/>
      <c r="AAC52" s="22"/>
      <c r="AAD52" s="22"/>
      <c r="AAE52" s="22"/>
      <c r="AAF52" s="22"/>
      <c r="AAG52" s="22"/>
      <c r="AAH52" s="22"/>
      <c r="AAI52" s="22"/>
      <c r="AAJ52" s="22"/>
      <c r="AAK52" s="22"/>
      <c r="AAL52" s="22"/>
      <c r="AAM52" s="22"/>
      <c r="AAN52" s="22"/>
      <c r="AAO52" s="22"/>
      <c r="AAP52" s="22"/>
      <c r="AAQ52" s="22"/>
      <c r="AAR52" s="22"/>
      <c r="AAS52" s="22"/>
      <c r="AAT52" s="22"/>
      <c r="AAU52" s="22"/>
      <c r="AAV52" s="22"/>
      <c r="AAW52" s="22"/>
      <c r="AAX52" s="22"/>
      <c r="AAY52" s="22"/>
      <c r="AAZ52" s="22"/>
      <c r="ABA52" s="22"/>
      <c r="ABB52" s="22"/>
      <c r="ABC52" s="22"/>
      <c r="ABD52" s="22"/>
      <c r="ABE52" s="22"/>
      <c r="ABF52" s="22"/>
      <c r="ABG52" s="22"/>
      <c r="ABH52" s="22"/>
      <c r="ABI52" s="22"/>
      <c r="ABJ52" s="22"/>
      <c r="ABK52" s="22"/>
      <c r="ABL52" s="22"/>
      <c r="ABM52" s="22"/>
      <c r="ABN52" s="22"/>
      <c r="ABO52" s="22"/>
      <c r="ABP52" s="22"/>
      <c r="ABQ52" s="22"/>
      <c r="ABR52" s="22"/>
      <c r="ABS52" s="22"/>
      <c r="ABT52" s="22"/>
      <c r="ABU52" s="22"/>
      <c r="ABV52" s="22"/>
      <c r="ABW52" s="22"/>
      <c r="ABX52" s="22"/>
      <c r="ABY52" s="22"/>
      <c r="ABZ52" s="22"/>
      <c r="ACA52" s="22"/>
      <c r="ACB52" s="22"/>
      <c r="ACC52" s="22"/>
      <c r="ACD52" s="22"/>
      <c r="ACE52" s="22"/>
      <c r="ACF52" s="22"/>
      <c r="ACG52" s="22"/>
      <c r="ACH52" s="22"/>
      <c r="ACI52" s="22"/>
      <c r="ACJ52" s="22"/>
      <c r="ACK52" s="22"/>
      <c r="ACL52" s="22"/>
      <c r="ACM52" s="22"/>
      <c r="ACN52" s="22"/>
      <c r="ACO52" s="22"/>
      <c r="ACP52" s="22"/>
      <c r="ACQ52" s="22"/>
      <c r="ACR52" s="22"/>
      <c r="ACS52" s="22"/>
      <c r="ACT52" s="22"/>
      <c r="ACU52" s="22"/>
      <c r="ACV52" s="22"/>
      <c r="ACW52" s="22"/>
      <c r="ACX52" s="22"/>
      <c r="ACY52" s="22"/>
      <c r="ACZ52" s="22"/>
      <c r="ADA52" s="22"/>
      <c r="ADB52" s="22"/>
      <c r="ADC52" s="22"/>
      <c r="ADD52" s="22"/>
      <c r="ADE52" s="22"/>
      <c r="ADF52" s="22"/>
      <c r="ADG52" s="22"/>
      <c r="ADH52" s="22"/>
      <c r="ADI52" s="22"/>
      <c r="ADJ52" s="22"/>
      <c r="ADK52" s="22"/>
      <c r="ADL52" s="22"/>
      <c r="ADM52" s="22"/>
      <c r="ADN52" s="22"/>
      <c r="ADO52" s="22"/>
      <c r="ADP52" s="22"/>
      <c r="ADQ52" s="22"/>
      <c r="ADR52" s="22"/>
      <c r="ADS52" s="22"/>
      <c r="ADT52" s="22"/>
      <c r="ADU52" s="22"/>
      <c r="ADV52" s="22"/>
      <c r="ADW52" s="22"/>
      <c r="ADX52" s="22"/>
      <c r="ADY52" s="22"/>
      <c r="ADZ52" s="22"/>
      <c r="AEA52" s="22"/>
      <c r="AEB52" s="22"/>
      <c r="AEC52" s="22"/>
      <c r="AED52" s="22"/>
      <c r="AEE52" s="22"/>
      <c r="AEF52" s="22"/>
      <c r="AEG52" s="22"/>
      <c r="AEH52" s="22"/>
      <c r="AEI52" s="22"/>
      <c r="AEJ52" s="22"/>
      <c r="AEK52" s="22"/>
      <c r="AEL52" s="22"/>
      <c r="AEM52" s="22"/>
      <c r="AEN52" s="22"/>
      <c r="AEO52" s="22"/>
      <c r="AEP52" s="22"/>
      <c r="AEQ52" s="22"/>
      <c r="AER52" s="22"/>
      <c r="AES52" s="22"/>
      <c r="AET52" s="22"/>
      <c r="AEU52" s="22"/>
      <c r="AEV52" s="22"/>
      <c r="AEW52" s="22"/>
      <c r="AEX52" s="22"/>
      <c r="AEY52" s="22"/>
      <c r="AEZ52" s="22"/>
      <c r="AFA52" s="22"/>
      <c r="AFB52" s="22"/>
      <c r="AFC52" s="22"/>
      <c r="AFD52" s="22"/>
      <c r="AFE52" s="22"/>
      <c r="AFF52" s="22"/>
      <c r="AFG52" s="22"/>
      <c r="AFH52" s="22"/>
      <c r="AFI52" s="22"/>
      <c r="AFJ52" s="22"/>
      <c r="AFK52" s="22"/>
      <c r="AFL52" s="22"/>
      <c r="AFM52" s="22"/>
      <c r="AFN52" s="22"/>
      <c r="AFO52" s="22"/>
      <c r="AFP52" s="22"/>
      <c r="AFQ52" s="22"/>
      <c r="AFR52" s="22"/>
      <c r="AFS52" s="22"/>
      <c r="AFT52" s="22"/>
      <c r="AFU52" s="22"/>
      <c r="AFV52" s="22"/>
      <c r="AFW52" s="22"/>
      <c r="AFX52" s="22"/>
      <c r="AFY52" s="22"/>
      <c r="AFZ52" s="22"/>
      <c r="AGA52" s="22"/>
      <c r="AGB52" s="22"/>
      <c r="AGC52" s="22"/>
      <c r="AGD52" s="22"/>
      <c r="AGE52" s="22"/>
      <c r="AGF52" s="22"/>
      <c r="AGG52" s="22"/>
      <c r="AGH52" s="22"/>
      <c r="AGI52" s="22"/>
      <c r="AGJ52" s="22"/>
      <c r="AGK52" s="22"/>
      <c r="AGL52" s="22"/>
      <c r="AGM52" s="22"/>
      <c r="AGN52" s="22"/>
      <c r="AGO52" s="22"/>
      <c r="AGP52" s="22"/>
      <c r="AGQ52" s="22"/>
      <c r="AGR52" s="22"/>
      <c r="AGS52" s="22"/>
      <c r="AGT52" s="22"/>
      <c r="AGU52" s="22"/>
      <c r="AGV52" s="22"/>
      <c r="AGW52" s="22"/>
      <c r="AGX52" s="22"/>
      <c r="AGY52" s="22"/>
      <c r="AGZ52" s="22"/>
      <c r="AHA52" s="22"/>
      <c r="AHB52" s="22"/>
      <c r="AHC52" s="22"/>
      <c r="AHD52" s="22"/>
      <c r="AHE52" s="22"/>
      <c r="AHF52" s="22"/>
      <c r="AHG52" s="22"/>
      <c r="AHH52" s="22"/>
      <c r="AHI52" s="22"/>
      <c r="AHJ52" s="22"/>
      <c r="AHK52" s="22"/>
      <c r="AHL52" s="22"/>
      <c r="AHM52" s="22"/>
      <c r="AHN52" s="22"/>
      <c r="AHO52" s="22"/>
      <c r="AHP52" s="22"/>
      <c r="AHQ52" s="22"/>
      <c r="AHR52" s="22"/>
      <c r="AHS52" s="22"/>
      <c r="AHT52" s="22"/>
      <c r="AHU52" s="22"/>
      <c r="AHV52" s="22"/>
      <c r="AHW52" s="22"/>
      <c r="AHX52" s="22"/>
      <c r="AHY52" s="22"/>
      <c r="AHZ52" s="22"/>
      <c r="AIA52" s="22"/>
      <c r="AIB52" s="22"/>
      <c r="AIC52" s="22"/>
      <c r="AID52" s="22"/>
      <c r="AIE52" s="22"/>
      <c r="AIF52" s="22"/>
      <c r="AIG52" s="22"/>
      <c r="AIH52" s="22"/>
      <c r="AII52" s="22"/>
      <c r="AIJ52" s="22"/>
      <c r="AIK52" s="22"/>
      <c r="AIL52" s="22"/>
      <c r="AIM52" s="22"/>
      <c r="AIN52" s="22"/>
      <c r="AIO52" s="22"/>
      <c r="AIP52" s="22"/>
      <c r="AIQ52" s="22"/>
      <c r="AIR52" s="22"/>
      <c r="AIS52" s="22"/>
      <c r="AIT52" s="22"/>
      <c r="AIU52" s="22"/>
      <c r="AIV52" s="22"/>
      <c r="AIW52" s="22"/>
      <c r="AIX52" s="22"/>
      <c r="AIY52" s="22"/>
      <c r="AIZ52" s="22"/>
      <c r="AJA52" s="22"/>
      <c r="AJB52" s="22"/>
      <c r="AJC52" s="22"/>
      <c r="AJD52" s="22"/>
      <c r="AJE52" s="22"/>
      <c r="AJF52" s="22"/>
      <c r="AJG52" s="22"/>
      <c r="AJH52" s="22"/>
      <c r="AJI52" s="22"/>
      <c r="AJJ52" s="22"/>
      <c r="AJK52" s="22"/>
      <c r="AJL52" s="22"/>
      <c r="AJM52" s="22"/>
      <c r="AJN52" s="22"/>
      <c r="AJO52" s="22"/>
      <c r="AJP52" s="22"/>
      <c r="AJQ52" s="22"/>
      <c r="AJR52" s="22"/>
      <c r="AJS52" s="22"/>
      <c r="AJT52" s="22"/>
      <c r="AJU52" s="22"/>
      <c r="AJV52" s="22"/>
      <c r="AJW52" s="22"/>
      <c r="AJX52" s="22"/>
      <c r="AJY52" s="22"/>
      <c r="AJZ52" s="22"/>
      <c r="AKA52" s="22"/>
      <c r="AKB52" s="22"/>
      <c r="AKC52" s="22"/>
      <c r="AKD52" s="22"/>
      <c r="AKE52" s="22"/>
      <c r="AKF52" s="22"/>
      <c r="AKG52" s="22"/>
      <c r="AKH52" s="22"/>
      <c r="AKI52" s="22"/>
      <c r="AKJ52" s="22"/>
      <c r="AKK52" s="22"/>
      <c r="AKL52" s="22"/>
      <c r="AKM52" s="22"/>
      <c r="AKN52" s="22"/>
      <c r="AKO52" s="22"/>
      <c r="AKP52" s="22"/>
      <c r="AKQ52" s="22"/>
      <c r="AKR52" s="22"/>
      <c r="AKS52" s="22"/>
      <c r="AKT52" s="22"/>
      <c r="AKU52" s="22"/>
      <c r="AKV52" s="22"/>
      <c r="AKW52" s="22"/>
      <c r="AKX52" s="22"/>
      <c r="AKY52" s="22"/>
      <c r="AKZ52" s="22"/>
      <c r="ALA52" s="22"/>
      <c r="ALB52" s="22"/>
      <c r="ALC52" s="22"/>
      <c r="ALD52" s="22"/>
      <c r="ALE52" s="22"/>
      <c r="ALF52" s="22"/>
      <c r="ALG52" s="22"/>
      <c r="ALH52" s="22"/>
      <c r="ALI52" s="22"/>
      <c r="ALJ52" s="22"/>
      <c r="ALK52" s="22"/>
      <c r="ALL52" s="22"/>
      <c r="ALM52" s="22"/>
      <c r="ALN52" s="22"/>
      <c r="ALO52" s="22"/>
      <c r="ALP52" s="22"/>
      <c r="ALQ52" s="22"/>
      <c r="ALR52" s="22"/>
    </row>
    <row r="53" spans="5:1006" x14ac:dyDescent="0.2">
      <c r="E53" s="1"/>
      <c r="F53" s="2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</row>
    <row r="54" spans="5:1006" x14ac:dyDescent="0.2">
      <c r="E54" s="62"/>
      <c r="F54" s="62"/>
      <c r="G54" s="62"/>
    </row>
    <row r="55" spans="5:1006" x14ac:dyDescent="0.2">
      <c r="E55" s="62"/>
      <c r="F55" s="62"/>
      <c r="G55" s="1"/>
      <c r="H55" s="1"/>
    </row>
  </sheetData>
  <mergeCells count="16">
    <mergeCell ref="H35:O35"/>
    <mergeCell ref="P35:V35"/>
    <mergeCell ref="B2:C2"/>
    <mergeCell ref="B7:C7"/>
    <mergeCell ref="B11:C11"/>
    <mergeCell ref="N17:U17"/>
    <mergeCell ref="E54:G54"/>
    <mergeCell ref="E55:F55"/>
    <mergeCell ref="B15:C15"/>
    <mergeCell ref="B14:D14"/>
    <mergeCell ref="B16:C16"/>
    <mergeCell ref="B12:C12"/>
    <mergeCell ref="B17:D18"/>
    <mergeCell ref="E50:F50"/>
    <mergeCell ref="E51:F51"/>
    <mergeCell ref="E52:F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CC0D-E339-AB48-9494-289F16FA660D}">
  <dimension ref="A1:ALS22"/>
  <sheetViews>
    <sheetView tabSelected="1" topLeftCell="A10" zoomScale="265" workbookViewId="0">
      <selection activeCell="C20" sqref="C20"/>
    </sheetView>
  </sheetViews>
  <sheetFormatPr baseColWidth="10" defaultRowHeight="16" x14ac:dyDescent="0.2"/>
  <cols>
    <col min="3" max="3" width="12.1640625" bestFit="1" customWidth="1"/>
    <col min="5" max="5" width="14.5" customWidth="1"/>
    <col min="6" max="6" width="10.83203125" customWidth="1"/>
    <col min="7" max="7" width="11.83203125" customWidth="1"/>
    <col min="8" max="8" width="10.33203125" customWidth="1"/>
  </cols>
  <sheetData>
    <row r="1" spans="1:1007" s="14" customFormat="1" x14ac:dyDescent="0.2">
      <c r="A1" s="58" t="s">
        <v>1539</v>
      </c>
      <c r="B1" s="58"/>
      <c r="C1" s="58"/>
      <c r="D1" s="58"/>
      <c r="E1" s="58"/>
      <c r="F1" s="11"/>
      <c r="G1" s="10" t="s">
        <v>1555</v>
      </c>
      <c r="H1" s="14">
        <f>1</f>
        <v>1</v>
      </c>
      <c r="I1" s="14">
        <v>2</v>
      </c>
      <c r="J1" s="14">
        <v>3</v>
      </c>
      <c r="K1" s="14">
        <v>4</v>
      </c>
      <c r="L1" s="14">
        <v>5</v>
      </c>
      <c r="M1" s="14">
        <v>6</v>
      </c>
      <c r="N1" s="14">
        <v>7</v>
      </c>
      <c r="O1" s="14">
        <v>8</v>
      </c>
      <c r="P1" s="14">
        <v>9</v>
      </c>
      <c r="Q1" s="14">
        <v>10</v>
      </c>
      <c r="R1" s="14">
        <v>11</v>
      </c>
      <c r="S1" s="14">
        <v>12</v>
      </c>
      <c r="T1" s="14">
        <v>13</v>
      </c>
      <c r="U1" s="14">
        <v>14</v>
      </c>
      <c r="V1" s="14">
        <v>15</v>
      </c>
      <c r="W1" s="14">
        <v>16</v>
      </c>
      <c r="X1" s="14">
        <v>17</v>
      </c>
      <c r="Y1" s="14">
        <v>18</v>
      </c>
      <c r="Z1" s="14">
        <v>19</v>
      </c>
      <c r="AA1" s="14">
        <v>20</v>
      </c>
      <c r="AB1" s="14">
        <v>21</v>
      </c>
      <c r="AC1" s="14">
        <v>22</v>
      </c>
      <c r="AD1" s="14">
        <v>23</v>
      </c>
      <c r="AE1" s="14">
        <v>24</v>
      </c>
      <c r="AF1" s="14">
        <v>25</v>
      </c>
      <c r="AG1" s="14">
        <v>26</v>
      </c>
      <c r="AH1" s="14">
        <v>27</v>
      </c>
      <c r="AI1" s="14">
        <v>28</v>
      </c>
      <c r="AJ1" s="14">
        <v>29</v>
      </c>
      <c r="AK1" s="14">
        <v>30</v>
      </c>
      <c r="AL1" s="14">
        <v>31</v>
      </c>
      <c r="AM1" s="14">
        <v>32</v>
      </c>
      <c r="AN1" s="14">
        <v>33</v>
      </c>
      <c r="AO1" s="14">
        <v>34</v>
      </c>
      <c r="AP1" s="14">
        <v>35</v>
      </c>
      <c r="AQ1" s="14">
        <v>36</v>
      </c>
      <c r="AR1" s="14">
        <v>37</v>
      </c>
      <c r="AS1" s="14">
        <v>38</v>
      </c>
      <c r="AT1" s="14">
        <v>39</v>
      </c>
      <c r="AU1" s="14">
        <v>40</v>
      </c>
      <c r="AV1" s="14">
        <v>41</v>
      </c>
      <c r="AW1" s="14">
        <v>42</v>
      </c>
      <c r="AX1" s="14">
        <v>43</v>
      </c>
      <c r="AY1" s="14">
        <v>44</v>
      </c>
      <c r="AZ1" s="14">
        <v>45</v>
      </c>
      <c r="BA1" s="14">
        <v>46</v>
      </c>
      <c r="BB1" s="14">
        <v>47</v>
      </c>
      <c r="BC1" s="14">
        <v>48</v>
      </c>
      <c r="BD1" s="14">
        <v>49</v>
      </c>
      <c r="BE1" s="14">
        <v>50</v>
      </c>
      <c r="BF1" s="14">
        <v>51</v>
      </c>
      <c r="BG1" s="14">
        <v>52</v>
      </c>
      <c r="BH1" s="14">
        <v>53</v>
      </c>
      <c r="BI1" s="14">
        <v>54</v>
      </c>
      <c r="BJ1" s="14">
        <v>55</v>
      </c>
      <c r="BK1" s="14">
        <v>56</v>
      </c>
      <c r="BL1" s="14">
        <v>57</v>
      </c>
      <c r="BM1" s="14">
        <v>58</v>
      </c>
      <c r="BN1" s="14">
        <v>59</v>
      </c>
      <c r="BO1" s="14">
        <v>60</v>
      </c>
      <c r="BP1" s="14">
        <v>61</v>
      </c>
      <c r="BQ1" s="14">
        <v>62</v>
      </c>
      <c r="BR1" s="14">
        <v>63</v>
      </c>
      <c r="BS1" s="14">
        <v>64</v>
      </c>
      <c r="BT1" s="14">
        <v>65</v>
      </c>
      <c r="BU1" s="14">
        <v>66</v>
      </c>
      <c r="BV1" s="14">
        <v>67</v>
      </c>
      <c r="BW1" s="14">
        <v>68</v>
      </c>
      <c r="BX1" s="14">
        <v>69</v>
      </c>
      <c r="BY1" s="14">
        <v>70</v>
      </c>
      <c r="BZ1" s="14">
        <v>71</v>
      </c>
      <c r="CA1" s="14">
        <v>72</v>
      </c>
      <c r="CB1" s="14">
        <v>73</v>
      </c>
      <c r="CC1" s="14">
        <v>74</v>
      </c>
      <c r="CD1" s="14">
        <v>75</v>
      </c>
      <c r="CE1" s="14">
        <v>76</v>
      </c>
      <c r="CF1" s="14">
        <v>77</v>
      </c>
      <c r="CG1" s="14">
        <v>78</v>
      </c>
      <c r="CH1" s="14">
        <v>79</v>
      </c>
      <c r="CI1" s="14">
        <v>80</v>
      </c>
      <c r="CJ1" s="14">
        <v>81</v>
      </c>
      <c r="CK1" s="14">
        <v>82</v>
      </c>
      <c r="CL1" s="14">
        <v>83</v>
      </c>
      <c r="CM1" s="14">
        <v>84</v>
      </c>
      <c r="CN1" s="14">
        <v>85</v>
      </c>
      <c r="CO1" s="14">
        <v>86</v>
      </c>
      <c r="CP1" s="14">
        <v>87</v>
      </c>
      <c r="CQ1" s="14">
        <v>88</v>
      </c>
      <c r="CR1" s="14">
        <v>89</v>
      </c>
      <c r="CS1" s="14">
        <v>90</v>
      </c>
      <c r="CT1" s="14">
        <v>91</v>
      </c>
      <c r="CU1" s="14">
        <v>92</v>
      </c>
      <c r="CV1" s="14">
        <v>93</v>
      </c>
      <c r="CW1" s="14">
        <v>94</v>
      </c>
      <c r="CX1" s="14">
        <v>95</v>
      </c>
      <c r="CY1" s="14">
        <v>96</v>
      </c>
      <c r="CZ1" s="14">
        <v>97</v>
      </c>
      <c r="DA1" s="14">
        <v>98</v>
      </c>
      <c r="DB1" s="14">
        <v>99</v>
      </c>
      <c r="DC1" s="14">
        <v>100</v>
      </c>
      <c r="DD1" s="14">
        <v>101</v>
      </c>
      <c r="DE1" s="14">
        <v>102</v>
      </c>
      <c r="DF1" s="14">
        <v>103</v>
      </c>
      <c r="DG1" s="14">
        <v>104</v>
      </c>
      <c r="DH1" s="14">
        <v>105</v>
      </c>
      <c r="DI1" s="14">
        <v>106</v>
      </c>
      <c r="DJ1" s="14">
        <v>107</v>
      </c>
      <c r="DK1" s="14">
        <v>108</v>
      </c>
      <c r="DL1" s="14">
        <v>109</v>
      </c>
      <c r="DM1" s="14">
        <v>110</v>
      </c>
      <c r="DN1" s="14">
        <v>111</v>
      </c>
      <c r="DO1" s="14">
        <v>112</v>
      </c>
      <c r="DP1" s="14">
        <v>113</v>
      </c>
      <c r="DQ1" s="14">
        <v>114</v>
      </c>
      <c r="DR1" s="14">
        <v>115</v>
      </c>
      <c r="DS1" s="14">
        <v>116</v>
      </c>
      <c r="DT1" s="14">
        <v>117</v>
      </c>
      <c r="DU1" s="14">
        <v>118</v>
      </c>
      <c r="DV1" s="14">
        <v>119</v>
      </c>
      <c r="DW1" s="14">
        <v>120</v>
      </c>
      <c r="DX1" s="14">
        <v>121</v>
      </c>
      <c r="DY1" s="14">
        <v>122</v>
      </c>
      <c r="DZ1" s="14">
        <v>123</v>
      </c>
      <c r="EA1" s="14">
        <v>124</v>
      </c>
      <c r="EB1" s="14">
        <v>125</v>
      </c>
      <c r="EC1" s="14">
        <v>126</v>
      </c>
      <c r="ED1" s="14">
        <v>127</v>
      </c>
      <c r="EE1" s="14">
        <v>128</v>
      </c>
      <c r="EF1" s="14">
        <v>129</v>
      </c>
      <c r="EG1" s="14">
        <v>130</v>
      </c>
      <c r="EH1" s="14">
        <v>131</v>
      </c>
      <c r="EI1" s="14">
        <v>132</v>
      </c>
      <c r="EJ1" s="14">
        <v>133</v>
      </c>
      <c r="EK1" s="14">
        <v>134</v>
      </c>
      <c r="EL1" s="14">
        <v>135</v>
      </c>
      <c r="EM1" s="14">
        <v>136</v>
      </c>
      <c r="EN1" s="14">
        <v>137</v>
      </c>
      <c r="EO1" s="14">
        <v>138</v>
      </c>
      <c r="EP1" s="14">
        <v>139</v>
      </c>
      <c r="EQ1" s="14">
        <v>140</v>
      </c>
      <c r="ER1" s="14">
        <v>141</v>
      </c>
      <c r="ES1" s="14">
        <v>142</v>
      </c>
      <c r="ET1" s="14">
        <v>143</v>
      </c>
      <c r="EU1" s="14">
        <v>144</v>
      </c>
      <c r="EV1" s="14">
        <v>145</v>
      </c>
      <c r="EW1" s="14">
        <v>146</v>
      </c>
      <c r="EX1" s="14">
        <v>147</v>
      </c>
      <c r="EY1" s="14">
        <v>148</v>
      </c>
      <c r="EZ1" s="14">
        <v>149</v>
      </c>
      <c r="FA1" s="14">
        <v>150</v>
      </c>
      <c r="FB1" s="14">
        <v>151</v>
      </c>
      <c r="FC1" s="14">
        <v>152</v>
      </c>
      <c r="FD1" s="14">
        <v>153</v>
      </c>
      <c r="FE1" s="14">
        <v>154</v>
      </c>
      <c r="FF1" s="14">
        <v>155</v>
      </c>
      <c r="FG1" s="14">
        <v>156</v>
      </c>
      <c r="FH1" s="14">
        <v>157</v>
      </c>
      <c r="FI1" s="14">
        <v>158</v>
      </c>
      <c r="FJ1" s="14">
        <v>159</v>
      </c>
      <c r="FK1" s="14">
        <v>160</v>
      </c>
      <c r="FL1" s="14">
        <v>161</v>
      </c>
      <c r="FM1" s="14">
        <v>162</v>
      </c>
      <c r="FN1" s="14">
        <v>163</v>
      </c>
      <c r="FO1" s="14">
        <v>164</v>
      </c>
      <c r="FP1" s="14">
        <v>165</v>
      </c>
      <c r="FQ1" s="14">
        <v>166</v>
      </c>
      <c r="FR1" s="14">
        <v>167</v>
      </c>
      <c r="FS1" s="14">
        <v>168</v>
      </c>
      <c r="FT1" s="14">
        <v>169</v>
      </c>
      <c r="FU1" s="14">
        <v>170</v>
      </c>
      <c r="FV1" s="14">
        <v>171</v>
      </c>
      <c r="FW1" s="14">
        <v>172</v>
      </c>
      <c r="FX1" s="14">
        <v>173</v>
      </c>
      <c r="FY1" s="14">
        <v>174</v>
      </c>
      <c r="FZ1" s="14">
        <v>175</v>
      </c>
      <c r="GA1" s="14">
        <v>176</v>
      </c>
      <c r="GB1" s="14">
        <v>177</v>
      </c>
      <c r="GC1" s="14">
        <v>178</v>
      </c>
      <c r="GD1" s="14">
        <v>179</v>
      </c>
      <c r="GE1" s="14">
        <v>180</v>
      </c>
      <c r="GF1" s="14">
        <v>181</v>
      </c>
      <c r="GG1" s="14">
        <v>182</v>
      </c>
      <c r="GH1" s="14">
        <v>183</v>
      </c>
      <c r="GI1" s="14">
        <v>184</v>
      </c>
      <c r="GJ1" s="14">
        <v>185</v>
      </c>
      <c r="GK1" s="14">
        <v>186</v>
      </c>
      <c r="GL1" s="14">
        <v>187</v>
      </c>
      <c r="GM1" s="14">
        <v>188</v>
      </c>
      <c r="GN1" s="14">
        <v>189</v>
      </c>
      <c r="GO1" s="14">
        <v>190</v>
      </c>
      <c r="GP1" s="14">
        <v>191</v>
      </c>
      <c r="GQ1" s="14">
        <v>192</v>
      </c>
      <c r="GR1" s="14">
        <v>193</v>
      </c>
      <c r="GS1" s="14">
        <v>194</v>
      </c>
      <c r="GT1" s="14">
        <v>195</v>
      </c>
      <c r="GU1" s="14">
        <v>196</v>
      </c>
      <c r="GV1" s="14">
        <v>197</v>
      </c>
      <c r="GW1" s="14">
        <v>198</v>
      </c>
      <c r="GX1" s="14">
        <v>199</v>
      </c>
      <c r="GY1" s="14">
        <v>200</v>
      </c>
      <c r="GZ1" s="14">
        <v>201</v>
      </c>
      <c r="HA1" s="14">
        <v>202</v>
      </c>
      <c r="HB1" s="14">
        <v>203</v>
      </c>
      <c r="HC1" s="14">
        <v>204</v>
      </c>
      <c r="HD1" s="14">
        <v>205</v>
      </c>
      <c r="HE1" s="14">
        <v>206</v>
      </c>
      <c r="HF1" s="14">
        <v>207</v>
      </c>
      <c r="HG1" s="14">
        <v>208</v>
      </c>
      <c r="HH1" s="14">
        <v>209</v>
      </c>
      <c r="HI1" s="14">
        <v>210</v>
      </c>
      <c r="HJ1" s="14">
        <v>211</v>
      </c>
      <c r="HK1" s="14">
        <v>212</v>
      </c>
      <c r="HL1" s="14">
        <v>213</v>
      </c>
      <c r="HM1" s="14">
        <v>214</v>
      </c>
      <c r="HN1" s="14">
        <v>215</v>
      </c>
      <c r="HO1" s="14">
        <v>216</v>
      </c>
      <c r="HP1" s="14">
        <v>217</v>
      </c>
      <c r="HQ1" s="14">
        <v>218</v>
      </c>
      <c r="HR1" s="14">
        <v>219</v>
      </c>
      <c r="HS1" s="14">
        <v>220</v>
      </c>
      <c r="HT1" s="14">
        <v>221</v>
      </c>
      <c r="HU1" s="14">
        <v>222</v>
      </c>
      <c r="HV1" s="14">
        <v>223</v>
      </c>
      <c r="HW1" s="14">
        <v>224</v>
      </c>
      <c r="HX1" s="14">
        <v>225</v>
      </c>
      <c r="HY1" s="14">
        <v>226</v>
      </c>
      <c r="HZ1" s="14">
        <v>227</v>
      </c>
      <c r="IA1" s="14">
        <v>228</v>
      </c>
      <c r="IB1" s="14">
        <v>229</v>
      </c>
      <c r="IC1" s="14">
        <v>230</v>
      </c>
      <c r="ID1" s="14">
        <v>231</v>
      </c>
      <c r="IE1" s="14">
        <v>232</v>
      </c>
      <c r="IF1" s="14">
        <v>233</v>
      </c>
      <c r="IG1" s="14">
        <v>234</v>
      </c>
      <c r="IH1" s="14">
        <v>235</v>
      </c>
      <c r="II1" s="14">
        <v>236</v>
      </c>
      <c r="IJ1" s="14">
        <v>237</v>
      </c>
      <c r="IK1" s="14">
        <v>238</v>
      </c>
      <c r="IL1" s="14">
        <v>239</v>
      </c>
      <c r="IM1" s="14">
        <v>240</v>
      </c>
      <c r="IN1" s="14">
        <v>241</v>
      </c>
      <c r="IO1" s="14">
        <v>242</v>
      </c>
      <c r="IP1" s="14">
        <v>243</v>
      </c>
      <c r="IQ1" s="14">
        <v>244</v>
      </c>
      <c r="IR1" s="14">
        <v>245</v>
      </c>
      <c r="IS1" s="14">
        <v>246</v>
      </c>
      <c r="IT1" s="14">
        <v>247</v>
      </c>
      <c r="IU1" s="14">
        <v>248</v>
      </c>
      <c r="IV1" s="14">
        <v>249</v>
      </c>
      <c r="IW1" s="14">
        <v>250</v>
      </c>
      <c r="IX1" s="14">
        <v>251</v>
      </c>
      <c r="IY1" s="14">
        <v>252</v>
      </c>
      <c r="IZ1" s="14">
        <v>253</v>
      </c>
      <c r="JA1" s="14">
        <v>254</v>
      </c>
      <c r="JB1" s="14">
        <v>255</v>
      </c>
      <c r="JC1" s="14">
        <v>256</v>
      </c>
      <c r="JD1" s="14">
        <v>257</v>
      </c>
      <c r="JE1" s="14">
        <v>258</v>
      </c>
      <c r="JF1" s="14">
        <v>259</v>
      </c>
      <c r="JG1" s="14">
        <v>260</v>
      </c>
      <c r="JH1" s="14">
        <v>261</v>
      </c>
      <c r="JI1" s="14">
        <v>262</v>
      </c>
      <c r="JJ1" s="14">
        <v>263</v>
      </c>
      <c r="JK1" s="14">
        <v>264</v>
      </c>
      <c r="JL1" s="14">
        <v>265</v>
      </c>
      <c r="JM1" s="14">
        <v>266</v>
      </c>
      <c r="JN1" s="14">
        <v>267</v>
      </c>
      <c r="JO1" s="14">
        <v>268</v>
      </c>
      <c r="JP1" s="14">
        <v>269</v>
      </c>
      <c r="JQ1" s="14">
        <v>270</v>
      </c>
      <c r="JR1" s="14">
        <v>271</v>
      </c>
      <c r="JS1" s="14">
        <v>272</v>
      </c>
      <c r="JT1" s="14">
        <v>273</v>
      </c>
      <c r="JU1" s="14">
        <v>274</v>
      </c>
      <c r="JV1" s="14">
        <v>275</v>
      </c>
      <c r="JW1" s="14">
        <v>276</v>
      </c>
      <c r="JX1" s="14">
        <v>277</v>
      </c>
      <c r="JY1" s="14">
        <v>278</v>
      </c>
      <c r="JZ1" s="14">
        <v>279</v>
      </c>
      <c r="KA1" s="14">
        <v>280</v>
      </c>
      <c r="KB1" s="14">
        <v>281</v>
      </c>
      <c r="KC1" s="14">
        <v>282</v>
      </c>
      <c r="KD1" s="14">
        <v>283</v>
      </c>
      <c r="KE1" s="14">
        <v>284</v>
      </c>
      <c r="KF1" s="14">
        <v>285</v>
      </c>
      <c r="KG1" s="14">
        <v>286</v>
      </c>
      <c r="KH1" s="14">
        <v>287</v>
      </c>
      <c r="KI1" s="14">
        <v>288</v>
      </c>
      <c r="KJ1" s="14">
        <v>289</v>
      </c>
      <c r="KK1" s="14">
        <v>290</v>
      </c>
      <c r="KL1" s="14">
        <v>291</v>
      </c>
      <c r="KM1" s="14">
        <v>292</v>
      </c>
      <c r="KN1" s="14">
        <v>293</v>
      </c>
      <c r="KO1" s="14">
        <v>294</v>
      </c>
      <c r="KP1" s="14">
        <v>295</v>
      </c>
      <c r="KQ1" s="14">
        <v>296</v>
      </c>
      <c r="KR1" s="14">
        <v>297</v>
      </c>
      <c r="KS1" s="14">
        <v>298</v>
      </c>
      <c r="KT1" s="14">
        <v>299</v>
      </c>
      <c r="KU1" s="14">
        <v>300</v>
      </c>
      <c r="KV1" s="14">
        <v>301</v>
      </c>
      <c r="KW1" s="14">
        <v>302</v>
      </c>
      <c r="KX1" s="14">
        <v>303</v>
      </c>
      <c r="KY1" s="14">
        <v>304</v>
      </c>
      <c r="KZ1" s="14">
        <v>305</v>
      </c>
      <c r="LA1" s="14">
        <v>306</v>
      </c>
      <c r="LB1" s="14">
        <v>307</v>
      </c>
      <c r="LC1" s="14">
        <v>308</v>
      </c>
      <c r="LD1" s="14">
        <v>309</v>
      </c>
      <c r="LE1" s="14">
        <v>310</v>
      </c>
      <c r="LF1" s="14">
        <v>311</v>
      </c>
      <c r="LG1" s="14">
        <v>312</v>
      </c>
      <c r="LH1" s="14">
        <v>313</v>
      </c>
      <c r="LI1" s="14">
        <v>314</v>
      </c>
      <c r="LJ1" s="14">
        <v>315</v>
      </c>
      <c r="LK1" s="14">
        <v>316</v>
      </c>
      <c r="LL1" s="14">
        <v>317</v>
      </c>
      <c r="LM1" s="14">
        <v>318</v>
      </c>
      <c r="LN1" s="14">
        <v>319</v>
      </c>
      <c r="LO1" s="14">
        <v>320</v>
      </c>
      <c r="LP1" s="14">
        <v>321</v>
      </c>
      <c r="LQ1" s="14">
        <v>322</v>
      </c>
      <c r="LR1" s="14">
        <v>323</v>
      </c>
      <c r="LS1" s="14">
        <v>324</v>
      </c>
      <c r="LT1" s="14">
        <v>325</v>
      </c>
      <c r="LU1" s="14">
        <v>326</v>
      </c>
      <c r="LV1" s="14">
        <v>327</v>
      </c>
      <c r="LW1" s="14">
        <v>328</v>
      </c>
      <c r="LX1" s="14">
        <v>329</v>
      </c>
      <c r="LY1" s="14">
        <v>330</v>
      </c>
      <c r="LZ1" s="14">
        <v>331</v>
      </c>
      <c r="MA1" s="14">
        <v>332</v>
      </c>
      <c r="MB1" s="14">
        <v>333</v>
      </c>
      <c r="MC1" s="14">
        <v>334</v>
      </c>
      <c r="MD1" s="14">
        <v>335</v>
      </c>
      <c r="ME1" s="14">
        <v>336</v>
      </c>
      <c r="MF1" s="14">
        <v>337</v>
      </c>
      <c r="MG1" s="14">
        <v>338</v>
      </c>
      <c r="MH1" s="14">
        <v>339</v>
      </c>
      <c r="MI1" s="14">
        <v>340</v>
      </c>
      <c r="MJ1" s="14">
        <v>341</v>
      </c>
      <c r="MK1" s="14">
        <v>342</v>
      </c>
      <c r="ML1" s="14">
        <v>343</v>
      </c>
      <c r="MM1" s="14">
        <v>344</v>
      </c>
      <c r="MN1" s="14">
        <v>345</v>
      </c>
      <c r="MO1" s="14">
        <v>346</v>
      </c>
      <c r="MP1" s="14">
        <v>347</v>
      </c>
      <c r="MQ1" s="14">
        <v>348</v>
      </c>
      <c r="MR1" s="14">
        <v>349</v>
      </c>
      <c r="MS1" s="14">
        <v>350</v>
      </c>
      <c r="MT1" s="14">
        <v>351</v>
      </c>
      <c r="MU1" s="14">
        <v>352</v>
      </c>
      <c r="MV1" s="14">
        <v>353</v>
      </c>
      <c r="MW1" s="14">
        <v>354</v>
      </c>
      <c r="MX1" s="14">
        <v>355</v>
      </c>
      <c r="MY1" s="14">
        <v>356</v>
      </c>
      <c r="MZ1" s="14">
        <v>357</v>
      </c>
      <c r="NA1" s="14">
        <v>358</v>
      </c>
      <c r="NB1" s="14">
        <v>359</v>
      </c>
      <c r="NC1" s="14">
        <v>360</v>
      </c>
      <c r="ND1" s="14">
        <v>361</v>
      </c>
      <c r="NE1" s="14">
        <v>362</v>
      </c>
      <c r="NF1" s="14">
        <v>363</v>
      </c>
      <c r="NG1" s="14">
        <v>364</v>
      </c>
      <c r="NH1" s="14">
        <v>365</v>
      </c>
      <c r="NI1" s="14">
        <v>366</v>
      </c>
      <c r="NJ1" s="14">
        <v>367</v>
      </c>
      <c r="NK1" s="14">
        <v>368</v>
      </c>
      <c r="NL1" s="14">
        <v>369</v>
      </c>
      <c r="NM1" s="14">
        <v>370</v>
      </c>
      <c r="NN1" s="14">
        <v>371</v>
      </c>
      <c r="NO1" s="14">
        <v>372</v>
      </c>
      <c r="NP1" s="14">
        <v>373</v>
      </c>
      <c r="NQ1" s="14">
        <v>374</v>
      </c>
      <c r="NR1" s="14">
        <v>375</v>
      </c>
      <c r="NS1" s="14">
        <v>376</v>
      </c>
      <c r="NT1" s="14">
        <v>377</v>
      </c>
      <c r="NU1" s="14">
        <v>378</v>
      </c>
      <c r="NV1" s="14">
        <v>379</v>
      </c>
      <c r="NW1" s="14">
        <v>380</v>
      </c>
      <c r="NX1" s="14">
        <v>381</v>
      </c>
      <c r="NY1" s="14">
        <v>382</v>
      </c>
      <c r="NZ1" s="14">
        <v>383</v>
      </c>
      <c r="OA1" s="14">
        <v>384</v>
      </c>
      <c r="OB1" s="14">
        <v>385</v>
      </c>
      <c r="OC1" s="14">
        <v>386</v>
      </c>
      <c r="OD1" s="14">
        <v>387</v>
      </c>
      <c r="OE1" s="14">
        <v>388</v>
      </c>
      <c r="OF1" s="14">
        <v>389</v>
      </c>
      <c r="OG1" s="14">
        <v>390</v>
      </c>
      <c r="OH1" s="14">
        <v>391</v>
      </c>
      <c r="OI1" s="14">
        <v>392</v>
      </c>
      <c r="OJ1" s="14">
        <v>393</v>
      </c>
      <c r="OK1" s="14">
        <v>394</v>
      </c>
      <c r="OL1" s="14">
        <v>395</v>
      </c>
      <c r="OM1" s="14">
        <v>396</v>
      </c>
      <c r="ON1" s="14">
        <v>397</v>
      </c>
      <c r="OO1" s="14">
        <v>398</v>
      </c>
      <c r="OP1" s="14">
        <v>399</v>
      </c>
      <c r="OQ1" s="14">
        <v>400</v>
      </c>
      <c r="OR1" s="14">
        <v>401</v>
      </c>
      <c r="OS1" s="14">
        <v>402</v>
      </c>
      <c r="OT1" s="14">
        <v>403</v>
      </c>
      <c r="OU1" s="14">
        <v>404</v>
      </c>
      <c r="OV1" s="14">
        <v>405</v>
      </c>
      <c r="OW1" s="14">
        <v>406</v>
      </c>
      <c r="OX1" s="14">
        <v>407</v>
      </c>
      <c r="OY1" s="14">
        <v>408</v>
      </c>
      <c r="OZ1" s="14">
        <v>409</v>
      </c>
      <c r="PA1" s="14">
        <v>410</v>
      </c>
      <c r="PB1" s="14">
        <v>411</v>
      </c>
      <c r="PC1" s="14">
        <v>412</v>
      </c>
      <c r="PD1" s="14">
        <v>413</v>
      </c>
      <c r="PE1" s="14">
        <v>414</v>
      </c>
      <c r="PF1" s="14">
        <v>415</v>
      </c>
      <c r="PG1" s="14">
        <v>416</v>
      </c>
      <c r="PH1" s="14">
        <v>417</v>
      </c>
      <c r="PI1" s="14">
        <v>418</v>
      </c>
      <c r="PJ1" s="14">
        <v>419</v>
      </c>
      <c r="PK1" s="14">
        <v>420</v>
      </c>
      <c r="PL1" s="14">
        <v>421</v>
      </c>
      <c r="PM1" s="14">
        <v>422</v>
      </c>
      <c r="PN1" s="14">
        <v>423</v>
      </c>
      <c r="PO1" s="14">
        <v>424</v>
      </c>
      <c r="PP1" s="14">
        <v>425</v>
      </c>
      <c r="PQ1" s="14">
        <v>426</v>
      </c>
      <c r="PR1" s="14">
        <v>427</v>
      </c>
      <c r="PS1" s="14">
        <v>428</v>
      </c>
      <c r="PT1" s="14">
        <v>429</v>
      </c>
      <c r="PU1" s="14">
        <v>430</v>
      </c>
      <c r="PV1" s="14">
        <v>431</v>
      </c>
      <c r="PW1" s="14">
        <v>432</v>
      </c>
      <c r="PX1" s="14">
        <v>433</v>
      </c>
      <c r="PY1" s="14">
        <v>434</v>
      </c>
      <c r="PZ1" s="14">
        <v>435</v>
      </c>
      <c r="QA1" s="14">
        <v>436</v>
      </c>
      <c r="QB1" s="14">
        <v>437</v>
      </c>
      <c r="QC1" s="14">
        <v>438</v>
      </c>
      <c r="QD1" s="14">
        <v>439</v>
      </c>
      <c r="QE1" s="14">
        <v>440</v>
      </c>
      <c r="QF1" s="14">
        <v>441</v>
      </c>
      <c r="QG1" s="14">
        <v>442</v>
      </c>
      <c r="QH1" s="14">
        <v>443</v>
      </c>
      <c r="QI1" s="14">
        <v>444</v>
      </c>
      <c r="QJ1" s="14">
        <v>445</v>
      </c>
      <c r="QK1" s="14">
        <v>446</v>
      </c>
      <c r="QL1" s="14">
        <v>447</v>
      </c>
      <c r="QM1" s="14">
        <v>448</v>
      </c>
      <c r="QN1" s="14">
        <v>449</v>
      </c>
      <c r="QO1" s="14">
        <v>450</v>
      </c>
      <c r="QP1" s="14">
        <v>451</v>
      </c>
      <c r="QQ1" s="14">
        <v>452</v>
      </c>
      <c r="QR1" s="14">
        <v>453</v>
      </c>
      <c r="QS1" s="14">
        <v>454</v>
      </c>
      <c r="QT1" s="14">
        <v>455</v>
      </c>
      <c r="QU1" s="14">
        <v>456</v>
      </c>
      <c r="QV1" s="14">
        <v>457</v>
      </c>
      <c r="QW1" s="14">
        <v>458</v>
      </c>
      <c r="QX1" s="14">
        <v>459</v>
      </c>
      <c r="QY1" s="14">
        <v>460</v>
      </c>
      <c r="QZ1" s="14">
        <v>461</v>
      </c>
      <c r="RA1" s="14">
        <v>462</v>
      </c>
      <c r="RB1" s="14">
        <v>463</v>
      </c>
      <c r="RC1" s="14">
        <v>464</v>
      </c>
      <c r="RD1" s="14">
        <v>465</v>
      </c>
      <c r="RE1" s="14">
        <v>466</v>
      </c>
      <c r="RF1" s="14">
        <v>467</v>
      </c>
      <c r="RG1" s="14">
        <v>468</v>
      </c>
      <c r="RH1" s="14">
        <v>469</v>
      </c>
      <c r="RI1" s="14">
        <v>470</v>
      </c>
      <c r="RJ1" s="14">
        <v>471</v>
      </c>
      <c r="RK1" s="14">
        <v>472</v>
      </c>
      <c r="RL1" s="14">
        <v>473</v>
      </c>
      <c r="RM1" s="14">
        <v>474</v>
      </c>
      <c r="RN1" s="14">
        <v>475</v>
      </c>
      <c r="RO1" s="14">
        <v>476</v>
      </c>
      <c r="RP1" s="14">
        <v>477</v>
      </c>
      <c r="RQ1" s="14">
        <v>478</v>
      </c>
      <c r="RR1" s="14">
        <v>479</v>
      </c>
      <c r="RS1" s="14">
        <v>480</v>
      </c>
      <c r="RT1" s="14">
        <v>481</v>
      </c>
      <c r="RU1" s="14">
        <v>482</v>
      </c>
      <c r="RV1" s="14">
        <v>483</v>
      </c>
      <c r="RW1" s="14">
        <v>484</v>
      </c>
      <c r="RX1" s="14">
        <v>485</v>
      </c>
      <c r="RY1" s="14">
        <v>486</v>
      </c>
      <c r="RZ1" s="14">
        <v>487</v>
      </c>
      <c r="SA1" s="14">
        <v>488</v>
      </c>
      <c r="SB1" s="14">
        <v>489</v>
      </c>
      <c r="SC1" s="14">
        <v>490</v>
      </c>
      <c r="SD1" s="14">
        <v>491</v>
      </c>
      <c r="SE1" s="14">
        <v>492</v>
      </c>
      <c r="SF1" s="14">
        <v>493</v>
      </c>
      <c r="SG1" s="14">
        <v>494</v>
      </c>
      <c r="SH1" s="14">
        <v>495</v>
      </c>
      <c r="SI1" s="14">
        <v>496</v>
      </c>
      <c r="SJ1" s="14">
        <v>497</v>
      </c>
      <c r="SK1" s="14">
        <v>498</v>
      </c>
      <c r="SL1" s="14">
        <v>499</v>
      </c>
      <c r="SM1" s="14">
        <v>500</v>
      </c>
      <c r="SN1" s="14">
        <v>501</v>
      </c>
      <c r="SO1" s="14">
        <v>502</v>
      </c>
      <c r="SP1" s="14">
        <v>503</v>
      </c>
      <c r="SQ1" s="14">
        <v>504</v>
      </c>
      <c r="SR1" s="14">
        <v>505</v>
      </c>
      <c r="SS1" s="14">
        <v>506</v>
      </c>
      <c r="ST1" s="14">
        <v>507</v>
      </c>
      <c r="SU1" s="14">
        <v>508</v>
      </c>
      <c r="SV1" s="14">
        <v>509</v>
      </c>
      <c r="SW1" s="14">
        <v>510</v>
      </c>
      <c r="SX1" s="14">
        <v>511</v>
      </c>
      <c r="SY1" s="14">
        <v>512</v>
      </c>
      <c r="SZ1" s="14">
        <v>513</v>
      </c>
      <c r="TA1" s="14">
        <v>514</v>
      </c>
      <c r="TB1" s="14">
        <v>515</v>
      </c>
      <c r="TC1" s="14">
        <v>516</v>
      </c>
      <c r="TD1" s="14">
        <v>517</v>
      </c>
      <c r="TE1" s="14">
        <v>518</v>
      </c>
      <c r="TF1" s="14">
        <v>519</v>
      </c>
      <c r="TG1" s="14">
        <v>520</v>
      </c>
      <c r="TH1" s="14">
        <v>521</v>
      </c>
      <c r="TI1" s="14">
        <v>522</v>
      </c>
      <c r="TJ1" s="14">
        <v>523</v>
      </c>
      <c r="TK1" s="14">
        <v>524</v>
      </c>
      <c r="TL1" s="14">
        <v>525</v>
      </c>
      <c r="TM1" s="14">
        <v>526</v>
      </c>
      <c r="TN1" s="14">
        <v>527</v>
      </c>
      <c r="TO1" s="14">
        <v>528</v>
      </c>
      <c r="TP1" s="14">
        <v>529</v>
      </c>
      <c r="TQ1" s="14">
        <v>530</v>
      </c>
      <c r="TR1" s="14">
        <v>531</v>
      </c>
      <c r="TS1" s="14">
        <v>532</v>
      </c>
      <c r="TT1" s="14">
        <v>533</v>
      </c>
      <c r="TU1" s="14">
        <v>534</v>
      </c>
      <c r="TV1" s="14">
        <v>535</v>
      </c>
      <c r="TW1" s="14">
        <v>536</v>
      </c>
      <c r="TX1" s="14">
        <v>537</v>
      </c>
      <c r="TY1" s="14">
        <v>538</v>
      </c>
      <c r="TZ1" s="14">
        <v>539</v>
      </c>
      <c r="UA1" s="14">
        <v>540</v>
      </c>
      <c r="UB1" s="14">
        <v>541</v>
      </c>
      <c r="UC1" s="14">
        <v>542</v>
      </c>
      <c r="UD1" s="14">
        <v>543</v>
      </c>
      <c r="UE1" s="14">
        <v>544</v>
      </c>
      <c r="UF1" s="14">
        <v>545</v>
      </c>
      <c r="UG1" s="14">
        <v>546</v>
      </c>
      <c r="UH1" s="14">
        <v>547</v>
      </c>
      <c r="UI1" s="14">
        <v>548</v>
      </c>
      <c r="UJ1" s="14">
        <v>549</v>
      </c>
      <c r="UK1" s="14">
        <v>550</v>
      </c>
      <c r="UL1" s="14">
        <v>551</v>
      </c>
      <c r="UM1" s="14">
        <v>552</v>
      </c>
      <c r="UN1" s="14">
        <v>553</v>
      </c>
      <c r="UO1" s="14">
        <v>554</v>
      </c>
      <c r="UP1" s="14">
        <v>555</v>
      </c>
      <c r="UQ1" s="14">
        <v>556</v>
      </c>
      <c r="UR1" s="14">
        <v>557</v>
      </c>
      <c r="US1" s="14">
        <v>558</v>
      </c>
      <c r="UT1" s="14">
        <v>559</v>
      </c>
      <c r="UU1" s="14">
        <v>560</v>
      </c>
      <c r="UV1" s="14">
        <v>561</v>
      </c>
      <c r="UW1" s="14">
        <v>562</v>
      </c>
      <c r="UX1" s="14">
        <v>563</v>
      </c>
      <c r="UY1" s="14">
        <v>564</v>
      </c>
      <c r="UZ1" s="14">
        <v>565</v>
      </c>
      <c r="VA1" s="14">
        <v>566</v>
      </c>
      <c r="VB1" s="14">
        <v>567</v>
      </c>
      <c r="VC1" s="14">
        <v>568</v>
      </c>
      <c r="VD1" s="14">
        <v>569</v>
      </c>
      <c r="VE1" s="14">
        <v>570</v>
      </c>
      <c r="VF1" s="14">
        <v>571</v>
      </c>
      <c r="VG1" s="14">
        <v>572</v>
      </c>
      <c r="VH1" s="14">
        <v>573</v>
      </c>
      <c r="VI1" s="14">
        <v>574</v>
      </c>
      <c r="VJ1" s="14">
        <v>575</v>
      </c>
      <c r="VK1" s="14">
        <v>576</v>
      </c>
      <c r="VL1" s="14">
        <v>577</v>
      </c>
      <c r="VM1" s="14">
        <v>578</v>
      </c>
      <c r="VN1" s="14">
        <v>579</v>
      </c>
      <c r="VO1" s="14">
        <v>580</v>
      </c>
      <c r="VP1" s="14">
        <v>581</v>
      </c>
      <c r="VQ1" s="14">
        <v>582</v>
      </c>
      <c r="VR1" s="14">
        <v>583</v>
      </c>
      <c r="VS1" s="14">
        <v>584</v>
      </c>
      <c r="VT1" s="14">
        <v>585</v>
      </c>
      <c r="VU1" s="14">
        <v>586</v>
      </c>
      <c r="VV1" s="14">
        <v>587</v>
      </c>
      <c r="VW1" s="14">
        <v>588</v>
      </c>
      <c r="VX1" s="14">
        <v>589</v>
      </c>
      <c r="VY1" s="14">
        <v>590</v>
      </c>
      <c r="VZ1" s="14">
        <v>591</v>
      </c>
      <c r="WA1" s="14">
        <v>592</v>
      </c>
      <c r="WB1" s="14">
        <v>593</v>
      </c>
      <c r="WC1" s="14">
        <v>594</v>
      </c>
      <c r="WD1" s="14">
        <v>595</v>
      </c>
      <c r="WE1" s="14">
        <v>596</v>
      </c>
      <c r="WF1" s="14">
        <v>597</v>
      </c>
      <c r="WG1" s="14">
        <v>598</v>
      </c>
      <c r="WH1" s="14">
        <v>599</v>
      </c>
      <c r="WI1" s="14">
        <v>600</v>
      </c>
      <c r="WJ1" s="14">
        <v>601</v>
      </c>
      <c r="WK1" s="14">
        <v>602</v>
      </c>
      <c r="WL1" s="14">
        <v>603</v>
      </c>
      <c r="WM1" s="14">
        <v>604</v>
      </c>
      <c r="WN1" s="14">
        <v>605</v>
      </c>
      <c r="WO1" s="14">
        <v>606</v>
      </c>
      <c r="WP1" s="14">
        <v>607</v>
      </c>
      <c r="WQ1" s="14">
        <v>608</v>
      </c>
      <c r="WR1" s="14">
        <v>609</v>
      </c>
      <c r="WS1" s="14">
        <v>610</v>
      </c>
      <c r="WT1" s="14">
        <v>611</v>
      </c>
      <c r="WU1" s="14">
        <v>612</v>
      </c>
      <c r="WV1" s="14">
        <v>613</v>
      </c>
      <c r="WW1" s="14">
        <v>614</v>
      </c>
      <c r="WX1" s="14">
        <v>615</v>
      </c>
      <c r="WY1" s="14">
        <v>616</v>
      </c>
      <c r="WZ1" s="14">
        <v>617</v>
      </c>
      <c r="XA1" s="14">
        <v>618</v>
      </c>
      <c r="XB1" s="14">
        <v>619</v>
      </c>
      <c r="XC1" s="14">
        <v>620</v>
      </c>
      <c r="XD1" s="14">
        <v>621</v>
      </c>
      <c r="XE1" s="14">
        <v>622</v>
      </c>
      <c r="XF1" s="14">
        <v>623</v>
      </c>
      <c r="XG1" s="14">
        <v>624</v>
      </c>
      <c r="XH1" s="14">
        <v>625</v>
      </c>
      <c r="XI1" s="14">
        <v>626</v>
      </c>
      <c r="XJ1" s="14">
        <v>627</v>
      </c>
      <c r="XK1" s="14">
        <v>628</v>
      </c>
      <c r="XL1" s="14">
        <v>629</v>
      </c>
      <c r="XM1" s="14">
        <v>630</v>
      </c>
      <c r="XN1" s="14">
        <v>631</v>
      </c>
      <c r="XO1" s="14">
        <v>632</v>
      </c>
      <c r="XP1" s="14">
        <v>633</v>
      </c>
      <c r="XQ1" s="14">
        <v>634</v>
      </c>
      <c r="XR1" s="14">
        <v>635</v>
      </c>
      <c r="XS1" s="14">
        <v>636</v>
      </c>
      <c r="XT1" s="14">
        <v>637</v>
      </c>
      <c r="XU1" s="14">
        <v>638</v>
      </c>
      <c r="XV1" s="14">
        <v>639</v>
      </c>
      <c r="XW1" s="14">
        <v>640</v>
      </c>
      <c r="XX1" s="14">
        <v>641</v>
      </c>
      <c r="XY1" s="14">
        <v>642</v>
      </c>
      <c r="XZ1" s="14">
        <v>643</v>
      </c>
      <c r="YA1" s="14">
        <v>644</v>
      </c>
      <c r="YB1" s="14">
        <v>645</v>
      </c>
      <c r="YC1" s="14">
        <v>646</v>
      </c>
      <c r="YD1" s="14">
        <v>647</v>
      </c>
      <c r="YE1" s="14">
        <v>648</v>
      </c>
      <c r="YF1" s="14">
        <v>649</v>
      </c>
      <c r="YG1" s="14">
        <v>650</v>
      </c>
      <c r="YH1" s="14">
        <v>651</v>
      </c>
      <c r="YI1" s="14">
        <v>652</v>
      </c>
      <c r="YJ1" s="14">
        <v>653</v>
      </c>
      <c r="YK1" s="14">
        <v>654</v>
      </c>
      <c r="YL1" s="14">
        <v>655</v>
      </c>
      <c r="YM1" s="14">
        <v>656</v>
      </c>
      <c r="YN1" s="14">
        <v>657</v>
      </c>
      <c r="YO1" s="14">
        <v>658</v>
      </c>
      <c r="YP1" s="14">
        <v>659</v>
      </c>
      <c r="YQ1" s="14">
        <v>660</v>
      </c>
      <c r="YR1" s="14">
        <v>661</v>
      </c>
      <c r="YS1" s="14">
        <v>662</v>
      </c>
      <c r="YT1" s="14">
        <v>663</v>
      </c>
      <c r="YU1" s="14">
        <v>664</v>
      </c>
      <c r="YV1" s="14">
        <v>665</v>
      </c>
      <c r="YW1" s="14">
        <v>666</v>
      </c>
      <c r="YX1" s="14">
        <v>667</v>
      </c>
      <c r="YY1" s="14">
        <v>668</v>
      </c>
      <c r="YZ1" s="14">
        <v>669</v>
      </c>
      <c r="ZA1" s="14">
        <v>670</v>
      </c>
      <c r="ZB1" s="14">
        <v>671</v>
      </c>
      <c r="ZC1" s="14">
        <v>672</v>
      </c>
      <c r="ZD1" s="14">
        <v>673</v>
      </c>
      <c r="ZE1" s="14">
        <v>674</v>
      </c>
      <c r="ZF1" s="14">
        <v>675</v>
      </c>
      <c r="ZG1" s="14">
        <v>676</v>
      </c>
      <c r="ZH1" s="14">
        <v>677</v>
      </c>
      <c r="ZI1" s="14">
        <v>678</v>
      </c>
      <c r="ZJ1" s="14">
        <v>679</v>
      </c>
      <c r="ZK1" s="14">
        <v>680</v>
      </c>
      <c r="ZL1" s="14">
        <v>681</v>
      </c>
      <c r="ZM1" s="14">
        <v>682</v>
      </c>
      <c r="ZN1" s="14">
        <v>683</v>
      </c>
      <c r="ZO1" s="14">
        <v>684</v>
      </c>
      <c r="ZP1" s="14">
        <v>685</v>
      </c>
      <c r="ZQ1" s="14">
        <v>686</v>
      </c>
      <c r="ZR1" s="14">
        <v>687</v>
      </c>
      <c r="ZS1" s="14">
        <v>688</v>
      </c>
      <c r="ZT1" s="14">
        <v>689</v>
      </c>
      <c r="ZU1" s="14">
        <v>690</v>
      </c>
      <c r="ZV1" s="14">
        <v>691</v>
      </c>
      <c r="ZW1" s="14">
        <v>692</v>
      </c>
      <c r="ZX1" s="14">
        <v>693</v>
      </c>
      <c r="ZY1" s="14">
        <v>694</v>
      </c>
      <c r="ZZ1" s="14">
        <v>695</v>
      </c>
      <c r="AAA1" s="14">
        <v>696</v>
      </c>
      <c r="AAB1" s="14">
        <v>697</v>
      </c>
      <c r="AAC1" s="14">
        <v>698</v>
      </c>
      <c r="AAD1" s="14">
        <v>699</v>
      </c>
      <c r="AAE1" s="14">
        <v>700</v>
      </c>
      <c r="AAF1" s="14">
        <v>701</v>
      </c>
      <c r="AAG1" s="14">
        <v>702</v>
      </c>
      <c r="AAH1" s="14">
        <v>703</v>
      </c>
      <c r="AAI1" s="14">
        <v>704</v>
      </c>
      <c r="AAJ1" s="14">
        <v>705</v>
      </c>
      <c r="AAK1" s="14">
        <v>706</v>
      </c>
      <c r="AAL1" s="14">
        <v>707</v>
      </c>
      <c r="AAM1" s="14">
        <v>708</v>
      </c>
      <c r="AAN1" s="14">
        <v>709</v>
      </c>
      <c r="AAO1" s="14">
        <v>710</v>
      </c>
      <c r="AAP1" s="14">
        <v>711</v>
      </c>
      <c r="AAQ1" s="14">
        <v>712</v>
      </c>
      <c r="AAR1" s="14">
        <v>713</v>
      </c>
      <c r="AAS1" s="14">
        <v>714</v>
      </c>
      <c r="AAT1" s="14">
        <v>715</v>
      </c>
      <c r="AAU1" s="14">
        <v>716</v>
      </c>
      <c r="AAV1" s="14">
        <v>717</v>
      </c>
      <c r="AAW1" s="14">
        <v>718</v>
      </c>
      <c r="AAX1" s="14">
        <v>719</v>
      </c>
      <c r="AAY1" s="14">
        <v>720</v>
      </c>
      <c r="AAZ1" s="14">
        <v>721</v>
      </c>
      <c r="ABA1" s="14">
        <v>722</v>
      </c>
      <c r="ABB1" s="14">
        <v>723</v>
      </c>
      <c r="ABC1" s="14">
        <v>724</v>
      </c>
      <c r="ABD1" s="14">
        <v>725</v>
      </c>
      <c r="ABE1" s="14">
        <v>726</v>
      </c>
      <c r="ABF1" s="14">
        <v>727</v>
      </c>
      <c r="ABG1" s="14">
        <v>728</v>
      </c>
      <c r="ABH1" s="14">
        <v>729</v>
      </c>
      <c r="ABI1" s="14">
        <v>730</v>
      </c>
      <c r="ABJ1" s="14">
        <v>731</v>
      </c>
      <c r="ABK1" s="14">
        <v>732</v>
      </c>
      <c r="ABL1" s="14">
        <v>733</v>
      </c>
      <c r="ABM1" s="14">
        <v>734</v>
      </c>
      <c r="ABN1" s="14">
        <v>735</v>
      </c>
      <c r="ABO1" s="14">
        <v>736</v>
      </c>
      <c r="ABP1" s="14">
        <v>737</v>
      </c>
      <c r="ABQ1" s="14">
        <v>738</v>
      </c>
      <c r="ABR1" s="14">
        <v>739</v>
      </c>
      <c r="ABS1" s="14">
        <v>740</v>
      </c>
      <c r="ABT1" s="14">
        <v>741</v>
      </c>
      <c r="ABU1" s="14">
        <v>742</v>
      </c>
      <c r="ABV1" s="14">
        <v>743</v>
      </c>
      <c r="ABW1" s="14">
        <v>744</v>
      </c>
      <c r="ABX1" s="14">
        <v>745</v>
      </c>
      <c r="ABY1" s="14">
        <v>746</v>
      </c>
      <c r="ABZ1" s="14">
        <v>747</v>
      </c>
      <c r="ACA1" s="14">
        <v>748</v>
      </c>
      <c r="ACB1" s="14">
        <v>749</v>
      </c>
      <c r="ACC1" s="14">
        <v>750</v>
      </c>
      <c r="ACD1" s="14">
        <v>751</v>
      </c>
      <c r="ACE1" s="14">
        <v>752</v>
      </c>
      <c r="ACF1" s="14">
        <v>753</v>
      </c>
      <c r="ACG1" s="14">
        <v>754</v>
      </c>
      <c r="ACH1" s="14">
        <v>755</v>
      </c>
      <c r="ACI1" s="14">
        <v>756</v>
      </c>
      <c r="ACJ1" s="14">
        <v>757</v>
      </c>
      <c r="ACK1" s="14">
        <v>758</v>
      </c>
      <c r="ACL1" s="14">
        <v>759</v>
      </c>
      <c r="ACM1" s="14">
        <v>760</v>
      </c>
      <c r="ACN1" s="14">
        <v>761</v>
      </c>
      <c r="ACO1" s="14">
        <v>762</v>
      </c>
      <c r="ACP1" s="14">
        <v>763</v>
      </c>
      <c r="ACQ1" s="14">
        <v>764</v>
      </c>
      <c r="ACR1" s="14">
        <v>765</v>
      </c>
      <c r="ACS1" s="14">
        <v>766</v>
      </c>
      <c r="ACT1" s="14">
        <v>767</v>
      </c>
      <c r="ACU1" s="14">
        <v>768</v>
      </c>
      <c r="ACV1" s="14">
        <v>769</v>
      </c>
      <c r="ACW1" s="14">
        <v>770</v>
      </c>
      <c r="ACX1" s="14">
        <v>771</v>
      </c>
      <c r="ACY1" s="14">
        <v>772</v>
      </c>
      <c r="ACZ1" s="14">
        <v>773</v>
      </c>
      <c r="ADA1" s="14">
        <v>774</v>
      </c>
      <c r="ADB1" s="14">
        <v>775</v>
      </c>
      <c r="ADC1" s="14">
        <v>776</v>
      </c>
      <c r="ADD1" s="14">
        <v>777</v>
      </c>
      <c r="ADE1" s="14">
        <v>778</v>
      </c>
      <c r="ADF1" s="14">
        <v>779</v>
      </c>
      <c r="ADG1" s="14">
        <v>780</v>
      </c>
      <c r="ADH1" s="14">
        <v>781</v>
      </c>
      <c r="ADI1" s="14">
        <v>782</v>
      </c>
      <c r="ADJ1" s="14">
        <v>783</v>
      </c>
      <c r="ADK1" s="14">
        <v>784</v>
      </c>
      <c r="ADL1" s="14">
        <v>785</v>
      </c>
      <c r="ADM1" s="14">
        <v>786</v>
      </c>
      <c r="ADN1" s="14">
        <v>787</v>
      </c>
      <c r="ADO1" s="14">
        <v>788</v>
      </c>
      <c r="ADP1" s="14">
        <v>789</v>
      </c>
      <c r="ADQ1" s="14">
        <v>790</v>
      </c>
      <c r="ADR1" s="14">
        <v>791</v>
      </c>
      <c r="ADS1" s="14">
        <v>792</v>
      </c>
      <c r="ADT1" s="14">
        <v>793</v>
      </c>
      <c r="ADU1" s="14">
        <v>794</v>
      </c>
      <c r="ADV1" s="14">
        <v>795</v>
      </c>
      <c r="ADW1" s="14">
        <v>796</v>
      </c>
      <c r="ADX1" s="14">
        <v>797</v>
      </c>
      <c r="ADY1" s="14">
        <v>798</v>
      </c>
      <c r="ADZ1" s="14">
        <v>799</v>
      </c>
      <c r="AEA1" s="14">
        <v>800</v>
      </c>
      <c r="AEB1" s="14">
        <v>801</v>
      </c>
      <c r="AEC1" s="14">
        <v>802</v>
      </c>
      <c r="AED1" s="14">
        <v>803</v>
      </c>
      <c r="AEE1" s="14">
        <v>804</v>
      </c>
      <c r="AEF1" s="14">
        <v>805</v>
      </c>
      <c r="AEG1" s="14">
        <v>806</v>
      </c>
      <c r="AEH1" s="14">
        <v>807</v>
      </c>
      <c r="AEI1" s="14">
        <v>808</v>
      </c>
      <c r="AEJ1" s="14">
        <v>809</v>
      </c>
      <c r="AEK1" s="14">
        <v>810</v>
      </c>
      <c r="AEL1" s="14">
        <v>811</v>
      </c>
      <c r="AEM1" s="14">
        <v>812</v>
      </c>
      <c r="AEN1" s="14">
        <v>813</v>
      </c>
      <c r="AEO1" s="14">
        <v>814</v>
      </c>
      <c r="AEP1" s="14">
        <v>815</v>
      </c>
      <c r="AEQ1" s="14">
        <v>816</v>
      </c>
      <c r="AER1" s="14">
        <v>817</v>
      </c>
      <c r="AES1" s="14">
        <v>818</v>
      </c>
      <c r="AET1" s="14">
        <v>819</v>
      </c>
      <c r="AEU1" s="14">
        <v>820</v>
      </c>
      <c r="AEV1" s="14">
        <v>821</v>
      </c>
      <c r="AEW1" s="14">
        <v>822</v>
      </c>
      <c r="AEX1" s="14">
        <v>823</v>
      </c>
      <c r="AEY1" s="14">
        <v>824</v>
      </c>
      <c r="AEZ1" s="14">
        <v>825</v>
      </c>
      <c r="AFA1" s="14">
        <v>826</v>
      </c>
      <c r="AFB1" s="14">
        <v>827</v>
      </c>
      <c r="AFC1" s="14">
        <v>828</v>
      </c>
      <c r="AFD1" s="14">
        <v>829</v>
      </c>
      <c r="AFE1" s="14">
        <v>830</v>
      </c>
      <c r="AFF1" s="14">
        <v>831</v>
      </c>
      <c r="AFG1" s="14">
        <v>832</v>
      </c>
      <c r="AFH1" s="14">
        <v>833</v>
      </c>
      <c r="AFI1" s="14">
        <v>834</v>
      </c>
      <c r="AFJ1" s="14">
        <v>835</v>
      </c>
      <c r="AFK1" s="14">
        <v>836</v>
      </c>
      <c r="AFL1" s="14">
        <v>837</v>
      </c>
      <c r="AFM1" s="14">
        <v>838</v>
      </c>
      <c r="AFN1" s="14">
        <v>839</v>
      </c>
      <c r="AFO1" s="14">
        <v>840</v>
      </c>
      <c r="AFP1" s="14">
        <v>841</v>
      </c>
      <c r="AFQ1" s="14">
        <v>842</v>
      </c>
      <c r="AFR1" s="14">
        <v>843</v>
      </c>
      <c r="AFS1" s="14">
        <v>844</v>
      </c>
      <c r="AFT1" s="14">
        <v>845</v>
      </c>
      <c r="AFU1" s="14">
        <v>846</v>
      </c>
      <c r="AFV1" s="14">
        <v>847</v>
      </c>
      <c r="AFW1" s="14">
        <v>848</v>
      </c>
      <c r="AFX1" s="14">
        <v>849</v>
      </c>
      <c r="AFY1" s="14">
        <v>850</v>
      </c>
      <c r="AFZ1" s="14">
        <v>851</v>
      </c>
      <c r="AGA1" s="14">
        <v>852</v>
      </c>
      <c r="AGB1" s="14">
        <v>853</v>
      </c>
      <c r="AGC1" s="14">
        <v>854</v>
      </c>
      <c r="AGD1" s="14">
        <v>855</v>
      </c>
      <c r="AGE1" s="14">
        <v>856</v>
      </c>
      <c r="AGF1" s="14">
        <v>857</v>
      </c>
      <c r="AGG1" s="14">
        <v>858</v>
      </c>
      <c r="AGH1" s="14">
        <v>859</v>
      </c>
      <c r="AGI1" s="14">
        <v>860</v>
      </c>
      <c r="AGJ1" s="14">
        <v>861</v>
      </c>
      <c r="AGK1" s="14">
        <v>862</v>
      </c>
      <c r="AGL1" s="14">
        <v>863</v>
      </c>
      <c r="AGM1" s="14">
        <v>864</v>
      </c>
      <c r="AGN1" s="14">
        <v>865</v>
      </c>
      <c r="AGO1" s="14">
        <v>866</v>
      </c>
      <c r="AGP1" s="14">
        <v>867</v>
      </c>
      <c r="AGQ1" s="14">
        <v>868</v>
      </c>
      <c r="AGR1" s="14">
        <v>869</v>
      </c>
      <c r="AGS1" s="14">
        <v>870</v>
      </c>
      <c r="AGT1" s="14">
        <v>871</v>
      </c>
      <c r="AGU1" s="14">
        <v>872</v>
      </c>
      <c r="AGV1" s="14">
        <v>873</v>
      </c>
      <c r="AGW1" s="14">
        <v>874</v>
      </c>
      <c r="AGX1" s="14">
        <v>875</v>
      </c>
      <c r="AGY1" s="14">
        <v>876</v>
      </c>
      <c r="AGZ1" s="14">
        <v>877</v>
      </c>
      <c r="AHA1" s="14">
        <v>878</v>
      </c>
      <c r="AHB1" s="14">
        <v>879</v>
      </c>
      <c r="AHC1" s="14">
        <v>880</v>
      </c>
      <c r="AHD1" s="14">
        <v>881</v>
      </c>
      <c r="AHE1" s="14">
        <v>882</v>
      </c>
      <c r="AHF1" s="14">
        <v>883</v>
      </c>
      <c r="AHG1" s="14">
        <v>884</v>
      </c>
      <c r="AHH1" s="14">
        <v>885</v>
      </c>
      <c r="AHI1" s="14">
        <v>886</v>
      </c>
      <c r="AHJ1" s="14">
        <v>887</v>
      </c>
      <c r="AHK1" s="14">
        <v>888</v>
      </c>
      <c r="AHL1" s="14">
        <v>889</v>
      </c>
      <c r="AHM1" s="14">
        <v>890</v>
      </c>
      <c r="AHN1" s="14">
        <v>891</v>
      </c>
      <c r="AHO1" s="14">
        <v>892</v>
      </c>
      <c r="AHP1" s="14">
        <v>893</v>
      </c>
      <c r="AHQ1" s="14">
        <v>894</v>
      </c>
      <c r="AHR1" s="14">
        <v>895</v>
      </c>
      <c r="AHS1" s="14">
        <v>896</v>
      </c>
      <c r="AHT1" s="14">
        <v>897</v>
      </c>
      <c r="AHU1" s="14">
        <v>898</v>
      </c>
      <c r="AHV1" s="14">
        <v>899</v>
      </c>
      <c r="AHW1" s="14">
        <v>900</v>
      </c>
      <c r="AHX1" s="14">
        <v>901</v>
      </c>
      <c r="AHY1" s="14">
        <v>902</v>
      </c>
      <c r="AHZ1" s="14">
        <v>903</v>
      </c>
      <c r="AIA1" s="14">
        <v>904</v>
      </c>
      <c r="AIB1" s="14">
        <v>905</v>
      </c>
      <c r="AIC1" s="14">
        <v>906</v>
      </c>
      <c r="AID1" s="14">
        <v>907</v>
      </c>
      <c r="AIE1" s="14">
        <v>908</v>
      </c>
      <c r="AIF1" s="14">
        <v>909</v>
      </c>
      <c r="AIG1" s="14">
        <v>910</v>
      </c>
      <c r="AIH1" s="14">
        <v>911</v>
      </c>
      <c r="AII1" s="14">
        <v>912</v>
      </c>
      <c r="AIJ1" s="14">
        <v>913</v>
      </c>
      <c r="AIK1" s="14">
        <v>914</v>
      </c>
      <c r="AIL1" s="14">
        <v>915</v>
      </c>
      <c r="AIM1" s="14">
        <v>916</v>
      </c>
      <c r="AIN1" s="14">
        <v>917</v>
      </c>
      <c r="AIO1" s="14">
        <v>918</v>
      </c>
      <c r="AIP1" s="14">
        <v>919</v>
      </c>
      <c r="AIQ1" s="14">
        <v>920</v>
      </c>
      <c r="AIR1" s="14">
        <v>921</v>
      </c>
      <c r="AIS1" s="14">
        <v>922</v>
      </c>
      <c r="AIT1" s="14">
        <v>923</v>
      </c>
      <c r="AIU1" s="14">
        <v>924</v>
      </c>
      <c r="AIV1" s="14">
        <v>925</v>
      </c>
      <c r="AIW1" s="14">
        <v>926</v>
      </c>
      <c r="AIX1" s="14">
        <v>927</v>
      </c>
      <c r="AIY1" s="14">
        <v>928</v>
      </c>
      <c r="AIZ1" s="14">
        <v>929</v>
      </c>
      <c r="AJA1" s="14">
        <v>930</v>
      </c>
      <c r="AJB1" s="14">
        <v>931</v>
      </c>
      <c r="AJC1" s="14">
        <v>932</v>
      </c>
      <c r="AJD1" s="14">
        <v>933</v>
      </c>
      <c r="AJE1" s="14">
        <v>934</v>
      </c>
      <c r="AJF1" s="14">
        <v>935</v>
      </c>
      <c r="AJG1" s="14">
        <v>936</v>
      </c>
      <c r="AJH1" s="14">
        <v>937</v>
      </c>
      <c r="AJI1" s="14">
        <v>938</v>
      </c>
      <c r="AJJ1" s="14">
        <v>939</v>
      </c>
      <c r="AJK1" s="14">
        <v>940</v>
      </c>
      <c r="AJL1" s="14">
        <v>941</v>
      </c>
      <c r="AJM1" s="14">
        <v>942</v>
      </c>
      <c r="AJN1" s="14">
        <v>943</v>
      </c>
      <c r="AJO1" s="14">
        <v>944</v>
      </c>
      <c r="AJP1" s="14">
        <v>945</v>
      </c>
      <c r="AJQ1" s="14">
        <v>946</v>
      </c>
      <c r="AJR1" s="14">
        <v>947</v>
      </c>
      <c r="AJS1" s="14">
        <v>948</v>
      </c>
      <c r="AJT1" s="14">
        <v>949</v>
      </c>
      <c r="AJU1" s="14">
        <v>950</v>
      </c>
      <c r="AJV1" s="14">
        <v>951</v>
      </c>
      <c r="AJW1" s="14">
        <v>952</v>
      </c>
      <c r="AJX1" s="14">
        <v>953</v>
      </c>
      <c r="AJY1" s="14">
        <v>954</v>
      </c>
      <c r="AJZ1" s="14">
        <v>955</v>
      </c>
      <c r="AKA1" s="14">
        <v>956</v>
      </c>
      <c r="AKB1" s="14">
        <v>957</v>
      </c>
      <c r="AKC1" s="14">
        <v>958</v>
      </c>
      <c r="AKD1" s="14">
        <v>959</v>
      </c>
      <c r="AKE1" s="14">
        <v>960</v>
      </c>
      <c r="AKF1" s="14">
        <v>961</v>
      </c>
      <c r="AKG1" s="14">
        <v>962</v>
      </c>
      <c r="AKH1" s="14">
        <v>963</v>
      </c>
      <c r="AKI1" s="14">
        <v>964</v>
      </c>
      <c r="AKJ1" s="14">
        <v>965</v>
      </c>
      <c r="AKK1" s="14">
        <v>966</v>
      </c>
      <c r="AKL1" s="14">
        <v>967</v>
      </c>
      <c r="AKM1" s="14">
        <v>968</v>
      </c>
      <c r="AKN1" s="14">
        <v>969</v>
      </c>
      <c r="AKO1" s="14">
        <v>970</v>
      </c>
      <c r="AKP1" s="14">
        <v>971</v>
      </c>
      <c r="AKQ1" s="14">
        <v>972</v>
      </c>
      <c r="AKR1" s="14">
        <v>973</v>
      </c>
      <c r="AKS1" s="14">
        <v>974</v>
      </c>
      <c r="AKT1" s="14">
        <v>975</v>
      </c>
      <c r="AKU1" s="14">
        <v>976</v>
      </c>
      <c r="AKV1" s="14">
        <v>977</v>
      </c>
      <c r="AKW1" s="14">
        <v>978</v>
      </c>
      <c r="AKX1" s="14">
        <v>979</v>
      </c>
      <c r="AKY1" s="14">
        <v>980</v>
      </c>
      <c r="AKZ1" s="14">
        <v>981</v>
      </c>
      <c r="ALA1" s="14">
        <v>982</v>
      </c>
      <c r="ALB1" s="14">
        <v>983</v>
      </c>
      <c r="ALC1" s="14">
        <v>984</v>
      </c>
      <c r="ALD1" s="14">
        <v>985</v>
      </c>
      <c r="ALE1" s="14">
        <v>986</v>
      </c>
      <c r="ALF1" s="14">
        <v>987</v>
      </c>
      <c r="ALG1" s="14">
        <v>988</v>
      </c>
      <c r="ALH1" s="14">
        <v>989</v>
      </c>
      <c r="ALI1" s="14">
        <v>990</v>
      </c>
      <c r="ALJ1" s="14">
        <v>991</v>
      </c>
      <c r="ALK1" s="14">
        <v>992</v>
      </c>
      <c r="ALL1" s="14">
        <v>993</v>
      </c>
      <c r="ALM1" s="14">
        <v>994</v>
      </c>
      <c r="ALN1" s="14">
        <v>995</v>
      </c>
      <c r="ALO1" s="14">
        <v>996</v>
      </c>
      <c r="ALP1" s="14">
        <v>997</v>
      </c>
      <c r="ALQ1" s="14">
        <v>998</v>
      </c>
      <c r="ALR1" s="14">
        <v>999</v>
      </c>
      <c r="ALS1" s="14">
        <v>1000</v>
      </c>
    </row>
    <row r="2" spans="1:1007" x14ac:dyDescent="0.2">
      <c r="A2" s="13" t="s">
        <v>1542</v>
      </c>
      <c r="B2" s="70" t="s">
        <v>1540</v>
      </c>
      <c r="C2" s="70"/>
      <c r="D2" s="70"/>
      <c r="E2" s="55" t="s">
        <v>1544</v>
      </c>
      <c r="G2" s="7" t="s">
        <v>1558</v>
      </c>
      <c r="H2" s="56">
        <f ca="1">'Simulations | Acc. Wealth'!G31</f>
        <v>57757.874630671657</v>
      </c>
      <c r="I2" s="57">
        <f ca="1">'Simulations | Acc. Wealth'!H31</f>
        <v>52181.633844350064</v>
      </c>
      <c r="J2" s="57">
        <f ca="1">'Simulations | Acc. Wealth'!I31</f>
        <v>58183.410137835825</v>
      </c>
      <c r="K2" s="57">
        <f ca="1">'Simulations | Acc. Wealth'!J31</f>
        <v>54936.742059918448</v>
      </c>
      <c r="L2" s="57">
        <f ca="1">'Simulations | Acc. Wealth'!K31</f>
        <v>81455.018394384038</v>
      </c>
      <c r="M2" s="57">
        <f ca="1">'Simulations | Acc. Wealth'!L31</f>
        <v>77180.136159821253</v>
      </c>
      <c r="N2" s="57">
        <f ca="1">'Simulations | Acc. Wealth'!M31</f>
        <v>52188.996084572631</v>
      </c>
      <c r="O2" s="57">
        <f ca="1">'Simulations | Acc. Wealth'!N31</f>
        <v>55649.156644366441</v>
      </c>
      <c r="P2" s="57">
        <f ca="1">'Simulations | Acc. Wealth'!O31</f>
        <v>61052.572635101445</v>
      </c>
      <c r="Q2" s="57">
        <f ca="1">'Simulations | Acc. Wealth'!P31</f>
        <v>56893.867719678114</v>
      </c>
      <c r="R2" s="57">
        <f ca="1">'Simulations | Acc. Wealth'!Q31</f>
        <v>51147.278808487747</v>
      </c>
      <c r="S2" s="57">
        <f ca="1">'Simulations | Acc. Wealth'!R31</f>
        <v>64155.685134483232</v>
      </c>
      <c r="T2" s="57">
        <f ca="1">'Simulations | Acc. Wealth'!S31</f>
        <v>68078.360454982088</v>
      </c>
      <c r="U2" s="57">
        <f ca="1">'Simulations | Acc. Wealth'!T31</f>
        <v>59138.100768326491</v>
      </c>
      <c r="V2" s="57">
        <f ca="1">'Simulations | Acc. Wealth'!U31</f>
        <v>56168.37008830376</v>
      </c>
      <c r="W2" s="57">
        <f ca="1">'Simulations | Acc. Wealth'!V31</f>
        <v>65689.047517913335</v>
      </c>
      <c r="X2" s="57">
        <f ca="1">'Simulations | Acc. Wealth'!W31</f>
        <v>58047.840997133026</v>
      </c>
      <c r="Y2" s="57">
        <f ca="1">'Simulations | Acc. Wealth'!X31</f>
        <v>72946.637028130412</v>
      </c>
      <c r="Z2" s="57">
        <f ca="1">'Simulations | Acc. Wealth'!Y31</f>
        <v>49059.756335542435</v>
      </c>
      <c r="AA2" s="57">
        <f ca="1">'Simulations | Acc. Wealth'!Z31</f>
        <v>50668.107750094117</v>
      </c>
      <c r="AB2" s="57">
        <f ca="1">'Simulations | Acc. Wealth'!AA31</f>
        <v>53958.072553119979</v>
      </c>
      <c r="AC2" s="57">
        <f ca="1">'Simulations | Acc. Wealth'!AB31</f>
        <v>57696.994432224237</v>
      </c>
      <c r="AD2" s="57">
        <f ca="1">'Simulations | Acc. Wealth'!AC31</f>
        <v>55735.140184399796</v>
      </c>
      <c r="AE2" s="57">
        <f ca="1">'Simulations | Acc. Wealth'!AD31</f>
        <v>71082.783026931895</v>
      </c>
      <c r="AF2" s="57">
        <f ca="1">'Simulations | Acc. Wealth'!AE31</f>
        <v>63364.883551358798</v>
      </c>
      <c r="AG2" s="57">
        <f ca="1">'Simulations | Acc. Wealth'!AF31</f>
        <v>46167.472274981075</v>
      </c>
      <c r="AH2" s="57">
        <f ca="1">'Simulations | Acc. Wealth'!AG31</f>
        <v>57080.719703388153</v>
      </c>
      <c r="AI2" s="57">
        <f ca="1">'Simulations | Acc. Wealth'!AH31</f>
        <v>59277.991890912606</v>
      </c>
      <c r="AJ2" s="57">
        <f ca="1">'Simulations | Acc. Wealth'!AI31</f>
        <v>54249.820850820754</v>
      </c>
      <c r="AK2" s="57">
        <f ca="1">'Simulations | Acc. Wealth'!AJ31</f>
        <v>58871.283599419956</v>
      </c>
      <c r="AL2" s="57">
        <f ca="1">'Simulations | Acc. Wealth'!AK31</f>
        <v>55927.441720692303</v>
      </c>
      <c r="AM2" s="57">
        <f ca="1">'Simulations | Acc. Wealth'!AL31</f>
        <v>57477.561825120596</v>
      </c>
      <c r="AN2" s="57">
        <f ca="1">'Simulations | Acc. Wealth'!AM31</f>
        <v>61265.216390244808</v>
      </c>
      <c r="AO2" s="57">
        <f ca="1">'Simulations | Acc. Wealth'!AN31</f>
        <v>49984.354129878018</v>
      </c>
      <c r="AP2" s="57">
        <f ca="1">'Simulations | Acc. Wealth'!AO31</f>
        <v>54845.844057846632</v>
      </c>
      <c r="AQ2" s="57">
        <f ca="1">'Simulations | Acc. Wealth'!AP31</f>
        <v>60515.974466878171</v>
      </c>
      <c r="AR2" s="57">
        <f ca="1">'Simulations | Acc. Wealth'!AQ31</f>
        <v>51188.450289259694</v>
      </c>
      <c r="AS2" s="57">
        <f ca="1">'Simulations | Acc. Wealth'!AR31</f>
        <v>61338.291057981667</v>
      </c>
      <c r="AT2" s="57">
        <f ca="1">'Simulations | Acc. Wealth'!AS31</f>
        <v>56690.475867562651</v>
      </c>
      <c r="AU2" s="57">
        <f ca="1">'Simulations | Acc. Wealth'!AT31</f>
        <v>52243.991832798776</v>
      </c>
      <c r="AV2" s="57">
        <f ca="1">'Simulations | Acc. Wealth'!AU31</f>
        <v>60815.873331878713</v>
      </c>
      <c r="AW2" s="57">
        <f ca="1">'Simulations | Acc. Wealth'!AV31</f>
        <v>69229.333882765815</v>
      </c>
      <c r="AX2" s="57">
        <f ca="1">'Simulations | Acc. Wealth'!AW31</f>
        <v>44607.107398969682</v>
      </c>
      <c r="AY2" s="57">
        <f ca="1">'Simulations | Acc. Wealth'!AX31</f>
        <v>71264.27801461333</v>
      </c>
      <c r="AZ2" s="57">
        <f ca="1">'Simulations | Acc. Wealth'!AY31</f>
        <v>48547.205846200653</v>
      </c>
      <c r="BA2" s="57">
        <f ca="1">'Simulations | Acc. Wealth'!AZ31</f>
        <v>52923.192167569141</v>
      </c>
      <c r="BB2" s="57">
        <f ca="1">'Simulations | Acc. Wealth'!BA31</f>
        <v>51780.482718227882</v>
      </c>
      <c r="BC2" s="57">
        <f ca="1">'Simulations | Acc. Wealth'!BB31</f>
        <v>71626.021442089477</v>
      </c>
      <c r="BD2" s="57">
        <f ca="1">'Simulations | Acc. Wealth'!BC31</f>
        <v>55111.037812221504</v>
      </c>
      <c r="BE2" s="57">
        <f ca="1">'Simulations | Acc. Wealth'!BD31</f>
        <v>53016.636527775117</v>
      </c>
      <c r="BF2" s="57">
        <f ca="1">'Simulations | Acc. Wealth'!BE31</f>
        <v>56746.337261281304</v>
      </c>
      <c r="BG2" s="57">
        <f ca="1">'Simulations | Acc. Wealth'!BF31</f>
        <v>53575.148087476555</v>
      </c>
      <c r="BH2" s="57">
        <f ca="1">'Simulations | Acc. Wealth'!BG31</f>
        <v>50617.045446609765</v>
      </c>
      <c r="BI2" s="57">
        <f ca="1">'Simulations | Acc. Wealth'!BH31</f>
        <v>56988.609409176424</v>
      </c>
      <c r="BJ2" s="57">
        <f ca="1">'Simulations | Acc. Wealth'!BI31</f>
        <v>60172.540938198872</v>
      </c>
      <c r="BK2" s="57">
        <f ca="1">'Simulations | Acc. Wealth'!BJ31</f>
        <v>57044.733415000315</v>
      </c>
      <c r="BL2" s="57">
        <f ca="1">'Simulations | Acc. Wealth'!BK31</f>
        <v>53590.269127215142</v>
      </c>
      <c r="BM2" s="57">
        <f ca="1">'Simulations | Acc. Wealth'!BL31</f>
        <v>57847.201426696141</v>
      </c>
      <c r="BN2" s="57">
        <f ca="1">'Simulations | Acc. Wealth'!BM31</f>
        <v>69028.8919818297</v>
      </c>
      <c r="BO2" s="57">
        <f ca="1">'Simulations | Acc. Wealth'!BN31</f>
        <v>69539.996264233312</v>
      </c>
      <c r="BP2" s="57">
        <f ca="1">'Simulations | Acc. Wealth'!BO31</f>
        <v>52554.395893293804</v>
      </c>
      <c r="BQ2" s="57">
        <f ca="1">'Simulations | Acc. Wealth'!BP31</f>
        <v>68528.988990636848</v>
      </c>
      <c r="BR2" s="57">
        <f ca="1">'Simulations | Acc. Wealth'!BQ31</f>
        <v>58658.093880161716</v>
      </c>
      <c r="BS2" s="57">
        <f ca="1">'Simulations | Acc. Wealth'!BR31</f>
        <v>56983.208995472451</v>
      </c>
      <c r="BT2" s="57">
        <f ca="1">'Simulations | Acc. Wealth'!BS31</f>
        <v>48451.872333421758</v>
      </c>
      <c r="BU2" s="57">
        <f ca="1">'Simulations | Acc. Wealth'!BT31</f>
        <v>62526.686499252035</v>
      </c>
      <c r="BV2" s="57">
        <f ca="1">'Simulations | Acc. Wealth'!BU31</f>
        <v>58964.615582317907</v>
      </c>
      <c r="BW2" s="57">
        <f ca="1">'Simulations | Acc. Wealth'!BV31</f>
        <v>44902.527052057922</v>
      </c>
      <c r="BX2" s="57">
        <f ca="1">'Simulations | Acc. Wealth'!BW31</f>
        <v>51725.046718944592</v>
      </c>
      <c r="BY2" s="57">
        <f ca="1">'Simulations | Acc. Wealth'!BX31</f>
        <v>56432.006368743554</v>
      </c>
      <c r="BZ2" s="57">
        <f ca="1">'Simulations | Acc. Wealth'!BY31</f>
        <v>59176.932128680994</v>
      </c>
      <c r="CA2" s="57">
        <f ca="1">'Simulations | Acc. Wealth'!BZ31</f>
        <v>50701.732574581561</v>
      </c>
      <c r="CB2" s="57">
        <f ca="1">'Simulations | Acc. Wealth'!CA31</f>
        <v>54899.99743700408</v>
      </c>
      <c r="CC2" s="57">
        <f ca="1">'Simulations | Acc. Wealth'!CB31</f>
        <v>60264.935551971495</v>
      </c>
      <c r="CD2" s="57">
        <f ca="1">'Simulations | Acc. Wealth'!CC31</f>
        <v>59084.712146308557</v>
      </c>
      <c r="CE2" s="57">
        <f ca="1">'Simulations | Acc. Wealth'!CD31</f>
        <v>56837.850897327255</v>
      </c>
      <c r="CF2" s="57">
        <f ca="1">'Simulations | Acc. Wealth'!CE31</f>
        <v>47497.490296185155</v>
      </c>
      <c r="CG2" s="57">
        <f ca="1">'Simulations | Acc. Wealth'!CF31</f>
        <v>68660.631002972761</v>
      </c>
      <c r="CH2" s="57">
        <f ca="1">'Simulations | Acc. Wealth'!CG31</f>
        <v>60898.445966652544</v>
      </c>
      <c r="CI2" s="57">
        <f ca="1">'Simulations | Acc. Wealth'!CH31</f>
        <v>47847.733313871613</v>
      </c>
      <c r="CJ2" s="57">
        <f ca="1">'Simulations | Acc. Wealth'!CI31</f>
        <v>82827.269299686028</v>
      </c>
      <c r="CK2" s="57">
        <f ca="1">'Simulations | Acc. Wealth'!CJ31</f>
        <v>52402.806688924094</v>
      </c>
      <c r="CL2" s="57">
        <f ca="1">'Simulations | Acc. Wealth'!CK31</f>
        <v>61281.140624976259</v>
      </c>
      <c r="CM2" s="57">
        <f ca="1">'Simulations | Acc. Wealth'!CL31</f>
        <v>72396.168999214642</v>
      </c>
      <c r="CN2" s="57">
        <f ca="1">'Simulations | Acc. Wealth'!CM31</f>
        <v>60760.494897592493</v>
      </c>
      <c r="CO2" s="57">
        <f ca="1">'Simulations | Acc. Wealth'!CN31</f>
        <v>55726.462490481012</v>
      </c>
      <c r="CP2" s="57">
        <f ca="1">'Simulations | Acc. Wealth'!CO31</f>
        <v>57904.793645165235</v>
      </c>
      <c r="CQ2" s="57">
        <f ca="1">'Simulations | Acc. Wealth'!CP31</f>
        <v>66212.088128585092</v>
      </c>
      <c r="CR2" s="57">
        <f ca="1">'Simulations | Acc. Wealth'!CQ31</f>
        <v>61408.177278187803</v>
      </c>
      <c r="CS2" s="57">
        <f ca="1">'Simulations | Acc. Wealth'!CR31</f>
        <v>56457.482620967843</v>
      </c>
      <c r="CT2" s="57">
        <f ca="1">'Simulations | Acc. Wealth'!CS31</f>
        <v>64721.989706835542</v>
      </c>
      <c r="CU2" s="57">
        <f ca="1">'Simulations | Acc. Wealth'!CT31</f>
        <v>60129.800327153222</v>
      </c>
      <c r="CV2" s="57">
        <f ca="1">'Simulations | Acc. Wealth'!CU31</f>
        <v>54487.536925259788</v>
      </c>
      <c r="CW2" s="57">
        <f ca="1">'Simulations | Acc. Wealth'!CV31</f>
        <v>41133.674689455125</v>
      </c>
      <c r="CX2" s="57">
        <f ca="1">'Simulations | Acc. Wealth'!CW31</f>
        <v>56847.351970862415</v>
      </c>
      <c r="CY2" s="57">
        <f ca="1">'Simulations | Acc. Wealth'!CX31</f>
        <v>66531.159436791655</v>
      </c>
      <c r="CZ2" s="57">
        <f ca="1">'Simulations | Acc. Wealth'!CY31</f>
        <v>65227.279525008402</v>
      </c>
      <c r="DA2" s="57">
        <f ca="1">'Simulations | Acc. Wealth'!CZ31</f>
        <v>70381.443786304808</v>
      </c>
      <c r="DB2" s="57">
        <f ca="1">'Simulations | Acc. Wealth'!DA31</f>
        <v>66899.990838515369</v>
      </c>
      <c r="DC2" s="57">
        <f ca="1">'Simulations | Acc. Wealth'!DB31</f>
        <v>52079.24299635669</v>
      </c>
      <c r="DD2" s="57">
        <f ca="1">'Simulations | Acc. Wealth'!DC31</f>
        <v>52764.754193002031</v>
      </c>
      <c r="DE2" s="57">
        <f ca="1">'Simulations | Acc. Wealth'!DD31</f>
        <v>58363.773206398997</v>
      </c>
      <c r="DF2" s="57">
        <f ca="1">'Simulations | Acc. Wealth'!DE31</f>
        <v>60853.123631685427</v>
      </c>
      <c r="DG2" s="57">
        <f ca="1">'Simulations | Acc. Wealth'!DF31</f>
        <v>68341.523174142145</v>
      </c>
      <c r="DH2" s="57">
        <f ca="1">'Simulations | Acc. Wealth'!DG31</f>
        <v>47957.371807108546</v>
      </c>
      <c r="DI2" s="57">
        <f ca="1">'Simulations | Acc. Wealth'!DH31</f>
        <v>61674.050217101081</v>
      </c>
      <c r="DJ2" s="57">
        <f ca="1">'Simulations | Acc. Wealth'!DI31</f>
        <v>47907.694496721146</v>
      </c>
      <c r="DK2" s="57">
        <f ca="1">'Simulations | Acc. Wealth'!DJ31</f>
        <v>57572.82356629541</v>
      </c>
      <c r="DL2" s="57">
        <f ca="1">'Simulations | Acc. Wealth'!DK31</f>
        <v>60177.562829689086</v>
      </c>
      <c r="DM2" s="57">
        <f ca="1">'Simulations | Acc. Wealth'!DL31</f>
        <v>61927.623098508127</v>
      </c>
      <c r="DN2" s="57">
        <f ca="1">'Simulations | Acc. Wealth'!DM31</f>
        <v>68710.433278483688</v>
      </c>
      <c r="DO2" s="57">
        <f ca="1">'Simulations | Acc. Wealth'!DN31</f>
        <v>59750.290428034496</v>
      </c>
      <c r="DP2" s="57">
        <f ca="1">'Simulations | Acc. Wealth'!DO31</f>
        <v>64119.909147752463</v>
      </c>
      <c r="DQ2" s="57">
        <f ca="1">'Simulations | Acc. Wealth'!DP31</f>
        <v>71269.490401824311</v>
      </c>
      <c r="DR2" s="57">
        <f ca="1">'Simulations | Acc. Wealth'!DQ31</f>
        <v>55136.788091966097</v>
      </c>
      <c r="DS2" s="57">
        <f ca="1">'Simulations | Acc. Wealth'!DR31</f>
        <v>50355.298777398843</v>
      </c>
      <c r="DT2" s="57">
        <f ca="1">'Simulations | Acc. Wealth'!DS31</f>
        <v>54593.018178166953</v>
      </c>
      <c r="DU2" s="57">
        <f ca="1">'Simulations | Acc. Wealth'!DT31</f>
        <v>67103.073169292838</v>
      </c>
      <c r="DV2" s="57">
        <f ca="1">'Simulations | Acc. Wealth'!DU31</f>
        <v>70535.429455419959</v>
      </c>
      <c r="DW2" s="57">
        <f ca="1">'Simulations | Acc. Wealth'!DV31</f>
        <v>54624.729784445168</v>
      </c>
      <c r="DX2" s="57">
        <f ca="1">'Simulations | Acc. Wealth'!DW31</f>
        <v>54886.078817961155</v>
      </c>
      <c r="DY2" s="57">
        <f ca="1">'Simulations | Acc. Wealth'!DX31</f>
        <v>56190.965838965742</v>
      </c>
      <c r="DZ2" s="57">
        <f ca="1">'Simulations | Acc. Wealth'!DY31</f>
        <v>58683.728057845125</v>
      </c>
      <c r="EA2" s="57">
        <f ca="1">'Simulations | Acc. Wealth'!DZ31</f>
        <v>63920.337313685981</v>
      </c>
      <c r="EB2" s="57">
        <f ca="1">'Simulations | Acc. Wealth'!EA31</f>
        <v>88812.604469895756</v>
      </c>
      <c r="EC2" s="57">
        <f ca="1">'Simulations | Acc. Wealth'!EB31</f>
        <v>65531.308387457415</v>
      </c>
      <c r="ED2" s="57">
        <f ca="1">'Simulations | Acc. Wealth'!EC31</f>
        <v>75228.096849677153</v>
      </c>
      <c r="EE2" s="57">
        <f ca="1">'Simulations | Acc. Wealth'!ED31</f>
        <v>61494.411881304884</v>
      </c>
      <c r="EF2" s="57">
        <f ca="1">'Simulations | Acc. Wealth'!EE31</f>
        <v>54865.024242003747</v>
      </c>
      <c r="EG2" s="57">
        <f ca="1">'Simulations | Acc. Wealth'!EF31</f>
        <v>48585.024083582903</v>
      </c>
      <c r="EH2" s="57">
        <f ca="1">'Simulations | Acc. Wealth'!EG31</f>
        <v>61344.132212909295</v>
      </c>
      <c r="EI2" s="57">
        <f ca="1">'Simulations | Acc. Wealth'!EH31</f>
        <v>58707.393884831166</v>
      </c>
      <c r="EJ2" s="57">
        <f ca="1">'Simulations | Acc. Wealth'!EI31</f>
        <v>49564.251200622311</v>
      </c>
      <c r="EK2" s="57">
        <f ca="1">'Simulations | Acc. Wealth'!EJ31</f>
        <v>58360.057967303495</v>
      </c>
      <c r="EL2" s="57">
        <f ca="1">'Simulations | Acc. Wealth'!EK31</f>
        <v>55015.407269708841</v>
      </c>
      <c r="EM2" s="57">
        <f ca="1">'Simulations | Acc. Wealth'!EL31</f>
        <v>76296.649945263373</v>
      </c>
      <c r="EN2" s="57">
        <f ca="1">'Simulations | Acc. Wealth'!EM31</f>
        <v>58236.371033901101</v>
      </c>
      <c r="EO2" s="57">
        <f ca="1">'Simulations | Acc. Wealth'!EN31</f>
        <v>69041.336006898331</v>
      </c>
      <c r="EP2" s="57">
        <f ca="1">'Simulations | Acc. Wealth'!EO31</f>
        <v>50524.792624489099</v>
      </c>
      <c r="EQ2" s="57">
        <f ca="1">'Simulations | Acc. Wealth'!EP31</f>
        <v>57317.333959371259</v>
      </c>
      <c r="ER2" s="57">
        <f ca="1">'Simulations | Acc. Wealth'!EQ31</f>
        <v>54331.027934560108</v>
      </c>
      <c r="ES2" s="57">
        <f ca="1">'Simulations | Acc. Wealth'!ER31</f>
        <v>60706.919268683894</v>
      </c>
      <c r="ET2" s="57">
        <f ca="1">'Simulations | Acc. Wealth'!ES31</f>
        <v>77250.181301572535</v>
      </c>
      <c r="EU2" s="57">
        <f ca="1">'Simulations | Acc. Wealth'!ET31</f>
        <v>54213.470042129382</v>
      </c>
      <c r="EV2" s="57">
        <f ca="1">'Simulations | Acc. Wealth'!EU31</f>
        <v>79232.895868491454</v>
      </c>
      <c r="EW2" s="57">
        <f ca="1">'Simulations | Acc. Wealth'!EV31</f>
        <v>48432.298321962277</v>
      </c>
      <c r="EX2" s="57">
        <f ca="1">'Simulations | Acc. Wealth'!EW31</f>
        <v>61864.787223336796</v>
      </c>
      <c r="EY2" s="57">
        <f ca="1">'Simulations | Acc. Wealth'!EX31</f>
        <v>60619.035052875341</v>
      </c>
      <c r="EZ2" s="57">
        <f ca="1">'Simulations | Acc. Wealth'!EY31</f>
        <v>50681.98581924352</v>
      </c>
      <c r="FA2" s="57">
        <f ca="1">'Simulations | Acc. Wealth'!EZ31</f>
        <v>52630.090332950407</v>
      </c>
      <c r="FB2" s="57">
        <f ca="1">'Simulations | Acc. Wealth'!FA31</f>
        <v>54738.476094843907</v>
      </c>
      <c r="FC2" s="57">
        <f ca="1">'Simulations | Acc. Wealth'!FB31</f>
        <v>72223.764061833062</v>
      </c>
      <c r="FD2" s="57">
        <f ca="1">'Simulations | Acc. Wealth'!FC31</f>
        <v>51343.921728244139</v>
      </c>
      <c r="FE2" s="57">
        <f ca="1">'Simulations | Acc. Wealth'!FD31</f>
        <v>60481.992957811737</v>
      </c>
      <c r="FF2" s="57">
        <f ca="1">'Simulations | Acc. Wealth'!FE31</f>
        <v>63356.938112131866</v>
      </c>
      <c r="FG2" s="57">
        <f ca="1">'Simulations | Acc. Wealth'!FF31</f>
        <v>56380.009720040507</v>
      </c>
      <c r="FH2" s="57">
        <f ca="1">'Simulations | Acc. Wealth'!FG31</f>
        <v>56268.656677920953</v>
      </c>
      <c r="FI2" s="57">
        <f ca="1">'Simulations | Acc. Wealth'!FH31</f>
        <v>60330.892932631243</v>
      </c>
      <c r="FJ2" s="57">
        <f ca="1">'Simulations | Acc. Wealth'!FI31</f>
        <v>71111.836365041861</v>
      </c>
      <c r="FK2" s="57">
        <f ca="1">'Simulations | Acc. Wealth'!FJ31</f>
        <v>56485.615137132503</v>
      </c>
      <c r="FL2" s="57">
        <f ca="1">'Simulations | Acc. Wealth'!FK31</f>
        <v>63737.957020793576</v>
      </c>
      <c r="FM2" s="57">
        <f ca="1">'Simulations | Acc. Wealth'!FL31</f>
        <v>51388.730750311421</v>
      </c>
      <c r="FN2" s="57">
        <f ca="1">'Simulations | Acc. Wealth'!FM31</f>
        <v>66147.38715059383</v>
      </c>
      <c r="FO2" s="57">
        <f ca="1">'Simulations | Acc. Wealth'!FN31</f>
        <v>62984.175798040349</v>
      </c>
      <c r="FP2" s="57">
        <f ca="1">'Simulations | Acc. Wealth'!FO31</f>
        <v>66500.693464839773</v>
      </c>
      <c r="FQ2" s="57">
        <f ca="1">'Simulations | Acc. Wealth'!FP31</f>
        <v>64969.445942043705</v>
      </c>
      <c r="FR2" s="57">
        <f ca="1">'Simulations | Acc. Wealth'!FQ31</f>
        <v>64719.211741306834</v>
      </c>
      <c r="FS2" s="57">
        <f ca="1">'Simulations | Acc. Wealth'!FR31</f>
        <v>70983.991730799971</v>
      </c>
      <c r="FT2" s="57">
        <f ca="1">'Simulations | Acc. Wealth'!FS31</f>
        <v>62117.852476203763</v>
      </c>
      <c r="FU2" s="57">
        <f ca="1">'Simulations | Acc. Wealth'!FT31</f>
        <v>51682.894354866534</v>
      </c>
      <c r="FV2" s="57">
        <f ca="1">'Simulations | Acc. Wealth'!FU31</f>
        <v>60088.019895391553</v>
      </c>
      <c r="FW2" s="57">
        <f ca="1">'Simulations | Acc. Wealth'!FV31</f>
        <v>46215.47882730078</v>
      </c>
      <c r="FX2" s="57">
        <f ca="1">'Simulations | Acc. Wealth'!FW31</f>
        <v>70111.829670134714</v>
      </c>
      <c r="FY2" s="57">
        <f ca="1">'Simulations | Acc. Wealth'!FX31</f>
        <v>53256.633924455709</v>
      </c>
      <c r="FZ2" s="57">
        <f ca="1">'Simulations | Acc. Wealth'!FY31</f>
        <v>55913.073141741894</v>
      </c>
      <c r="GA2" s="57">
        <f ca="1">'Simulations | Acc. Wealth'!FZ31</f>
        <v>51780.613367273203</v>
      </c>
      <c r="GB2" s="57">
        <f ca="1">'Simulations | Acc. Wealth'!GA31</f>
        <v>65131.282757513072</v>
      </c>
      <c r="GC2" s="57">
        <f ca="1">'Simulations | Acc. Wealth'!GB31</f>
        <v>49579.690977539831</v>
      </c>
      <c r="GD2" s="57">
        <f ca="1">'Simulations | Acc. Wealth'!GC31</f>
        <v>57209.419753643342</v>
      </c>
      <c r="GE2" s="57">
        <f ca="1">'Simulations | Acc. Wealth'!GD31</f>
        <v>50985.189104864359</v>
      </c>
      <c r="GF2" s="57">
        <f ca="1">'Simulations | Acc. Wealth'!GE31</f>
        <v>66266.146576689891</v>
      </c>
      <c r="GG2" s="57">
        <f ca="1">'Simulations | Acc. Wealth'!GF31</f>
        <v>50143.444484077583</v>
      </c>
      <c r="GH2" s="57">
        <f ca="1">'Simulations | Acc. Wealth'!GG31</f>
        <v>47655.333562038439</v>
      </c>
      <c r="GI2" s="57">
        <f ca="1">'Simulations | Acc. Wealth'!GH31</f>
        <v>56006.020866004619</v>
      </c>
      <c r="GJ2" s="57">
        <f ca="1">'Simulations | Acc. Wealth'!GI31</f>
        <v>54227.272985910291</v>
      </c>
      <c r="GK2" s="57">
        <f ca="1">'Simulations | Acc. Wealth'!GJ31</f>
        <v>61870.556382648523</v>
      </c>
      <c r="GL2" s="57">
        <f ca="1">'Simulations | Acc. Wealth'!GK31</f>
        <v>54287.879970558075</v>
      </c>
      <c r="GM2" s="57">
        <f ca="1">'Simulations | Acc. Wealth'!GL31</f>
        <v>48750.016980464781</v>
      </c>
      <c r="GN2" s="57">
        <f ca="1">'Simulations | Acc. Wealth'!GM31</f>
        <v>44163.845401728526</v>
      </c>
      <c r="GO2" s="57">
        <f ca="1">'Simulations | Acc. Wealth'!GN31</f>
        <v>58563.444269926134</v>
      </c>
      <c r="GP2" s="57">
        <f ca="1">'Simulations | Acc. Wealth'!GO31</f>
        <v>73935.996625517248</v>
      </c>
      <c r="GQ2" s="57">
        <f ca="1">'Simulations | Acc. Wealth'!GP31</f>
        <v>62702.305920372026</v>
      </c>
      <c r="GR2" s="57">
        <f ca="1">'Simulations | Acc. Wealth'!GQ31</f>
        <v>65910.186148379667</v>
      </c>
      <c r="GS2" s="57">
        <f ca="1">'Simulations | Acc. Wealth'!GR31</f>
        <v>64811.511761067864</v>
      </c>
      <c r="GT2" s="57">
        <f ca="1">'Simulations | Acc. Wealth'!GS31</f>
        <v>58872.614893199498</v>
      </c>
      <c r="GU2" s="57">
        <f ca="1">'Simulations | Acc. Wealth'!GT31</f>
        <v>49623.011242365224</v>
      </c>
      <c r="GV2" s="57">
        <f ca="1">'Simulations | Acc. Wealth'!GU31</f>
        <v>53896.628134817474</v>
      </c>
      <c r="GW2" s="57">
        <f ca="1">'Simulations | Acc. Wealth'!GV31</f>
        <v>66720.301236419371</v>
      </c>
      <c r="GX2" s="57">
        <f ca="1">'Simulations | Acc. Wealth'!GW31</f>
        <v>59769.68808686619</v>
      </c>
      <c r="GY2" s="57">
        <f ca="1">'Simulations | Acc. Wealth'!GX31</f>
        <v>62595.582156569908</v>
      </c>
      <c r="GZ2" s="57">
        <f ca="1">'Simulations | Acc. Wealth'!GY31</f>
        <v>65984.813507718514</v>
      </c>
      <c r="HA2" s="57">
        <f ca="1">'Simulations | Acc. Wealth'!GZ31</f>
        <v>56881.281681444423</v>
      </c>
      <c r="HB2" s="57">
        <f ca="1">'Simulations | Acc. Wealth'!HA31</f>
        <v>53703.550136658429</v>
      </c>
      <c r="HC2" s="57">
        <f ca="1">'Simulations | Acc. Wealth'!HB31</f>
        <v>55274.150182186742</v>
      </c>
      <c r="HD2" s="57">
        <f ca="1">'Simulations | Acc. Wealth'!HC31</f>
        <v>64940.174866170346</v>
      </c>
      <c r="HE2" s="57">
        <f ca="1">'Simulations | Acc. Wealth'!HD31</f>
        <v>41871.568601078092</v>
      </c>
      <c r="HF2" s="57">
        <f ca="1">'Simulations | Acc. Wealth'!HE31</f>
        <v>54027.198075643093</v>
      </c>
      <c r="HG2" s="57">
        <f ca="1">'Simulations | Acc. Wealth'!HF31</f>
        <v>51988.088464654604</v>
      </c>
      <c r="HH2" s="57">
        <f ca="1">'Simulations | Acc. Wealth'!HG31</f>
        <v>53306.380985022479</v>
      </c>
      <c r="HI2" s="57">
        <f ca="1">'Simulations | Acc. Wealth'!HH31</f>
        <v>63879.838638166657</v>
      </c>
      <c r="HJ2" s="57">
        <f ca="1">'Simulations | Acc. Wealth'!HI31</f>
        <v>60042.850630552144</v>
      </c>
      <c r="HK2" s="57">
        <f ca="1">'Simulations | Acc. Wealth'!HJ31</f>
        <v>55419.966879027001</v>
      </c>
      <c r="HL2" s="57">
        <f ca="1">'Simulations | Acc. Wealth'!HK31</f>
        <v>63695.585308592388</v>
      </c>
      <c r="HM2" s="57">
        <f ca="1">'Simulations | Acc. Wealth'!HL31</f>
        <v>63001.960631529982</v>
      </c>
      <c r="HN2" s="57">
        <f ca="1">'Simulations | Acc. Wealth'!HM31</f>
        <v>67364.2985699204</v>
      </c>
      <c r="HO2" s="57">
        <f ca="1">'Simulations | Acc. Wealth'!HN31</f>
        <v>61019.208158648762</v>
      </c>
      <c r="HP2" s="57">
        <f ca="1">'Simulations | Acc. Wealth'!HO31</f>
        <v>68009.632994140979</v>
      </c>
      <c r="HQ2" s="57">
        <f ca="1">'Simulations | Acc. Wealth'!HP31</f>
        <v>71021.272132248967</v>
      </c>
      <c r="HR2" s="57">
        <f ca="1">'Simulations | Acc. Wealth'!HQ31</f>
        <v>72725.970695040975</v>
      </c>
      <c r="HS2" s="57">
        <f ca="1">'Simulations | Acc. Wealth'!HR31</f>
        <v>59889.342134607701</v>
      </c>
      <c r="HT2" s="57">
        <f ca="1">'Simulations | Acc. Wealth'!HS31</f>
        <v>69486.392121571218</v>
      </c>
      <c r="HU2" s="57">
        <f ca="1">'Simulations | Acc. Wealth'!HT31</f>
        <v>57629.867927539621</v>
      </c>
      <c r="HV2" s="57">
        <f ca="1">'Simulations | Acc. Wealth'!HU31</f>
        <v>55066.467359541857</v>
      </c>
      <c r="HW2" s="57">
        <f ca="1">'Simulations | Acc. Wealth'!HV31</f>
        <v>56923.061822857708</v>
      </c>
      <c r="HX2" s="57">
        <f ca="1">'Simulations | Acc. Wealth'!HW31</f>
        <v>50239.872236498915</v>
      </c>
      <c r="HY2" s="57">
        <f ca="1">'Simulations | Acc. Wealth'!HX31</f>
        <v>70836.345829505226</v>
      </c>
      <c r="HZ2" s="57">
        <f ca="1">'Simulations | Acc. Wealth'!HY31</f>
        <v>49307.74797449648</v>
      </c>
      <c r="IA2" s="57">
        <f ca="1">'Simulations | Acc. Wealth'!HZ31</f>
        <v>70457.403739055037</v>
      </c>
      <c r="IB2" s="57">
        <f ca="1">'Simulations | Acc. Wealth'!IA31</f>
        <v>59659.122047688448</v>
      </c>
      <c r="IC2" s="57">
        <f ca="1">'Simulations | Acc. Wealth'!IB31</f>
        <v>54868.155749761645</v>
      </c>
      <c r="ID2" s="57">
        <f ca="1">'Simulations | Acc. Wealth'!IC31</f>
        <v>73608.437675935464</v>
      </c>
      <c r="IE2" s="57">
        <f ca="1">'Simulations | Acc. Wealth'!ID31</f>
        <v>61078.142429172171</v>
      </c>
      <c r="IF2" s="57">
        <f ca="1">'Simulations | Acc. Wealth'!IE31</f>
        <v>60419.887202808823</v>
      </c>
      <c r="IG2" s="57">
        <f ca="1">'Simulations | Acc. Wealth'!IF31</f>
        <v>49378.517853567122</v>
      </c>
      <c r="IH2" s="57">
        <f ca="1">'Simulations | Acc. Wealth'!IG31</f>
        <v>56187.210412480214</v>
      </c>
      <c r="II2" s="57">
        <f ca="1">'Simulations | Acc. Wealth'!IH31</f>
        <v>62171.631090568808</v>
      </c>
      <c r="IJ2" s="57">
        <f ca="1">'Simulations | Acc. Wealth'!II31</f>
        <v>69334.288280576555</v>
      </c>
      <c r="IK2" s="57">
        <f ca="1">'Simulations | Acc. Wealth'!IJ31</f>
        <v>54223.471007983753</v>
      </c>
      <c r="IL2" s="57">
        <f ca="1">'Simulations | Acc. Wealth'!IK31</f>
        <v>63767.505402485171</v>
      </c>
      <c r="IM2" s="57">
        <f ca="1">'Simulations | Acc. Wealth'!IL31</f>
        <v>64531.048281848707</v>
      </c>
      <c r="IN2" s="57">
        <f ca="1">'Simulations | Acc. Wealth'!IM31</f>
        <v>52552.139150007504</v>
      </c>
      <c r="IO2" s="57">
        <f ca="1">'Simulations | Acc. Wealth'!IN31</f>
        <v>69652.404241389842</v>
      </c>
      <c r="IP2" s="57">
        <f ca="1">'Simulations | Acc. Wealth'!IO31</f>
        <v>57449.182287115342</v>
      </c>
      <c r="IQ2" s="57">
        <f ca="1">'Simulations | Acc. Wealth'!IP31</f>
        <v>59263.894528405006</v>
      </c>
      <c r="IR2" s="57">
        <f ca="1">'Simulations | Acc. Wealth'!IQ31</f>
        <v>54847.823103453193</v>
      </c>
      <c r="IS2" s="57">
        <f ca="1">'Simulations | Acc. Wealth'!IR31</f>
        <v>65230.418618035139</v>
      </c>
      <c r="IT2" s="57">
        <f ca="1">'Simulations | Acc. Wealth'!IS31</f>
        <v>62673.758900620916</v>
      </c>
      <c r="IU2" s="57">
        <f ca="1">'Simulations | Acc. Wealth'!IT31</f>
        <v>61109.749262969555</v>
      </c>
      <c r="IV2" s="57">
        <f ca="1">'Simulations | Acc. Wealth'!IU31</f>
        <v>68007.416684767246</v>
      </c>
      <c r="IW2" s="57">
        <f ca="1">'Simulations | Acc. Wealth'!IV31</f>
        <v>55594.559677852725</v>
      </c>
      <c r="IX2" s="57">
        <f ca="1">'Simulations | Acc. Wealth'!IW31</f>
        <v>48392.207397913597</v>
      </c>
      <c r="IY2" s="57">
        <f ca="1">'Simulations | Acc. Wealth'!IX31</f>
        <v>75569.923956815546</v>
      </c>
      <c r="IZ2" s="57">
        <f ca="1">'Simulations | Acc. Wealth'!IY31</f>
        <v>53161.649062502307</v>
      </c>
      <c r="JA2" s="57">
        <f ca="1">'Simulations | Acc. Wealth'!IZ31</f>
        <v>72498.335644303239</v>
      </c>
      <c r="JB2" s="57">
        <f ca="1">'Simulations | Acc. Wealth'!JA31</f>
        <v>48007.834019603251</v>
      </c>
      <c r="JC2" s="57">
        <f ca="1">'Simulations | Acc. Wealth'!JB31</f>
        <v>60155.369492626538</v>
      </c>
      <c r="JD2" s="57">
        <f ca="1">'Simulations | Acc. Wealth'!JC31</f>
        <v>58203.222413051502</v>
      </c>
      <c r="JE2" s="57">
        <f ca="1">'Simulations | Acc. Wealth'!JD31</f>
        <v>58793.406487875603</v>
      </c>
      <c r="JF2" s="57">
        <f ca="1">'Simulations | Acc. Wealth'!JE31</f>
        <v>63989.880983435389</v>
      </c>
      <c r="JG2" s="57">
        <f ca="1">'Simulations | Acc. Wealth'!JF31</f>
        <v>65082.126041485259</v>
      </c>
      <c r="JH2" s="57">
        <f ca="1">'Simulations | Acc. Wealth'!JG31</f>
        <v>63822.943938851407</v>
      </c>
      <c r="JI2" s="57">
        <f ca="1">'Simulations | Acc. Wealth'!JH31</f>
        <v>60310.867348706917</v>
      </c>
      <c r="JJ2" s="57">
        <f ca="1">'Simulations | Acc. Wealth'!JI31</f>
        <v>55776.25702640105</v>
      </c>
      <c r="JK2" s="57">
        <f ca="1">'Simulations | Acc. Wealth'!JJ31</f>
        <v>62157.042608388561</v>
      </c>
      <c r="JL2" s="57">
        <f ca="1">'Simulations | Acc. Wealth'!JK31</f>
        <v>57286.825081173971</v>
      </c>
      <c r="JM2" s="57">
        <f ca="1">'Simulations | Acc. Wealth'!JL31</f>
        <v>63970.822235635394</v>
      </c>
      <c r="JN2" s="57">
        <f ca="1">'Simulations | Acc. Wealth'!JM31</f>
        <v>55135.419214596914</v>
      </c>
      <c r="JO2" s="57">
        <f ca="1">'Simulations | Acc. Wealth'!JN31</f>
        <v>64380.892038561396</v>
      </c>
      <c r="JP2" s="57">
        <f ca="1">'Simulations | Acc. Wealth'!JO31</f>
        <v>56437.321652129525</v>
      </c>
      <c r="JQ2" s="57">
        <f ca="1">'Simulations | Acc. Wealth'!JP31</f>
        <v>46644.067036871718</v>
      </c>
      <c r="JR2" s="57">
        <f ca="1">'Simulations | Acc. Wealth'!JQ31</f>
        <v>54554.385516571361</v>
      </c>
      <c r="JS2" s="57">
        <f ca="1">'Simulations | Acc. Wealth'!JR31</f>
        <v>73921.60130713442</v>
      </c>
      <c r="JT2" s="57">
        <f ca="1">'Simulations | Acc. Wealth'!JS31</f>
        <v>64012.461306548161</v>
      </c>
      <c r="JU2" s="57">
        <f ca="1">'Simulations | Acc. Wealth'!JT31</f>
        <v>63363.553560904707</v>
      </c>
      <c r="JV2" s="57">
        <f ca="1">'Simulations | Acc. Wealth'!JU31</f>
        <v>55921.071850719534</v>
      </c>
      <c r="JW2" s="57">
        <f ca="1">'Simulations | Acc. Wealth'!JV31</f>
        <v>45847.70872587592</v>
      </c>
      <c r="JX2" s="57">
        <f ca="1">'Simulations | Acc. Wealth'!JW31</f>
        <v>67909.390328650625</v>
      </c>
      <c r="JY2" s="57">
        <f ca="1">'Simulations | Acc. Wealth'!JX31</f>
        <v>58576.645385710333</v>
      </c>
      <c r="JZ2" s="57">
        <f ca="1">'Simulations | Acc. Wealth'!JY31</f>
        <v>73509.737025862123</v>
      </c>
      <c r="KA2" s="57">
        <f ca="1">'Simulations | Acc. Wealth'!JZ31</f>
        <v>59365.676314656455</v>
      </c>
      <c r="KB2" s="57">
        <f ca="1">'Simulations | Acc. Wealth'!KA31</f>
        <v>70198.330930686803</v>
      </c>
      <c r="KC2" s="57">
        <f ca="1">'Simulations | Acc. Wealth'!KB31</f>
        <v>53522.536160417032</v>
      </c>
      <c r="KD2" s="57">
        <f ca="1">'Simulations | Acc. Wealth'!KC31</f>
        <v>63453.881772973611</v>
      </c>
      <c r="KE2" s="57">
        <f ca="1">'Simulations | Acc. Wealth'!KD31</f>
        <v>61650.82636771223</v>
      </c>
      <c r="KF2" s="57">
        <f ca="1">'Simulations | Acc. Wealth'!KE31</f>
        <v>49420.88396067392</v>
      </c>
      <c r="KG2" s="57">
        <f ca="1">'Simulations | Acc. Wealth'!KF31</f>
        <v>57185.857449901654</v>
      </c>
      <c r="KH2" s="57">
        <f ca="1">'Simulations | Acc. Wealth'!KG31</f>
        <v>62247.676889479844</v>
      </c>
      <c r="KI2" s="57">
        <f ca="1">'Simulations | Acc. Wealth'!KH31</f>
        <v>74517.251467439288</v>
      </c>
      <c r="KJ2" s="57">
        <f ca="1">'Simulations | Acc. Wealth'!KI31</f>
        <v>60350.441121386306</v>
      </c>
      <c r="KK2" s="57">
        <f ca="1">'Simulations | Acc. Wealth'!KJ31</f>
        <v>68004.902013997926</v>
      </c>
      <c r="KL2" s="57">
        <f ca="1">'Simulations | Acc. Wealth'!KK31</f>
        <v>62883.708042768143</v>
      </c>
      <c r="KM2" s="57">
        <f ca="1">'Simulations | Acc. Wealth'!KL31</f>
        <v>60818.209763515115</v>
      </c>
      <c r="KN2" s="57">
        <f ca="1">'Simulations | Acc. Wealth'!KM31</f>
        <v>74752.531896674831</v>
      </c>
      <c r="KO2" s="57">
        <f ca="1">'Simulations | Acc. Wealth'!KN31</f>
        <v>55668.386825178626</v>
      </c>
      <c r="KP2" s="57">
        <f ca="1">'Simulations | Acc. Wealth'!KO31</f>
        <v>55973.713148804723</v>
      </c>
      <c r="KQ2" s="57">
        <f ca="1">'Simulations | Acc. Wealth'!KP31</f>
        <v>54579.872696927749</v>
      </c>
      <c r="KR2" s="57">
        <f ca="1">'Simulations | Acc. Wealth'!KQ31</f>
        <v>66677.622511768132</v>
      </c>
      <c r="KS2" s="57">
        <f ca="1">'Simulations | Acc. Wealth'!KR31</f>
        <v>63009.681802694839</v>
      </c>
      <c r="KT2" s="57">
        <f ca="1">'Simulations | Acc. Wealth'!KS31</f>
        <v>55763.781479961333</v>
      </c>
      <c r="KU2" s="57">
        <f ca="1">'Simulations | Acc. Wealth'!KT31</f>
        <v>63006.793231525138</v>
      </c>
      <c r="KV2" s="57">
        <f ca="1">'Simulations | Acc. Wealth'!KU31</f>
        <v>69611.991622498725</v>
      </c>
      <c r="KW2" s="57">
        <f ca="1">'Simulations | Acc. Wealth'!KV31</f>
        <v>53101.926591750896</v>
      </c>
      <c r="KX2" s="57">
        <f ca="1">'Simulations | Acc. Wealth'!KW31</f>
        <v>59211.939052716698</v>
      </c>
      <c r="KY2" s="57">
        <f ca="1">'Simulations | Acc. Wealth'!KX31</f>
        <v>63999.529966143593</v>
      </c>
      <c r="KZ2" s="57">
        <f ca="1">'Simulations | Acc. Wealth'!KY31</f>
        <v>67764.936794959955</v>
      </c>
      <c r="LA2" s="57">
        <f ca="1">'Simulations | Acc. Wealth'!KZ31</f>
        <v>68745.165895143087</v>
      </c>
      <c r="LB2" s="57">
        <f ca="1">'Simulations | Acc. Wealth'!LA31</f>
        <v>49002.248396190269</v>
      </c>
      <c r="LC2" s="57">
        <f ca="1">'Simulations | Acc. Wealth'!LB31</f>
        <v>71902.188107208771</v>
      </c>
      <c r="LD2" s="57">
        <f ca="1">'Simulations | Acc. Wealth'!LC31</f>
        <v>59402.577109735263</v>
      </c>
      <c r="LE2" s="57">
        <f ca="1">'Simulations | Acc. Wealth'!LD31</f>
        <v>59302.574769608138</v>
      </c>
      <c r="LF2" s="57">
        <f ca="1">'Simulations | Acc. Wealth'!LE31</f>
        <v>78720.833256325335</v>
      </c>
      <c r="LG2" s="57">
        <f ca="1">'Simulations | Acc. Wealth'!LF31</f>
        <v>75486.513589245646</v>
      </c>
      <c r="LH2" s="57">
        <f ca="1">'Simulations | Acc. Wealth'!LG31</f>
        <v>55827.603666953881</v>
      </c>
      <c r="LI2" s="57">
        <f ca="1">'Simulations | Acc. Wealth'!LH31</f>
        <v>67181.382658584625</v>
      </c>
      <c r="LJ2" s="57">
        <f ca="1">'Simulations | Acc. Wealth'!LI31</f>
        <v>58234.471059190975</v>
      </c>
      <c r="LK2" s="57">
        <f ca="1">'Simulations | Acc. Wealth'!LJ31</f>
        <v>49134.73088798354</v>
      </c>
      <c r="LL2" s="57">
        <f ca="1">'Simulations | Acc. Wealth'!LK31</f>
        <v>70584.768024325298</v>
      </c>
      <c r="LM2" s="57">
        <f ca="1">'Simulations | Acc. Wealth'!LL31</f>
        <v>57425.127353030191</v>
      </c>
      <c r="LN2" s="57">
        <f ca="1">'Simulations | Acc. Wealth'!LM31</f>
        <v>60616.484453756268</v>
      </c>
      <c r="LO2" s="57">
        <f ca="1">'Simulations | Acc. Wealth'!LN31</f>
        <v>71325.911815583851</v>
      </c>
      <c r="LP2" s="57">
        <f ca="1">'Simulations | Acc. Wealth'!LO31</f>
        <v>49166.212279958585</v>
      </c>
      <c r="LQ2" s="57">
        <f ca="1">'Simulations | Acc. Wealth'!LP31</f>
        <v>47899.223779490989</v>
      </c>
      <c r="LR2" s="57">
        <f ca="1">'Simulations | Acc. Wealth'!LQ31</f>
        <v>40852.942571743297</v>
      </c>
      <c r="LS2" s="57">
        <f ca="1">'Simulations | Acc. Wealth'!LR31</f>
        <v>54268.157061817757</v>
      </c>
      <c r="LT2" s="57">
        <f ca="1">'Simulations | Acc. Wealth'!LS31</f>
        <v>53557.393587350394</v>
      </c>
      <c r="LU2" s="57">
        <f ca="1">'Simulations | Acc. Wealth'!LT31</f>
        <v>64646.642207795383</v>
      </c>
      <c r="LV2" s="57">
        <f ca="1">'Simulations | Acc. Wealth'!LU31</f>
        <v>87008.362557748114</v>
      </c>
      <c r="LW2" s="57">
        <f ca="1">'Simulations | Acc. Wealth'!LV31</f>
        <v>59988.055913771415</v>
      </c>
      <c r="LX2" s="57">
        <f ca="1">'Simulations | Acc. Wealth'!LW31</f>
        <v>38081.720809947139</v>
      </c>
      <c r="LY2" s="57">
        <f ca="1">'Simulations | Acc. Wealth'!LX31</f>
        <v>63247.681536011936</v>
      </c>
      <c r="LZ2" s="57">
        <f ca="1">'Simulations | Acc. Wealth'!LY31</f>
        <v>65313.491924683127</v>
      </c>
      <c r="MA2" s="57">
        <f ca="1">'Simulations | Acc. Wealth'!LZ31</f>
        <v>64629.82770263595</v>
      </c>
      <c r="MB2" s="57">
        <f ca="1">'Simulations | Acc. Wealth'!MA31</f>
        <v>51450.619845778812</v>
      </c>
      <c r="MC2" s="57">
        <f ca="1">'Simulations | Acc. Wealth'!MB31</f>
        <v>56628.0396825055</v>
      </c>
      <c r="MD2" s="57">
        <f ca="1">'Simulations | Acc. Wealth'!MC31</f>
        <v>52345.736437145613</v>
      </c>
      <c r="ME2" s="57">
        <f ca="1">'Simulations | Acc. Wealth'!MD31</f>
        <v>62400.543882066966</v>
      </c>
      <c r="MF2" s="57">
        <f ca="1">'Simulations | Acc. Wealth'!ME31</f>
        <v>53276.151796398946</v>
      </c>
      <c r="MG2" s="57">
        <f ca="1">'Simulations | Acc. Wealth'!MF31</f>
        <v>65770.248717418275</v>
      </c>
      <c r="MH2" s="57">
        <f ca="1">'Simulations | Acc. Wealth'!MG31</f>
        <v>51780.922642740072</v>
      </c>
      <c r="MI2" s="57">
        <f ca="1">'Simulations | Acc. Wealth'!MH31</f>
        <v>60302.648633782876</v>
      </c>
      <c r="MJ2" s="57">
        <f ca="1">'Simulations | Acc. Wealth'!MI31</f>
        <v>61491.394848178439</v>
      </c>
      <c r="MK2" s="57">
        <f ca="1">'Simulations | Acc. Wealth'!MJ31</f>
        <v>46613.389531954614</v>
      </c>
      <c r="ML2" s="57">
        <f ca="1">'Simulations | Acc. Wealth'!MK31</f>
        <v>70967.181030873588</v>
      </c>
      <c r="MM2" s="57">
        <f ca="1">'Simulations | Acc. Wealth'!ML31</f>
        <v>65519.739457489872</v>
      </c>
      <c r="MN2" s="57">
        <f ca="1">'Simulations | Acc. Wealth'!MM31</f>
        <v>49546.397905443933</v>
      </c>
      <c r="MO2" s="57">
        <f ca="1">'Simulations | Acc. Wealth'!MN31</f>
        <v>66965.55176329262</v>
      </c>
      <c r="MP2" s="57">
        <f ca="1">'Simulations | Acc. Wealth'!MO31</f>
        <v>58206.504596795457</v>
      </c>
      <c r="MQ2" s="57">
        <f ca="1">'Simulations | Acc. Wealth'!MP31</f>
        <v>50376.896761416094</v>
      </c>
      <c r="MR2" s="57">
        <f ca="1">'Simulations | Acc. Wealth'!MQ31</f>
        <v>61988.608369019064</v>
      </c>
      <c r="MS2" s="57">
        <f ca="1">'Simulations | Acc. Wealth'!MR31</f>
        <v>45903.128192796721</v>
      </c>
      <c r="MT2" s="57">
        <f ca="1">'Simulations | Acc. Wealth'!MS31</f>
        <v>54565.020006475046</v>
      </c>
      <c r="MU2" s="57">
        <f ca="1">'Simulations | Acc. Wealth'!MT31</f>
        <v>64048.689518728999</v>
      </c>
      <c r="MV2" s="57">
        <f ca="1">'Simulations | Acc. Wealth'!MU31</f>
        <v>74560.077198113358</v>
      </c>
      <c r="MW2" s="57">
        <f ca="1">'Simulations | Acc. Wealth'!MV31</f>
        <v>68888.831658179348</v>
      </c>
      <c r="MX2" s="57">
        <f ca="1">'Simulations | Acc. Wealth'!MW31</f>
        <v>63659.305924902495</v>
      </c>
      <c r="MY2" s="57">
        <f ca="1">'Simulations | Acc. Wealth'!MX31</f>
        <v>66801.288449149681</v>
      </c>
      <c r="MZ2" s="57">
        <f ca="1">'Simulations | Acc. Wealth'!MY31</f>
        <v>60420.618536375907</v>
      </c>
      <c r="NA2" s="57">
        <f ca="1">'Simulations | Acc. Wealth'!MZ31</f>
        <v>61827.959224681974</v>
      </c>
      <c r="NB2" s="57">
        <f ca="1">'Simulations | Acc. Wealth'!NA31</f>
        <v>61483.825135694227</v>
      </c>
      <c r="NC2" s="57">
        <f ca="1">'Simulations | Acc. Wealth'!NB31</f>
        <v>57490.829705875585</v>
      </c>
      <c r="ND2" s="57">
        <f ca="1">'Simulations | Acc. Wealth'!NC31</f>
        <v>72160.519451588771</v>
      </c>
      <c r="NE2" s="57">
        <f ca="1">'Simulations | Acc. Wealth'!ND31</f>
        <v>54040.659639378478</v>
      </c>
      <c r="NF2" s="57">
        <f ca="1">'Simulations | Acc. Wealth'!NE31</f>
        <v>57209.321683564522</v>
      </c>
      <c r="NG2" s="57">
        <f ca="1">'Simulations | Acc. Wealth'!NF31</f>
        <v>67131.936111522431</v>
      </c>
      <c r="NH2" s="57">
        <f ca="1">'Simulations | Acc. Wealth'!NG31</f>
        <v>75996.596513944649</v>
      </c>
      <c r="NI2" s="57">
        <f ca="1">'Simulations | Acc. Wealth'!NH31</f>
        <v>53645.596158585329</v>
      </c>
      <c r="NJ2" s="57">
        <f ca="1">'Simulations | Acc. Wealth'!NI31</f>
        <v>62178.474767316053</v>
      </c>
      <c r="NK2" s="57">
        <f ca="1">'Simulations | Acc. Wealth'!NJ31</f>
        <v>69069.137242311452</v>
      </c>
      <c r="NL2" s="57">
        <f ca="1">'Simulations | Acc. Wealth'!NK31</f>
        <v>62436.784803216236</v>
      </c>
      <c r="NM2" s="57">
        <f ca="1">'Simulations | Acc. Wealth'!NL31</f>
        <v>49532.707508724721</v>
      </c>
      <c r="NN2" s="57">
        <f ca="1">'Simulations | Acc. Wealth'!NM31</f>
        <v>59630.570608317234</v>
      </c>
      <c r="NO2" s="57">
        <f ca="1">'Simulations | Acc. Wealth'!NN31</f>
        <v>57233.027964529632</v>
      </c>
      <c r="NP2" s="57">
        <f ca="1">'Simulations | Acc. Wealth'!NO31</f>
        <v>64659.728606624863</v>
      </c>
      <c r="NQ2" s="57">
        <f ca="1">'Simulations | Acc. Wealth'!NP31</f>
        <v>52946.450808266942</v>
      </c>
      <c r="NR2" s="57">
        <f ca="1">'Simulations | Acc. Wealth'!NQ31</f>
        <v>48080.02001841789</v>
      </c>
      <c r="NS2" s="57">
        <f ca="1">'Simulations | Acc. Wealth'!NR31</f>
        <v>59227.218345828951</v>
      </c>
      <c r="NT2" s="57">
        <f ca="1">'Simulations | Acc. Wealth'!NS31</f>
        <v>49428.491426350542</v>
      </c>
      <c r="NU2" s="57">
        <f ca="1">'Simulations | Acc. Wealth'!NT31</f>
        <v>75769.857052240273</v>
      </c>
      <c r="NV2" s="57">
        <f ca="1">'Simulations | Acc. Wealth'!NU31</f>
        <v>70651.750643967884</v>
      </c>
      <c r="NW2" s="57">
        <f ca="1">'Simulations | Acc. Wealth'!NV31</f>
        <v>46452.759179814086</v>
      </c>
      <c r="NX2" s="57">
        <f ca="1">'Simulations | Acc. Wealth'!NW31</f>
        <v>51159.821320431831</v>
      </c>
      <c r="NY2" s="57">
        <f ca="1">'Simulations | Acc. Wealth'!NX31</f>
        <v>71170.712765660559</v>
      </c>
      <c r="NZ2" s="57">
        <f ca="1">'Simulations | Acc. Wealth'!NY31</f>
        <v>58419.221681781491</v>
      </c>
      <c r="OA2" s="57">
        <f ca="1">'Simulations | Acc. Wealth'!NZ31</f>
        <v>64285.55943390607</v>
      </c>
      <c r="OB2" s="57">
        <f ca="1">'Simulations | Acc. Wealth'!OA31</f>
        <v>52309.349291595237</v>
      </c>
      <c r="OC2" s="57">
        <f ca="1">'Simulations | Acc. Wealth'!OB31</f>
        <v>78691.228842753088</v>
      </c>
      <c r="OD2" s="57">
        <f ca="1">'Simulations | Acc. Wealth'!OC31</f>
        <v>53710.021660549624</v>
      </c>
      <c r="OE2" s="57">
        <f ca="1">'Simulations | Acc. Wealth'!OD31</f>
        <v>49451.836240658289</v>
      </c>
      <c r="OF2" s="57">
        <f ca="1">'Simulations | Acc. Wealth'!OE31</f>
        <v>66834.919463223865</v>
      </c>
      <c r="OG2" s="57">
        <f ca="1">'Simulations | Acc. Wealth'!OF31</f>
        <v>74624.285023105098</v>
      </c>
      <c r="OH2" s="57">
        <f ca="1">'Simulations | Acc. Wealth'!OG31</f>
        <v>67073.588306718128</v>
      </c>
      <c r="OI2" s="57">
        <f ca="1">'Simulations | Acc. Wealth'!OH31</f>
        <v>76103.232222461593</v>
      </c>
      <c r="OJ2" s="57">
        <f ca="1">'Simulations | Acc. Wealth'!OI31</f>
        <v>56222.642961519661</v>
      </c>
      <c r="OK2" s="57">
        <f ca="1">'Simulations | Acc. Wealth'!OJ31</f>
        <v>60292.230137202299</v>
      </c>
      <c r="OL2" s="57">
        <f ca="1">'Simulations | Acc. Wealth'!OK31</f>
        <v>56278.382582446087</v>
      </c>
      <c r="OM2" s="57">
        <f ca="1">'Simulations | Acc. Wealth'!OL31</f>
        <v>62800.683578001117</v>
      </c>
      <c r="ON2" s="57">
        <f ca="1">'Simulations | Acc. Wealth'!OM31</f>
        <v>50461.489480589007</v>
      </c>
      <c r="OO2" s="57">
        <f ca="1">'Simulations | Acc. Wealth'!ON31</f>
        <v>70272.391305169702</v>
      </c>
      <c r="OP2" s="57">
        <f ca="1">'Simulations | Acc. Wealth'!OO31</f>
        <v>66472.518982886817</v>
      </c>
      <c r="OQ2" s="57">
        <f ca="1">'Simulations | Acc. Wealth'!OP31</f>
        <v>60032.184197539464</v>
      </c>
      <c r="OR2" s="57">
        <f ca="1">'Simulations | Acc. Wealth'!OQ31</f>
        <v>60547.186833535969</v>
      </c>
      <c r="OS2" s="57">
        <f ca="1">'Simulations | Acc. Wealth'!OR31</f>
        <v>64259.90036587853</v>
      </c>
      <c r="OT2" s="57">
        <f ca="1">'Simulations | Acc. Wealth'!OS31</f>
        <v>58030.416233936092</v>
      </c>
      <c r="OU2" s="57">
        <f ca="1">'Simulations | Acc. Wealth'!OT31</f>
        <v>56866.223041298217</v>
      </c>
      <c r="OV2" s="57">
        <f ca="1">'Simulations | Acc. Wealth'!OU31</f>
        <v>45472.909062340623</v>
      </c>
      <c r="OW2" s="57">
        <f ca="1">'Simulations | Acc. Wealth'!OV31</f>
        <v>60585.296131360134</v>
      </c>
      <c r="OX2" s="57">
        <f ca="1">'Simulations | Acc. Wealth'!OW31</f>
        <v>53149.600187829928</v>
      </c>
      <c r="OY2" s="57">
        <f ca="1">'Simulations | Acc. Wealth'!OX31</f>
        <v>76281.513111147011</v>
      </c>
      <c r="OZ2" s="57">
        <f ca="1">'Simulations | Acc. Wealth'!OY31</f>
        <v>52086.857065847063</v>
      </c>
      <c r="PA2" s="57">
        <f ca="1">'Simulations | Acc. Wealth'!OZ31</f>
        <v>69031.806588495281</v>
      </c>
      <c r="PB2" s="57">
        <f ca="1">'Simulations | Acc. Wealth'!PA31</f>
        <v>58511.527951169854</v>
      </c>
      <c r="PC2" s="57">
        <f ca="1">'Simulations | Acc. Wealth'!PB31</f>
        <v>56828.477930839908</v>
      </c>
      <c r="PD2" s="57">
        <f ca="1">'Simulations | Acc. Wealth'!PC31</f>
        <v>50897.913645457353</v>
      </c>
      <c r="PE2" s="57">
        <f ca="1">'Simulations | Acc. Wealth'!PD31</f>
        <v>54900.118136814119</v>
      </c>
      <c r="PF2" s="57">
        <f ca="1">'Simulations | Acc. Wealth'!PE31</f>
        <v>69311.988814605211</v>
      </c>
      <c r="PG2" s="57">
        <f ca="1">'Simulations | Acc. Wealth'!PF31</f>
        <v>64176.198540124831</v>
      </c>
      <c r="PH2" s="57">
        <f ca="1">'Simulations | Acc. Wealth'!PG31</f>
        <v>54134.053301873464</v>
      </c>
      <c r="PI2" s="57">
        <f ca="1">'Simulations | Acc. Wealth'!PH31</f>
        <v>49454.015851317417</v>
      </c>
      <c r="PJ2" s="57">
        <f ca="1">'Simulations | Acc. Wealth'!PI31</f>
        <v>56213.029187220345</v>
      </c>
      <c r="PK2" s="57">
        <f ca="1">'Simulations | Acc. Wealth'!PJ31</f>
        <v>69258.077686122939</v>
      </c>
      <c r="PL2" s="57">
        <f ca="1">'Simulations | Acc. Wealth'!PK31</f>
        <v>66176.151300945552</v>
      </c>
      <c r="PM2" s="57">
        <f ca="1">'Simulations | Acc. Wealth'!PL31</f>
        <v>71511.798256249807</v>
      </c>
      <c r="PN2" s="57">
        <f ca="1">'Simulations | Acc. Wealth'!PM31</f>
        <v>64672.807735398485</v>
      </c>
      <c r="PO2" s="57">
        <f ca="1">'Simulations | Acc. Wealth'!PN31</f>
        <v>54580.217744375928</v>
      </c>
      <c r="PP2" s="57">
        <f ca="1">'Simulations | Acc. Wealth'!PO31</f>
        <v>72321.052215284726</v>
      </c>
      <c r="PQ2" s="57">
        <f ca="1">'Simulations | Acc. Wealth'!PP31</f>
        <v>53592.856489359467</v>
      </c>
      <c r="PR2" s="57">
        <f ca="1">'Simulations | Acc. Wealth'!PQ31</f>
        <v>64231.889618714747</v>
      </c>
      <c r="PS2" s="57">
        <f ca="1">'Simulations | Acc. Wealth'!PR31</f>
        <v>61179.870975097612</v>
      </c>
      <c r="PT2" s="57">
        <f ca="1">'Simulations | Acc. Wealth'!PS31</f>
        <v>68403.543052676599</v>
      </c>
      <c r="PU2" s="57">
        <f ca="1">'Simulations | Acc. Wealth'!PT31</f>
        <v>52678.46877019947</v>
      </c>
      <c r="PV2" s="57">
        <f ca="1">'Simulations | Acc. Wealth'!PU31</f>
        <v>63100.866061737142</v>
      </c>
      <c r="PW2" s="57">
        <f ca="1">'Simulations | Acc. Wealth'!PV31</f>
        <v>63904.726537733084</v>
      </c>
      <c r="PX2" s="57">
        <f ca="1">'Simulations | Acc. Wealth'!PW31</f>
        <v>56449.11616125494</v>
      </c>
      <c r="PY2" s="57">
        <f ca="1">'Simulations | Acc. Wealth'!PX31</f>
        <v>62653.397394280517</v>
      </c>
      <c r="PZ2" s="57">
        <f ca="1">'Simulations | Acc. Wealth'!PY31</f>
        <v>65294.325670905921</v>
      </c>
      <c r="QA2" s="57">
        <f ca="1">'Simulations | Acc. Wealth'!PZ31</f>
        <v>70673.436658952865</v>
      </c>
      <c r="QB2" s="57">
        <f ca="1">'Simulations | Acc. Wealth'!QA31</f>
        <v>54720.397323677695</v>
      </c>
      <c r="QC2" s="57">
        <f ca="1">'Simulations | Acc. Wealth'!QB31</f>
        <v>65223.977034735384</v>
      </c>
      <c r="QD2" s="57">
        <f ca="1">'Simulations | Acc. Wealth'!QC31</f>
        <v>71837.157231183097</v>
      </c>
      <c r="QE2" s="57">
        <f ca="1">'Simulations | Acc. Wealth'!QD31</f>
        <v>62485.419934019345</v>
      </c>
      <c r="QF2" s="57">
        <f ca="1">'Simulations | Acc. Wealth'!QE31</f>
        <v>60939.717155172948</v>
      </c>
      <c r="QG2" s="57">
        <f ca="1">'Simulations | Acc. Wealth'!QF31</f>
        <v>51147.584590825827</v>
      </c>
      <c r="QH2" s="57">
        <f ca="1">'Simulations | Acc. Wealth'!QG31</f>
        <v>49988.071558136166</v>
      </c>
      <c r="QI2" s="57">
        <f ca="1">'Simulations | Acc. Wealth'!QH31</f>
        <v>51250.502560595007</v>
      </c>
      <c r="QJ2" s="57">
        <f ca="1">'Simulations | Acc. Wealth'!QI31</f>
        <v>47916.689389282677</v>
      </c>
      <c r="QK2" s="57">
        <f ca="1">'Simulations | Acc. Wealth'!QJ31</f>
        <v>49688.096940985481</v>
      </c>
      <c r="QL2" s="57">
        <f ca="1">'Simulations | Acc. Wealth'!QK31</f>
        <v>53393.189272324118</v>
      </c>
      <c r="QM2" s="57">
        <f ca="1">'Simulations | Acc. Wealth'!QL31</f>
        <v>75188.491501321783</v>
      </c>
      <c r="QN2" s="57">
        <f ca="1">'Simulations | Acc. Wealth'!QM31</f>
        <v>47771.786417968178</v>
      </c>
      <c r="QO2" s="57">
        <f ca="1">'Simulations | Acc. Wealth'!QN31</f>
        <v>51688.895524943335</v>
      </c>
      <c r="QP2" s="57">
        <f ca="1">'Simulations | Acc. Wealth'!QO31</f>
        <v>72862.519360773906</v>
      </c>
      <c r="QQ2" s="57">
        <f ca="1">'Simulations | Acc. Wealth'!QP31</f>
        <v>63268.65285689578</v>
      </c>
      <c r="QR2" s="57">
        <f ca="1">'Simulations | Acc. Wealth'!QQ31</f>
        <v>53753.053017834718</v>
      </c>
      <c r="QS2" s="57">
        <f ca="1">'Simulations | Acc. Wealth'!QR31</f>
        <v>57772.969701838265</v>
      </c>
      <c r="QT2" s="57">
        <f ca="1">'Simulations | Acc. Wealth'!QS31</f>
        <v>66138.544597982676</v>
      </c>
      <c r="QU2" s="57">
        <f ca="1">'Simulations | Acc. Wealth'!QT31</f>
        <v>44033.98943974595</v>
      </c>
      <c r="QV2" s="57">
        <f ca="1">'Simulations | Acc. Wealth'!QU31</f>
        <v>49264.850142959054</v>
      </c>
      <c r="QW2" s="57">
        <f ca="1">'Simulations | Acc. Wealth'!QV31</f>
        <v>61293.55433727536</v>
      </c>
      <c r="QX2" s="57">
        <f ca="1">'Simulations | Acc. Wealth'!QW31</f>
        <v>58817.876401411057</v>
      </c>
      <c r="QY2" s="57">
        <f ca="1">'Simulations | Acc. Wealth'!QX31</f>
        <v>68098.295434182219</v>
      </c>
      <c r="QZ2" s="57">
        <f ca="1">'Simulations | Acc. Wealth'!QY31</f>
        <v>48907.857578794865</v>
      </c>
      <c r="RA2" s="57">
        <f ca="1">'Simulations | Acc. Wealth'!QZ31</f>
        <v>53172.865292414543</v>
      </c>
      <c r="RB2" s="57">
        <f ca="1">'Simulations | Acc. Wealth'!RA31</f>
        <v>57624.331862304251</v>
      </c>
      <c r="RC2" s="57">
        <f ca="1">'Simulations | Acc. Wealth'!RB31</f>
        <v>89123.480284271762</v>
      </c>
      <c r="RD2" s="57">
        <f ca="1">'Simulations | Acc. Wealth'!RC31</f>
        <v>60971.19985085175</v>
      </c>
      <c r="RE2" s="57">
        <f ca="1">'Simulations | Acc. Wealth'!RD31</f>
        <v>47041.487699553472</v>
      </c>
      <c r="RF2" s="57">
        <f ca="1">'Simulations | Acc. Wealth'!RE31</f>
        <v>51606.508461631427</v>
      </c>
      <c r="RG2" s="57">
        <f ca="1">'Simulations | Acc. Wealth'!RF31</f>
        <v>59525.481263125577</v>
      </c>
      <c r="RH2" s="57">
        <f ca="1">'Simulations | Acc. Wealth'!RG31</f>
        <v>50981.614928597766</v>
      </c>
      <c r="RI2" s="57">
        <f ca="1">'Simulations | Acc. Wealth'!RH31</f>
        <v>75601.220413925199</v>
      </c>
      <c r="RJ2" s="57">
        <f ca="1">'Simulations | Acc. Wealth'!RI31</f>
        <v>66495.422039663565</v>
      </c>
      <c r="RK2" s="57">
        <f ca="1">'Simulations | Acc. Wealth'!RJ31</f>
        <v>53086.539916423841</v>
      </c>
      <c r="RL2" s="57">
        <f ca="1">'Simulations | Acc. Wealth'!RK31</f>
        <v>73741.768945423843</v>
      </c>
      <c r="RM2" s="57">
        <f ca="1">'Simulations | Acc. Wealth'!RL31</f>
        <v>66216.700145302311</v>
      </c>
      <c r="RN2" s="57">
        <f ca="1">'Simulations | Acc. Wealth'!RM31</f>
        <v>55710.793781689885</v>
      </c>
      <c r="RO2" s="57">
        <f ca="1">'Simulations | Acc. Wealth'!RN31</f>
        <v>58692.596394378772</v>
      </c>
      <c r="RP2" s="57">
        <f ca="1">'Simulations | Acc. Wealth'!RO31</f>
        <v>48640.888721372874</v>
      </c>
      <c r="RQ2" s="57">
        <f ca="1">'Simulations | Acc. Wealth'!RP31</f>
        <v>55612.249806452295</v>
      </c>
      <c r="RR2" s="57">
        <f ca="1">'Simulations | Acc. Wealth'!RQ31</f>
        <v>61468.360304417685</v>
      </c>
      <c r="RS2" s="57">
        <f ca="1">'Simulations | Acc. Wealth'!RR31</f>
        <v>51582.356707763931</v>
      </c>
      <c r="RT2" s="57">
        <f ca="1">'Simulations | Acc. Wealth'!RS31</f>
        <v>75027.045437191191</v>
      </c>
      <c r="RU2" s="57">
        <f ca="1">'Simulations | Acc. Wealth'!RT31</f>
        <v>66413.648971235409</v>
      </c>
      <c r="RV2" s="57">
        <f ca="1">'Simulations | Acc. Wealth'!RU31</f>
        <v>49857.795093951201</v>
      </c>
      <c r="RW2" s="57">
        <f ca="1">'Simulations | Acc. Wealth'!RV31</f>
        <v>57565.929686073316</v>
      </c>
      <c r="RX2" s="57">
        <f ca="1">'Simulations | Acc. Wealth'!RW31</f>
        <v>65600.532995572285</v>
      </c>
      <c r="RY2" s="57">
        <f ca="1">'Simulations | Acc. Wealth'!RX31</f>
        <v>61945.867260744497</v>
      </c>
      <c r="RZ2" s="57">
        <f ca="1">'Simulations | Acc. Wealth'!RY31</f>
        <v>58389.497465557943</v>
      </c>
      <c r="SA2" s="57">
        <f ca="1">'Simulations | Acc. Wealth'!RZ31</f>
        <v>52847.375652993178</v>
      </c>
      <c r="SB2" s="57">
        <f ca="1">'Simulations | Acc. Wealth'!SA31</f>
        <v>63260.48039750076</v>
      </c>
      <c r="SC2" s="57">
        <f ca="1">'Simulations | Acc. Wealth'!SB31</f>
        <v>65725.31020433674</v>
      </c>
      <c r="SD2" s="57">
        <f ca="1">'Simulations | Acc. Wealth'!SC31</f>
        <v>60926.084537070645</v>
      </c>
      <c r="SE2" s="57">
        <f ca="1">'Simulations | Acc. Wealth'!SD31</f>
        <v>49184.321928903002</v>
      </c>
      <c r="SF2" s="57">
        <f ca="1">'Simulations | Acc. Wealth'!SE31</f>
        <v>70044.504607291325</v>
      </c>
      <c r="SG2" s="57">
        <f ca="1">'Simulations | Acc. Wealth'!SF31</f>
        <v>64300.404464046725</v>
      </c>
      <c r="SH2" s="57">
        <f ca="1">'Simulations | Acc. Wealth'!SG31</f>
        <v>54741.005466689297</v>
      </c>
      <c r="SI2" s="57">
        <f ca="1">'Simulations | Acc. Wealth'!SH31</f>
        <v>54058.137774042203</v>
      </c>
      <c r="SJ2" s="57">
        <f ca="1">'Simulations | Acc. Wealth'!SI31</f>
        <v>71398.164481287749</v>
      </c>
      <c r="SK2" s="57">
        <f ca="1">'Simulations | Acc. Wealth'!SJ31</f>
        <v>57865.999884630415</v>
      </c>
      <c r="SL2" s="57">
        <f ca="1">'Simulations | Acc. Wealth'!SK31</f>
        <v>69830.119559693412</v>
      </c>
      <c r="SM2" s="57">
        <f ca="1">'Simulations | Acc. Wealth'!SL31</f>
        <v>53391.9847881358</v>
      </c>
      <c r="SN2" s="57">
        <f ca="1">'Simulations | Acc. Wealth'!SM31</f>
        <v>51131.63739663364</v>
      </c>
      <c r="SO2" s="57">
        <f ca="1">'Simulations | Acc. Wealth'!SN31</f>
        <v>56808.494930265333</v>
      </c>
      <c r="SP2" s="57">
        <f ca="1">'Simulations | Acc. Wealth'!SO31</f>
        <v>52198.158819611534</v>
      </c>
      <c r="SQ2" s="57">
        <f ca="1">'Simulations | Acc. Wealth'!SP31</f>
        <v>62793.246123279205</v>
      </c>
      <c r="SR2" s="57">
        <f ca="1">'Simulations | Acc. Wealth'!SQ31</f>
        <v>65486.467744425143</v>
      </c>
      <c r="SS2" s="57">
        <f ca="1">'Simulations | Acc. Wealth'!SR31</f>
        <v>66403.984713278143</v>
      </c>
      <c r="ST2" s="57">
        <f ca="1">'Simulations | Acc. Wealth'!SS31</f>
        <v>58323.672240475484</v>
      </c>
      <c r="SU2" s="57">
        <f ca="1">'Simulations | Acc. Wealth'!ST31</f>
        <v>65084.20061082569</v>
      </c>
      <c r="SV2" s="57">
        <f ca="1">'Simulations | Acc. Wealth'!SU31</f>
        <v>58978.481640618396</v>
      </c>
      <c r="SW2" s="57">
        <f ca="1">'Simulations | Acc. Wealth'!SV31</f>
        <v>69324.265164433498</v>
      </c>
      <c r="SX2" s="57">
        <f ca="1">'Simulations | Acc. Wealth'!SW31</f>
        <v>39060.652622884001</v>
      </c>
      <c r="SY2" s="57">
        <f ca="1">'Simulations | Acc. Wealth'!SX31</f>
        <v>46157.950441102112</v>
      </c>
      <c r="SZ2" s="57">
        <f ca="1">'Simulations | Acc. Wealth'!SY31</f>
        <v>52656.737209571882</v>
      </c>
      <c r="TA2" s="57">
        <f ca="1">'Simulations | Acc. Wealth'!SZ31</f>
        <v>57748.53468979826</v>
      </c>
      <c r="TB2" s="57">
        <f ca="1">'Simulations | Acc. Wealth'!TA31</f>
        <v>49298.819650636731</v>
      </c>
      <c r="TC2" s="57">
        <f ca="1">'Simulations | Acc. Wealth'!TB31</f>
        <v>49992.328530094775</v>
      </c>
      <c r="TD2" s="57">
        <f ca="1">'Simulations | Acc. Wealth'!TC31</f>
        <v>52561.165461839941</v>
      </c>
      <c r="TE2" s="57">
        <f ca="1">'Simulations | Acc. Wealth'!TD31</f>
        <v>66136.138249455063</v>
      </c>
      <c r="TF2" s="57">
        <f ca="1">'Simulations | Acc. Wealth'!TE31</f>
        <v>55114.629398057521</v>
      </c>
      <c r="TG2" s="57">
        <f ca="1">'Simulations | Acc. Wealth'!TF31</f>
        <v>72279.856197032059</v>
      </c>
      <c r="TH2" s="57">
        <f ca="1">'Simulations | Acc. Wealth'!TG31</f>
        <v>62917.369020752529</v>
      </c>
      <c r="TI2" s="57">
        <f ca="1">'Simulations | Acc. Wealth'!TH31</f>
        <v>56386.880053476423</v>
      </c>
      <c r="TJ2" s="57">
        <f ca="1">'Simulations | Acc. Wealth'!TI31</f>
        <v>64285.015103561069</v>
      </c>
      <c r="TK2" s="57">
        <f ca="1">'Simulations | Acc. Wealth'!TJ31</f>
        <v>75941.569412048149</v>
      </c>
      <c r="TL2" s="57">
        <f ca="1">'Simulations | Acc. Wealth'!TK31</f>
        <v>52682.732202854262</v>
      </c>
      <c r="TM2" s="57">
        <f ca="1">'Simulations | Acc. Wealth'!TL31</f>
        <v>58921.652932541998</v>
      </c>
      <c r="TN2" s="57">
        <f ca="1">'Simulations | Acc. Wealth'!TM31</f>
        <v>60562.239193932262</v>
      </c>
      <c r="TO2" s="57">
        <f ca="1">'Simulations | Acc. Wealth'!TN31</f>
        <v>47088.011732281062</v>
      </c>
      <c r="TP2" s="57">
        <f ca="1">'Simulations | Acc. Wealth'!TO31</f>
        <v>57567.580419099744</v>
      </c>
      <c r="TQ2" s="57">
        <f ca="1">'Simulations | Acc. Wealth'!TP31</f>
        <v>56506.349154503208</v>
      </c>
      <c r="TR2" s="57">
        <f ca="1">'Simulations | Acc. Wealth'!TQ31</f>
        <v>57731.984210886076</v>
      </c>
      <c r="TS2" s="57">
        <f ca="1">'Simulations | Acc. Wealth'!TR31</f>
        <v>59729.843233567321</v>
      </c>
      <c r="TT2" s="57">
        <f ca="1">'Simulations | Acc. Wealth'!TS31</f>
        <v>46765.600646199462</v>
      </c>
      <c r="TU2" s="57">
        <f ca="1">'Simulations | Acc. Wealth'!TT31</f>
        <v>53397.180700569443</v>
      </c>
      <c r="TV2" s="57">
        <f ca="1">'Simulations | Acc. Wealth'!TU31</f>
        <v>70844.425336458517</v>
      </c>
      <c r="TW2" s="57">
        <f ca="1">'Simulations | Acc. Wealth'!TV31</f>
        <v>53630.318790464386</v>
      </c>
      <c r="TX2" s="57">
        <f ca="1">'Simulations | Acc. Wealth'!TW31</f>
        <v>47589.354938532902</v>
      </c>
      <c r="TY2" s="57">
        <f ca="1">'Simulations | Acc. Wealth'!TX31</f>
        <v>59220.143450879441</v>
      </c>
      <c r="TZ2" s="57">
        <f ca="1">'Simulations | Acc. Wealth'!TY31</f>
        <v>70536.557368479436</v>
      </c>
      <c r="UA2" s="57">
        <f ca="1">'Simulations | Acc. Wealth'!TZ31</f>
        <v>64939.581451156133</v>
      </c>
      <c r="UB2" s="57">
        <f ca="1">'Simulations | Acc. Wealth'!UA31</f>
        <v>56426.304518408382</v>
      </c>
      <c r="UC2" s="57">
        <f ca="1">'Simulations | Acc. Wealth'!UB31</f>
        <v>61752.071005896403</v>
      </c>
      <c r="UD2" s="57">
        <f ca="1">'Simulations | Acc. Wealth'!UC31</f>
        <v>63333.726290924533</v>
      </c>
      <c r="UE2" s="57">
        <f ca="1">'Simulations | Acc. Wealth'!UD31</f>
        <v>57154.264506671869</v>
      </c>
      <c r="UF2" s="57">
        <f ca="1">'Simulations | Acc. Wealth'!UE31</f>
        <v>41176.759548113543</v>
      </c>
      <c r="UG2" s="57">
        <f ca="1">'Simulations | Acc. Wealth'!UF31</f>
        <v>65554.161479013448</v>
      </c>
      <c r="UH2" s="57">
        <f ca="1">'Simulations | Acc. Wealth'!UG31</f>
        <v>50857.238779162319</v>
      </c>
      <c r="UI2" s="57">
        <f ca="1">'Simulations | Acc. Wealth'!UH31</f>
        <v>51179.846677306479</v>
      </c>
      <c r="UJ2" s="57">
        <f ca="1">'Simulations | Acc. Wealth'!UI31</f>
        <v>52823.570950388217</v>
      </c>
      <c r="UK2" s="57">
        <f ca="1">'Simulations | Acc. Wealth'!UJ31</f>
        <v>75127.225975017762</v>
      </c>
      <c r="UL2" s="57">
        <f ca="1">'Simulations | Acc. Wealth'!UK31</f>
        <v>58422.599699126637</v>
      </c>
      <c r="UM2" s="57">
        <f ca="1">'Simulations | Acc. Wealth'!UL31</f>
        <v>46598.490442296359</v>
      </c>
      <c r="UN2" s="57">
        <f ca="1">'Simulations | Acc. Wealth'!UM31</f>
        <v>62803.670785777016</v>
      </c>
      <c r="UO2" s="57">
        <f ca="1">'Simulations | Acc. Wealth'!UN31</f>
        <v>51684.878867292937</v>
      </c>
      <c r="UP2" s="57">
        <f ca="1">'Simulations | Acc. Wealth'!UO31</f>
        <v>50696.630691849052</v>
      </c>
      <c r="UQ2" s="57">
        <f ca="1">'Simulations | Acc. Wealth'!UP31</f>
        <v>62858.158739715604</v>
      </c>
      <c r="UR2" s="57">
        <f ca="1">'Simulations | Acc. Wealth'!UQ31</f>
        <v>61495.11553550246</v>
      </c>
      <c r="US2" s="57">
        <f ca="1">'Simulations | Acc. Wealth'!UR31</f>
        <v>67188.49258115195</v>
      </c>
      <c r="UT2" s="57">
        <f ca="1">'Simulations | Acc. Wealth'!US31</f>
        <v>49161.740971096129</v>
      </c>
      <c r="UU2" s="57">
        <f ca="1">'Simulations | Acc. Wealth'!UT31</f>
        <v>41520.512369293581</v>
      </c>
      <c r="UV2" s="57">
        <f ca="1">'Simulations | Acc. Wealth'!UU31</f>
        <v>49602.262117181039</v>
      </c>
      <c r="UW2" s="57">
        <f ca="1">'Simulations | Acc. Wealth'!UV31</f>
        <v>59857.740031965877</v>
      </c>
      <c r="UX2" s="57">
        <f ca="1">'Simulations | Acc. Wealth'!UW31</f>
        <v>67350.329270906397</v>
      </c>
      <c r="UY2" s="57">
        <f ca="1">'Simulations | Acc. Wealth'!UX31</f>
        <v>54875.117989684732</v>
      </c>
      <c r="UZ2" s="57">
        <f ca="1">'Simulations | Acc. Wealth'!UY31</f>
        <v>53836.823231782713</v>
      </c>
      <c r="VA2" s="57">
        <f ca="1">'Simulations | Acc. Wealth'!UZ31</f>
        <v>66373.244834894955</v>
      </c>
      <c r="VB2" s="57">
        <f ca="1">'Simulations | Acc. Wealth'!VA31</f>
        <v>82558.372563201687</v>
      </c>
      <c r="VC2" s="57">
        <f ca="1">'Simulations | Acc. Wealth'!VB31</f>
        <v>52983.948286050341</v>
      </c>
      <c r="VD2" s="57">
        <f ca="1">'Simulations | Acc. Wealth'!VC31</f>
        <v>47589.364003873685</v>
      </c>
      <c r="VE2" s="57">
        <f ca="1">'Simulations | Acc. Wealth'!VD31</f>
        <v>74016.749399212858</v>
      </c>
      <c r="VF2" s="57">
        <f ca="1">'Simulations | Acc. Wealth'!VE31</f>
        <v>49021.177035212088</v>
      </c>
      <c r="VG2" s="57">
        <f ca="1">'Simulations | Acc. Wealth'!VF31</f>
        <v>48452.135534945461</v>
      </c>
      <c r="VH2" s="57">
        <f ca="1">'Simulations | Acc. Wealth'!VG31</f>
        <v>53717.10852637978</v>
      </c>
      <c r="VI2" s="57">
        <f ca="1">'Simulations | Acc. Wealth'!VH31</f>
        <v>54608.584867906997</v>
      </c>
      <c r="VJ2" s="57">
        <f ca="1">'Simulations | Acc. Wealth'!VI31</f>
        <v>70528.193086148938</v>
      </c>
      <c r="VK2" s="57">
        <f ca="1">'Simulations | Acc. Wealth'!VJ31</f>
        <v>56672.064956868962</v>
      </c>
      <c r="VL2" s="57">
        <f ca="1">'Simulations | Acc. Wealth'!VK31</f>
        <v>58720.050100505177</v>
      </c>
      <c r="VM2" s="57">
        <f ca="1">'Simulations | Acc. Wealth'!VL31</f>
        <v>56261.590996954852</v>
      </c>
      <c r="VN2" s="57">
        <f ca="1">'Simulations | Acc. Wealth'!VM31</f>
        <v>71306.086217747958</v>
      </c>
      <c r="VO2" s="57">
        <f ca="1">'Simulations | Acc. Wealth'!VN31</f>
        <v>63600.590165346832</v>
      </c>
      <c r="VP2" s="57">
        <f ca="1">'Simulations | Acc. Wealth'!VO31</f>
        <v>61968.26491140719</v>
      </c>
      <c r="VQ2" s="57">
        <f ca="1">'Simulations | Acc. Wealth'!VP31</f>
        <v>69580.291881308978</v>
      </c>
      <c r="VR2" s="57">
        <f ca="1">'Simulations | Acc. Wealth'!VQ31</f>
        <v>66287.38652785703</v>
      </c>
      <c r="VS2" s="57">
        <f ca="1">'Simulations | Acc. Wealth'!VR31</f>
        <v>68187.160187085596</v>
      </c>
      <c r="VT2" s="57">
        <f ca="1">'Simulations | Acc. Wealth'!VS31</f>
        <v>76575.131332837162</v>
      </c>
      <c r="VU2" s="57">
        <f ca="1">'Simulations | Acc. Wealth'!VT31</f>
        <v>63829.22480882657</v>
      </c>
      <c r="VV2" s="57">
        <f ca="1">'Simulations | Acc. Wealth'!VU31</f>
        <v>57366.686850665821</v>
      </c>
      <c r="VW2" s="57">
        <f ca="1">'Simulations | Acc. Wealth'!VV31</f>
        <v>56796.417335619939</v>
      </c>
      <c r="VX2" s="57">
        <f ca="1">'Simulations | Acc. Wealth'!VW31</f>
        <v>62690.841510012149</v>
      </c>
      <c r="VY2" s="57">
        <f ca="1">'Simulations | Acc. Wealth'!VX31</f>
        <v>50456.309538599737</v>
      </c>
      <c r="VZ2" s="57">
        <f ca="1">'Simulations | Acc. Wealth'!VY31</f>
        <v>47097.991982311745</v>
      </c>
      <c r="WA2" s="57">
        <f ca="1">'Simulations | Acc. Wealth'!VZ31</f>
        <v>53220.920856960161</v>
      </c>
      <c r="WB2" s="57">
        <f ca="1">'Simulations | Acc. Wealth'!WA31</f>
        <v>45218.493639765416</v>
      </c>
      <c r="WC2" s="57">
        <f ca="1">'Simulations | Acc. Wealth'!WB31</f>
        <v>56126.891372622405</v>
      </c>
      <c r="WD2" s="57">
        <f ca="1">'Simulations | Acc. Wealth'!WC31</f>
        <v>58991.096714376246</v>
      </c>
      <c r="WE2" s="57">
        <f ca="1">'Simulations | Acc. Wealth'!WD31</f>
        <v>53588.939964525649</v>
      </c>
      <c r="WF2" s="57">
        <f ca="1">'Simulations | Acc. Wealth'!WE31</f>
        <v>62501.019604866553</v>
      </c>
      <c r="WG2" s="57">
        <f ca="1">'Simulations | Acc. Wealth'!WF31</f>
        <v>62486.948394074469</v>
      </c>
      <c r="WH2" s="57">
        <f ca="1">'Simulations | Acc. Wealth'!WG31</f>
        <v>59021.547851716663</v>
      </c>
      <c r="WI2" s="57">
        <f ca="1">'Simulations | Acc. Wealth'!WH31</f>
        <v>56699.660767860129</v>
      </c>
      <c r="WJ2" s="57">
        <f ca="1">'Simulations | Acc. Wealth'!WI31</f>
        <v>47448.659779979513</v>
      </c>
      <c r="WK2" s="57">
        <f ca="1">'Simulations | Acc. Wealth'!WJ31</f>
        <v>53296.693661409161</v>
      </c>
      <c r="WL2" s="57">
        <f ca="1">'Simulations | Acc. Wealth'!WK31</f>
        <v>59811.100709059931</v>
      </c>
      <c r="WM2" s="57">
        <f ca="1">'Simulations | Acc. Wealth'!WL31</f>
        <v>63528.111757113526</v>
      </c>
      <c r="WN2" s="57">
        <f ca="1">'Simulations | Acc. Wealth'!WM31</f>
        <v>61684.85482537467</v>
      </c>
      <c r="WO2" s="57">
        <f ca="1">'Simulations | Acc. Wealth'!WN31</f>
        <v>56228.779357186097</v>
      </c>
      <c r="WP2" s="57">
        <f ca="1">'Simulations | Acc. Wealth'!WO31</f>
        <v>66626.936039409658</v>
      </c>
      <c r="WQ2" s="57">
        <f ca="1">'Simulations | Acc. Wealth'!WP31</f>
        <v>56987.083745540738</v>
      </c>
      <c r="WR2" s="57">
        <f ca="1">'Simulations | Acc. Wealth'!WQ31</f>
        <v>47405.088920261245</v>
      </c>
      <c r="WS2" s="57">
        <f ca="1">'Simulations | Acc. Wealth'!WR31</f>
        <v>55377.693664003702</v>
      </c>
      <c r="WT2" s="57">
        <f ca="1">'Simulations | Acc. Wealth'!WS31</f>
        <v>56145.852571943782</v>
      </c>
      <c r="WU2" s="57">
        <f ca="1">'Simulations | Acc. Wealth'!WT31</f>
        <v>79992.71415078055</v>
      </c>
      <c r="WV2" s="57">
        <f ca="1">'Simulations | Acc. Wealth'!WU31</f>
        <v>67286.827327921928</v>
      </c>
      <c r="WW2" s="57">
        <f ca="1">'Simulations | Acc. Wealth'!WV31</f>
        <v>45317.748991787295</v>
      </c>
      <c r="WX2" s="57">
        <f ca="1">'Simulations | Acc. Wealth'!WW31</f>
        <v>58479.148792315951</v>
      </c>
      <c r="WY2" s="57">
        <f ca="1">'Simulations | Acc. Wealth'!WX31</f>
        <v>51133.578630477947</v>
      </c>
      <c r="WZ2" s="57">
        <f ca="1">'Simulations | Acc. Wealth'!WY31</f>
        <v>73818.735518238362</v>
      </c>
      <c r="XA2" s="57">
        <f ca="1">'Simulations | Acc. Wealth'!WZ31</f>
        <v>61663.402580903545</v>
      </c>
      <c r="XB2" s="57">
        <f ca="1">'Simulations | Acc. Wealth'!XA31</f>
        <v>56623.175966798583</v>
      </c>
      <c r="XC2" s="57">
        <f ca="1">'Simulations | Acc. Wealth'!XB31</f>
        <v>59383.551699017647</v>
      </c>
      <c r="XD2" s="57">
        <f ca="1">'Simulations | Acc. Wealth'!XC31</f>
        <v>81136.548534869347</v>
      </c>
      <c r="XE2" s="57">
        <f ca="1">'Simulations | Acc. Wealth'!XD31</f>
        <v>45589.281146158719</v>
      </c>
      <c r="XF2" s="57">
        <f ca="1">'Simulations | Acc. Wealth'!XE31</f>
        <v>66606.691378348332</v>
      </c>
      <c r="XG2" s="57">
        <f ca="1">'Simulations | Acc. Wealth'!XF31</f>
        <v>77629.100740055816</v>
      </c>
      <c r="XH2" s="57">
        <f ca="1">'Simulations | Acc. Wealth'!XG31</f>
        <v>50517.371417994196</v>
      </c>
      <c r="XI2" s="57">
        <f ca="1">'Simulations | Acc. Wealth'!XH31</f>
        <v>67548.676821108398</v>
      </c>
      <c r="XJ2" s="57">
        <f ca="1">'Simulations | Acc. Wealth'!XI31</f>
        <v>48330.20801531394</v>
      </c>
      <c r="XK2" s="57">
        <f ca="1">'Simulations | Acc. Wealth'!XJ31</f>
        <v>55487.104076482297</v>
      </c>
      <c r="XL2" s="57">
        <f ca="1">'Simulations | Acc. Wealth'!XK31</f>
        <v>52121.588496029362</v>
      </c>
      <c r="XM2" s="57">
        <f ca="1">'Simulations | Acc. Wealth'!XL31</f>
        <v>67846.582554012231</v>
      </c>
      <c r="XN2" s="57">
        <f ca="1">'Simulations | Acc. Wealth'!XM31</f>
        <v>64968.2481014148</v>
      </c>
      <c r="XO2" s="57">
        <f ca="1">'Simulations | Acc. Wealth'!XN31</f>
        <v>50818.579525154761</v>
      </c>
      <c r="XP2" s="57">
        <f ca="1">'Simulations | Acc. Wealth'!XO31</f>
        <v>53438.191161468727</v>
      </c>
      <c r="XQ2" s="57">
        <f ca="1">'Simulations | Acc. Wealth'!XP31</f>
        <v>64965.816480673457</v>
      </c>
      <c r="XR2" s="57">
        <f ca="1">'Simulations | Acc. Wealth'!XQ31</f>
        <v>58950.085024726897</v>
      </c>
      <c r="XS2" s="57">
        <f ca="1">'Simulations | Acc. Wealth'!XR31</f>
        <v>68587.534899636361</v>
      </c>
      <c r="XT2" s="57">
        <f ca="1">'Simulations | Acc. Wealth'!XS31</f>
        <v>54780.610040477448</v>
      </c>
      <c r="XU2" s="57">
        <f ca="1">'Simulations | Acc. Wealth'!XT31</f>
        <v>70903.981145467827</v>
      </c>
      <c r="XV2" s="57">
        <f ca="1">'Simulations | Acc. Wealth'!XU31</f>
        <v>45848.676320475759</v>
      </c>
      <c r="XW2" s="57">
        <f ca="1">'Simulations | Acc. Wealth'!XV31</f>
        <v>56481.573249569032</v>
      </c>
      <c r="XX2" s="57">
        <f ca="1">'Simulations | Acc. Wealth'!XW31</f>
        <v>46365.921574862485</v>
      </c>
      <c r="XY2" s="57">
        <f ca="1">'Simulations | Acc. Wealth'!XX31</f>
        <v>67415.744708999206</v>
      </c>
      <c r="XZ2" s="57">
        <f ca="1">'Simulations | Acc. Wealth'!XY31</f>
        <v>50489.064082445344</v>
      </c>
      <c r="YA2" s="57">
        <f ca="1">'Simulations | Acc. Wealth'!XZ31</f>
        <v>76898.739969804694</v>
      </c>
      <c r="YB2" s="57">
        <f ca="1">'Simulations | Acc. Wealth'!YA31</f>
        <v>56559.642674266528</v>
      </c>
      <c r="YC2" s="57">
        <f ca="1">'Simulations | Acc. Wealth'!YB31</f>
        <v>71284.70034052695</v>
      </c>
      <c r="YD2" s="57">
        <f ca="1">'Simulations | Acc. Wealth'!YC31</f>
        <v>66172.926818722801</v>
      </c>
      <c r="YE2" s="57">
        <f ca="1">'Simulations | Acc. Wealth'!YD31</f>
        <v>71987.203378073522</v>
      </c>
      <c r="YF2" s="57">
        <f ca="1">'Simulations | Acc. Wealth'!YE31</f>
        <v>57265.630075260182</v>
      </c>
      <c r="YG2" s="57">
        <f ca="1">'Simulations | Acc. Wealth'!YF31</f>
        <v>68748.815125474546</v>
      </c>
      <c r="YH2" s="57">
        <f ca="1">'Simulations | Acc. Wealth'!YG31</f>
        <v>84844.231609457463</v>
      </c>
      <c r="YI2" s="57">
        <f ca="1">'Simulations | Acc. Wealth'!YH31</f>
        <v>62238.092516911071</v>
      </c>
      <c r="YJ2" s="57">
        <f ca="1">'Simulations | Acc. Wealth'!YI31</f>
        <v>54694.843823915369</v>
      </c>
      <c r="YK2" s="57">
        <f ca="1">'Simulations | Acc. Wealth'!YJ31</f>
        <v>53104.111042103686</v>
      </c>
      <c r="YL2" s="57">
        <f ca="1">'Simulations | Acc. Wealth'!YK31</f>
        <v>49648.703485979197</v>
      </c>
      <c r="YM2" s="57">
        <f ca="1">'Simulations | Acc. Wealth'!YL31</f>
        <v>52087.453594916515</v>
      </c>
      <c r="YN2" s="57">
        <f ca="1">'Simulations | Acc. Wealth'!YM31</f>
        <v>57116.923641462759</v>
      </c>
      <c r="YO2" s="57">
        <f ca="1">'Simulations | Acc. Wealth'!YN31</f>
        <v>58009.550526749095</v>
      </c>
      <c r="YP2" s="57">
        <f ca="1">'Simulations | Acc. Wealth'!YO31</f>
        <v>42564.098955979498</v>
      </c>
      <c r="YQ2" s="57">
        <f ca="1">'Simulations | Acc. Wealth'!YP31</f>
        <v>51500.338329328813</v>
      </c>
      <c r="YR2" s="57">
        <f ca="1">'Simulations | Acc. Wealth'!YQ31</f>
        <v>72895.9566925119</v>
      </c>
      <c r="YS2" s="57">
        <f ca="1">'Simulations | Acc. Wealth'!YR31</f>
        <v>59305.246547724666</v>
      </c>
      <c r="YT2" s="57">
        <f ca="1">'Simulations | Acc. Wealth'!YS31</f>
        <v>59943.314678390379</v>
      </c>
      <c r="YU2" s="57">
        <f ca="1">'Simulations | Acc. Wealth'!YT31</f>
        <v>44214.340569686814</v>
      </c>
      <c r="YV2" s="57">
        <f ca="1">'Simulations | Acc. Wealth'!YU31</f>
        <v>66497.764170513081</v>
      </c>
      <c r="YW2" s="57">
        <f ca="1">'Simulations | Acc. Wealth'!YV31</f>
        <v>44679.880200955835</v>
      </c>
      <c r="YX2" s="57">
        <f ca="1">'Simulations | Acc. Wealth'!YW31</f>
        <v>41156.278028137189</v>
      </c>
      <c r="YY2" s="57">
        <f ca="1">'Simulations | Acc. Wealth'!YX31</f>
        <v>57773.719134724488</v>
      </c>
      <c r="YZ2" s="57">
        <f ca="1">'Simulations | Acc. Wealth'!YY31</f>
        <v>57811.833515702827</v>
      </c>
      <c r="ZA2" s="57">
        <f ca="1">'Simulations | Acc. Wealth'!YZ31</f>
        <v>55006.736182953406</v>
      </c>
      <c r="ZB2" s="57">
        <f ca="1">'Simulations | Acc. Wealth'!ZA31</f>
        <v>73054.455545089208</v>
      </c>
      <c r="ZC2" s="57">
        <f ca="1">'Simulations | Acc. Wealth'!ZB31</f>
        <v>60034.797223120171</v>
      </c>
      <c r="ZD2" s="57">
        <f ca="1">'Simulations | Acc. Wealth'!ZC31</f>
        <v>51099.353567564227</v>
      </c>
      <c r="ZE2" s="57">
        <f ca="1">'Simulations | Acc. Wealth'!ZD31</f>
        <v>57564.108100562829</v>
      </c>
      <c r="ZF2" s="57">
        <f ca="1">'Simulations | Acc. Wealth'!ZE31</f>
        <v>50440.783927883873</v>
      </c>
      <c r="ZG2" s="57">
        <f ca="1">'Simulations | Acc. Wealth'!ZF31</f>
        <v>69450.74068534559</v>
      </c>
      <c r="ZH2" s="57">
        <f ca="1">'Simulations | Acc. Wealth'!ZG31</f>
        <v>55244.179329918239</v>
      </c>
      <c r="ZI2" s="57">
        <f ca="1">'Simulations | Acc. Wealth'!ZH31</f>
        <v>53894.595760254546</v>
      </c>
      <c r="ZJ2" s="57">
        <f ca="1">'Simulations | Acc. Wealth'!ZI31</f>
        <v>53518.368781981677</v>
      </c>
      <c r="ZK2" s="57">
        <f ca="1">'Simulations | Acc. Wealth'!ZJ31</f>
        <v>63897.343643567321</v>
      </c>
      <c r="ZL2" s="57">
        <f ca="1">'Simulations | Acc. Wealth'!ZK31</f>
        <v>56267.677660147769</v>
      </c>
      <c r="ZM2" s="57">
        <f ca="1">'Simulations | Acc. Wealth'!ZL31</f>
        <v>59336.587348930603</v>
      </c>
      <c r="ZN2" s="57">
        <f ca="1">'Simulations | Acc. Wealth'!ZM31</f>
        <v>59916.019318513965</v>
      </c>
      <c r="ZO2" s="57">
        <f ca="1">'Simulations | Acc. Wealth'!ZN31</f>
        <v>57080.029086622853</v>
      </c>
      <c r="ZP2" s="57">
        <f ca="1">'Simulations | Acc. Wealth'!ZO31</f>
        <v>61015.499957149528</v>
      </c>
      <c r="ZQ2" s="57">
        <f ca="1">'Simulations | Acc. Wealth'!ZP31</f>
        <v>74101.073893382185</v>
      </c>
      <c r="ZR2" s="57">
        <f ca="1">'Simulations | Acc. Wealth'!ZQ31</f>
        <v>75219.875212924599</v>
      </c>
      <c r="ZS2" s="57">
        <f ca="1">'Simulations | Acc. Wealth'!ZR31</f>
        <v>55120.655602641527</v>
      </c>
      <c r="ZT2" s="57">
        <f ca="1">'Simulations | Acc. Wealth'!ZS31</f>
        <v>62642.271708102795</v>
      </c>
      <c r="ZU2" s="57">
        <f ca="1">'Simulations | Acc. Wealth'!ZT31</f>
        <v>49390.556021336459</v>
      </c>
      <c r="ZV2" s="57">
        <f ca="1">'Simulations | Acc. Wealth'!ZU31</f>
        <v>60181.984713311329</v>
      </c>
      <c r="ZW2" s="57">
        <f ca="1">'Simulations | Acc. Wealth'!ZV31</f>
        <v>76655.027806610742</v>
      </c>
      <c r="ZX2" s="57">
        <f ca="1">'Simulations | Acc. Wealth'!ZW31</f>
        <v>70436.145522560386</v>
      </c>
      <c r="ZY2" s="57">
        <f ca="1">'Simulations | Acc. Wealth'!ZX31</f>
        <v>60635.306129510427</v>
      </c>
      <c r="ZZ2" s="57">
        <f ca="1">'Simulations | Acc. Wealth'!ZY31</f>
        <v>53393.455447935223</v>
      </c>
      <c r="AAA2" s="57">
        <f ca="1">'Simulations | Acc. Wealth'!ZZ31</f>
        <v>62655.636083297621</v>
      </c>
      <c r="AAB2" s="57">
        <f ca="1">'Simulations | Acc. Wealth'!AAA31</f>
        <v>51960.724997126243</v>
      </c>
      <c r="AAC2" s="57">
        <f ca="1">'Simulations | Acc. Wealth'!AAB31</f>
        <v>58473.239111604555</v>
      </c>
      <c r="AAD2" s="57">
        <f ca="1">'Simulations | Acc. Wealth'!AAC31</f>
        <v>63456.849751828813</v>
      </c>
      <c r="AAE2" s="57">
        <f ca="1">'Simulations | Acc. Wealth'!AAD31</f>
        <v>43154.392261617511</v>
      </c>
      <c r="AAF2" s="57">
        <f ca="1">'Simulations | Acc. Wealth'!AAE31</f>
        <v>59508.192918802051</v>
      </c>
      <c r="AAG2" s="57">
        <f ca="1">'Simulations | Acc. Wealth'!AAF31</f>
        <v>48610.68917275015</v>
      </c>
      <c r="AAH2" s="57">
        <f ca="1">'Simulations | Acc. Wealth'!AAG31</f>
        <v>81292.258779163953</v>
      </c>
      <c r="AAI2" s="57">
        <f ca="1">'Simulations | Acc. Wealth'!AAH31</f>
        <v>59672.85737989792</v>
      </c>
      <c r="AAJ2" s="57">
        <f ca="1">'Simulations | Acc. Wealth'!AAI31</f>
        <v>90216.493518979405</v>
      </c>
      <c r="AAK2" s="57">
        <f ca="1">'Simulations | Acc. Wealth'!AAJ31</f>
        <v>66228.916023298705</v>
      </c>
      <c r="AAL2" s="57">
        <f ca="1">'Simulations | Acc. Wealth'!AAK31</f>
        <v>68256.134547329435</v>
      </c>
      <c r="AAM2" s="57">
        <f ca="1">'Simulations | Acc. Wealth'!AAL31</f>
        <v>53183.65208538076</v>
      </c>
      <c r="AAN2" s="57">
        <f ca="1">'Simulations | Acc. Wealth'!AAM31</f>
        <v>52122.286085237269</v>
      </c>
      <c r="AAO2" s="57">
        <f ca="1">'Simulations | Acc. Wealth'!AAN31</f>
        <v>67483.060945329518</v>
      </c>
      <c r="AAP2" s="57">
        <f ca="1">'Simulations | Acc. Wealth'!AAO31</f>
        <v>56517.564987254089</v>
      </c>
      <c r="AAQ2" s="57">
        <f ca="1">'Simulations | Acc. Wealth'!AAP31</f>
        <v>51892.564173718609</v>
      </c>
      <c r="AAR2" s="57">
        <f ca="1">'Simulations | Acc. Wealth'!AAQ31</f>
        <v>51663.237551928098</v>
      </c>
      <c r="AAS2" s="57">
        <f ca="1">'Simulations | Acc. Wealth'!AAR31</f>
        <v>57201.390434645808</v>
      </c>
      <c r="AAT2" s="57">
        <f ca="1">'Simulations | Acc. Wealth'!AAS31</f>
        <v>71905.97548495009</v>
      </c>
      <c r="AAU2" s="57">
        <f ca="1">'Simulations | Acc. Wealth'!AAT31</f>
        <v>48153.812795130718</v>
      </c>
      <c r="AAV2" s="57">
        <f ca="1">'Simulations | Acc. Wealth'!AAU31</f>
        <v>57778.857730068456</v>
      </c>
      <c r="AAW2" s="57">
        <f ca="1">'Simulations | Acc. Wealth'!AAV31</f>
        <v>63326.115472428879</v>
      </c>
      <c r="AAX2" s="57">
        <f ca="1">'Simulations | Acc. Wealth'!AAW31</f>
        <v>65618.73072369225</v>
      </c>
      <c r="AAY2" s="57">
        <f ca="1">'Simulations | Acc. Wealth'!AAX31</f>
        <v>63715.041077074828</v>
      </c>
      <c r="AAZ2" s="57">
        <f ca="1">'Simulations | Acc. Wealth'!AAY31</f>
        <v>57444.064254038007</v>
      </c>
      <c r="ABA2" s="57">
        <f ca="1">'Simulations | Acc. Wealth'!AAZ31</f>
        <v>59864.102825988339</v>
      </c>
      <c r="ABB2" s="57">
        <f ca="1">'Simulations | Acc. Wealth'!ABA31</f>
        <v>56275.236356782108</v>
      </c>
      <c r="ABC2" s="57">
        <f ca="1">'Simulations | Acc. Wealth'!ABB31</f>
        <v>52669.990386240708</v>
      </c>
      <c r="ABD2" s="57">
        <f ca="1">'Simulations | Acc. Wealth'!ABC31</f>
        <v>61183.816428003272</v>
      </c>
      <c r="ABE2" s="57">
        <f ca="1">'Simulations | Acc. Wealth'!ABD31</f>
        <v>49227.850349889013</v>
      </c>
      <c r="ABF2" s="57">
        <f ca="1">'Simulations | Acc. Wealth'!ABE31</f>
        <v>61530.698843198552</v>
      </c>
      <c r="ABG2" s="57">
        <f ca="1">'Simulations | Acc. Wealth'!ABF31</f>
        <v>53762.529431024843</v>
      </c>
      <c r="ABH2" s="57">
        <f ca="1">'Simulations | Acc. Wealth'!ABG31</f>
        <v>60514.211955517858</v>
      </c>
      <c r="ABI2" s="57">
        <f ca="1">'Simulations | Acc. Wealth'!ABH31</f>
        <v>69010.814198725842</v>
      </c>
      <c r="ABJ2" s="57">
        <f ca="1">'Simulations | Acc. Wealth'!ABI31</f>
        <v>49427.845469531654</v>
      </c>
      <c r="ABK2" s="57">
        <f ca="1">'Simulations | Acc. Wealth'!ABJ31</f>
        <v>56652.957037476852</v>
      </c>
      <c r="ABL2" s="57">
        <f ca="1">'Simulations | Acc. Wealth'!ABK31</f>
        <v>70286.230125640534</v>
      </c>
      <c r="ABM2" s="57">
        <f ca="1">'Simulations | Acc. Wealth'!ABL31</f>
        <v>60364.091171963111</v>
      </c>
      <c r="ABN2" s="57">
        <f ca="1">'Simulations | Acc. Wealth'!ABM31</f>
        <v>53016.817918768545</v>
      </c>
      <c r="ABO2" s="57">
        <f ca="1">'Simulations | Acc. Wealth'!ABN31</f>
        <v>58150.546964245354</v>
      </c>
      <c r="ABP2" s="57">
        <f ca="1">'Simulations | Acc. Wealth'!ABO31</f>
        <v>54210.667297955348</v>
      </c>
      <c r="ABQ2" s="57">
        <f ca="1">'Simulations | Acc. Wealth'!ABP31</f>
        <v>64197.187088967243</v>
      </c>
      <c r="ABR2" s="57">
        <f ca="1">'Simulations | Acc. Wealth'!ABQ31</f>
        <v>50310.715320048708</v>
      </c>
      <c r="ABS2" s="57">
        <f ca="1">'Simulations | Acc. Wealth'!ABR31</f>
        <v>63444.804011954191</v>
      </c>
      <c r="ABT2" s="57">
        <f ca="1">'Simulations | Acc. Wealth'!ABS31</f>
        <v>65210.731917080142</v>
      </c>
      <c r="ABU2" s="57">
        <f ca="1">'Simulations | Acc. Wealth'!ABT31</f>
        <v>55950.49507732378</v>
      </c>
      <c r="ABV2" s="57">
        <f ca="1">'Simulations | Acc. Wealth'!ABU31</f>
        <v>61679.683370106613</v>
      </c>
      <c r="ABW2" s="57">
        <f ca="1">'Simulations | Acc. Wealth'!ABV31</f>
        <v>59760.82019320668</v>
      </c>
      <c r="ABX2" s="57">
        <f ca="1">'Simulations | Acc. Wealth'!ABW31</f>
        <v>45180.374220280486</v>
      </c>
      <c r="ABY2" s="57">
        <f ca="1">'Simulations | Acc. Wealth'!ABX31</f>
        <v>62802.073973628452</v>
      </c>
      <c r="ABZ2" s="57">
        <f ca="1">'Simulations | Acc. Wealth'!ABY31</f>
        <v>60412.409944982996</v>
      </c>
      <c r="ACA2" s="57">
        <f ca="1">'Simulations | Acc. Wealth'!ABZ31</f>
        <v>56014.963628970843</v>
      </c>
      <c r="ACB2" s="57">
        <f ca="1">'Simulations | Acc. Wealth'!ACA31</f>
        <v>73927.044775044807</v>
      </c>
      <c r="ACC2" s="57">
        <f ca="1">'Simulations | Acc. Wealth'!ACB31</f>
        <v>48723.14263818867</v>
      </c>
      <c r="ACD2" s="57">
        <f ca="1">'Simulations | Acc. Wealth'!ACC31</f>
        <v>54905.162872737681</v>
      </c>
      <c r="ACE2" s="57">
        <f ca="1">'Simulations | Acc. Wealth'!ACD31</f>
        <v>51554.311571877493</v>
      </c>
      <c r="ACF2" s="57">
        <f ca="1">'Simulations | Acc. Wealth'!ACE31</f>
        <v>63748.728916853412</v>
      </c>
      <c r="ACG2" s="57">
        <f ca="1">'Simulations | Acc. Wealth'!ACF31</f>
        <v>53888.485756976836</v>
      </c>
      <c r="ACH2" s="57">
        <f ca="1">'Simulations | Acc. Wealth'!ACG31</f>
        <v>62178.152300559901</v>
      </c>
      <c r="ACI2" s="57">
        <f ca="1">'Simulations | Acc. Wealth'!ACH31</f>
        <v>68994.791759870262</v>
      </c>
      <c r="ACJ2" s="57">
        <f ca="1">'Simulations | Acc. Wealth'!ACI31</f>
        <v>54851.917228672632</v>
      </c>
      <c r="ACK2" s="57">
        <f ca="1">'Simulations | Acc. Wealth'!ACJ31</f>
        <v>86510.323408547512</v>
      </c>
      <c r="ACL2" s="57">
        <f ca="1">'Simulations | Acc. Wealth'!ACK31</f>
        <v>58435.467120029578</v>
      </c>
      <c r="ACM2" s="57">
        <f ca="1">'Simulations | Acc. Wealth'!ACL31</f>
        <v>49601.284002007225</v>
      </c>
      <c r="ACN2" s="57">
        <f ca="1">'Simulations | Acc. Wealth'!ACM31</f>
        <v>58607.080137057979</v>
      </c>
      <c r="ACO2" s="57">
        <f ca="1">'Simulations | Acc. Wealth'!ACN31</f>
        <v>59627.889048138015</v>
      </c>
      <c r="ACP2" s="57">
        <f ca="1">'Simulations | Acc. Wealth'!ACO31</f>
        <v>44470.290120898026</v>
      </c>
      <c r="ACQ2" s="57">
        <f ca="1">'Simulations | Acc. Wealth'!ACP31</f>
        <v>66522.374534849558</v>
      </c>
      <c r="ACR2" s="57">
        <f ca="1">'Simulations | Acc. Wealth'!ACQ31</f>
        <v>52222.442386756025</v>
      </c>
      <c r="ACS2" s="57">
        <f ca="1">'Simulations | Acc. Wealth'!ACR31</f>
        <v>61805.017581142005</v>
      </c>
      <c r="ACT2" s="57">
        <f ca="1">'Simulations | Acc. Wealth'!ACS31</f>
        <v>54264.027385706118</v>
      </c>
      <c r="ACU2" s="57">
        <f ca="1">'Simulations | Acc. Wealth'!ACT31</f>
        <v>72705.405417659393</v>
      </c>
      <c r="ACV2" s="57">
        <f ca="1">'Simulations | Acc. Wealth'!ACU31</f>
        <v>54644.228187734887</v>
      </c>
      <c r="ACW2" s="57">
        <f ca="1">'Simulations | Acc. Wealth'!ACV31</f>
        <v>54489.825118244822</v>
      </c>
      <c r="ACX2" s="57">
        <f ca="1">'Simulations | Acc. Wealth'!ACW31</f>
        <v>61267.100921924954</v>
      </c>
      <c r="ACY2" s="57">
        <f ca="1">'Simulations | Acc. Wealth'!ACX31</f>
        <v>57131.175300649957</v>
      </c>
      <c r="ACZ2" s="57">
        <f ca="1">'Simulations | Acc. Wealth'!ACY31</f>
        <v>51383.801143398072</v>
      </c>
      <c r="ADA2" s="57">
        <f ca="1">'Simulations | Acc. Wealth'!ACZ31</f>
        <v>73957.817310890678</v>
      </c>
      <c r="ADB2" s="57">
        <f ca="1">'Simulations | Acc. Wealth'!ADA31</f>
        <v>87037.307216180488</v>
      </c>
      <c r="ADC2" s="57">
        <f ca="1">'Simulations | Acc. Wealth'!ADB31</f>
        <v>56999.579650495922</v>
      </c>
      <c r="ADD2" s="57">
        <f ca="1">'Simulations | Acc. Wealth'!ADC31</f>
        <v>62897.34008566929</v>
      </c>
      <c r="ADE2" s="57">
        <f ca="1">'Simulations | Acc. Wealth'!ADD31</f>
        <v>50030.977143314725</v>
      </c>
      <c r="ADF2" s="57">
        <f ca="1">'Simulations | Acc. Wealth'!ADE31</f>
        <v>63466.2218601036</v>
      </c>
      <c r="ADG2" s="57">
        <f ca="1">'Simulations | Acc. Wealth'!ADF31</f>
        <v>66457.624616350484</v>
      </c>
      <c r="ADH2" s="57">
        <f ca="1">'Simulations | Acc. Wealth'!ADG31</f>
        <v>73274.762554224377</v>
      </c>
      <c r="ADI2" s="57">
        <f ca="1">'Simulations | Acc. Wealth'!ADH31</f>
        <v>51401.364297808228</v>
      </c>
      <c r="ADJ2" s="57">
        <f ca="1">'Simulations | Acc. Wealth'!ADI31</f>
        <v>42706.664857875527</v>
      </c>
      <c r="ADK2" s="57">
        <f ca="1">'Simulations | Acc. Wealth'!ADJ31</f>
        <v>55823.129429052649</v>
      </c>
      <c r="ADL2" s="57">
        <f ca="1">'Simulations | Acc. Wealth'!ADK31</f>
        <v>54521.175309247956</v>
      </c>
      <c r="ADM2" s="57">
        <f ca="1">'Simulations | Acc. Wealth'!ADL31</f>
        <v>53997.07120049464</v>
      </c>
      <c r="ADN2" s="57">
        <f ca="1">'Simulations | Acc. Wealth'!ADM31</f>
        <v>55593.775410600785</v>
      </c>
      <c r="ADO2" s="57">
        <f ca="1">'Simulations | Acc. Wealth'!ADN31</f>
        <v>57954.066166658937</v>
      </c>
      <c r="ADP2" s="57">
        <f ca="1">'Simulations | Acc. Wealth'!ADO31</f>
        <v>56543.050493621595</v>
      </c>
      <c r="ADQ2" s="57">
        <f ca="1">'Simulations | Acc. Wealth'!ADP31</f>
        <v>60359.980061636692</v>
      </c>
      <c r="ADR2" s="57">
        <f ca="1">'Simulations | Acc. Wealth'!ADQ31</f>
        <v>51104.726509099099</v>
      </c>
      <c r="ADS2" s="57">
        <f ca="1">'Simulations | Acc. Wealth'!ADR31</f>
        <v>55647.691354477865</v>
      </c>
      <c r="ADT2" s="57">
        <f ca="1">'Simulations | Acc. Wealth'!ADS31</f>
        <v>52945.37749647758</v>
      </c>
      <c r="ADU2" s="57">
        <f ca="1">'Simulations | Acc. Wealth'!ADT31</f>
        <v>69235.870303812495</v>
      </c>
      <c r="ADV2" s="57">
        <f ca="1">'Simulations | Acc. Wealth'!ADU31</f>
        <v>73167.340964782401</v>
      </c>
      <c r="ADW2" s="57">
        <f ca="1">'Simulations | Acc. Wealth'!ADV31</f>
        <v>68898.336956723797</v>
      </c>
      <c r="ADX2" s="57">
        <f ca="1">'Simulations | Acc. Wealth'!ADW31</f>
        <v>50808.848212730823</v>
      </c>
      <c r="ADY2" s="57">
        <f ca="1">'Simulations | Acc. Wealth'!ADX31</f>
        <v>53811.036105559571</v>
      </c>
      <c r="ADZ2" s="57">
        <f ca="1">'Simulations | Acc. Wealth'!ADY31</f>
        <v>64319.575201443564</v>
      </c>
      <c r="AEA2" s="57">
        <f ca="1">'Simulations | Acc. Wealth'!ADZ31</f>
        <v>52665.112244394899</v>
      </c>
      <c r="AEB2" s="57">
        <f ca="1">'Simulations | Acc. Wealth'!AEA31</f>
        <v>52353.452360005955</v>
      </c>
      <c r="AEC2" s="57">
        <f ca="1">'Simulations | Acc. Wealth'!AEB31</f>
        <v>59917.538555723557</v>
      </c>
      <c r="AED2" s="57">
        <f ca="1">'Simulations | Acc. Wealth'!AEC31</f>
        <v>71924.735714473543</v>
      </c>
      <c r="AEE2" s="57">
        <f ca="1">'Simulations | Acc. Wealth'!AED31</f>
        <v>74617.521632938966</v>
      </c>
      <c r="AEF2" s="57">
        <f ca="1">'Simulations | Acc. Wealth'!AEE31</f>
        <v>56498.987212276239</v>
      </c>
      <c r="AEG2" s="57">
        <f ca="1">'Simulations | Acc. Wealth'!AEF31</f>
        <v>70188.806460527689</v>
      </c>
      <c r="AEH2" s="57">
        <f ca="1">'Simulations | Acc. Wealth'!AEG31</f>
        <v>48585.683771114069</v>
      </c>
      <c r="AEI2" s="57">
        <f ca="1">'Simulations | Acc. Wealth'!AEH31</f>
        <v>65804.108539709632</v>
      </c>
      <c r="AEJ2" s="57">
        <f ca="1">'Simulations | Acc. Wealth'!AEI31</f>
        <v>64850.649625535778</v>
      </c>
      <c r="AEK2" s="57">
        <f ca="1">'Simulations | Acc. Wealth'!AEJ31</f>
        <v>53625.570971563051</v>
      </c>
      <c r="AEL2" s="57">
        <f ca="1">'Simulations | Acc. Wealth'!AEK31</f>
        <v>61946.74381379252</v>
      </c>
      <c r="AEM2" s="57">
        <f ca="1">'Simulations | Acc. Wealth'!AEL31</f>
        <v>62074.888256810678</v>
      </c>
      <c r="AEN2" s="57">
        <f ca="1">'Simulations | Acc. Wealth'!AEM31</f>
        <v>69820.725833825622</v>
      </c>
      <c r="AEO2" s="57">
        <f ca="1">'Simulations | Acc. Wealth'!AEN31</f>
        <v>70545.23807079198</v>
      </c>
      <c r="AEP2" s="57">
        <f ca="1">'Simulations | Acc. Wealth'!AEO31</f>
        <v>72031.229463224256</v>
      </c>
      <c r="AEQ2" s="57">
        <f ca="1">'Simulations | Acc. Wealth'!AEP31</f>
        <v>65557.949979133453</v>
      </c>
      <c r="AER2" s="57">
        <f ca="1">'Simulations | Acc. Wealth'!AEQ31</f>
        <v>67942.228781395708</v>
      </c>
      <c r="AES2" s="57">
        <f ca="1">'Simulations | Acc. Wealth'!AER31</f>
        <v>58245.602894746298</v>
      </c>
      <c r="AET2" s="57">
        <f ca="1">'Simulations | Acc. Wealth'!AES31</f>
        <v>55088.134274528697</v>
      </c>
      <c r="AEU2" s="57">
        <f ca="1">'Simulations | Acc. Wealth'!AET31</f>
        <v>71036.093499668903</v>
      </c>
      <c r="AEV2" s="57">
        <f ca="1">'Simulations | Acc. Wealth'!AEU31</f>
        <v>87366.819916543114</v>
      </c>
      <c r="AEW2" s="57">
        <f ca="1">'Simulations | Acc. Wealth'!AEV31</f>
        <v>69293.657785451273</v>
      </c>
      <c r="AEX2" s="57">
        <f ca="1">'Simulations | Acc. Wealth'!AEW31</f>
        <v>80900.626530603811</v>
      </c>
      <c r="AEY2" s="57">
        <f ca="1">'Simulations | Acc. Wealth'!AEX31</f>
        <v>61063.89867277044</v>
      </c>
      <c r="AEZ2" s="57">
        <f ca="1">'Simulations | Acc. Wealth'!AEY31</f>
        <v>50319.086165492736</v>
      </c>
      <c r="AFA2" s="57">
        <f ca="1">'Simulations | Acc. Wealth'!AEZ31</f>
        <v>57326.211205860614</v>
      </c>
      <c r="AFB2" s="57">
        <f ca="1">'Simulations | Acc. Wealth'!AFA31</f>
        <v>52943.422763599745</v>
      </c>
      <c r="AFC2" s="57">
        <f ca="1">'Simulations | Acc. Wealth'!AFB31</f>
        <v>50878.011154067564</v>
      </c>
      <c r="AFD2" s="57">
        <f ca="1">'Simulations | Acc. Wealth'!AFC31</f>
        <v>51515.301015091922</v>
      </c>
      <c r="AFE2" s="57">
        <f ca="1">'Simulations | Acc. Wealth'!AFD31</f>
        <v>63271.456635680617</v>
      </c>
      <c r="AFF2" s="57">
        <f ca="1">'Simulations | Acc. Wealth'!AFE31</f>
        <v>41909.24419283466</v>
      </c>
      <c r="AFG2" s="57">
        <f ca="1">'Simulations | Acc. Wealth'!AFF31</f>
        <v>57845.068163851181</v>
      </c>
      <c r="AFH2" s="57">
        <f ca="1">'Simulations | Acc. Wealth'!AFG31</f>
        <v>57922.228120136228</v>
      </c>
      <c r="AFI2" s="57">
        <f ca="1">'Simulations | Acc. Wealth'!AFH31</f>
        <v>51794.283421041291</v>
      </c>
      <c r="AFJ2" s="57">
        <f ca="1">'Simulations | Acc. Wealth'!AFI31</f>
        <v>52298.596312374706</v>
      </c>
      <c r="AFK2" s="57">
        <f ca="1">'Simulations | Acc. Wealth'!AFJ31</f>
        <v>61672.234891390952</v>
      </c>
      <c r="AFL2" s="57">
        <f ca="1">'Simulations | Acc. Wealth'!AFK31</f>
        <v>57589.920359047901</v>
      </c>
      <c r="AFM2" s="57">
        <f ca="1">'Simulations | Acc. Wealth'!AFL31</f>
        <v>54982.300713991681</v>
      </c>
      <c r="AFN2" s="57">
        <f ca="1">'Simulations | Acc. Wealth'!AFM31</f>
        <v>65202.795678952054</v>
      </c>
      <c r="AFO2" s="57">
        <f ca="1">'Simulations | Acc. Wealth'!AFN31</f>
        <v>60692.302428740768</v>
      </c>
      <c r="AFP2" s="57">
        <f ca="1">'Simulations | Acc. Wealth'!AFO31</f>
        <v>52337.8494921077</v>
      </c>
      <c r="AFQ2" s="57">
        <f ca="1">'Simulations | Acc. Wealth'!AFP31</f>
        <v>52282.527732743809</v>
      </c>
      <c r="AFR2" s="57">
        <f ca="1">'Simulations | Acc. Wealth'!AFQ31</f>
        <v>66551.156085774332</v>
      </c>
      <c r="AFS2" s="57">
        <f ca="1">'Simulations | Acc. Wealth'!AFR31</f>
        <v>59089.714497401648</v>
      </c>
      <c r="AFT2" s="57">
        <f ca="1">'Simulations | Acc. Wealth'!AFS31</f>
        <v>42389.420125528806</v>
      </c>
      <c r="AFU2" s="57">
        <f ca="1">'Simulations | Acc. Wealth'!AFT31</f>
        <v>58504.659504199321</v>
      </c>
      <c r="AFV2" s="57">
        <f ca="1">'Simulations | Acc. Wealth'!AFU31</f>
        <v>60510.773457238742</v>
      </c>
      <c r="AFW2" s="57">
        <f ca="1">'Simulations | Acc. Wealth'!AFV31</f>
        <v>63727.460140716787</v>
      </c>
      <c r="AFX2" s="57">
        <f ca="1">'Simulations | Acc. Wealth'!AFW31</f>
        <v>61965.258814082823</v>
      </c>
      <c r="AFY2" s="57">
        <f ca="1">'Simulations | Acc. Wealth'!AFX31</f>
        <v>69067.064953991387</v>
      </c>
      <c r="AFZ2" s="57">
        <f ca="1">'Simulations | Acc. Wealth'!AFY31</f>
        <v>56540.498932894399</v>
      </c>
      <c r="AGA2" s="57">
        <f ca="1">'Simulations | Acc. Wealth'!AFZ31</f>
        <v>52856.460716608199</v>
      </c>
      <c r="AGB2" s="57">
        <f ca="1">'Simulations | Acc. Wealth'!AGA31</f>
        <v>75622.912397690889</v>
      </c>
      <c r="AGC2" s="57">
        <f ca="1">'Simulations | Acc. Wealth'!AGB31</f>
        <v>64234.37235961212</v>
      </c>
      <c r="AGD2" s="57">
        <f ca="1">'Simulations | Acc. Wealth'!AGC31</f>
        <v>66203.676184495038</v>
      </c>
      <c r="AGE2" s="57">
        <f ca="1">'Simulations | Acc. Wealth'!AGD31</f>
        <v>53490.289562843573</v>
      </c>
      <c r="AGF2" s="57">
        <f ca="1">'Simulations | Acc. Wealth'!AGE31</f>
        <v>60007.194532762522</v>
      </c>
      <c r="AGG2" s="57">
        <f ca="1">'Simulations | Acc. Wealth'!AGF31</f>
        <v>49187.116824205703</v>
      </c>
      <c r="AGH2" s="57">
        <f ca="1">'Simulations | Acc. Wealth'!AGG31</f>
        <v>58572.851768634282</v>
      </c>
      <c r="AGI2" s="57">
        <f ca="1">'Simulations | Acc. Wealth'!AGH31</f>
        <v>73336.250674040144</v>
      </c>
      <c r="AGJ2" s="57">
        <f ca="1">'Simulations | Acc. Wealth'!AGI31</f>
        <v>49933.898344762303</v>
      </c>
      <c r="AGK2" s="57">
        <f ca="1">'Simulations | Acc. Wealth'!AGJ31</f>
        <v>58809.297885930675</v>
      </c>
      <c r="AGL2" s="57">
        <f ca="1">'Simulations | Acc. Wealth'!AGK31</f>
        <v>80612.476726405977</v>
      </c>
      <c r="AGM2" s="57">
        <f ca="1">'Simulations | Acc. Wealth'!AGL31</f>
        <v>55669.005146656833</v>
      </c>
      <c r="AGN2" s="57">
        <f ca="1">'Simulations | Acc. Wealth'!AGM31</f>
        <v>62679.506430024128</v>
      </c>
      <c r="AGO2" s="57">
        <f ca="1">'Simulations | Acc. Wealth'!AGN31</f>
        <v>75766.016688974967</v>
      </c>
      <c r="AGP2" s="57">
        <f ca="1">'Simulations | Acc. Wealth'!AGO31</f>
        <v>38567.780622400576</v>
      </c>
      <c r="AGQ2" s="57">
        <f ca="1">'Simulations | Acc. Wealth'!AGP31</f>
        <v>59062.848832822106</v>
      </c>
      <c r="AGR2" s="57">
        <f ca="1">'Simulations | Acc. Wealth'!AGQ31</f>
        <v>65913.082798750693</v>
      </c>
      <c r="AGS2" s="57">
        <f ca="1">'Simulations | Acc. Wealth'!AGR31</f>
        <v>67030.912046725207</v>
      </c>
      <c r="AGT2" s="57">
        <f ca="1">'Simulations | Acc. Wealth'!AGS31</f>
        <v>62569.553572851582</v>
      </c>
      <c r="AGU2" s="57">
        <f ca="1">'Simulations | Acc. Wealth'!AGT31</f>
        <v>62647.36077778515</v>
      </c>
      <c r="AGV2" s="57">
        <f ca="1">'Simulations | Acc. Wealth'!AGU31</f>
        <v>69743.601607691831</v>
      </c>
      <c r="AGW2" s="57">
        <f ca="1">'Simulations | Acc. Wealth'!AGV31</f>
        <v>59723.567566106089</v>
      </c>
      <c r="AGX2" s="57">
        <f ca="1">'Simulations | Acc. Wealth'!AGW31</f>
        <v>51165.741056119856</v>
      </c>
      <c r="AGY2" s="57">
        <f ca="1">'Simulations | Acc. Wealth'!AGX31</f>
        <v>53366.270092652849</v>
      </c>
      <c r="AGZ2" s="57">
        <f ca="1">'Simulations | Acc. Wealth'!AGY31</f>
        <v>62465.820446641555</v>
      </c>
      <c r="AHA2" s="57">
        <f ca="1">'Simulations | Acc. Wealth'!AGZ31</f>
        <v>50293.890742496798</v>
      </c>
      <c r="AHB2" s="57">
        <f ca="1">'Simulations | Acc. Wealth'!AHA31</f>
        <v>56833.833700555493</v>
      </c>
      <c r="AHC2" s="57">
        <f ca="1">'Simulations | Acc. Wealth'!AHB31</f>
        <v>49622.071759222148</v>
      </c>
      <c r="AHD2" s="57">
        <f ca="1">'Simulations | Acc. Wealth'!AHC31</f>
        <v>54785.816614450581</v>
      </c>
      <c r="AHE2" s="57">
        <f ca="1">'Simulations | Acc. Wealth'!AHD31</f>
        <v>48705.430790039558</v>
      </c>
      <c r="AHF2" s="57">
        <f ca="1">'Simulations | Acc. Wealth'!AHE31</f>
        <v>64845.261112986547</v>
      </c>
      <c r="AHG2" s="57">
        <f ca="1">'Simulations | Acc. Wealth'!AHF31</f>
        <v>57968.060826803739</v>
      </c>
      <c r="AHH2" s="57">
        <f ca="1">'Simulations | Acc. Wealth'!AHG31</f>
        <v>53164.575005101397</v>
      </c>
      <c r="AHI2" s="57">
        <f ca="1">'Simulations | Acc. Wealth'!AHH31</f>
        <v>65176.702516041791</v>
      </c>
      <c r="AHJ2" s="57">
        <f ca="1">'Simulations | Acc. Wealth'!AHI31</f>
        <v>54164.371390568049</v>
      </c>
      <c r="AHK2" s="57">
        <f ca="1">'Simulations | Acc. Wealth'!AHJ31</f>
        <v>80788.410157935854</v>
      </c>
      <c r="AHL2" s="57">
        <f ca="1">'Simulations | Acc. Wealth'!AHK31</f>
        <v>51004.122189700473</v>
      </c>
      <c r="AHM2" s="57">
        <f ca="1">'Simulations | Acc. Wealth'!AHL31</f>
        <v>57471.274581077763</v>
      </c>
      <c r="AHN2" s="57">
        <f ca="1">'Simulations | Acc. Wealth'!AHM31</f>
        <v>66444.630961752657</v>
      </c>
      <c r="AHO2" s="57">
        <f ca="1">'Simulations | Acc. Wealth'!AHN31</f>
        <v>69417.389313434338</v>
      </c>
      <c r="AHP2" s="57">
        <f ca="1">'Simulations | Acc. Wealth'!AHO31</f>
        <v>53002.906388927244</v>
      </c>
      <c r="AHQ2" s="57">
        <f ca="1">'Simulations | Acc. Wealth'!AHP31</f>
        <v>55917.776940627715</v>
      </c>
      <c r="AHR2" s="57">
        <f ca="1">'Simulations | Acc. Wealth'!AHQ31</f>
        <v>65367.80427276792</v>
      </c>
      <c r="AHS2" s="57">
        <f ca="1">'Simulations | Acc. Wealth'!AHR31</f>
        <v>57344.949461855016</v>
      </c>
      <c r="AHT2" s="57">
        <f ca="1">'Simulations | Acc. Wealth'!AHS31</f>
        <v>52798.560331415123</v>
      </c>
      <c r="AHU2" s="57">
        <f ca="1">'Simulations | Acc. Wealth'!AHT31</f>
        <v>57095.359008607687</v>
      </c>
      <c r="AHV2" s="57">
        <f ca="1">'Simulations | Acc. Wealth'!AHU31</f>
        <v>53584.002759310402</v>
      </c>
      <c r="AHW2" s="57">
        <f ca="1">'Simulations | Acc. Wealth'!AHV31</f>
        <v>61042.208356228504</v>
      </c>
      <c r="AHX2" s="57">
        <f ca="1">'Simulations | Acc. Wealth'!AHW31</f>
        <v>55870.529583407872</v>
      </c>
      <c r="AHY2" s="57">
        <f ca="1">'Simulations | Acc. Wealth'!AHX31</f>
        <v>55096.979906543929</v>
      </c>
      <c r="AHZ2" s="57">
        <f ca="1">'Simulations | Acc. Wealth'!AHY31</f>
        <v>72435.068842613095</v>
      </c>
      <c r="AIA2" s="57">
        <f ca="1">'Simulations | Acc. Wealth'!AHZ31</f>
        <v>58826.313231629647</v>
      </c>
      <c r="AIB2" s="57">
        <f ca="1">'Simulations | Acc. Wealth'!AIA31</f>
        <v>54958.098945534191</v>
      </c>
      <c r="AIC2" s="57">
        <f ca="1">'Simulations | Acc. Wealth'!AIB31</f>
        <v>55201.669568134297</v>
      </c>
      <c r="AID2" s="57">
        <f ca="1">'Simulations | Acc. Wealth'!AIC31</f>
        <v>62423.064846464105</v>
      </c>
      <c r="AIE2" s="57">
        <f ca="1">'Simulations | Acc. Wealth'!AID31</f>
        <v>71928.472378419188</v>
      </c>
      <c r="AIF2" s="57">
        <f ca="1">'Simulations | Acc. Wealth'!AIE31</f>
        <v>56345.243118087368</v>
      </c>
      <c r="AIG2" s="57">
        <f ca="1">'Simulations | Acc. Wealth'!AIF31</f>
        <v>57616.726535886541</v>
      </c>
      <c r="AIH2" s="57">
        <f ca="1">'Simulations | Acc. Wealth'!AIG31</f>
        <v>62540.71903021296</v>
      </c>
      <c r="AII2" s="57">
        <f ca="1">'Simulations | Acc. Wealth'!AIH31</f>
        <v>66276.261463747171</v>
      </c>
      <c r="AIJ2" s="57">
        <f ca="1">'Simulations | Acc. Wealth'!AII31</f>
        <v>55938.960257165418</v>
      </c>
      <c r="AIK2" s="57">
        <f ca="1">'Simulations | Acc. Wealth'!AIJ31</f>
        <v>56187.484384446812</v>
      </c>
      <c r="AIL2" s="57">
        <f ca="1">'Simulations | Acc. Wealth'!AIK31</f>
        <v>78046.299078353361</v>
      </c>
      <c r="AIM2" s="57">
        <f ca="1">'Simulations | Acc. Wealth'!AIL31</f>
        <v>74917.402391962067</v>
      </c>
      <c r="AIN2" s="57">
        <f ca="1">'Simulations | Acc. Wealth'!AIM31</f>
        <v>50361.845847339806</v>
      </c>
      <c r="AIO2" s="57">
        <f ca="1">'Simulations | Acc. Wealth'!AIN31</f>
        <v>56824.609499058635</v>
      </c>
      <c r="AIP2" s="57">
        <f ca="1">'Simulations | Acc. Wealth'!AIO31</f>
        <v>54601.572428396117</v>
      </c>
      <c r="AIQ2" s="57">
        <f ca="1">'Simulations | Acc. Wealth'!AIP31</f>
        <v>81754.56130694515</v>
      </c>
      <c r="AIR2" s="57">
        <f ca="1">'Simulations | Acc. Wealth'!AIQ31</f>
        <v>53141.961350000915</v>
      </c>
      <c r="AIS2" s="57">
        <f ca="1">'Simulations | Acc. Wealth'!AIR31</f>
        <v>55991.917381915868</v>
      </c>
      <c r="AIT2" s="57">
        <f ca="1">'Simulations | Acc. Wealth'!AIS31</f>
        <v>52137.085410306994</v>
      </c>
      <c r="AIU2" s="57">
        <f ca="1">'Simulations | Acc. Wealth'!AIT31</f>
        <v>40234.518945543437</v>
      </c>
      <c r="AIV2" s="57">
        <f ca="1">'Simulations | Acc. Wealth'!AIU31</f>
        <v>59506.186760984063</v>
      </c>
      <c r="AIW2" s="57">
        <f ca="1">'Simulations | Acc. Wealth'!AIV31</f>
        <v>53910.752862237445</v>
      </c>
      <c r="AIX2" s="57">
        <f ca="1">'Simulations | Acc. Wealth'!AIW31</f>
        <v>64208.231544344257</v>
      </c>
      <c r="AIY2" s="57">
        <f ca="1">'Simulations | Acc. Wealth'!AIX31</f>
        <v>67042.501695474959</v>
      </c>
      <c r="AIZ2" s="57">
        <f ca="1">'Simulations | Acc. Wealth'!AIY31</f>
        <v>51330.731426337668</v>
      </c>
      <c r="AJA2" s="57">
        <f ca="1">'Simulations | Acc. Wealth'!AIZ31</f>
        <v>79571.987243247975</v>
      </c>
      <c r="AJB2" s="57">
        <f ca="1">'Simulations | Acc. Wealth'!AJA31</f>
        <v>65205.863562896884</v>
      </c>
      <c r="AJC2" s="57">
        <f ca="1">'Simulations | Acc. Wealth'!AJB31</f>
        <v>80639.70544845768</v>
      </c>
      <c r="AJD2" s="57">
        <f ca="1">'Simulations | Acc. Wealth'!AJC31</f>
        <v>62206.841308998875</v>
      </c>
      <c r="AJE2" s="57">
        <f ca="1">'Simulations | Acc. Wealth'!AJD31</f>
        <v>60127.13565697489</v>
      </c>
      <c r="AJF2" s="57">
        <f ca="1">'Simulations | Acc. Wealth'!AJE31</f>
        <v>55074.518373203697</v>
      </c>
      <c r="AJG2" s="57">
        <f ca="1">'Simulations | Acc. Wealth'!AJF31</f>
        <v>68250.513444467142</v>
      </c>
      <c r="AJH2" s="57">
        <f ca="1">'Simulations | Acc. Wealth'!AJG31</f>
        <v>58734.442509588662</v>
      </c>
      <c r="AJI2" s="57">
        <f ca="1">'Simulations | Acc. Wealth'!AJH31</f>
        <v>75837.084735753568</v>
      </c>
      <c r="AJJ2" s="57">
        <f ca="1">'Simulations | Acc. Wealth'!AJI31</f>
        <v>47024.543950663945</v>
      </c>
      <c r="AJK2" s="57">
        <f ca="1">'Simulations | Acc. Wealth'!AJJ31</f>
        <v>59360.583694743633</v>
      </c>
      <c r="AJL2" s="57">
        <f ca="1">'Simulations | Acc. Wealth'!AJK31</f>
        <v>46583.49975060967</v>
      </c>
      <c r="AJM2" s="57">
        <f ca="1">'Simulations | Acc. Wealth'!AJL31</f>
        <v>59336.915897545106</v>
      </c>
      <c r="AJN2" s="57">
        <f ca="1">'Simulations | Acc. Wealth'!AJM31</f>
        <v>53405.880173164791</v>
      </c>
      <c r="AJO2" s="57">
        <f ca="1">'Simulations | Acc. Wealth'!AJN31</f>
        <v>75365.47478828537</v>
      </c>
      <c r="AJP2" s="57">
        <f ca="1">'Simulations | Acc. Wealth'!AJO31</f>
        <v>63771.209556172173</v>
      </c>
      <c r="AJQ2" s="57">
        <f ca="1">'Simulations | Acc. Wealth'!AJP31</f>
        <v>70432.138162694551</v>
      </c>
      <c r="AJR2" s="57">
        <f ca="1">'Simulations | Acc. Wealth'!AJQ31</f>
        <v>64248.746590459996</v>
      </c>
      <c r="AJS2" s="57">
        <f ca="1">'Simulations | Acc. Wealth'!AJR31</f>
        <v>68362.624154194549</v>
      </c>
      <c r="AJT2" s="57">
        <f ca="1">'Simulations | Acc. Wealth'!AJS31</f>
        <v>48102.113879018012</v>
      </c>
      <c r="AJU2" s="57">
        <f ca="1">'Simulations | Acc. Wealth'!AJT31</f>
        <v>44860.943956154937</v>
      </c>
      <c r="AJV2" s="57">
        <f ca="1">'Simulations | Acc. Wealth'!AJU31</f>
        <v>71535.751194178418</v>
      </c>
      <c r="AJW2" s="57">
        <f ca="1">'Simulations | Acc. Wealth'!AJV31</f>
        <v>61324.310351215579</v>
      </c>
      <c r="AJX2" s="57">
        <f ca="1">'Simulations | Acc. Wealth'!AJW31</f>
        <v>40669.786864952155</v>
      </c>
      <c r="AJY2" s="57">
        <f ca="1">'Simulations | Acc. Wealth'!AJX31</f>
        <v>56098.518392435974</v>
      </c>
      <c r="AJZ2" s="57">
        <f ca="1">'Simulations | Acc. Wealth'!AJY31</f>
        <v>69734.82672860357</v>
      </c>
      <c r="AKA2" s="57">
        <f ca="1">'Simulations | Acc. Wealth'!AJZ31</f>
        <v>62712.711289219216</v>
      </c>
      <c r="AKB2" s="57">
        <f ca="1">'Simulations | Acc. Wealth'!AKA31</f>
        <v>62235.125392065485</v>
      </c>
      <c r="AKC2" s="57">
        <f ca="1">'Simulations | Acc. Wealth'!AKB31</f>
        <v>53555.855300416115</v>
      </c>
      <c r="AKD2" s="57">
        <f ca="1">'Simulations | Acc. Wealth'!AKC31</f>
        <v>61082.170065643513</v>
      </c>
      <c r="AKE2" s="57">
        <f ca="1">'Simulations | Acc. Wealth'!AKD31</f>
        <v>52861.24374476885</v>
      </c>
      <c r="AKF2" s="57">
        <f ca="1">'Simulations | Acc. Wealth'!AKE31</f>
        <v>55450.321747248534</v>
      </c>
      <c r="AKG2" s="57">
        <f ca="1">'Simulations | Acc. Wealth'!AKF31</f>
        <v>51178.743155970449</v>
      </c>
      <c r="AKH2" s="57">
        <f ca="1">'Simulations | Acc. Wealth'!AKG31</f>
        <v>60623.59814936154</v>
      </c>
      <c r="AKI2" s="57">
        <f ca="1">'Simulations | Acc. Wealth'!AKH31</f>
        <v>52901.754925789144</v>
      </c>
      <c r="AKJ2" s="57">
        <f ca="1">'Simulations | Acc. Wealth'!AKI31</f>
        <v>62943.181734137564</v>
      </c>
      <c r="AKK2" s="57">
        <f ca="1">'Simulations | Acc. Wealth'!AKJ31</f>
        <v>59138.474948882329</v>
      </c>
      <c r="AKL2" s="57">
        <f ca="1">'Simulations | Acc. Wealth'!AKK31</f>
        <v>50996.791684446951</v>
      </c>
      <c r="AKM2" s="57">
        <f ca="1">'Simulations | Acc. Wealth'!AKL31</f>
        <v>65232.291505632245</v>
      </c>
      <c r="AKN2" s="57">
        <f ca="1">'Simulations | Acc. Wealth'!AKM31</f>
        <v>61319.30430970859</v>
      </c>
      <c r="AKO2" s="57">
        <f ca="1">'Simulations | Acc. Wealth'!AKN31</f>
        <v>64285.462167093596</v>
      </c>
      <c r="AKP2" s="57">
        <f ca="1">'Simulations | Acc. Wealth'!AKO31</f>
        <v>61224.736455566897</v>
      </c>
      <c r="AKQ2" s="57">
        <f ca="1">'Simulations | Acc. Wealth'!AKP31</f>
        <v>57633.444741309264</v>
      </c>
      <c r="AKR2" s="57">
        <f ca="1">'Simulations | Acc. Wealth'!AKQ31</f>
        <v>46487.418595284689</v>
      </c>
      <c r="AKS2" s="57">
        <f ca="1">'Simulations | Acc. Wealth'!AKR31</f>
        <v>56324.244200408997</v>
      </c>
      <c r="AKT2" s="57">
        <f ca="1">'Simulations | Acc. Wealth'!AKS31</f>
        <v>54409.265956963434</v>
      </c>
      <c r="AKU2" s="57">
        <f ca="1">'Simulations | Acc. Wealth'!AKT31</f>
        <v>54464.739348333671</v>
      </c>
      <c r="AKV2" s="57">
        <f ca="1">'Simulations | Acc. Wealth'!AKU31</f>
        <v>53711.758064592526</v>
      </c>
      <c r="AKW2" s="57">
        <f ca="1">'Simulations | Acc. Wealth'!AKV31</f>
        <v>49367.744499685286</v>
      </c>
      <c r="AKX2" s="57">
        <f ca="1">'Simulations | Acc. Wealth'!AKW31</f>
        <v>61888.099727725406</v>
      </c>
      <c r="AKY2" s="57">
        <f ca="1">'Simulations | Acc. Wealth'!AKX31</f>
        <v>61915.112454793525</v>
      </c>
      <c r="AKZ2" s="57">
        <f ca="1">'Simulations | Acc. Wealth'!AKY31</f>
        <v>54986.05828873656</v>
      </c>
      <c r="ALA2" s="57">
        <f ca="1">'Simulations | Acc. Wealth'!AKZ31</f>
        <v>61740.957906318959</v>
      </c>
      <c r="ALB2" s="57">
        <f ca="1">'Simulations | Acc. Wealth'!ALA31</f>
        <v>51870.490706524455</v>
      </c>
      <c r="ALC2" s="57">
        <f ca="1">'Simulations | Acc. Wealth'!ALB31</f>
        <v>63242.521760188436</v>
      </c>
      <c r="ALD2" s="57">
        <f ca="1">'Simulations | Acc. Wealth'!ALC31</f>
        <v>51405.758023711991</v>
      </c>
      <c r="ALE2" s="57">
        <f ca="1">'Simulations | Acc. Wealth'!ALD31</f>
        <v>64351.634199961984</v>
      </c>
      <c r="ALF2" s="57">
        <f ca="1">'Simulations | Acc. Wealth'!ALE31</f>
        <v>58321.929851081884</v>
      </c>
      <c r="ALG2" s="57">
        <f ca="1">'Simulations | Acc. Wealth'!ALF31</f>
        <v>54773.705548704704</v>
      </c>
      <c r="ALH2" s="57">
        <f ca="1">'Simulations | Acc. Wealth'!ALG31</f>
        <v>44970.228666993818</v>
      </c>
      <c r="ALI2" s="57">
        <f ca="1">'Simulations | Acc. Wealth'!ALH31</f>
        <v>59780.700229107679</v>
      </c>
      <c r="ALJ2" s="57">
        <f ca="1">'Simulations | Acc. Wealth'!ALI31</f>
        <v>56361.373754004751</v>
      </c>
      <c r="ALK2" s="57">
        <f ca="1">'Simulations | Acc. Wealth'!ALJ31</f>
        <v>62245.803687714004</v>
      </c>
      <c r="ALL2" s="57">
        <f ca="1">'Simulations | Acc. Wealth'!ALK31</f>
        <v>68870.766773691867</v>
      </c>
      <c r="ALM2" s="57">
        <f ca="1">'Simulations | Acc. Wealth'!ALL31</f>
        <v>59944.353685370028</v>
      </c>
      <c r="ALN2" s="57">
        <f ca="1">'Simulations | Acc. Wealth'!ALM31</f>
        <v>41912.461477240584</v>
      </c>
      <c r="ALO2" s="57">
        <f ca="1">'Simulations | Acc. Wealth'!ALN31</f>
        <v>56988.026595417272</v>
      </c>
      <c r="ALP2" s="57">
        <f ca="1">'Simulations | Acc. Wealth'!ALO31</f>
        <v>72673.125700882403</v>
      </c>
      <c r="ALQ2" s="57">
        <f ca="1">'Simulations | Acc. Wealth'!ALP31</f>
        <v>47737.326397546094</v>
      </c>
      <c r="ALR2" s="57">
        <f ca="1">'Simulations | Acc. Wealth'!ALQ31</f>
        <v>50170.032642650978</v>
      </c>
      <c r="ALS2" s="57">
        <f ca="1">'Simulations | Acc. Wealth'!ALR31</f>
        <v>60914.386875352648</v>
      </c>
    </row>
    <row r="3" spans="1:1007" x14ac:dyDescent="0.2">
      <c r="A3" s="14" t="s">
        <v>1541</v>
      </c>
      <c r="B3" s="69" t="s">
        <v>1554</v>
      </c>
      <c r="C3" s="69"/>
      <c r="D3" s="69"/>
      <c r="E3" s="15" t="s">
        <v>1545</v>
      </c>
      <c r="G3" s="10" t="s">
        <v>1556</v>
      </c>
      <c r="H3" s="14">
        <f ca="1">LOG(H2)</f>
        <v>4.7616112037244287</v>
      </c>
      <c r="I3" s="14">
        <f ca="1">LOG(I2)</f>
        <v>4.7175176730485413</v>
      </c>
      <c r="J3" s="14">
        <f t="shared" ref="J3:BU3" ca="1" si="0">LOG(J2)</f>
        <v>4.7647991717175522</v>
      </c>
      <c r="K3" s="14">
        <f t="shared" ca="1" si="0"/>
        <v>4.7398629006733062</v>
      </c>
      <c r="L3" s="14">
        <f t="shared" ca="1" si="0"/>
        <v>4.9109178460889726</v>
      </c>
      <c r="M3" s="14">
        <f t="shared" ca="1" si="0"/>
        <v>4.8875055404106416</v>
      </c>
      <c r="N3" s="14">
        <f t="shared" ca="1" si="0"/>
        <v>4.7175789427814268</v>
      </c>
      <c r="O3" s="14">
        <f t="shared" ca="1" si="0"/>
        <v>4.7454585870449719</v>
      </c>
      <c r="P3" s="14">
        <f t="shared" ca="1" si="0"/>
        <v>4.7857039689801342</v>
      </c>
      <c r="Q3" s="14">
        <f t="shared" ca="1" si="0"/>
        <v>4.7550654586793089</v>
      </c>
      <c r="R3" s="14">
        <f t="shared" ca="1" si="0"/>
        <v>4.70882253286939</v>
      </c>
      <c r="S3" s="14">
        <f t="shared" ca="1" si="0"/>
        <v>4.8072351472758097</v>
      </c>
      <c r="T3" s="14">
        <f t="shared" ca="1" si="0"/>
        <v>4.83300908800003</v>
      </c>
      <c r="U3" s="14">
        <f t="shared" ca="1" si="0"/>
        <v>4.7718673729618226</v>
      </c>
      <c r="V3" s="14">
        <f t="shared" ca="1" si="0"/>
        <v>4.7494918215630566</v>
      </c>
      <c r="W3" s="14">
        <f t="shared" ca="1" si="0"/>
        <v>4.8174929647036038</v>
      </c>
      <c r="X3" s="14">
        <f t="shared" ca="1" si="0"/>
        <v>4.7637860714394771</v>
      </c>
      <c r="Y3" s="14">
        <f t="shared" ca="1" si="0"/>
        <v>4.8630052749300656</v>
      </c>
      <c r="Z3" s="14">
        <f t="shared" ca="1" si="0"/>
        <v>4.6907253868709349</v>
      </c>
      <c r="AA3" s="14">
        <f t="shared" ca="1" si="0"/>
        <v>4.7047346854424834</v>
      </c>
      <c r="AB3" s="14">
        <f t="shared" ca="1" si="0"/>
        <v>4.7320564277586747</v>
      </c>
      <c r="AC3" s="14">
        <f t="shared" ca="1" si="0"/>
        <v>4.7611531903568149</v>
      </c>
      <c r="AD3" s="14">
        <f t="shared" ca="1" si="0"/>
        <v>4.7461290977983142</v>
      </c>
      <c r="AE3" s="14">
        <f t="shared" ca="1" si="0"/>
        <v>4.8517644229258732</v>
      </c>
      <c r="AF3" s="14">
        <f t="shared" ca="1" si="0"/>
        <v>4.8018486410826355</v>
      </c>
      <c r="AG3" s="14">
        <f t="shared" ca="1" si="0"/>
        <v>4.6643360970532148</v>
      </c>
      <c r="AH3" s="14">
        <f t="shared" ca="1" si="0"/>
        <v>4.7564894402877318</v>
      </c>
      <c r="AI3" s="14">
        <f t="shared" ca="1" si="0"/>
        <v>4.7728934830031982</v>
      </c>
      <c r="AJ3" s="14">
        <f t="shared" ca="1" si="0"/>
        <v>4.7343983083523007</v>
      </c>
      <c r="AK3" s="14">
        <f t="shared" ca="1" si="0"/>
        <v>4.769903505050622</v>
      </c>
      <c r="AL3" s="14">
        <f t="shared" ca="1" si="0"/>
        <v>4.7476249539251132</v>
      </c>
      <c r="AM3" s="14">
        <f t="shared" ca="1" si="0"/>
        <v>4.7594983372569954</v>
      </c>
      <c r="AN3" s="14">
        <f t="shared" ca="1" si="0"/>
        <v>4.787213971789047</v>
      </c>
      <c r="AO3" s="14">
        <f t="shared" ca="1" si="0"/>
        <v>4.6988340847679391</v>
      </c>
      <c r="AP3" s="14">
        <f t="shared" ca="1" si="0"/>
        <v>4.7391437245064303</v>
      </c>
      <c r="AQ3" s="14">
        <f t="shared" ca="1" si="0"/>
        <v>4.7818700309676769</v>
      </c>
      <c r="AR3" s="14">
        <f t="shared" ca="1" si="0"/>
        <v>4.7091719816500532</v>
      </c>
      <c r="AS3" s="14">
        <f t="shared" ca="1" si="0"/>
        <v>4.7877316719655516</v>
      </c>
      <c r="AT3" s="14">
        <f t="shared" ca="1" si="0"/>
        <v>4.7535101025332027</v>
      </c>
      <c r="AU3" s="14">
        <f t="shared" ca="1" si="0"/>
        <v>4.718036352890377</v>
      </c>
      <c r="AV3" s="14">
        <f t="shared" ca="1" si="0"/>
        <v>4.7840169477055658</v>
      </c>
      <c r="AW3" s="14">
        <f t="shared" ca="1" si="0"/>
        <v>4.8402901528965598</v>
      </c>
      <c r="AX3" s="14">
        <f t="shared" ca="1" si="0"/>
        <v>4.6494040618115307</v>
      </c>
      <c r="AY3" s="14">
        <f t="shared" ca="1" si="0"/>
        <v>4.8528718896172043</v>
      </c>
      <c r="AZ3" s="14">
        <f t="shared" ca="1" si="0"/>
        <v>4.6861642389711644</v>
      </c>
      <c r="BA3" s="14">
        <f t="shared" ca="1" si="0"/>
        <v>4.7236460316407429</v>
      </c>
      <c r="BB3" s="14">
        <f t="shared" ca="1" si="0"/>
        <v>4.7141660947833932</v>
      </c>
      <c r="BC3" s="14">
        <f t="shared" ca="1" si="0"/>
        <v>4.8550708283925488</v>
      </c>
      <c r="BD3" s="14">
        <f t="shared" ca="1" si="0"/>
        <v>4.7412385894300657</v>
      </c>
      <c r="BE3" s="14">
        <f t="shared" ca="1" si="0"/>
        <v>4.7244121718361116</v>
      </c>
      <c r="BF3" s="14">
        <f t="shared" ca="1" si="0"/>
        <v>4.7539378348774983</v>
      </c>
      <c r="BG3" s="14">
        <f t="shared" ca="1" si="0"/>
        <v>4.7289633801522237</v>
      </c>
      <c r="BH3" s="14">
        <f t="shared" ca="1" si="0"/>
        <v>4.704296791480429</v>
      </c>
      <c r="BI3" s="14">
        <f t="shared" ca="1" si="0"/>
        <v>4.755788059793808</v>
      </c>
      <c r="BJ3" s="14">
        <f t="shared" ca="1" si="0"/>
        <v>4.7793983510651801</v>
      </c>
      <c r="BK3" s="14">
        <f t="shared" ca="1" si="0"/>
        <v>4.7562155548999945</v>
      </c>
      <c r="BL3" s="14">
        <f t="shared" ca="1" si="0"/>
        <v>4.7290859380507211</v>
      </c>
      <c r="BM3" s="14">
        <f t="shared" ca="1" si="0"/>
        <v>4.7622823531867748</v>
      </c>
      <c r="BN3" s="14">
        <f t="shared" ca="1" si="0"/>
        <v>4.8390309023606477</v>
      </c>
      <c r="BO3" s="14">
        <f t="shared" ca="1" si="0"/>
        <v>4.8422346630164528</v>
      </c>
      <c r="BP3" s="14">
        <f t="shared" ca="1" si="0"/>
        <v>4.7206090482872831</v>
      </c>
      <c r="BQ3" s="14">
        <f t="shared" ca="1" si="0"/>
        <v>4.8358743247106331</v>
      </c>
      <c r="BR3" s="14">
        <f t="shared" ca="1" si="0"/>
        <v>4.7683279462889656</v>
      </c>
      <c r="BS3" s="14">
        <f t="shared" ca="1" si="0"/>
        <v>4.7557469027796238</v>
      </c>
      <c r="BT3" s="14">
        <f t="shared" ca="1" si="0"/>
        <v>4.6853105642219113</v>
      </c>
      <c r="BU3" s="14">
        <f t="shared" ca="1" si="0"/>
        <v>4.796065414555934</v>
      </c>
      <c r="BV3" s="14">
        <f t="shared" ref="BV3:EG3" ca="1" si="1">LOG(BV2)</f>
        <v>4.7705914715178075</v>
      </c>
      <c r="BW3" s="14">
        <f t="shared" ca="1" si="1"/>
        <v>4.6522707831833054</v>
      </c>
      <c r="BX3" s="14">
        <f t="shared" ca="1" si="1"/>
        <v>4.7137008916001344</v>
      </c>
      <c r="BY3" s="14">
        <f t="shared" ca="1" si="1"/>
        <v>4.7515254913365634</v>
      </c>
      <c r="BZ3" s="14">
        <f t="shared" ca="1" si="1"/>
        <v>4.772152446560999</v>
      </c>
      <c r="CA3" s="14">
        <f t="shared" ca="1" si="1"/>
        <v>4.7050228002549108</v>
      </c>
      <c r="CB3" s="14">
        <f t="shared" ca="1" si="1"/>
        <v>4.7395723241751373</v>
      </c>
      <c r="CC3" s="14">
        <f t="shared" ca="1" si="1"/>
        <v>4.7800646964579983</v>
      </c>
      <c r="CD3" s="14">
        <f t="shared" ca="1" si="1"/>
        <v>4.7714751240389059</v>
      </c>
      <c r="CE3" s="14">
        <f t="shared" ca="1" si="1"/>
        <v>4.7546376484060833</v>
      </c>
      <c r="CF3" s="14">
        <f t="shared" ca="1" si="1"/>
        <v>4.6766706626919561</v>
      </c>
      <c r="CG3" s="14">
        <f t="shared" ca="1" si="1"/>
        <v>4.8367077903488322</v>
      </c>
      <c r="CH3" s="14">
        <f t="shared" ca="1" si="1"/>
        <v>4.7846062102565421</v>
      </c>
      <c r="CI3" s="14">
        <f t="shared" ca="1" si="1"/>
        <v>4.6798613688089006</v>
      </c>
      <c r="CJ3" s="14">
        <f t="shared" ca="1" si="1"/>
        <v>4.9181733435075783</v>
      </c>
      <c r="CK3" s="14">
        <f t="shared" ca="1" si="1"/>
        <v>4.7193545483743504</v>
      </c>
      <c r="CL3" s="14">
        <f t="shared" ca="1" si="1"/>
        <v>4.7873268402166325</v>
      </c>
      <c r="CM3" s="14">
        <f t="shared" ca="1" si="1"/>
        <v>4.85971558516784</v>
      </c>
      <c r="CN3" s="14">
        <f t="shared" ca="1" si="1"/>
        <v>4.7836213025577372</v>
      </c>
      <c r="CO3" s="14">
        <f t="shared" ca="1" si="1"/>
        <v>4.7460614749667425</v>
      </c>
      <c r="CP3" s="14">
        <f t="shared" ca="1" si="1"/>
        <v>4.7627145182605624</v>
      </c>
      <c r="CQ3" s="14">
        <f t="shared" ca="1" si="1"/>
        <v>4.8209372844289993</v>
      </c>
      <c r="CR3" s="14">
        <f t="shared" ca="1" si="1"/>
        <v>4.7882262068142944</v>
      </c>
      <c r="CS3" s="14">
        <f t="shared" ca="1" si="1"/>
        <v>4.7517215095141179</v>
      </c>
      <c r="CT3" s="14">
        <f t="shared" ca="1" si="1"/>
        <v>4.8110518600476126</v>
      </c>
      <c r="CU3" s="14">
        <f t="shared" ca="1" si="1"/>
        <v>4.7790897616875156</v>
      </c>
      <c r="CV3" s="14">
        <f t="shared" ca="1" si="1"/>
        <v>4.7362971763396864</v>
      </c>
      <c r="CW3" s="14">
        <f t="shared" ca="1" si="1"/>
        <v>4.6141975090731417</v>
      </c>
      <c r="CX3" s="14">
        <f t="shared" ca="1" si="1"/>
        <v>4.7547102394507226</v>
      </c>
      <c r="CY3" s="14">
        <f t="shared" ca="1" si="1"/>
        <v>4.8230250919506812</v>
      </c>
      <c r="CZ3" s="14">
        <f t="shared" ca="1" si="1"/>
        <v>4.8144292655083047</v>
      </c>
      <c r="DA3" s="14">
        <f t="shared" ca="1" si="1"/>
        <v>4.847458171592578</v>
      </c>
      <c r="DB3" s="14">
        <f t="shared" ca="1" si="1"/>
        <v>4.8254260582942434</v>
      </c>
      <c r="DC3" s="14">
        <f t="shared" ca="1" si="1"/>
        <v>4.7166646628701505</v>
      </c>
      <c r="DD3" s="14">
        <f t="shared" ca="1" si="1"/>
        <v>4.7223439192997736</v>
      </c>
      <c r="DE3" s="14">
        <f t="shared" ca="1" si="1"/>
        <v>4.7661433611814337</v>
      </c>
      <c r="DF3" s="14">
        <f t="shared" ca="1" si="1"/>
        <v>4.7842828757655402</v>
      </c>
      <c r="DG3" s="14">
        <f t="shared" ca="1" si="1"/>
        <v>4.8346846539879582</v>
      </c>
      <c r="DH3" s="14">
        <f t="shared" ca="1" si="1"/>
        <v>4.6808553745738974</v>
      </c>
      <c r="DI3" s="14">
        <f t="shared" ca="1" si="1"/>
        <v>4.7901024700604662</v>
      </c>
      <c r="DJ3" s="14">
        <f t="shared" ca="1" si="1"/>
        <v>4.6804052714333055</v>
      </c>
      <c r="DK3" s="14">
        <f t="shared" ca="1" si="1"/>
        <v>4.7602175292500091</v>
      </c>
      <c r="DL3" s="14">
        <f t="shared" ca="1" si="1"/>
        <v>4.7794345949851413</v>
      </c>
      <c r="DM3" s="14">
        <f t="shared" ca="1" si="1"/>
        <v>4.7918844112704777</v>
      </c>
      <c r="DN3" s="14">
        <f t="shared" ca="1" si="1"/>
        <v>4.837022687150446</v>
      </c>
      <c r="DO3" s="14">
        <f t="shared" ca="1" si="1"/>
        <v>4.7763400205990241</v>
      </c>
      <c r="DP3" s="14">
        <f t="shared" ca="1" si="1"/>
        <v>4.8069928983256238</v>
      </c>
      <c r="DQ3" s="14">
        <f t="shared" ca="1" si="1"/>
        <v>4.8529036534725964</v>
      </c>
      <c r="DR3" s="14">
        <f t="shared" ca="1" si="1"/>
        <v>4.7414414633554642</v>
      </c>
      <c r="DS3" s="14">
        <f t="shared" ca="1" si="1"/>
        <v>4.7020451771479133</v>
      </c>
      <c r="DT3" s="14">
        <f t="shared" ca="1" si="1"/>
        <v>4.7371371049652291</v>
      </c>
      <c r="DU3" s="14">
        <f t="shared" ca="1" si="1"/>
        <v>4.8267424103314829</v>
      </c>
      <c r="DV3" s="14">
        <f t="shared" ca="1" si="1"/>
        <v>4.8484073148920084</v>
      </c>
      <c r="DW3" s="14">
        <f t="shared" ca="1" si="1"/>
        <v>4.7373893016322146</v>
      </c>
      <c r="DX3" s="14">
        <f t="shared" ca="1" si="1"/>
        <v>4.7394622049380786</v>
      </c>
      <c r="DY3" s="14">
        <f t="shared" ca="1" si="1"/>
        <v>4.7496664970340046</v>
      </c>
      <c r="DZ3" s="14">
        <f t="shared" ca="1" si="1"/>
        <v>4.768517695892462</v>
      </c>
      <c r="EA3" s="14">
        <f t="shared" ca="1" si="1"/>
        <v>4.8056390581251769</v>
      </c>
      <c r="EB3" s="14">
        <f t="shared" ca="1" si="1"/>
        <v>4.9484746061306311</v>
      </c>
      <c r="EC3" s="14">
        <f t="shared" ca="1" si="1"/>
        <v>4.8164488390957745</v>
      </c>
      <c r="ED3" s="14">
        <f t="shared" ca="1" si="1"/>
        <v>4.8763800750035786</v>
      </c>
      <c r="EE3" s="14">
        <f t="shared" ca="1" si="1"/>
        <v>4.7888356523708921</v>
      </c>
      <c r="EF3" s="14">
        <f t="shared" ca="1" si="1"/>
        <v>4.7392955754279535</v>
      </c>
      <c r="EG3" s="14">
        <f t="shared" ca="1" si="1"/>
        <v>4.6865024223455656</v>
      </c>
      <c r="EH3" s="14">
        <f t="shared" ref="EH3:GS3" ca="1" si="2">LOG(EH2)</f>
        <v>4.7877730272190151</v>
      </c>
      <c r="EI3" s="14">
        <f t="shared" ca="1" si="2"/>
        <v>4.7686928017784753</v>
      </c>
      <c r="EJ3" s="14">
        <f t="shared" ca="1" si="2"/>
        <v>4.6951685493947171</v>
      </c>
      <c r="EK3" s="14">
        <f t="shared" ca="1" si="2"/>
        <v>4.766115714593373</v>
      </c>
      <c r="EL3" s="14">
        <f t="shared" ca="1" si="2"/>
        <v>4.7404843323154733</v>
      </c>
      <c r="EM3" s="14">
        <f t="shared" ca="1" si="2"/>
        <v>4.8825054692494145</v>
      </c>
      <c r="EN3" s="14">
        <f t="shared" ca="1" si="2"/>
        <v>4.7651943043363039</v>
      </c>
      <c r="EO3" s="14">
        <f t="shared" ca="1" si="2"/>
        <v>4.8391091867455343</v>
      </c>
      <c r="EP3" s="14">
        <f t="shared" ca="1" si="2"/>
        <v>4.7035045396593871</v>
      </c>
      <c r="EQ3" s="14">
        <f t="shared" ca="1" si="2"/>
        <v>4.7582859815567611</v>
      </c>
      <c r="ER3" s="14">
        <f t="shared" ca="1" si="2"/>
        <v>4.7350479218951973</v>
      </c>
      <c r="ES3" s="14">
        <f t="shared" ca="1" si="2"/>
        <v>4.7832381940233528</v>
      </c>
      <c r="ET3" s="14">
        <f t="shared" ca="1" si="2"/>
        <v>4.8878995073613396</v>
      </c>
      <c r="EU3" s="14">
        <f t="shared" ca="1" si="2"/>
        <v>4.7341072060615907</v>
      </c>
      <c r="EV3" s="14">
        <f t="shared" ca="1" si="2"/>
        <v>4.8989055291655479</v>
      </c>
      <c r="EW3" s="14">
        <f t="shared" ca="1" si="2"/>
        <v>4.6851350786864785</v>
      </c>
      <c r="EX3" s="14">
        <f t="shared" ca="1" si="2"/>
        <v>4.7914435235597503</v>
      </c>
      <c r="EY3" s="14">
        <f t="shared" ca="1" si="2"/>
        <v>4.7826090188916002</v>
      </c>
      <c r="EZ3" s="14">
        <f t="shared" ca="1" si="2"/>
        <v>4.7048536230512505</v>
      </c>
      <c r="FA3" s="14">
        <f t="shared" ca="1" si="2"/>
        <v>4.7212341154299367</v>
      </c>
      <c r="FB3" s="14">
        <f t="shared" ca="1" si="2"/>
        <v>4.7382927025952473</v>
      </c>
      <c r="FC3" s="14">
        <f t="shared" ca="1" si="2"/>
        <v>4.8586801186613569</v>
      </c>
      <c r="FD3" s="14">
        <f t="shared" ca="1" si="2"/>
        <v>4.7104890376873598</v>
      </c>
      <c r="FE3" s="14">
        <f t="shared" ca="1" si="2"/>
        <v>4.7816260932788639</v>
      </c>
      <c r="FF3" s="14">
        <f t="shared" ca="1" si="2"/>
        <v>4.8017941806847055</v>
      </c>
      <c r="FG3" s="14">
        <f t="shared" ca="1" si="2"/>
        <v>4.7511251464089357</v>
      </c>
      <c r="FH3" s="14">
        <f t="shared" ca="1" si="2"/>
        <v>4.750266547207838</v>
      </c>
      <c r="FI3" s="14">
        <f t="shared" ca="1" si="2"/>
        <v>4.7805397531772469</v>
      </c>
      <c r="FJ3" s="14">
        <f t="shared" ca="1" si="2"/>
        <v>4.8519418938407579</v>
      </c>
      <c r="FK3" s="14">
        <f t="shared" ca="1" si="2"/>
        <v>4.751937862651717</v>
      </c>
      <c r="FL3" s="14">
        <f t="shared" ca="1" si="2"/>
        <v>4.8043981390119637</v>
      </c>
      <c r="FM3" s="14">
        <f t="shared" ca="1" si="2"/>
        <v>4.7108678911830664</v>
      </c>
      <c r="FN3" s="14">
        <f t="shared" ca="1" si="2"/>
        <v>4.8205126940489871</v>
      </c>
      <c r="FO3" s="14">
        <f t="shared" ca="1" si="2"/>
        <v>4.7992314506150295</v>
      </c>
      <c r="FP3" s="14">
        <f t="shared" ca="1" si="2"/>
        <v>4.8228261741208946</v>
      </c>
      <c r="FQ3" s="14">
        <f t="shared" ca="1" si="2"/>
        <v>4.8127091631277041</v>
      </c>
      <c r="FR3" s="14">
        <f t="shared" ca="1" si="2"/>
        <v>4.8110332190726099</v>
      </c>
      <c r="FS3" s="14">
        <f t="shared" ca="1" si="2"/>
        <v>4.8511604179182424</v>
      </c>
      <c r="FT3" s="14">
        <f t="shared" ca="1" si="2"/>
        <v>4.7932164329892943</v>
      </c>
      <c r="FU3" s="14">
        <f t="shared" ca="1" si="2"/>
        <v>4.7133468271067862</v>
      </c>
      <c r="FV3" s="14">
        <f t="shared" ca="1" si="2"/>
        <v>4.7787878927688716</v>
      </c>
      <c r="FW3" s="14">
        <f t="shared" ca="1" si="2"/>
        <v>4.6647874570151027</v>
      </c>
      <c r="FX3" s="14">
        <f t="shared" ca="1" si="2"/>
        <v>4.8457913008057245</v>
      </c>
      <c r="FY3" s="14">
        <f t="shared" ca="1" si="2"/>
        <v>4.726373713469199</v>
      </c>
      <c r="FZ3" s="14">
        <f t="shared" ca="1" si="2"/>
        <v>4.7475133629762887</v>
      </c>
      <c r="GA3" s="14">
        <f t="shared" ca="1" si="2"/>
        <v>4.7141671905647557</v>
      </c>
      <c r="GB3" s="14">
        <f t="shared" ca="1" si="2"/>
        <v>4.8137896316674578</v>
      </c>
      <c r="GC3" s="14">
        <f t="shared" ca="1" si="2"/>
        <v>4.695303815550651</v>
      </c>
      <c r="GD3" s="14">
        <f t="shared" ca="1" si="2"/>
        <v>4.7574675429576141</v>
      </c>
      <c r="GE3" s="14">
        <f t="shared" ca="1" si="2"/>
        <v>4.707444034446759</v>
      </c>
      <c r="GF3" s="14">
        <f t="shared" ca="1" si="2"/>
        <v>4.8212917167939455</v>
      </c>
      <c r="GG3" s="14">
        <f t="shared" ca="1" si="2"/>
        <v>4.7002141634683756</v>
      </c>
      <c r="GH3" s="14">
        <f t="shared" ca="1" si="2"/>
        <v>4.6781115137243079</v>
      </c>
      <c r="GI3" s="14">
        <f t="shared" ca="1" si="2"/>
        <v>4.7482347178691446</v>
      </c>
      <c r="GJ3" s="14">
        <f t="shared" ca="1" si="2"/>
        <v>4.7342177649195083</v>
      </c>
      <c r="GK3" s="14">
        <f t="shared" ca="1" si="2"/>
        <v>4.7914840215126082</v>
      </c>
      <c r="GL3" s="14">
        <f t="shared" ca="1" si="2"/>
        <v>4.7347028820854895</v>
      </c>
      <c r="GM3" s="14">
        <f t="shared" ca="1" si="2"/>
        <v>4.687974771306779</v>
      </c>
      <c r="GN3" s="14">
        <f t="shared" ca="1" si="2"/>
        <v>4.6450668809358886</v>
      </c>
      <c r="GO3" s="14">
        <f t="shared" ca="1" si="2"/>
        <v>4.7676266108002583</v>
      </c>
      <c r="GP3" s="14">
        <f t="shared" ca="1" si="2"/>
        <v>4.8688559313531723</v>
      </c>
      <c r="GQ3" s="14">
        <f t="shared" ca="1" si="2"/>
        <v>4.7972835126023048</v>
      </c>
      <c r="GR3" s="14">
        <f t="shared" ca="1" si="2"/>
        <v>4.8189525382082188</v>
      </c>
      <c r="GS3" s="14">
        <f t="shared" ca="1" si="2"/>
        <v>4.8116521517082429</v>
      </c>
      <c r="GT3" s="14">
        <f t="shared" ref="GT3:JE3" ca="1" si="3">LOG(GT2)</f>
        <v>4.76991332591692</v>
      </c>
      <c r="GU3" s="14">
        <f t="shared" ca="1" si="3"/>
        <v>4.6956831147580953</v>
      </c>
      <c r="GV3" s="14">
        <f t="shared" ca="1" si="3"/>
        <v>4.7315615958314758</v>
      </c>
      <c r="GW3" s="14">
        <f t="shared" ca="1" si="3"/>
        <v>4.8242579984363276</v>
      </c>
      <c r="GX3" s="14">
        <f t="shared" ca="1" si="3"/>
        <v>4.776480989437391</v>
      </c>
      <c r="GY3" s="14">
        <f t="shared" ca="1" si="3"/>
        <v>4.7965436828473518</v>
      </c>
      <c r="GZ3" s="14">
        <f t="shared" ca="1" si="3"/>
        <v>4.8194439935917135</v>
      </c>
      <c r="HA3" s="14">
        <f t="shared" ca="1" si="3"/>
        <v>4.7549693736026466</v>
      </c>
      <c r="HB3" s="14">
        <f t="shared" ca="1" si="3"/>
        <v>4.730002996198591</v>
      </c>
      <c r="HC3" s="14">
        <f t="shared" ca="1" si="3"/>
        <v>4.7425220741992078</v>
      </c>
      <c r="HD3" s="14">
        <f t="shared" ca="1" si="3"/>
        <v>4.8125134537280889</v>
      </c>
      <c r="HE3" s="14">
        <f t="shared" ca="1" si="3"/>
        <v>4.6219192308227344</v>
      </c>
      <c r="HF3" s="14">
        <f t="shared" ca="1" si="3"/>
        <v>4.7326124450176268</v>
      </c>
      <c r="HG3" s="14">
        <f t="shared" ca="1" si="3"/>
        <v>4.7159038492759642</v>
      </c>
      <c r="HH3" s="14">
        <f t="shared" ca="1" si="3"/>
        <v>4.726779198908643</v>
      </c>
      <c r="HI3" s="14">
        <f t="shared" ca="1" si="3"/>
        <v>4.805363810430717</v>
      </c>
      <c r="HJ3" s="14">
        <f t="shared" ca="1" si="3"/>
        <v>4.7784613028871883</v>
      </c>
      <c r="HK3" s="14">
        <f t="shared" ca="1" si="3"/>
        <v>4.7436662618962293</v>
      </c>
      <c r="HL3" s="14">
        <f t="shared" ca="1" si="3"/>
        <v>4.8041093327661422</v>
      </c>
      <c r="HM3" s="14">
        <f t="shared" ca="1" si="3"/>
        <v>4.7993540649806468</v>
      </c>
      <c r="HN3" s="14">
        <f t="shared" ca="1" si="3"/>
        <v>4.828429792055025</v>
      </c>
      <c r="HO3" s="14">
        <f t="shared" ca="1" si="3"/>
        <v>4.7854665675384318</v>
      </c>
      <c r="HP3" s="14">
        <f t="shared" ca="1" si="3"/>
        <v>4.8325704312342186</v>
      </c>
      <c r="HQ3" s="14">
        <f t="shared" ca="1" si="3"/>
        <v>4.8513884471132727</v>
      </c>
      <c r="HR3" s="14">
        <f t="shared" ca="1" si="3"/>
        <v>4.8616895266146827</v>
      </c>
      <c r="HS3" s="14">
        <f t="shared" ca="1" si="3"/>
        <v>4.7773495425235328</v>
      </c>
      <c r="HT3" s="14">
        <f t="shared" ca="1" si="3"/>
        <v>4.8418997627893923</v>
      </c>
      <c r="HU3" s="14">
        <f t="shared" ca="1" si="3"/>
        <v>4.7606476242940667</v>
      </c>
      <c r="HV3" s="14">
        <f t="shared" ca="1" si="3"/>
        <v>4.7408872163856239</v>
      </c>
      <c r="HW3" s="14">
        <f t="shared" ca="1" si="3"/>
        <v>4.7552882522170368</v>
      </c>
      <c r="HX3" s="14">
        <f t="shared" ca="1" si="3"/>
        <v>4.7010485262893695</v>
      </c>
      <c r="HY3" s="14">
        <f t="shared" ca="1" si="3"/>
        <v>4.850256149539292</v>
      </c>
      <c r="HZ3" s="14">
        <f t="shared" ca="1" si="3"/>
        <v>4.6929151675162535</v>
      </c>
      <c r="IA3" s="14">
        <f t="shared" ca="1" si="3"/>
        <v>4.8479266359701754</v>
      </c>
      <c r="IB3" s="14">
        <f t="shared" ca="1" si="3"/>
        <v>4.775676857932349</v>
      </c>
      <c r="IC3" s="14">
        <f t="shared" ca="1" si="3"/>
        <v>4.739320362762828</v>
      </c>
      <c r="ID3" s="14">
        <f t="shared" ca="1" si="3"/>
        <v>4.8669276000177319</v>
      </c>
      <c r="IE3" s="14">
        <f t="shared" ca="1" si="3"/>
        <v>4.7858858203780352</v>
      </c>
      <c r="IF3" s="14">
        <f t="shared" ca="1" si="3"/>
        <v>4.781179910158655</v>
      </c>
      <c r="IG3" s="14">
        <f t="shared" ca="1" si="3"/>
        <v>4.6935380500009858</v>
      </c>
      <c r="IH3" s="14">
        <f t="shared" ca="1" si="3"/>
        <v>4.7496374707398452</v>
      </c>
      <c r="II3" s="14">
        <f t="shared" ca="1" si="3"/>
        <v>4.7935922613578814</v>
      </c>
      <c r="IJ3" s="14">
        <f t="shared" ca="1" si="3"/>
        <v>4.8409480618603418</v>
      </c>
      <c r="IK3" s="14">
        <f t="shared" ca="1" si="3"/>
        <v>4.7341873146344531</v>
      </c>
      <c r="IL3" s="14">
        <f t="shared" ca="1" si="3"/>
        <v>4.8045994276329163</v>
      </c>
      <c r="IM3" s="14">
        <f t="shared" ca="1" si="3"/>
        <v>4.8097687201098305</v>
      </c>
      <c r="IN3" s="14">
        <f t="shared" ca="1" si="3"/>
        <v>4.7205903988064293</v>
      </c>
      <c r="IO3" s="14">
        <f t="shared" ca="1" si="3"/>
        <v>4.8429361118690668</v>
      </c>
      <c r="IP3" s="14">
        <f t="shared" ca="1" si="3"/>
        <v>4.7592838514625813</v>
      </c>
      <c r="IQ3" s="14">
        <f t="shared" ca="1" si="3"/>
        <v>4.7727901877552439</v>
      </c>
      <c r="IR3" s="14">
        <f t="shared" ca="1" si="3"/>
        <v>4.7391593952121092</v>
      </c>
      <c r="IS3" s="14">
        <f t="shared" ca="1" si="3"/>
        <v>4.8144501656284104</v>
      </c>
      <c r="IT3" s="14">
        <f t="shared" ca="1" si="3"/>
        <v>4.7970857425832083</v>
      </c>
      <c r="IU3" s="14">
        <f t="shared" ca="1" si="3"/>
        <v>4.7861105017867205</v>
      </c>
      <c r="IV3" s="14">
        <f t="shared" ca="1" si="3"/>
        <v>4.8325562781418885</v>
      </c>
      <c r="IW3" s="14">
        <f t="shared" ca="1" si="3"/>
        <v>4.7450322948646448</v>
      </c>
      <c r="IX3" s="14">
        <f t="shared" ca="1" si="3"/>
        <v>4.6847754327899294</v>
      </c>
      <c r="IY3" s="14">
        <f t="shared" ca="1" si="3"/>
        <v>4.8783489852037221</v>
      </c>
      <c r="IZ3" s="14">
        <f t="shared" ca="1" si="3"/>
        <v>4.7255984441976526</v>
      </c>
      <c r="JA3" s="14">
        <f t="shared" ca="1" si="3"/>
        <v>4.8603280365186912</v>
      </c>
      <c r="JB3" s="14">
        <f t="shared" ca="1" si="3"/>
        <v>4.6813121122479791</v>
      </c>
      <c r="JC3" s="14">
        <f t="shared" ca="1" si="3"/>
        <v>4.7792743987072885</v>
      </c>
      <c r="JD3" s="14">
        <f t="shared" ca="1" si="3"/>
        <v>4.7649470299671579</v>
      </c>
      <c r="JE3" s="14">
        <f t="shared" ca="1" si="3"/>
        <v>4.7693286239248787</v>
      </c>
      <c r="JF3" s="14">
        <f t="shared" ref="JF3:LQ3" ca="1" si="4">LOG(JF2)</f>
        <v>4.806111302413421</v>
      </c>
      <c r="JG3" s="14">
        <f t="shared" ca="1" si="4"/>
        <v>4.8134617316189079</v>
      </c>
      <c r="JH3" s="14">
        <f t="shared" ca="1" si="4"/>
        <v>4.8049768328708176</v>
      </c>
      <c r="JI3" s="14">
        <f t="shared" ca="1" si="4"/>
        <v>4.7803955742353148</v>
      </c>
      <c r="JJ3" s="14">
        <f t="shared" ca="1" si="4"/>
        <v>4.7464493667367424</v>
      </c>
      <c r="JK3" s="14">
        <f t="shared" ca="1" si="4"/>
        <v>4.7934903428357769</v>
      </c>
      <c r="JL3" s="14">
        <f t="shared" ca="1" si="4"/>
        <v>4.7580547536873006</v>
      </c>
      <c r="JM3" s="14">
        <f t="shared" ca="1" si="4"/>
        <v>4.8059819328670761</v>
      </c>
      <c r="JN3" s="14">
        <f t="shared" ca="1" si="4"/>
        <v>4.7414306810214129</v>
      </c>
      <c r="JO3" s="14">
        <f t="shared" ca="1" si="4"/>
        <v>4.8087569898199423</v>
      </c>
      <c r="JP3" s="14">
        <f t="shared" ca="1" si="4"/>
        <v>4.7515663952435228</v>
      </c>
      <c r="JQ3" s="14">
        <f t="shared" ca="1" si="4"/>
        <v>4.6687964108475422</v>
      </c>
      <c r="JR3" s="14">
        <f t="shared" ca="1" si="4"/>
        <v>4.7368296683815831</v>
      </c>
      <c r="JS3" s="14">
        <f t="shared" ca="1" si="4"/>
        <v>4.8687713661032825</v>
      </c>
      <c r="JT3" s="14">
        <f t="shared" ca="1" si="4"/>
        <v>4.8062645263256361</v>
      </c>
      <c r="JU3" s="14">
        <f t="shared" ca="1" si="4"/>
        <v>4.8018395254093367</v>
      </c>
      <c r="JV3" s="14">
        <f t="shared" ca="1" si="4"/>
        <v>4.747575487029323</v>
      </c>
      <c r="JW3" s="14">
        <f t="shared" ca="1" si="4"/>
        <v>4.6613176363512236</v>
      </c>
      <c r="JX3" s="14">
        <f t="shared" ca="1" si="4"/>
        <v>4.8319298315109016</v>
      </c>
      <c r="JY3" s="14">
        <f t="shared" ca="1" si="4"/>
        <v>4.7677244965331642</v>
      </c>
      <c r="JZ3" s="14">
        <f t="shared" ca="1" si="4"/>
        <v>4.8663448691049105</v>
      </c>
      <c r="KA3" s="14">
        <f t="shared" ca="1" si="4"/>
        <v>4.773535419802525</v>
      </c>
      <c r="KB3" s="14">
        <f t="shared" ca="1" si="4"/>
        <v>4.8463267862578681</v>
      </c>
      <c r="KC3" s="14">
        <f t="shared" ca="1" si="4"/>
        <v>4.7285366842511358</v>
      </c>
      <c r="KD3" s="14">
        <f t="shared" ca="1" si="4"/>
        <v>4.8024581950834619</v>
      </c>
      <c r="KE3" s="14">
        <f t="shared" ca="1" si="4"/>
        <v>4.7899389022542511</v>
      </c>
      <c r="KF3" s="14">
        <f t="shared" ca="1" si="4"/>
        <v>4.6939105090913458</v>
      </c>
      <c r="KG3" s="14">
        <f t="shared" ca="1" si="4"/>
        <v>4.7572886373438363</v>
      </c>
      <c r="KH3" s="14">
        <f t="shared" ca="1" si="4"/>
        <v>4.7941231480102466</v>
      </c>
      <c r="KI3" s="14">
        <f t="shared" ca="1" si="4"/>
        <v>4.8722568277789797</v>
      </c>
      <c r="KJ3" s="14">
        <f t="shared" ca="1" si="4"/>
        <v>4.7806804488473498</v>
      </c>
      <c r="KK3" s="14">
        <f t="shared" ca="1" si="4"/>
        <v>4.8325402191900304</v>
      </c>
      <c r="KL3" s="14">
        <f t="shared" ca="1" si="4"/>
        <v>4.7985381426851763</v>
      </c>
      <c r="KM3" s="14">
        <f t="shared" ca="1" si="4"/>
        <v>4.78403363216343</v>
      </c>
      <c r="KN3" s="14">
        <f t="shared" ca="1" si="4"/>
        <v>4.8736259069647971</v>
      </c>
      <c r="KO3" s="14">
        <f t="shared" ca="1" si="4"/>
        <v>4.7456086363765602</v>
      </c>
      <c r="KP3" s="14">
        <f t="shared" ca="1" si="4"/>
        <v>4.7479841178152054</v>
      </c>
      <c r="KQ3" s="14">
        <f t="shared" ca="1" si="4"/>
        <v>4.7370325183788342</v>
      </c>
      <c r="KR3" s="14">
        <f t="shared" ca="1" si="4"/>
        <v>4.8239801060265757</v>
      </c>
      <c r="KS3" s="14">
        <f t="shared" ca="1" si="4"/>
        <v>4.7994072864444757</v>
      </c>
      <c r="KT3" s="14">
        <f t="shared" ca="1" si="4"/>
        <v>4.7463522166716601</v>
      </c>
      <c r="KU3" s="14">
        <f t="shared" ca="1" si="4"/>
        <v>4.799387376499852</v>
      </c>
      <c r="KV3" s="14">
        <f t="shared" ca="1" si="4"/>
        <v>4.842684059249768</v>
      </c>
      <c r="KW3" s="14">
        <f t="shared" ca="1" si="4"/>
        <v>4.7251102780115595</v>
      </c>
      <c r="KX3" s="14">
        <f t="shared" ca="1" si="4"/>
        <v>4.7724092834448797</v>
      </c>
      <c r="KY3" s="14">
        <f t="shared" ca="1" si="4"/>
        <v>4.8061767843923286</v>
      </c>
      <c r="KZ3" s="14">
        <f t="shared" ca="1" si="4"/>
        <v>4.8310050375928624</v>
      </c>
      <c r="LA3" s="14">
        <f t="shared" ca="1" si="4"/>
        <v>4.8372421643368089</v>
      </c>
      <c r="LB3" s="14">
        <f t="shared" ca="1" si="4"/>
        <v>4.6902160074500721</v>
      </c>
      <c r="LC3" s="14">
        <f t="shared" ca="1" si="4"/>
        <v>4.8567421069117707</v>
      </c>
      <c r="LD3" s="14">
        <f t="shared" ca="1" si="4"/>
        <v>4.7738052867363923</v>
      </c>
      <c r="LE3" s="14">
        <f t="shared" ca="1" si="4"/>
        <v>4.7730735497547805</v>
      </c>
      <c r="LF3" s="14">
        <f t="shared" ca="1" si="4"/>
        <v>4.8960896824343223</v>
      </c>
      <c r="LG3" s="14">
        <f t="shared" ca="1" si="4"/>
        <v>4.8778693675635969</v>
      </c>
      <c r="LH3" s="14">
        <f t="shared" ca="1" si="4"/>
        <v>4.7468489866798382</v>
      </c>
      <c r="LI3" s="14">
        <f t="shared" ca="1" si="4"/>
        <v>4.8272489378029713</v>
      </c>
      <c r="LJ3" s="14">
        <f t="shared" ca="1" si="4"/>
        <v>4.7651801351499632</v>
      </c>
      <c r="LK3" s="14">
        <f t="shared" ca="1" si="4"/>
        <v>4.6913885817539978</v>
      </c>
      <c r="LL3" s="14">
        <f t="shared" ca="1" si="4"/>
        <v>4.8487109917501243</v>
      </c>
      <c r="LM3" s="14">
        <f t="shared" ca="1" si="4"/>
        <v>4.7591019670130272</v>
      </c>
      <c r="LN3" s="14">
        <f t="shared" ca="1" si="4"/>
        <v>4.7825907451855505</v>
      </c>
      <c r="LO3" s="14">
        <f t="shared" ca="1" si="4"/>
        <v>4.8532473322946998</v>
      </c>
      <c r="LP3" s="14">
        <f t="shared" ca="1" si="4"/>
        <v>4.6916667519290582</v>
      </c>
      <c r="LQ3" s="14">
        <f t="shared" ca="1" si="4"/>
        <v>4.6803284756063119</v>
      </c>
      <c r="LR3" s="14">
        <f t="shared" ref="LR3:OC3" ca="1" si="5">LOG(LR2)</f>
        <v>4.6112233435280556</v>
      </c>
      <c r="LS3" s="14">
        <f t="shared" ca="1" si="5"/>
        <v>4.7345450732567702</v>
      </c>
      <c r="LT3" s="14">
        <f t="shared" ca="1" si="5"/>
        <v>4.7288194335719638</v>
      </c>
      <c r="LU3" s="14">
        <f t="shared" ca="1" si="5"/>
        <v>4.8105459722404342</v>
      </c>
      <c r="LV3" s="14">
        <f t="shared" ca="1" si="5"/>
        <v>4.9395609955858415</v>
      </c>
      <c r="LW3" s="14">
        <f t="shared" ca="1" si="5"/>
        <v>4.7780647875983595</v>
      </c>
      <c r="LX3" s="14">
        <f t="shared" ca="1" si="5"/>
        <v>4.5807165647486521</v>
      </c>
      <c r="LY3" s="14">
        <f t="shared" ca="1" si="5"/>
        <v>4.8010446102498934</v>
      </c>
      <c r="LZ3" s="14">
        <f t="shared" ca="1" si="5"/>
        <v>4.8150029035292548</v>
      </c>
      <c r="MA3" s="14">
        <f t="shared" ca="1" si="5"/>
        <v>4.8104329981338099</v>
      </c>
      <c r="MB3" s="14">
        <f t="shared" ca="1" si="5"/>
        <v>4.7113906112457755</v>
      </c>
      <c r="MC3" s="14">
        <f t="shared" ca="1" si="5"/>
        <v>4.7530315277256578</v>
      </c>
      <c r="MD3" s="14">
        <f t="shared" ca="1" si="5"/>
        <v>4.7188813141480601</v>
      </c>
      <c r="ME3" s="14">
        <f t="shared" ca="1" si="5"/>
        <v>4.7951883750021533</v>
      </c>
      <c r="MF3" s="14">
        <f t="shared" ca="1" si="5"/>
        <v>4.7265328476572499</v>
      </c>
      <c r="MG3" s="14">
        <f t="shared" ca="1" si="5"/>
        <v>4.8180294841946383</v>
      </c>
      <c r="MH3" s="14">
        <f t="shared" ca="1" si="5"/>
        <v>4.7141697845129302</v>
      </c>
      <c r="MI3" s="14">
        <f t="shared" ca="1" si="5"/>
        <v>4.7803363877914693</v>
      </c>
      <c r="MJ3" s="14">
        <f t="shared" ca="1" si="5"/>
        <v>4.7888143445326357</v>
      </c>
      <c r="MK3" s="14">
        <f t="shared" ca="1" si="5"/>
        <v>4.6685106841705597</v>
      </c>
      <c r="ML3" s="14">
        <f t="shared" ca="1" si="5"/>
        <v>4.8510575544602368</v>
      </c>
      <c r="MM3" s="14">
        <f t="shared" ca="1" si="5"/>
        <v>4.8163721617621391</v>
      </c>
      <c r="MN3" s="14">
        <f t="shared" ca="1" si="5"/>
        <v>4.695012086134037</v>
      </c>
      <c r="MO3" s="14">
        <f t="shared" ca="1" si="5"/>
        <v>4.8258514515594895</v>
      </c>
      <c r="MP3" s="14">
        <f t="shared" ca="1" si="5"/>
        <v>4.7649715199187375</v>
      </c>
      <c r="MQ3" s="14">
        <f t="shared" ca="1" si="5"/>
        <v>4.7022314112585173</v>
      </c>
      <c r="MR3" s="14">
        <f t="shared" ca="1" si="5"/>
        <v>4.7923118866429126</v>
      </c>
      <c r="MS3" s="14">
        <f t="shared" ca="1" si="5"/>
        <v>4.6618422827176014</v>
      </c>
      <c r="MT3" s="14">
        <f t="shared" ca="1" si="5"/>
        <v>4.7369143187748932</v>
      </c>
      <c r="MU3" s="14">
        <f t="shared" ca="1" si="5"/>
        <v>4.806510248200814</v>
      </c>
      <c r="MV3" s="14">
        <f t="shared" ca="1" si="5"/>
        <v>4.8725063490065645</v>
      </c>
      <c r="MW3" s="14">
        <f t="shared" ca="1" si="5"/>
        <v>4.8381488192606632</v>
      </c>
      <c r="MX3" s="14">
        <f t="shared" ca="1" si="5"/>
        <v>4.8038618992138549</v>
      </c>
      <c r="MY3" s="14">
        <f t="shared" ca="1" si="5"/>
        <v>4.8247848391366155</v>
      </c>
      <c r="MZ3" s="14">
        <f t="shared" ca="1" si="5"/>
        <v>4.7811851669081307</v>
      </c>
      <c r="NA3" s="14">
        <f t="shared" ca="1" si="5"/>
        <v>4.7911849118379273</v>
      </c>
      <c r="NB3" s="14">
        <f t="shared" ca="1" si="5"/>
        <v>4.7887608787308906</v>
      </c>
      <c r="NC3" s="14">
        <f t="shared" ca="1" si="5"/>
        <v>4.7595985764157289</v>
      </c>
      <c r="ND3" s="14">
        <f t="shared" ca="1" si="5"/>
        <v>4.8582996508385783</v>
      </c>
      <c r="NE3" s="14">
        <f t="shared" ca="1" si="5"/>
        <v>4.7327206415341845</v>
      </c>
      <c r="NF3" s="14">
        <f t="shared" ca="1" si="5"/>
        <v>4.7574667984765346</v>
      </c>
      <c r="NG3" s="14">
        <f t="shared" ca="1" si="5"/>
        <v>4.826929172589737</v>
      </c>
      <c r="NH3" s="14">
        <f t="shared" ca="1" si="5"/>
        <v>4.8807941429609087</v>
      </c>
      <c r="NI3" s="14">
        <f t="shared" ca="1" si="5"/>
        <v>4.7295340759286999</v>
      </c>
      <c r="NJ3" s="14">
        <f t="shared" ca="1" si="5"/>
        <v>4.7936400646312238</v>
      </c>
      <c r="NK3" s="14">
        <f t="shared" ca="1" si="5"/>
        <v>4.8392840311727383</v>
      </c>
      <c r="NL3" s="14">
        <f t="shared" ca="1" si="5"/>
        <v>4.7954405308706285</v>
      </c>
      <c r="NM3" s="14">
        <f t="shared" ca="1" si="5"/>
        <v>4.6948920676142247</v>
      </c>
      <c r="NN3" s="14">
        <f t="shared" ca="1" si="5"/>
        <v>4.7754689651541886</v>
      </c>
      <c r="NO3" s="14">
        <f t="shared" ca="1" si="5"/>
        <v>4.7576467232541804</v>
      </c>
      <c r="NP3" s="14">
        <f t="shared" ca="1" si="5"/>
        <v>4.8106338774346371</v>
      </c>
      <c r="NQ3" s="14">
        <f t="shared" ca="1" si="5"/>
        <v>4.7238368530922976</v>
      </c>
      <c r="NR3" s="14">
        <f t="shared" ca="1" si="5"/>
        <v>4.681964639815952</v>
      </c>
      <c r="NS3" s="14">
        <f t="shared" ca="1" si="5"/>
        <v>4.7725213361286141</v>
      </c>
      <c r="NT3" s="14">
        <f t="shared" ca="1" si="5"/>
        <v>4.6939773558540736</v>
      </c>
      <c r="NU3" s="14">
        <f t="shared" ca="1" si="5"/>
        <v>4.8794964679082407</v>
      </c>
      <c r="NV3" s="14">
        <f t="shared" ca="1" si="5"/>
        <v>4.8491229274810452</v>
      </c>
      <c r="NW3" s="14">
        <f t="shared" ca="1" si="5"/>
        <v>4.6670115151214624</v>
      </c>
      <c r="NX3" s="14">
        <f t="shared" ca="1" si="5"/>
        <v>4.7089290190027464</v>
      </c>
      <c r="NY3" s="14">
        <f t="shared" ca="1" si="5"/>
        <v>4.852301315252852</v>
      </c>
      <c r="NZ3" s="14">
        <f t="shared" ca="1" si="5"/>
        <v>4.7665557665786613</v>
      </c>
      <c r="OA3" s="14">
        <f t="shared" ca="1" si="5"/>
        <v>4.8081134276287143</v>
      </c>
      <c r="OB3" s="14">
        <f t="shared" ca="1" si="5"/>
        <v>4.7185793176029049</v>
      </c>
      <c r="OC3" s="14">
        <f t="shared" ca="1" si="5"/>
        <v>4.8959263273084881</v>
      </c>
      <c r="OD3" s="14">
        <f t="shared" ref="OD3:QO3" ca="1" si="6">LOG(OD2)</f>
        <v>4.7300553275208221</v>
      </c>
      <c r="OE3" s="14">
        <f t="shared" ca="1" si="6"/>
        <v>4.6941824224120534</v>
      </c>
      <c r="OF3" s="14">
        <f t="shared" ca="1" si="6"/>
        <v>4.8250034290587598</v>
      </c>
      <c r="OG3" s="14">
        <f t="shared" ca="1" si="6"/>
        <v>4.8728801831724988</v>
      </c>
      <c r="OH3" s="14">
        <f t="shared" ca="1" si="6"/>
        <v>4.8265515408735444</v>
      </c>
      <c r="OI3" s="14">
        <f t="shared" ca="1" si="6"/>
        <v>4.8814031023233913</v>
      </c>
      <c r="OJ3" s="14">
        <f t="shared" ca="1" si="6"/>
        <v>4.7499112574333662</v>
      </c>
      <c r="OK3" s="14">
        <f t="shared" ca="1" si="6"/>
        <v>4.7802613481938998</v>
      </c>
      <c r="OL3" s="14">
        <f t="shared" ca="1" si="6"/>
        <v>4.7503416074973854</v>
      </c>
      <c r="OM3" s="14">
        <f t="shared" ca="1" si="6"/>
        <v>4.7979643710069109</v>
      </c>
      <c r="ON3" s="14">
        <f t="shared" ca="1" si="6"/>
        <v>4.7029600655167458</v>
      </c>
      <c r="OO3" s="14">
        <f t="shared" ca="1" si="6"/>
        <v>4.8467847324324715</v>
      </c>
      <c r="OP3" s="14">
        <f t="shared" ca="1" si="6"/>
        <v>4.8226421367196686</v>
      </c>
      <c r="OQ3" s="14">
        <f t="shared" ca="1" si="6"/>
        <v>4.7783841449164601</v>
      </c>
      <c r="OR3" s="14">
        <f t="shared" ca="1" si="6"/>
        <v>4.7820939695921334</v>
      </c>
      <c r="OS3" s="14">
        <f t="shared" ca="1" si="6"/>
        <v>4.8079400478481995</v>
      </c>
      <c r="OT3" s="14">
        <f t="shared" ca="1" si="6"/>
        <v>4.7636556856335179</v>
      </c>
      <c r="OU3" s="14">
        <f t="shared" ca="1" si="6"/>
        <v>4.7548543841024449</v>
      </c>
      <c r="OV3" s="14">
        <f t="shared" ca="1" si="6"/>
        <v>4.6577527384432749</v>
      </c>
      <c r="OW3" s="14">
        <f t="shared" ca="1" si="6"/>
        <v>4.7823672349937034</v>
      </c>
      <c r="OX3" s="14">
        <f t="shared" ca="1" si="6"/>
        <v>4.7255000019379167</v>
      </c>
      <c r="OY3" s="14">
        <f t="shared" ca="1" si="6"/>
        <v>4.8824192990738133</v>
      </c>
      <c r="OZ3" s="14">
        <f t="shared" ca="1" si="6"/>
        <v>4.7167281527842091</v>
      </c>
      <c r="PA3" s="14">
        <f t="shared" ca="1" si="6"/>
        <v>4.8390492391879283</v>
      </c>
      <c r="PB3" s="14">
        <f t="shared" ca="1" si="6"/>
        <v>4.767241439284831</v>
      </c>
      <c r="PC3" s="14">
        <f t="shared" ca="1" si="6"/>
        <v>4.7545660242465688</v>
      </c>
      <c r="PD3" s="14">
        <f t="shared" ca="1" si="6"/>
        <v>4.706699980552167</v>
      </c>
      <c r="PE3" s="14">
        <f t="shared" ca="1" si="6"/>
        <v>4.7395732789876384</v>
      </c>
      <c r="PF3" s="14">
        <f t="shared" ca="1" si="6"/>
        <v>4.8408083605238597</v>
      </c>
      <c r="PG3" s="14">
        <f t="shared" ca="1" si="6"/>
        <v>4.8073739882044393</v>
      </c>
      <c r="PH3" s="14">
        <f t="shared" ca="1" si="6"/>
        <v>4.7334705462252389</v>
      </c>
      <c r="PI3" s="14">
        <f t="shared" ca="1" si="6"/>
        <v>4.6942015637037384</v>
      </c>
      <c r="PJ3" s="14">
        <f t="shared" ca="1" si="6"/>
        <v>4.7498369890262166</v>
      </c>
      <c r="PK3" s="14">
        <f t="shared" ca="1" si="6"/>
        <v>4.840470433186657</v>
      </c>
      <c r="PL3" s="14">
        <f t="shared" ca="1" si="6"/>
        <v>4.8207015056862419</v>
      </c>
      <c r="PM3" s="14">
        <f t="shared" ca="1" si="6"/>
        <v>4.8543776990721517</v>
      </c>
      <c r="PN3" s="14">
        <f t="shared" ca="1" si="6"/>
        <v>4.8107217160193354</v>
      </c>
      <c r="PO3" s="14">
        <f t="shared" ca="1" si="6"/>
        <v>4.7370352639280933</v>
      </c>
      <c r="PP3" s="14">
        <f t="shared" ca="1" si="6"/>
        <v>4.8592647361615491</v>
      </c>
      <c r="PQ3" s="14">
        <f t="shared" ca="1" si="6"/>
        <v>4.7291069054762502</v>
      </c>
      <c r="PR3" s="14">
        <f t="shared" ca="1" si="6"/>
        <v>4.8077506985812715</v>
      </c>
      <c r="PS3" s="14">
        <f t="shared" ca="1" si="6"/>
        <v>4.786608556747022</v>
      </c>
      <c r="PT3" s="14">
        <f t="shared" ca="1" si="6"/>
        <v>4.8350785971642045</v>
      </c>
      <c r="PU3" s="14">
        <f t="shared" ca="1" si="6"/>
        <v>4.7216331426314735</v>
      </c>
      <c r="PV3" s="14">
        <f t="shared" ca="1" si="6"/>
        <v>4.8000353199929817</v>
      </c>
      <c r="PW3" s="14">
        <f t="shared" ca="1" si="6"/>
        <v>4.8055329807459213</v>
      </c>
      <c r="PX3" s="14">
        <f t="shared" ca="1" si="6"/>
        <v>4.7516571464506265</v>
      </c>
      <c r="PY3" s="14">
        <f t="shared" ca="1" si="6"/>
        <v>4.7969446256826718</v>
      </c>
      <c r="PZ3" s="14">
        <f t="shared" ca="1" si="6"/>
        <v>4.814875441047036</v>
      </c>
      <c r="QA3" s="14">
        <f t="shared" ca="1" si="6"/>
        <v>4.8492562103996262</v>
      </c>
      <c r="QB3" s="14">
        <f t="shared" ca="1" si="6"/>
        <v>4.738149242126795</v>
      </c>
      <c r="QC3" s="14">
        <f t="shared" ca="1" si="6"/>
        <v>4.8144072764015649</v>
      </c>
      <c r="QD3" s="14">
        <f t="shared" ca="1" si="6"/>
        <v>4.8563491379237496</v>
      </c>
      <c r="QE3" s="14">
        <f t="shared" ca="1" si="6"/>
        <v>4.7957786928498543</v>
      </c>
      <c r="QF3" s="14">
        <f t="shared" ca="1" si="6"/>
        <v>4.7849004341624557</v>
      </c>
      <c r="QG3" s="14">
        <f t="shared" ca="1" si="6"/>
        <v>4.7088251292770229</v>
      </c>
      <c r="QH3" s="14">
        <f t="shared" ca="1" si="6"/>
        <v>4.6988663828455151</v>
      </c>
      <c r="QI3" s="14">
        <f t="shared" ca="1" si="6"/>
        <v>4.7096981284248285</v>
      </c>
      <c r="QJ3" s="14">
        <f t="shared" ca="1" si="6"/>
        <v>4.6804868045892283</v>
      </c>
      <c r="QK3" s="14">
        <f t="shared" ca="1" si="6"/>
        <v>4.6962523635425582</v>
      </c>
      <c r="QL3" s="14">
        <f t="shared" ca="1" si="6"/>
        <v>4.727485862832137</v>
      </c>
      <c r="QM3" s="14">
        <f t="shared" ca="1" si="6"/>
        <v>4.8761513717092058</v>
      </c>
      <c r="QN3" s="14">
        <f t="shared" ca="1" si="6"/>
        <v>4.6791714819565744</v>
      </c>
      <c r="QO3" s="14">
        <f t="shared" ca="1" si="6"/>
        <v>4.7133972523737819</v>
      </c>
      <c r="QP3" s="14">
        <f t="shared" ref="QP3:TA3" ca="1" si="7">LOG(QP2)</f>
        <v>4.8625041837267284</v>
      </c>
      <c r="QQ3" s="14">
        <f t="shared" ca="1" si="7"/>
        <v>4.8011885873745097</v>
      </c>
      <c r="QR3" s="14">
        <f t="shared" ca="1" si="7"/>
        <v>4.7304031359577667</v>
      </c>
      <c r="QS3" s="14">
        <f t="shared" ca="1" si="7"/>
        <v>4.7617246921384844</v>
      </c>
      <c r="QT3" s="14">
        <f t="shared" ca="1" si="7"/>
        <v>4.8204546338794758</v>
      </c>
      <c r="QU3" s="14">
        <f t="shared" ca="1" si="7"/>
        <v>4.6437880339305586</v>
      </c>
      <c r="QV3" s="14">
        <f t="shared" ca="1" si="7"/>
        <v>4.6925371660624169</v>
      </c>
      <c r="QW3" s="14">
        <f t="shared" ca="1" si="7"/>
        <v>4.7874148062812676</v>
      </c>
      <c r="QX3" s="14">
        <f t="shared" ca="1" si="7"/>
        <v>4.7695093404057021</v>
      </c>
      <c r="QY3" s="14">
        <f t="shared" ca="1" si="7"/>
        <v>4.8331362412403385</v>
      </c>
      <c r="QZ3" s="14">
        <f t="shared" ca="1" si="7"/>
        <v>4.6893786388571419</v>
      </c>
      <c r="RA3" s="14">
        <f t="shared" ca="1" si="7"/>
        <v>4.7256900634956063</v>
      </c>
      <c r="RB3" s="14">
        <f t="shared" ca="1" si="7"/>
        <v>4.7606059029062227</v>
      </c>
      <c r="RC3" s="14">
        <f t="shared" ca="1" si="7"/>
        <v>4.9499921374205735</v>
      </c>
      <c r="RD3" s="14">
        <f t="shared" ca="1" si="7"/>
        <v>4.7851247415772216</v>
      </c>
      <c r="RE3" s="14">
        <f t="shared" ca="1" si="7"/>
        <v>4.6724810479637062</v>
      </c>
      <c r="RF3" s="14">
        <f t="shared" ca="1" si="7"/>
        <v>4.7127044770288427</v>
      </c>
      <c r="RG3" s="14">
        <f t="shared" ca="1" si="7"/>
        <v>4.7747029153591498</v>
      </c>
      <c r="RH3" s="14">
        <f t="shared" ca="1" si="7"/>
        <v>4.70741358836099</v>
      </c>
      <c r="RI3" s="14">
        <f t="shared" ca="1" si="7"/>
        <v>4.8785288062783936</v>
      </c>
      <c r="RJ3" s="14">
        <f t="shared" ca="1" si="7"/>
        <v>4.8227917467865575</v>
      </c>
      <c r="RK3" s="14">
        <f t="shared" ca="1" si="7"/>
        <v>4.7249844197435973</v>
      </c>
      <c r="RL3" s="14">
        <f t="shared" ca="1" si="7"/>
        <v>4.8677135514152274</v>
      </c>
      <c r="RM3" s="14">
        <f t="shared" ca="1" si="7"/>
        <v>4.8209675342476022</v>
      </c>
      <c r="RN3" s="14">
        <f t="shared" ca="1" si="7"/>
        <v>4.7459393464427819</v>
      </c>
      <c r="RO3" s="14">
        <f t="shared" ca="1" si="7"/>
        <v>4.7685833218974594</v>
      </c>
      <c r="RP3" s="14">
        <f t="shared" ca="1" si="7"/>
        <v>4.6870015013646409</v>
      </c>
      <c r="RQ3" s="14">
        <f t="shared" ca="1" si="7"/>
        <v>4.7451704649161979</v>
      </c>
      <c r="RR3" s="14">
        <f t="shared" ca="1" si="7"/>
        <v>4.7886516282788003</v>
      </c>
      <c r="RS3" s="14">
        <f t="shared" ca="1" si="7"/>
        <v>4.7125011804113779</v>
      </c>
      <c r="RT3" s="14">
        <f t="shared" ca="1" si="7"/>
        <v>4.8752178442831759</v>
      </c>
      <c r="RU3" s="14">
        <f t="shared" ca="1" si="7"/>
        <v>4.822257342376119</v>
      </c>
      <c r="RV3" s="14">
        <f t="shared" ca="1" si="7"/>
        <v>4.6977330683975236</v>
      </c>
      <c r="RW3" s="14">
        <f t="shared" ca="1" si="7"/>
        <v>4.7601655228827626</v>
      </c>
      <c r="RX3" s="14">
        <f t="shared" ca="1" si="7"/>
        <v>4.8169073679746779</v>
      </c>
      <c r="RY3" s="14">
        <f t="shared" ca="1" si="7"/>
        <v>4.7920123375769137</v>
      </c>
      <c r="RZ3" s="14">
        <f t="shared" ca="1" si="7"/>
        <v>4.7663347374729979</v>
      </c>
      <c r="SA3" s="14">
        <f t="shared" ca="1" si="7"/>
        <v>4.7230234255559838</v>
      </c>
      <c r="SB3" s="14">
        <f t="shared" ca="1" si="7"/>
        <v>4.8011324856067592</v>
      </c>
      <c r="SC3" s="14">
        <f t="shared" ca="1" si="7"/>
        <v>4.8177326445268029</v>
      </c>
      <c r="SD3" s="14">
        <f t="shared" ca="1" si="7"/>
        <v>4.7848032687434747</v>
      </c>
      <c r="SE3" s="14">
        <f t="shared" ca="1" si="7"/>
        <v>4.6918266884410027</v>
      </c>
      <c r="SF3" s="14">
        <f t="shared" ca="1" si="7"/>
        <v>4.8453740680679207</v>
      </c>
      <c r="SG3" s="14">
        <f t="shared" ca="1" si="7"/>
        <v>4.808213704743058</v>
      </c>
      <c r="SH3" s="14">
        <f t="shared" ca="1" si="7"/>
        <v>4.7383127701406842</v>
      </c>
      <c r="SI3" s="14">
        <f t="shared" ca="1" si="7"/>
        <v>4.7328610807931986</v>
      </c>
      <c r="SJ3" s="14">
        <f t="shared" ca="1" si="7"/>
        <v>4.8536870469877318</v>
      </c>
      <c r="SK3" s="14">
        <f t="shared" ca="1" si="7"/>
        <v>4.7624234618334711</v>
      </c>
      <c r="SL3" s="14">
        <f t="shared" ca="1" si="7"/>
        <v>4.8440427856192878</v>
      </c>
      <c r="SM3" s="14">
        <f t="shared" ca="1" si="7"/>
        <v>4.72747606557627</v>
      </c>
      <c r="SN3" s="14">
        <f t="shared" ca="1" si="7"/>
        <v>4.708689700431143</v>
      </c>
      <c r="SO3" s="14">
        <f t="shared" ca="1" si="7"/>
        <v>4.7544132833427524</v>
      </c>
      <c r="SP3" s="14">
        <f t="shared" ca="1" si="7"/>
        <v>4.7176551844469925</v>
      </c>
      <c r="SQ3" s="14">
        <f t="shared" ca="1" si="7"/>
        <v>4.7979129346746525</v>
      </c>
      <c r="SR3" s="14">
        <f t="shared" ca="1" si="7"/>
        <v>4.816151565776547</v>
      </c>
      <c r="SS3" s="14">
        <f t="shared" ca="1" si="7"/>
        <v>4.8221941409202058</v>
      </c>
      <c r="ST3" s="14">
        <f t="shared" ca="1" si="7"/>
        <v>4.7658448607071371</v>
      </c>
      <c r="SU3" s="14">
        <f t="shared" ca="1" si="7"/>
        <v>4.8134755750458549</v>
      </c>
      <c r="SV3" s="14">
        <f t="shared" ca="1" si="7"/>
        <v>4.7706935877547929</v>
      </c>
      <c r="SW3" s="14">
        <f t="shared" ca="1" si="7"/>
        <v>4.8408852747630897</v>
      </c>
      <c r="SX3" s="14">
        <f t="shared" ca="1" si="7"/>
        <v>4.5917394951768609</v>
      </c>
      <c r="SY3" s="14">
        <f t="shared" ca="1" si="7"/>
        <v>4.6642465165280633</v>
      </c>
      <c r="SZ3" s="14">
        <f t="shared" ca="1" si="7"/>
        <v>4.7214539452413922</v>
      </c>
      <c r="TA3" s="14">
        <f t="shared" ca="1" si="7"/>
        <v>4.7615409689242076</v>
      </c>
      <c r="TB3" s="14">
        <f t="shared" ref="TB3:VM3" ca="1" si="8">LOG(TB2)</f>
        <v>4.6928365211970702</v>
      </c>
      <c r="TC3" s="14">
        <f t="shared" ca="1" si="8"/>
        <v>4.6989033656827655</v>
      </c>
      <c r="TD3" s="14">
        <f t="shared" ca="1" si="8"/>
        <v>4.7206649864610535</v>
      </c>
      <c r="TE3" s="14">
        <f t="shared" ca="1" si="8"/>
        <v>4.8204388324598133</v>
      </c>
      <c r="TF3" s="14">
        <f t="shared" ca="1" si="8"/>
        <v>4.7412668914753135</v>
      </c>
      <c r="TG3" s="14">
        <f t="shared" ca="1" si="8"/>
        <v>4.8590172798476994</v>
      </c>
      <c r="TH3" s="14">
        <f t="shared" ca="1" si="8"/>
        <v>4.7987705536896632</v>
      </c>
      <c r="TI3" s="14">
        <f t="shared" ca="1" si="8"/>
        <v>4.7511780652738569</v>
      </c>
      <c r="TJ3" s="14">
        <f t="shared" ca="1" si="8"/>
        <v>4.8081097502761629</v>
      </c>
      <c r="TK3" s="14">
        <f t="shared" ca="1" si="8"/>
        <v>4.8804795680467263</v>
      </c>
      <c r="TL3" s="14">
        <f t="shared" ca="1" si="8"/>
        <v>4.7216682900151374</v>
      </c>
      <c r="TM3" s="14">
        <f t="shared" ca="1" si="8"/>
        <v>4.7702749216297375</v>
      </c>
      <c r="TN3" s="14">
        <f t="shared" ca="1" si="8"/>
        <v>4.7822019241470803</v>
      </c>
      <c r="TO3" s="14">
        <f t="shared" ca="1" si="8"/>
        <v>4.6729103529628135</v>
      </c>
      <c r="TP3" s="14">
        <f t="shared" ca="1" si="8"/>
        <v>4.7601779763247514</v>
      </c>
      <c r="TQ3" s="14">
        <f t="shared" ca="1" si="8"/>
        <v>4.752097248666276</v>
      </c>
      <c r="TR3" s="14">
        <f t="shared" ca="1" si="8"/>
        <v>4.7614164841750561</v>
      </c>
      <c r="TS3" s="14">
        <f t="shared" ca="1" si="8"/>
        <v>4.7761913749030072</v>
      </c>
      <c r="TT3" s="14">
        <f t="shared" ca="1" si="8"/>
        <v>4.6699265166918096</v>
      </c>
      <c r="TU3" s="14">
        <f t="shared" ca="1" si="8"/>
        <v>4.7275183274684727</v>
      </c>
      <c r="TV3" s="14">
        <f t="shared" ca="1" si="8"/>
        <v>4.8503056818118964</v>
      </c>
      <c r="TW3" s="14">
        <f t="shared" ca="1" si="8"/>
        <v>4.7294103785130979</v>
      </c>
      <c r="TX3" s="14">
        <f t="shared" ca="1" si="8"/>
        <v>4.6775098180886436</v>
      </c>
      <c r="TY3" s="14">
        <f t="shared" ca="1" si="8"/>
        <v>4.772469455060202</v>
      </c>
      <c r="TZ3" s="14">
        <f t="shared" ca="1" si="8"/>
        <v>4.8484142595226025</v>
      </c>
      <c r="UA3" s="14">
        <f t="shared" ca="1" si="8"/>
        <v>4.8125094851825132</v>
      </c>
      <c r="UB3" s="14">
        <f t="shared" ca="1" si="8"/>
        <v>4.7514816083097866</v>
      </c>
      <c r="UC3" s="14">
        <f t="shared" ca="1" si="8"/>
        <v>4.7906515272977019</v>
      </c>
      <c r="UD3" s="14">
        <f t="shared" ca="1" si="8"/>
        <v>4.8016350408455466</v>
      </c>
      <c r="UE3" s="14">
        <f t="shared" ca="1" si="8"/>
        <v>4.7570486403764356</v>
      </c>
      <c r="UF3" s="14">
        <f t="shared" ca="1" si="8"/>
        <v>4.6146521663289617</v>
      </c>
      <c r="UG3" s="14">
        <f t="shared" ca="1" si="8"/>
        <v>4.8166002665830145</v>
      </c>
      <c r="UH3" s="14">
        <f t="shared" ca="1" si="8"/>
        <v>4.7063527770837625</v>
      </c>
      <c r="UI3" s="14">
        <f t="shared" ca="1" si="8"/>
        <v>4.7090989805097543</v>
      </c>
      <c r="UJ3" s="14">
        <f t="shared" ca="1" si="8"/>
        <v>4.7228277568032775</v>
      </c>
      <c r="UK3" s="14">
        <f t="shared" ca="1" si="8"/>
        <v>4.8757973530886014</v>
      </c>
      <c r="UL3" s="14">
        <f t="shared" ca="1" si="8"/>
        <v>4.7665808783798269</v>
      </c>
      <c r="UM3" s="14">
        <f t="shared" ca="1" si="8"/>
        <v>4.6683718479518106</v>
      </c>
      <c r="UN3" s="14">
        <f t="shared" ca="1" si="8"/>
        <v>4.7979850283775924</v>
      </c>
      <c r="UO3" s="14">
        <f t="shared" ca="1" si="8"/>
        <v>4.7133635027643779</v>
      </c>
      <c r="UP3" s="14">
        <f t="shared" ca="1" si="8"/>
        <v>4.7049790969948475</v>
      </c>
      <c r="UQ3" s="14">
        <f t="shared" ca="1" si="8"/>
        <v>4.7983616553819601</v>
      </c>
      <c r="UR3" s="14">
        <f t="shared" ca="1" si="8"/>
        <v>4.7888406217880704</v>
      </c>
      <c r="US3" s="14">
        <f t="shared" ca="1" si="8"/>
        <v>4.8272948975113534</v>
      </c>
      <c r="UT3" s="14">
        <f t="shared" ca="1" si="8"/>
        <v>4.6916272542134445</v>
      </c>
      <c r="UU3" s="14">
        <f t="shared" ca="1" si="8"/>
        <v>4.6182627041319222</v>
      </c>
      <c r="UV3" s="14">
        <f t="shared" ca="1" si="8"/>
        <v>4.6955014829943709</v>
      </c>
      <c r="UW3" s="14">
        <f t="shared" ca="1" si="8"/>
        <v>4.7771203157421498</v>
      </c>
      <c r="UX3" s="14">
        <f t="shared" ca="1" si="8"/>
        <v>4.8283397232986207</v>
      </c>
      <c r="UY3" s="14">
        <f t="shared" ca="1" si="8"/>
        <v>4.7393754670490642</v>
      </c>
      <c r="UZ3" s="14">
        <f t="shared" ca="1" si="8"/>
        <v>4.7310794254059081</v>
      </c>
      <c r="VA3" s="14">
        <f t="shared" ca="1" si="8"/>
        <v>4.8219930498168564</v>
      </c>
      <c r="VB3" s="14">
        <f t="shared" ca="1" si="8"/>
        <v>4.9167611233118738</v>
      </c>
      <c r="VC3" s="14">
        <f t="shared" ca="1" si="8"/>
        <v>4.7241443181543774</v>
      </c>
      <c r="VD3" s="14">
        <f t="shared" ca="1" si="8"/>
        <v>4.6775099008177987</v>
      </c>
      <c r="VE3" s="14">
        <f t="shared" ca="1" si="8"/>
        <v>4.8693300082248649</v>
      </c>
      <c r="VF3" s="14">
        <f t="shared" ca="1" si="8"/>
        <v>4.6903837347773534</v>
      </c>
      <c r="VG3" s="14">
        <f t="shared" ca="1" si="8"/>
        <v>4.6853129234013071</v>
      </c>
      <c r="VH3" s="14">
        <f t="shared" ca="1" si="8"/>
        <v>4.7301126275105574</v>
      </c>
      <c r="VI3" s="14">
        <f t="shared" ca="1" si="8"/>
        <v>4.7372609223326085</v>
      </c>
      <c r="VJ3" s="14">
        <f t="shared" ca="1" si="8"/>
        <v>4.8483627574761483</v>
      </c>
      <c r="VK3" s="14">
        <f t="shared" ca="1" si="8"/>
        <v>4.7533690372936057</v>
      </c>
      <c r="VL3" s="14">
        <f t="shared" ca="1" si="8"/>
        <v>4.768786417452354</v>
      </c>
      <c r="VM3" s="14">
        <f t="shared" ca="1" si="8"/>
        <v>4.7502120092267726</v>
      </c>
      <c r="VN3" s="14">
        <f t="shared" ref="VN3:XY3" ca="1" si="9">LOG(VN2)</f>
        <v>4.853126599949718</v>
      </c>
      <c r="VO3" s="14">
        <f t="shared" ca="1" si="9"/>
        <v>4.8034611455912497</v>
      </c>
      <c r="VP3" s="14">
        <f t="shared" ca="1" si="9"/>
        <v>4.7921693362343847</v>
      </c>
      <c r="VQ3" s="14">
        <f t="shared" ca="1" si="9"/>
        <v>4.8424862462307132</v>
      </c>
      <c r="VR3" s="14">
        <f t="shared" ca="1" si="9"/>
        <v>4.8214308966928234</v>
      </c>
      <c r="VS3" s="14">
        <f t="shared" ca="1" si="9"/>
        <v>4.8337026036172368</v>
      </c>
      <c r="VT3" s="14">
        <f t="shared" ca="1" si="9"/>
        <v>4.8840877503310756</v>
      </c>
      <c r="VU3" s="14">
        <f t="shared" ca="1" si="9"/>
        <v>4.8050195700557907</v>
      </c>
      <c r="VV3" s="14">
        <f t="shared" ca="1" si="9"/>
        <v>4.7586597684108831</v>
      </c>
      <c r="VW3" s="14">
        <f t="shared" ca="1" si="9"/>
        <v>4.7543209416891337</v>
      </c>
      <c r="VX3" s="14">
        <f t="shared" ca="1" si="9"/>
        <v>4.7972040994880558</v>
      </c>
      <c r="VY3" s="14">
        <f t="shared" ca="1" si="9"/>
        <v>4.7029154822966133</v>
      </c>
      <c r="VZ3" s="14">
        <f t="shared" ca="1" si="9"/>
        <v>4.6730023914263139</v>
      </c>
      <c r="WA3" s="14">
        <f t="shared" ca="1" si="9"/>
        <v>4.7260823846767863</v>
      </c>
      <c r="WB3" s="14">
        <f t="shared" ca="1" si="9"/>
        <v>4.6553160906313167</v>
      </c>
      <c r="WC3" s="14">
        <f t="shared" ca="1" si="9"/>
        <v>4.7491709891802518</v>
      </c>
      <c r="WD3" s="14">
        <f t="shared" ca="1" si="9"/>
        <v>4.7707864702931406</v>
      </c>
      <c r="WE3" s="14">
        <f t="shared" ca="1" si="9"/>
        <v>4.7290751664089719</v>
      </c>
      <c r="WF3" s="14">
        <f t="shared" ca="1" si="9"/>
        <v>4.795887102226561</v>
      </c>
      <c r="WG3" s="14">
        <f t="shared" ca="1" si="9"/>
        <v>4.7957893160264282</v>
      </c>
      <c r="WH3" s="14">
        <f t="shared" ca="1" si="9"/>
        <v>4.7710105947716102</v>
      </c>
      <c r="WI3" s="14">
        <f t="shared" ca="1" si="9"/>
        <v>4.7535804605315812</v>
      </c>
      <c r="WJ3" s="14">
        <f t="shared" ca="1" si="9"/>
        <v>4.6762239499902964</v>
      </c>
      <c r="WK3" s="14">
        <f t="shared" ca="1" si="9"/>
        <v>4.7267002677668311</v>
      </c>
      <c r="WL3" s="14">
        <f t="shared" ca="1" si="9"/>
        <v>4.7767817948460189</v>
      </c>
      <c r="WM3" s="14">
        <f t="shared" ca="1" si="9"/>
        <v>4.8029659470139467</v>
      </c>
      <c r="WN3" s="14">
        <f t="shared" ca="1" si="9"/>
        <v>4.7901785469640785</v>
      </c>
      <c r="WO3" s="14">
        <f t="shared" ca="1" si="9"/>
        <v>4.7499586557272142</v>
      </c>
      <c r="WP3" s="14">
        <f t="shared" ca="1" si="9"/>
        <v>4.8236498419072911</v>
      </c>
      <c r="WQ3" s="14">
        <f t="shared" ca="1" si="9"/>
        <v>4.7557764329761962</v>
      </c>
      <c r="WR3" s="14">
        <f t="shared" ca="1" si="9"/>
        <v>4.675824965542394</v>
      </c>
      <c r="WS3" s="14">
        <f t="shared" ca="1" si="9"/>
        <v>4.7433348645577329</v>
      </c>
      <c r="WT3" s="14">
        <f t="shared" ca="1" si="9"/>
        <v>4.7493176809600106</v>
      </c>
      <c r="WU3" s="14">
        <f t="shared" ca="1" si="9"/>
        <v>4.9030504326393469</v>
      </c>
      <c r="WV3" s="14">
        <f t="shared" ca="1" si="9"/>
        <v>4.8279300511669447</v>
      </c>
      <c r="WW3" s="14">
        <f t="shared" ca="1" si="9"/>
        <v>4.6562683295954939</v>
      </c>
      <c r="WX3" s="14">
        <f t="shared" ca="1" si="9"/>
        <v>4.7670010425152869</v>
      </c>
      <c r="WY3" s="14">
        <f t="shared" ca="1" si="9"/>
        <v>4.7087061882884917</v>
      </c>
      <c r="WZ3" s="14">
        <f t="shared" ca="1" si="9"/>
        <v>4.8681666016540719</v>
      </c>
      <c r="XA3" s="14">
        <f t="shared" ca="1" si="9"/>
        <v>4.7900274853814011</v>
      </c>
      <c r="XB3" s="14">
        <f t="shared" ca="1" si="9"/>
        <v>4.7529942250815802</v>
      </c>
      <c r="XC3" s="14">
        <f t="shared" ca="1" si="9"/>
        <v>4.7736661689615456</v>
      </c>
      <c r="XD3" s="14">
        <f t="shared" ca="1" si="9"/>
        <v>4.9092165293216938</v>
      </c>
      <c r="XE3" s="14">
        <f t="shared" ca="1" si="9"/>
        <v>4.6588627442809729</v>
      </c>
      <c r="XF3" s="14">
        <f t="shared" ca="1" si="9"/>
        <v>4.8235178610429248</v>
      </c>
      <c r="XG3" s="14">
        <f t="shared" ca="1" si="9"/>
        <v>4.8900245553004309</v>
      </c>
      <c r="XH3" s="14">
        <f t="shared" ca="1" si="9"/>
        <v>4.7034407447265263</v>
      </c>
      <c r="XI3" s="14">
        <f t="shared" ca="1" si="9"/>
        <v>4.829616846253395</v>
      </c>
      <c r="XJ3" s="14">
        <f t="shared" ca="1" si="9"/>
        <v>4.6842186643652113</v>
      </c>
      <c r="XK3" s="14">
        <f t="shared" ca="1" si="9"/>
        <v>4.7441920591730948</v>
      </c>
      <c r="XL3" s="14">
        <f t="shared" ca="1" si="9"/>
        <v>4.7170176431216557</v>
      </c>
      <c r="XM3" s="14">
        <f t="shared" ca="1" si="9"/>
        <v>4.8315279770464086</v>
      </c>
      <c r="XN3" s="14">
        <f t="shared" ca="1" si="9"/>
        <v>4.8127011559735182</v>
      </c>
      <c r="XO3" s="14">
        <f t="shared" ca="1" si="9"/>
        <v>4.7060225215366902</v>
      </c>
      <c r="XP3" s="14">
        <f t="shared" ca="1" si="9"/>
        <v>4.7278517492076082</v>
      </c>
      <c r="XQ3" s="14">
        <f t="shared" ca="1" si="9"/>
        <v>4.8126849009679731</v>
      </c>
      <c r="XR3" s="14">
        <f t="shared" ca="1" si="9"/>
        <v>4.7704844358220004</v>
      </c>
      <c r="XS3" s="14">
        <f t="shared" ca="1" si="9"/>
        <v>4.8362451941877787</v>
      </c>
      <c r="XT3" s="14">
        <f t="shared" ca="1" si="9"/>
        <v>4.7386268642767941</v>
      </c>
      <c r="XU3" s="14">
        <f t="shared" ca="1" si="9"/>
        <v>4.8506706208102512</v>
      </c>
      <c r="XV3" s="14">
        <f t="shared" ca="1" si="9"/>
        <v>4.6613268018378502</v>
      </c>
      <c r="XW3" s="14">
        <f t="shared" ca="1" si="9"/>
        <v>4.7519067851416699</v>
      </c>
      <c r="XX3" s="14">
        <f t="shared" ca="1" si="9"/>
        <v>4.6661988962962715</v>
      </c>
      <c r="XY3" s="14">
        <f t="shared" ca="1" si="9"/>
        <v>4.8287613363231339</v>
      </c>
      <c r="XZ3" s="14">
        <f t="shared" ref="XZ3:AAK3" ca="1" si="10">LOG(XZ2)</f>
        <v>4.7031973202380337</v>
      </c>
      <c r="YA3" s="14">
        <f t="shared" ca="1" si="10"/>
        <v>4.8859192236942253</v>
      </c>
      <c r="YB3" s="14">
        <f t="shared" ca="1" si="10"/>
        <v>4.7525066570638694</v>
      </c>
      <c r="YC3" s="14">
        <f t="shared" ca="1" si="10"/>
        <v>4.8529963282994721</v>
      </c>
      <c r="YD3" s="14">
        <f t="shared" ca="1" si="10"/>
        <v>4.8206803438488262</v>
      </c>
      <c r="YE3" s="14">
        <f t="shared" ca="1" si="10"/>
        <v>4.8572553020393512</v>
      </c>
      <c r="YF3" s="14">
        <f t="shared" ca="1" si="10"/>
        <v>4.7578940434833203</v>
      </c>
      <c r="YG3" s="14">
        <f t="shared" ca="1" si="10"/>
        <v>4.837265217572809</v>
      </c>
      <c r="YH3" s="14">
        <f t="shared" ca="1" si="10"/>
        <v>4.9286223208394189</v>
      </c>
      <c r="YI3" s="14">
        <f t="shared" ca="1" si="10"/>
        <v>4.7940562738583301</v>
      </c>
      <c r="YJ3" s="14">
        <f t="shared" ca="1" si="10"/>
        <v>4.7379463865826228</v>
      </c>
      <c r="YK3" s="14">
        <f t="shared" ca="1" si="10"/>
        <v>4.7251281431867502</v>
      </c>
      <c r="YL3" s="14">
        <f t="shared" ca="1" si="10"/>
        <v>4.695907911920286</v>
      </c>
      <c r="YM3" s="14">
        <f t="shared" ca="1" si="10"/>
        <v>4.7167331265494585</v>
      </c>
      <c r="YN3" s="14">
        <f t="shared" ca="1" si="10"/>
        <v>4.756764807985264</v>
      </c>
      <c r="YO3" s="14">
        <f t="shared" ca="1" si="10"/>
        <v>4.7634995004527916</v>
      </c>
      <c r="YP3" s="14">
        <f t="shared" ca="1" si="10"/>
        <v>4.6290434441987776</v>
      </c>
      <c r="YQ3" s="14">
        <f t="shared" ca="1" si="10"/>
        <v>4.711810082130083</v>
      </c>
      <c r="YR3" s="14">
        <f t="shared" ca="1" si="10"/>
        <v>4.862703440048711</v>
      </c>
      <c r="YS3" s="14">
        <f t="shared" ca="1" si="10"/>
        <v>4.773093115724043</v>
      </c>
      <c r="YT3" s="14">
        <f t="shared" ca="1" si="10"/>
        <v>4.7777407544042916</v>
      </c>
      <c r="YU3" s="14">
        <f t="shared" ca="1" si="10"/>
        <v>4.6455631521583021</v>
      </c>
      <c r="YV3" s="14">
        <f t="shared" ca="1" si="10"/>
        <v>4.8228070434274297</v>
      </c>
      <c r="YW3" s="14">
        <f t="shared" ca="1" si="10"/>
        <v>4.6501119999822116</v>
      </c>
      <c r="YX3" s="14">
        <f t="shared" ca="1" si="10"/>
        <v>4.6144360924040324</v>
      </c>
      <c r="YY3" s="14">
        <f t="shared" ca="1" si="10"/>
        <v>4.7617303257844217</v>
      </c>
      <c r="YZ3" s="14">
        <f t="shared" ca="1" si="10"/>
        <v>4.7620167433437173</v>
      </c>
      <c r="ZA3" s="14">
        <f t="shared" ca="1" si="10"/>
        <v>4.7404158769115039</v>
      </c>
      <c r="ZB3" s="14">
        <f t="shared" ca="1" si="10"/>
        <v>4.8636467084241435</v>
      </c>
      <c r="ZC3" s="14">
        <f t="shared" ca="1" si="10"/>
        <v>4.7784030480749733</v>
      </c>
      <c r="ZD3" s="14">
        <f t="shared" ca="1" si="10"/>
        <v>4.7084154061265808</v>
      </c>
      <c r="ZE3" s="14">
        <f t="shared" ca="1" si="10"/>
        <v>4.7601517800828681</v>
      </c>
      <c r="ZF3" s="14">
        <f t="shared" ca="1" si="10"/>
        <v>4.7027818275621973</v>
      </c>
      <c r="ZG3" s="14">
        <f t="shared" ca="1" si="10"/>
        <v>4.8416768818064364</v>
      </c>
      <c r="ZH3" s="14">
        <f t="shared" ca="1" si="10"/>
        <v>4.7422865263740706</v>
      </c>
      <c r="ZI3" s="14">
        <f t="shared" ca="1" si="10"/>
        <v>4.731545218819952</v>
      </c>
      <c r="ZJ3" s="14">
        <f t="shared" ca="1" si="10"/>
        <v>4.728502867843094</v>
      </c>
      <c r="ZK3" s="14">
        <f t="shared" ca="1" si="10"/>
        <v>4.8054828039342992</v>
      </c>
      <c r="ZL3" s="14">
        <f t="shared" ca="1" si="10"/>
        <v>4.7502589908569206</v>
      </c>
      <c r="ZM3" s="14">
        <f t="shared" ca="1" si="10"/>
        <v>4.7733225649308144</v>
      </c>
      <c r="ZN3" s="14">
        <f t="shared" ca="1" si="10"/>
        <v>4.7775429521308181</v>
      </c>
      <c r="ZO3" s="14">
        <f t="shared" ca="1" si="10"/>
        <v>4.7564841857487865</v>
      </c>
      <c r="ZP3" s="14">
        <f t="shared" ca="1" si="10"/>
        <v>4.7854401742037114</v>
      </c>
      <c r="ZQ3" s="14">
        <f t="shared" ca="1" si="10"/>
        <v>4.8698245019414133</v>
      </c>
      <c r="ZR3" s="14">
        <f t="shared" ca="1" si="10"/>
        <v>4.8763326086080072</v>
      </c>
      <c r="ZS3" s="14">
        <f t="shared" ca="1" si="10"/>
        <v>4.7413143744096615</v>
      </c>
      <c r="ZT3" s="14">
        <f t="shared" ca="1" si="10"/>
        <v>4.7968674989286235</v>
      </c>
      <c r="ZU3" s="14">
        <f t="shared" ca="1" si="10"/>
        <v>4.6936439153220872</v>
      </c>
      <c r="ZV3" s="14">
        <f t="shared" ca="1" si="10"/>
        <v>4.7794665060332777</v>
      </c>
      <c r="ZW3" s="14">
        <f t="shared" ca="1" si="10"/>
        <v>4.8845406455185874</v>
      </c>
      <c r="ZX3" s="14">
        <f t="shared" ca="1" si="10"/>
        <v>4.8477955820470227</v>
      </c>
      <c r="ZY3" s="14">
        <f t="shared" ca="1" si="10"/>
        <v>4.7827255745344051</v>
      </c>
      <c r="ZZ3" s="14">
        <f t="shared" ca="1" si="10"/>
        <v>4.7274880278706481</v>
      </c>
      <c r="AAA3" s="14">
        <f t="shared" ca="1" si="10"/>
        <v>4.7969601433234992</v>
      </c>
      <c r="AAB3" s="14">
        <f t="shared" ca="1" si="10"/>
        <v>4.7156752020633208</v>
      </c>
      <c r="AAC3" s="14">
        <f t="shared" ca="1" si="10"/>
        <v>4.7669571521463778</v>
      </c>
      <c r="AAD3" s="14">
        <f t="shared" ca="1" si="10"/>
        <v>4.8024785082094512</v>
      </c>
      <c r="AAE3" s="14">
        <f t="shared" ca="1" si="10"/>
        <v>4.6350250048694353</v>
      </c>
      <c r="AAF3" s="14">
        <f t="shared" ca="1" si="10"/>
        <v>4.7745767622743971</v>
      </c>
      <c r="AAG3" s="14">
        <f t="shared" ca="1" si="10"/>
        <v>4.6867317782808948</v>
      </c>
      <c r="AAH3" s="14">
        <f t="shared" ca="1" si="10"/>
        <v>4.9100491909869044</v>
      </c>
      <c r="AAI3" s="14">
        <f t="shared" ca="1" si="10"/>
        <v>4.775776834133878</v>
      </c>
      <c r="AAJ3" s="14">
        <f t="shared" ca="1" si="10"/>
        <v>4.9552859431900638</v>
      </c>
      <c r="AAK3" s="14">
        <f t="shared" ca="1" si="10"/>
        <v>4.8210476469545975</v>
      </c>
      <c r="AAL3" s="14">
        <f t="shared" ref="AAL3:ACW3" ca="1" si="11">LOG(AAL2)</f>
        <v>4.8341416898567866</v>
      </c>
      <c r="AAM3" s="14">
        <f t="shared" ca="1" si="11"/>
        <v>4.7257781567275812</v>
      </c>
      <c r="AAN3" s="14">
        <f t="shared" ca="1" si="11"/>
        <v>4.7170234556290067</v>
      </c>
      <c r="AAO3" s="14">
        <f t="shared" ca="1" si="11"/>
        <v>4.8291947734060727</v>
      </c>
      <c r="AAP3" s="14">
        <f t="shared" ca="1" si="11"/>
        <v>4.7521834423594722</v>
      </c>
      <c r="AAQ3" s="14">
        <f t="shared" ca="1" si="11"/>
        <v>4.7151051310723178</v>
      </c>
      <c r="AAR3" s="14">
        <f t="shared" ca="1" si="11"/>
        <v>4.7131816183855024</v>
      </c>
      <c r="AAS3" s="14">
        <f t="shared" ca="1" si="11"/>
        <v>4.7574065856244028</v>
      </c>
      <c r="AAT3" s="14">
        <f t="shared" ca="1" si="11"/>
        <v>4.8567649823482304</v>
      </c>
      <c r="AAU3" s="14">
        <f t="shared" ca="1" si="11"/>
        <v>4.6826306800447375</v>
      </c>
      <c r="AAV3" s="14">
        <f t="shared" ca="1" si="11"/>
        <v>4.7617689517270811</v>
      </c>
      <c r="AAW3" s="14">
        <f t="shared" ca="1" si="11"/>
        <v>4.8015828485100212</v>
      </c>
      <c r="AAX3" s="14">
        <f t="shared" ca="1" si="11"/>
        <v>4.817027825485753</v>
      </c>
      <c r="AAY3" s="14">
        <f t="shared" ca="1" si="11"/>
        <v>4.8042419674324721</v>
      </c>
      <c r="AAZ3" s="14">
        <f t="shared" ca="1" si="11"/>
        <v>4.7592451593097858</v>
      </c>
      <c r="ABA3" s="14">
        <f t="shared" ca="1" si="11"/>
        <v>4.777166478184526</v>
      </c>
      <c r="ABB3" s="14">
        <f t="shared" ca="1" si="11"/>
        <v>4.750317327719304</v>
      </c>
      <c r="ABC3" s="14">
        <f t="shared" ca="1" si="11"/>
        <v>4.7215632390864917</v>
      </c>
      <c r="ABD3" s="14">
        <f t="shared" ca="1" si="11"/>
        <v>4.7866365632326469</v>
      </c>
      <c r="ABE3" s="14">
        <f t="shared" ca="1" si="11"/>
        <v>4.6922108716946642</v>
      </c>
      <c r="ABF3" s="14">
        <f t="shared" ca="1" si="11"/>
        <v>4.7890918476741051</v>
      </c>
      <c r="ABG3" s="14">
        <f t="shared" ca="1" si="11"/>
        <v>4.730479693306453</v>
      </c>
      <c r="ABH3" s="14">
        <f t="shared" ca="1" si="11"/>
        <v>4.7818573820743593</v>
      </c>
      <c r="ABI3" s="14">
        <f t="shared" ca="1" si="11"/>
        <v>4.8389171513000413</v>
      </c>
      <c r="ABJ3" s="14">
        <f t="shared" ca="1" si="11"/>
        <v>4.6939716802344664</v>
      </c>
      <c r="ABK3" s="14">
        <f t="shared" ca="1" si="11"/>
        <v>4.7532225830704293</v>
      </c>
      <c r="ABL3" s="14">
        <f t="shared" ca="1" si="11"/>
        <v>4.8468702501093635</v>
      </c>
      <c r="ABM3" s="14">
        <f t="shared" ca="1" si="11"/>
        <v>4.7807786663785086</v>
      </c>
      <c r="ABN3" s="14">
        <f t="shared" ca="1" si="11"/>
        <v>4.7244136577276716</v>
      </c>
      <c r="ABO3" s="14">
        <f t="shared" ca="1" si="11"/>
        <v>4.7645538040590738</v>
      </c>
      <c r="ABP3" s="14">
        <f t="shared" ca="1" si="11"/>
        <v>4.7340847531952992</v>
      </c>
      <c r="ABQ3" s="14">
        <f t="shared" ca="1" si="11"/>
        <v>4.8075159991202057</v>
      </c>
      <c r="ABR3" s="14">
        <f t="shared" ca="1" si="11"/>
        <v>4.7016604921884282</v>
      </c>
      <c r="ABS3" s="14">
        <f t="shared" ca="1" si="11"/>
        <v>4.8023960601369708</v>
      </c>
      <c r="ABT3" s="14">
        <f t="shared" ca="1" si="11"/>
        <v>4.8143190747016362</v>
      </c>
      <c r="ABU3" s="14">
        <f t="shared" ca="1" si="11"/>
        <v>4.7478039337311886</v>
      </c>
      <c r="ABV3" s="14">
        <f t="shared" ca="1" si="11"/>
        <v>4.7901421356173417</v>
      </c>
      <c r="ABW3" s="14">
        <f t="shared" ca="1" si="11"/>
        <v>4.77641654936523</v>
      </c>
      <c r="ABX3" s="14">
        <f t="shared" ca="1" si="11"/>
        <v>4.6549498237762377</v>
      </c>
      <c r="ABY3" s="14">
        <f t="shared" ca="1" si="11"/>
        <v>4.7979739861007262</v>
      </c>
      <c r="ABZ3" s="14">
        <f t="shared" ca="1" si="11"/>
        <v>4.7811261607573057</v>
      </c>
      <c r="ACA3" s="14">
        <f t="shared" ca="1" si="11"/>
        <v>4.7483040583170073</v>
      </c>
      <c r="ACB3" s="14">
        <f t="shared" ca="1" si="11"/>
        <v>4.8688033456734656</v>
      </c>
      <c r="ACC3" s="14">
        <f t="shared" ca="1" si="11"/>
        <v>4.6877352924821114</v>
      </c>
      <c r="ACD3" s="14">
        <f t="shared" ca="1" si="11"/>
        <v>4.739613184189932</v>
      </c>
      <c r="ACE3" s="14">
        <f t="shared" ca="1" si="11"/>
        <v>4.7122649919002875</v>
      </c>
      <c r="ACF3" s="14">
        <f t="shared" ca="1" si="11"/>
        <v>4.8044715298134442</v>
      </c>
      <c r="ACG3" s="14">
        <f t="shared" ca="1" si="11"/>
        <v>4.731495980281335</v>
      </c>
      <c r="ACH3" s="14">
        <f t="shared" ca="1" si="11"/>
        <v>4.7936378123100392</v>
      </c>
      <c r="ACI3" s="14">
        <f t="shared" ca="1" si="11"/>
        <v>4.8388163081963924</v>
      </c>
      <c r="ACJ3" s="14">
        <f t="shared" ca="1" si="11"/>
        <v>4.7391918119887846</v>
      </c>
      <c r="ACK3" s="14">
        <f t="shared" ca="1" si="11"/>
        <v>4.9370679355786935</v>
      </c>
      <c r="ACL3" s="14">
        <f t="shared" ca="1" si="11"/>
        <v>4.7666765200427292</v>
      </c>
      <c r="ACM3" s="14">
        <f t="shared" ca="1" si="11"/>
        <v>4.6954929189855363</v>
      </c>
      <c r="ACN3" s="14">
        <f t="shared" ca="1" si="11"/>
        <v>4.7679500849381515</v>
      </c>
      <c r="ACO3" s="14">
        <f t="shared" ca="1" si="11"/>
        <v>4.7754494346857879</v>
      </c>
      <c r="ACP3" s="14">
        <f t="shared" ca="1" si="11"/>
        <v>4.6480699627633957</v>
      </c>
      <c r="ACQ3" s="14">
        <f t="shared" ca="1" si="11"/>
        <v>4.8229677430877205</v>
      </c>
      <c r="ACR3" s="14">
        <f t="shared" ca="1" si="11"/>
        <v>4.7178571794418502</v>
      </c>
      <c r="ACS3" s="14">
        <f t="shared" ca="1" si="11"/>
        <v>4.7910237343015289</v>
      </c>
      <c r="ACT3" s="14">
        <f t="shared" ca="1" si="11"/>
        <v>4.7345120232346538</v>
      </c>
      <c r="ACU3" s="14">
        <f t="shared" ca="1" si="11"/>
        <v>4.8615667004848078</v>
      </c>
      <c r="ACV3" s="14">
        <f t="shared" ca="1" si="11"/>
        <v>4.7375442962290641</v>
      </c>
      <c r="ACW3" s="14">
        <f t="shared" ca="1" si="11"/>
        <v>4.7363154140648147</v>
      </c>
      <c r="ACX3" s="14">
        <f t="shared" ref="ACX3:AFI3" ca="1" si="12">LOG(ACX2)</f>
        <v>4.7872273305784283</v>
      </c>
      <c r="ACY3" s="14">
        <f t="shared" ca="1" si="12"/>
        <v>4.7568731584441757</v>
      </c>
      <c r="ACZ3" s="14">
        <f t="shared" ca="1" si="12"/>
        <v>4.7108262282787354</v>
      </c>
      <c r="ADA3" s="14">
        <f t="shared" ca="1" si="12"/>
        <v>4.8689840855073667</v>
      </c>
      <c r="ADB3" s="14">
        <f t="shared" ca="1" si="12"/>
        <v>4.9397054462414651</v>
      </c>
      <c r="ADC3" s="14">
        <f t="shared" ca="1" si="12"/>
        <v>4.7558716529331369</v>
      </c>
      <c r="ADD3" s="14">
        <f t="shared" ca="1" si="12"/>
        <v>4.7986322796178902</v>
      </c>
      <c r="ADE3" s="14">
        <f t="shared" ca="1" si="12"/>
        <v>4.6992389850702061</v>
      </c>
      <c r="ADF3" s="14">
        <f t="shared" ca="1" si="12"/>
        <v>4.8025426455623101</v>
      </c>
      <c r="ADG3" s="14">
        <f t="shared" ca="1" si="12"/>
        <v>4.8225448143058038</v>
      </c>
      <c r="ADH3" s="14">
        <f t="shared" ca="1" si="12"/>
        <v>4.8649544197879591</v>
      </c>
      <c r="ADI3" s="14">
        <f t="shared" ca="1" si="12"/>
        <v>4.7109746462160258</v>
      </c>
      <c r="ADJ3" s="14">
        <f t="shared" ca="1" si="12"/>
        <v>4.6304956568780842</v>
      </c>
      <c r="ADK3" s="14">
        <f t="shared" ca="1" si="12"/>
        <v>4.7468141792624863</v>
      </c>
      <c r="ADL3" s="14">
        <f t="shared" ca="1" si="12"/>
        <v>4.7365652093199948</v>
      </c>
      <c r="ADM3" s="14">
        <f t="shared" ca="1" si="12"/>
        <v>4.7323702043422511</v>
      </c>
      <c r="ADN3" s="14">
        <f t="shared" ca="1" si="12"/>
        <v>4.7450261682698072</v>
      </c>
      <c r="ADO3" s="14">
        <f t="shared" ca="1" si="12"/>
        <v>4.7630839122891073</v>
      </c>
      <c r="ADP3" s="14">
        <f t="shared" ca="1" si="12"/>
        <v>4.7523792349424916</v>
      </c>
      <c r="ADQ3" s="14">
        <f t="shared" ca="1" si="12"/>
        <v>4.7807490876455905</v>
      </c>
      <c r="ADR3" s="14">
        <f t="shared" ca="1" si="12"/>
        <v>4.708461068469231</v>
      </c>
      <c r="ADS3" s="14">
        <f t="shared" ca="1" si="12"/>
        <v>4.7454471515492775</v>
      </c>
      <c r="ADT3" s="14">
        <f t="shared" ca="1" si="12"/>
        <v>4.7238280491383957</v>
      </c>
      <c r="ADU3" s="14">
        <f t="shared" ca="1" si="12"/>
        <v>4.8403311557118274</v>
      </c>
      <c r="ADV3" s="14">
        <f t="shared" ca="1" si="12"/>
        <v>4.8643172722630528</v>
      </c>
      <c r="ADW3" s="14">
        <f t="shared" ca="1" si="12"/>
        <v>4.8382087391901418</v>
      </c>
      <c r="ADX3" s="14">
        <f t="shared" ca="1" si="12"/>
        <v>4.7059393499875446</v>
      </c>
      <c r="ADY3" s="14">
        <f t="shared" ca="1" si="12"/>
        <v>4.7308713542578884</v>
      </c>
      <c r="ADZ3" s="14">
        <f t="shared" ca="1" si="12"/>
        <v>4.8083431674524872</v>
      </c>
      <c r="AEA3" s="14">
        <f t="shared" ca="1" si="12"/>
        <v>4.7215230141275901</v>
      </c>
      <c r="AEB3" s="14">
        <f t="shared" ca="1" si="12"/>
        <v>4.7189453257753824</v>
      </c>
      <c r="AEC3" s="14">
        <f t="shared" ca="1" si="12"/>
        <v>4.7775539640101039</v>
      </c>
      <c r="AED3" s="14">
        <f t="shared" ca="1" si="12"/>
        <v>4.856878274761784</v>
      </c>
      <c r="AEE3" s="14">
        <f t="shared" ca="1" si="12"/>
        <v>4.8728408201669717</v>
      </c>
      <c r="AEF3" s="14">
        <f t="shared" ca="1" si="12"/>
        <v>4.7520406628271896</v>
      </c>
      <c r="AEG3" s="14">
        <f t="shared" ca="1" si="12"/>
        <v>4.8462678574283995</v>
      </c>
      <c r="AEH3" s="14">
        <f t="shared" ca="1" si="12"/>
        <v>4.6865083191566699</v>
      </c>
      <c r="AEI3" s="14">
        <f t="shared" ca="1" si="12"/>
        <v>4.8182530100337235</v>
      </c>
      <c r="AEJ3" s="14">
        <f t="shared" ca="1" si="12"/>
        <v>4.8119143308807377</v>
      </c>
      <c r="AEK3" s="14">
        <f t="shared" ca="1" si="12"/>
        <v>4.7293719293136016</v>
      </c>
      <c r="AEL3" s="14">
        <f t="shared" ca="1" si="12"/>
        <v>4.7920184829337442</v>
      </c>
      <c r="AEM3" s="14">
        <f t="shared" ca="1" si="12"/>
        <v>4.7929159464385362</v>
      </c>
      <c r="AEN3" s="14">
        <f t="shared" ca="1" si="12"/>
        <v>4.8439843592874805</v>
      </c>
      <c r="AEO3" s="14">
        <f t="shared" ca="1" si="12"/>
        <v>4.8484677034287618</v>
      </c>
      <c r="AEP3" s="14">
        <f t="shared" ca="1" si="12"/>
        <v>4.8575208275843691</v>
      </c>
      <c r="AEQ3" s="14">
        <f t="shared" ca="1" si="12"/>
        <v>4.8166253645648709</v>
      </c>
      <c r="AER3" s="14">
        <f t="shared" ca="1" si="12"/>
        <v>4.832139789392782</v>
      </c>
      <c r="AES3" s="14">
        <f t="shared" ca="1" si="12"/>
        <v>4.765263144966247</v>
      </c>
      <c r="AET3" s="14">
        <f t="shared" ca="1" si="12"/>
        <v>4.7410580639326252</v>
      </c>
      <c r="AEU3" s="14">
        <f t="shared" ca="1" si="12"/>
        <v>4.8514790701947224</v>
      </c>
      <c r="AEV3" s="14">
        <f t="shared" ca="1" si="12"/>
        <v>4.9413465280222528</v>
      </c>
      <c r="AEW3" s="14">
        <f t="shared" ca="1" si="12"/>
        <v>4.8406934869230955</v>
      </c>
      <c r="AEX3" s="14">
        <f t="shared" ca="1" si="12"/>
        <v>4.9079518849958363</v>
      </c>
      <c r="AEY3" s="14">
        <f t="shared" ca="1" si="12"/>
        <v>4.7857845287215497</v>
      </c>
      <c r="AEZ3" s="14">
        <f t="shared" ca="1" si="12"/>
        <v>4.7017327453766473</v>
      </c>
      <c r="AFA3" s="14">
        <f t="shared" ca="1" si="12"/>
        <v>4.7583532394065946</v>
      </c>
      <c r="AFB3" s="14">
        <f t="shared" ca="1" si="12"/>
        <v>4.7238120147759242</v>
      </c>
      <c r="AFC3" s="14">
        <f t="shared" ca="1" si="12"/>
        <v>4.7065301261919359</v>
      </c>
      <c r="AFD3" s="14">
        <f t="shared" ca="1" si="12"/>
        <v>4.7119362418461881</v>
      </c>
      <c r="AFE3" s="14">
        <f t="shared" ca="1" si="12"/>
        <v>4.8012078329032173</v>
      </c>
      <c r="AFF3" s="14">
        <f t="shared" ca="1" si="12"/>
        <v>4.6223098286734743</v>
      </c>
      <c r="AFG3" s="14">
        <f t="shared" ca="1" si="12"/>
        <v>4.762266337176623</v>
      </c>
      <c r="AFH3" s="14">
        <f t="shared" ca="1" si="12"/>
        <v>4.7628452597096054</v>
      </c>
      <c r="AFI3" s="14">
        <f t="shared" ca="1" si="12"/>
        <v>4.7142818289402184</v>
      </c>
      <c r="AFJ3" s="14">
        <f t="shared" ref="AFJ3:AHU3" ca="1" si="13">LOG(AFJ2)</f>
        <v>4.7184900326154411</v>
      </c>
      <c r="AFK3" s="14">
        <f t="shared" ca="1" si="13"/>
        <v>4.7900896867660503</v>
      </c>
      <c r="AFL3" s="14">
        <f t="shared" ca="1" si="13"/>
        <v>4.7603464779456042</v>
      </c>
      <c r="AFM3" s="14">
        <f t="shared" ca="1" si="13"/>
        <v>4.7402229087792831</v>
      </c>
      <c r="AFN3" s="14">
        <f t="shared" ca="1" si="13"/>
        <v>4.8142662172336435</v>
      </c>
      <c r="AFO3" s="14">
        <f t="shared" ca="1" si="13"/>
        <v>4.7831336132382027</v>
      </c>
      <c r="AFP3" s="14">
        <f t="shared" ca="1" si="13"/>
        <v>4.7188158739611366</v>
      </c>
      <c r="AFQ3" s="14">
        <f t="shared" ca="1" si="13"/>
        <v>4.7183565764954318</v>
      </c>
      <c r="AFR3" s="14">
        <f t="shared" ca="1" si="13"/>
        <v>4.8231556041729995</v>
      </c>
      <c r="AFS3" s="14">
        <f t="shared" ca="1" si="13"/>
        <v>4.7715118916127253</v>
      </c>
      <c r="AFT3" s="14">
        <f t="shared" ca="1" si="13"/>
        <v>4.6272574755914446</v>
      </c>
      <c r="AFU3" s="14">
        <f t="shared" ca="1" si="13"/>
        <v>4.7671904561057197</v>
      </c>
      <c r="AFV3" s="14">
        <f t="shared" ca="1" si="13"/>
        <v>4.7818327041812125</v>
      </c>
      <c r="AFW3" s="14">
        <f t="shared" ca="1" si="13"/>
        <v>4.804326610008939</v>
      </c>
      <c r="AFX3" s="14">
        <f t="shared" ca="1" si="13"/>
        <v>4.7921482679803553</v>
      </c>
      <c r="AFY3" s="14">
        <f t="shared" ca="1" si="13"/>
        <v>4.839271000795935</v>
      </c>
      <c r="AFZ3" s="14">
        <f t="shared" ca="1" si="13"/>
        <v>4.7523596365349441</v>
      </c>
      <c r="AGA3" s="14">
        <f t="shared" ca="1" si="13"/>
        <v>4.7230980792893007</v>
      </c>
      <c r="AGB3" s="14">
        <f t="shared" ca="1" si="13"/>
        <v>4.8786533989441336</v>
      </c>
      <c r="AGC3" s="14">
        <f t="shared" ca="1" si="13"/>
        <v>4.8077674849445584</v>
      </c>
      <c r="AGD3" s="14">
        <f t="shared" ca="1" si="13"/>
        <v>4.8208821057888391</v>
      </c>
      <c r="AGE3" s="14">
        <f t="shared" ca="1" si="13"/>
        <v>4.7282749488990321</v>
      </c>
      <c r="AGF3" s="14">
        <f t="shared" ca="1" si="13"/>
        <v>4.7782033230263634</v>
      </c>
      <c r="AGG3" s="14">
        <f t="shared" ca="1" si="13"/>
        <v>4.6918513664903063</v>
      </c>
      <c r="AGH3" s="14">
        <f t="shared" ca="1" si="13"/>
        <v>4.7676963692769121</v>
      </c>
      <c r="AGI3" s="14">
        <f t="shared" ca="1" si="13"/>
        <v>4.8653187028266789</v>
      </c>
      <c r="AGJ3" s="14">
        <f t="shared" ca="1" si="13"/>
        <v>4.6983954727951378</v>
      </c>
      <c r="AGK3" s="14">
        <f t="shared" ca="1" si="13"/>
        <v>4.7694459944660368</v>
      </c>
      <c r="AGL3" s="14">
        <f t="shared" ca="1" si="13"/>
        <v>4.9064022645604402</v>
      </c>
      <c r="AGM3" s="14">
        <f t="shared" ca="1" si="13"/>
        <v>4.7456134601577045</v>
      </c>
      <c r="AGN3" s="14">
        <f t="shared" ca="1" si="13"/>
        <v>4.7971255679567166</v>
      </c>
      <c r="AGO3" s="14">
        <f t="shared" ca="1" si="13"/>
        <v>4.8794744553176397</v>
      </c>
      <c r="AGP3" s="14">
        <f t="shared" ca="1" si="13"/>
        <v>4.5862246481692086</v>
      </c>
      <c r="AGQ3" s="14">
        <f t="shared" ca="1" si="13"/>
        <v>4.7713143908602778</v>
      </c>
      <c r="AGR3" s="14">
        <f t="shared" ca="1" si="13"/>
        <v>4.8189716243571574</v>
      </c>
      <c r="AGS3" s="14">
        <f t="shared" ca="1" si="13"/>
        <v>4.8262751286010257</v>
      </c>
      <c r="AGT3" s="14">
        <f t="shared" ca="1" si="13"/>
        <v>4.7963630563433712</v>
      </c>
      <c r="AGU3" s="14">
        <f t="shared" ca="1" si="13"/>
        <v>4.7969027796591748</v>
      </c>
      <c r="AGV3" s="14">
        <f t="shared" ca="1" si="13"/>
        <v>4.8435043708856522</v>
      </c>
      <c r="AGW3" s="14">
        <f t="shared" ca="1" si="13"/>
        <v>4.7761457422545472</v>
      </c>
      <c r="AGX3" s="14">
        <f t="shared" ca="1" si="13"/>
        <v>4.7089792685882221</v>
      </c>
      <c r="AGY3" s="14">
        <f t="shared" ca="1" si="13"/>
        <v>4.7272668498939696</v>
      </c>
      <c r="AGZ3" s="14">
        <f t="shared" ca="1" si="13"/>
        <v>4.7956424485155011</v>
      </c>
      <c r="AHA3" s="14">
        <f t="shared" ca="1" si="13"/>
        <v>4.7015152340030388</v>
      </c>
      <c r="AHB3" s="14">
        <f t="shared" ca="1" si="13"/>
        <v>4.754606952170735</v>
      </c>
      <c r="AHC3" s="14">
        <f t="shared" ca="1" si="13"/>
        <v>4.6956748924395164</v>
      </c>
      <c r="AHD3" s="14">
        <f t="shared" ca="1" si="13"/>
        <v>4.7386681394450534</v>
      </c>
      <c r="AHE3" s="14">
        <f t="shared" ca="1" si="13"/>
        <v>4.6875773889486911</v>
      </c>
      <c r="AHF3" s="14">
        <f t="shared" ca="1" si="13"/>
        <v>4.8118782433702858</v>
      </c>
      <c r="AHG3" s="14">
        <f t="shared" ca="1" si="13"/>
        <v>4.7631887724027742</v>
      </c>
      <c r="AHH3" s="14">
        <f t="shared" ca="1" si="13"/>
        <v>4.7256223464990201</v>
      </c>
      <c r="AHI3" s="14">
        <f t="shared" ca="1" si="13"/>
        <v>4.8140923844305492</v>
      </c>
      <c r="AHJ3" s="14">
        <f t="shared" ca="1" si="13"/>
        <v>4.7337137072684996</v>
      </c>
      <c r="AHK3" s="14">
        <f t="shared" ca="1" si="13"/>
        <v>4.9073490616968449</v>
      </c>
      <c r="AHL3" s="14">
        <f t="shared" ca="1" si="13"/>
        <v>4.7076052775076214</v>
      </c>
      <c r="AHM3" s="14">
        <f t="shared" ca="1" si="13"/>
        <v>4.7594508288961928</v>
      </c>
      <c r="AHN3" s="14">
        <f t="shared" ca="1" si="13"/>
        <v>4.8224598936626588</v>
      </c>
      <c r="AHO3" s="14">
        <f t="shared" ca="1" si="13"/>
        <v>4.8414682764617316</v>
      </c>
      <c r="AHP3" s="14">
        <f t="shared" ca="1" si="13"/>
        <v>4.7242996845831646</v>
      </c>
      <c r="AHQ3" s="14">
        <f t="shared" ca="1" si="13"/>
        <v>4.7475498973297308</v>
      </c>
      <c r="AHR3" s="14">
        <f t="shared" ca="1" si="13"/>
        <v>4.8153638971085488</v>
      </c>
      <c r="AHS3" s="14">
        <f t="shared" ca="1" si="13"/>
        <v>4.7584951743308403</v>
      </c>
      <c r="AHT3" s="14">
        <f t="shared" ca="1" si="13"/>
        <v>4.7226220807033883</v>
      </c>
      <c r="AHU3" s="14">
        <f t="shared" ca="1" si="13"/>
        <v>4.7566008080905551</v>
      </c>
      <c r="AHV3" s="14">
        <f t="shared" ref="AHV3:AKG3" ca="1" si="14">LOG(AHV2)</f>
        <v>4.7290351525598044</v>
      </c>
      <c r="AHW3" s="14">
        <f t="shared" ca="1" si="14"/>
        <v>4.7856302369320041</v>
      </c>
      <c r="AHX3" s="14">
        <f t="shared" ca="1" si="14"/>
        <v>4.7471827879533581</v>
      </c>
      <c r="AHY3" s="14">
        <f t="shared" ca="1" si="14"/>
        <v>4.7411277940265668</v>
      </c>
      <c r="AHZ3" s="14">
        <f t="shared" ca="1" si="14"/>
        <v>4.8599488772116404</v>
      </c>
      <c r="AIA3" s="14">
        <f t="shared" ca="1" si="14"/>
        <v>4.7695716310947089</v>
      </c>
      <c r="AIB3" s="14">
        <f t="shared" ca="1" si="14"/>
        <v>4.7400317016398565</v>
      </c>
      <c r="AIC3" s="14">
        <f t="shared" ca="1" si="14"/>
        <v>4.7419522131143932</v>
      </c>
      <c r="AID3" s="14">
        <f t="shared" ca="1" si="14"/>
        <v>4.7953450878350949</v>
      </c>
      <c r="AIE3" s="14">
        <f t="shared" ca="1" si="14"/>
        <v>4.8569008368242397</v>
      </c>
      <c r="AIF3" s="14">
        <f t="shared" ca="1" si="14"/>
        <v>4.7508572571209298</v>
      </c>
      <c r="AIG3" s="14">
        <f t="shared" ca="1" si="14"/>
        <v>4.7605485804319763</v>
      </c>
      <c r="AIH3" s="14">
        <f t="shared" ca="1" si="14"/>
        <v>4.7961628700162642</v>
      </c>
      <c r="AII3" s="14">
        <f t="shared" ca="1" si="14"/>
        <v>4.82135800259194</v>
      </c>
      <c r="AIJ3" s="14">
        <f t="shared" ca="1" si="14"/>
        <v>4.7477143898372214</v>
      </c>
      <c r="AIK3" s="14">
        <f t="shared" ca="1" si="14"/>
        <v>4.7496395883787583</v>
      </c>
      <c r="AIL3" s="14">
        <f t="shared" ca="1" si="14"/>
        <v>4.8923523138307621</v>
      </c>
      <c r="AIM3" s="14">
        <f t="shared" ca="1" si="14"/>
        <v>4.8745827106893911</v>
      </c>
      <c r="AIN3" s="14">
        <f t="shared" ca="1" si="14"/>
        <v>4.7021016393592401</v>
      </c>
      <c r="AIO3" s="14">
        <f t="shared" ca="1" si="14"/>
        <v>4.7545364599185795</v>
      </c>
      <c r="AIP3" s="14">
        <f t="shared" ca="1" si="14"/>
        <v>4.7372051497952574</v>
      </c>
      <c r="AIQ3" s="14">
        <f t="shared" ca="1" si="14"/>
        <v>4.9125119924659533</v>
      </c>
      <c r="AIR3" s="14">
        <f t="shared" ca="1" si="14"/>
        <v>4.7254375792004009</v>
      </c>
      <c r="AIS3" s="14">
        <f t="shared" ca="1" si="14"/>
        <v>4.7481253396887331</v>
      </c>
      <c r="AIT3" s="14">
        <f t="shared" ca="1" si="14"/>
        <v>4.7171467493946349</v>
      </c>
      <c r="AIU3" s="14">
        <f t="shared" ca="1" si="14"/>
        <v>4.6045988131553326</v>
      </c>
      <c r="AIV3" s="14">
        <f t="shared" ca="1" si="14"/>
        <v>4.7745621209634459</v>
      </c>
      <c r="AIW3" s="14">
        <f t="shared" ca="1" si="14"/>
        <v>4.7316753967819345</v>
      </c>
      <c r="AIX3" s="14">
        <f t="shared" ca="1" si="14"/>
        <v>4.8075907085224836</v>
      </c>
      <c r="AIY3" s="14">
        <f t="shared" ca="1" si="14"/>
        <v>4.8263502116524863</v>
      </c>
      <c r="AIZ3" s="14">
        <f t="shared" ca="1" si="14"/>
        <v>4.7103774526916835</v>
      </c>
      <c r="AJA3" s="14">
        <f t="shared" ca="1" si="14"/>
        <v>4.900760204334798</v>
      </c>
      <c r="AJB3" s="14">
        <f t="shared" ca="1" si="14"/>
        <v>4.8142866509238038</v>
      </c>
      <c r="AJC3" s="14">
        <f t="shared" ca="1" si="14"/>
        <v>4.9065489327628704</v>
      </c>
      <c r="AJD3" s="14">
        <f t="shared" ca="1" si="14"/>
        <v>4.7938381496323439</v>
      </c>
      <c r="AJE3" s="14">
        <f t="shared" ca="1" si="14"/>
        <v>4.779070515370532</v>
      </c>
      <c r="AJF3" s="14">
        <f t="shared" ca="1" si="14"/>
        <v>4.7409507079331172</v>
      </c>
      <c r="AJG3" s="14">
        <f t="shared" ca="1" si="14"/>
        <v>4.8341059228960912</v>
      </c>
      <c r="AJH3" s="14">
        <f t="shared" ca="1" si="14"/>
        <v>4.7688928509099195</v>
      </c>
      <c r="AJI3" s="14">
        <f t="shared" ca="1" si="14"/>
        <v>4.8798816298744452</v>
      </c>
      <c r="AJJ3" s="14">
        <f t="shared" ca="1" si="14"/>
        <v>4.6723245924059249</v>
      </c>
      <c r="AJK3" s="14">
        <f t="shared" ca="1" si="14"/>
        <v>4.773498162725148</v>
      </c>
      <c r="AJL3" s="14">
        <f t="shared" ca="1" si="14"/>
        <v>4.6682321133373827</v>
      </c>
      <c r="AJM3" s="14">
        <f t="shared" ca="1" si="14"/>
        <v>4.7733249696268318</v>
      </c>
      <c r="AJN3" s="14">
        <f t="shared" ca="1" si="14"/>
        <v>4.7275890769942093</v>
      </c>
      <c r="AJO3" s="14">
        <f t="shared" ca="1" si="14"/>
        <v>4.8771724394660714</v>
      </c>
      <c r="AJP3" s="14">
        <f t="shared" ca="1" si="14"/>
        <v>4.8046246543808468</v>
      </c>
      <c r="AJQ3" s="14">
        <f t="shared" ca="1" si="14"/>
        <v>4.8477708728047197</v>
      </c>
      <c r="AJR3" s="14">
        <f t="shared" ca="1" si="14"/>
        <v>4.807864659565098</v>
      </c>
      <c r="AJS3" s="14">
        <f t="shared" ca="1" si="14"/>
        <v>4.8348187251109103</v>
      </c>
      <c r="AJT3" s="14">
        <f t="shared" ca="1" si="14"/>
        <v>4.6821641621497276</v>
      </c>
      <c r="AJU3" s="14">
        <f t="shared" ca="1" si="14"/>
        <v>4.6518684076918024</v>
      </c>
      <c r="AJV3" s="14">
        <f t="shared" ca="1" si="14"/>
        <v>4.8545231420231838</v>
      </c>
      <c r="AJW3" s="14">
        <f t="shared" ca="1" si="14"/>
        <v>4.7876326728613723</v>
      </c>
      <c r="AJX3" s="14">
        <f t="shared" ca="1" si="14"/>
        <v>4.6092718964366082</v>
      </c>
      <c r="AJY3" s="14">
        <f t="shared" ca="1" si="14"/>
        <v>4.7489513913366181</v>
      </c>
      <c r="AJZ3" s="14">
        <f t="shared" ca="1" si="14"/>
        <v>4.843449726140685</v>
      </c>
      <c r="AKA3" s="14">
        <f t="shared" ca="1" si="14"/>
        <v>4.7973555772462912</v>
      </c>
      <c r="AKB3" s="14">
        <f t="shared" ca="1" si="14"/>
        <v>4.7940355689071863</v>
      </c>
      <c r="AKC3" s="14">
        <f t="shared" ca="1" si="14"/>
        <v>4.7288069594936566</v>
      </c>
      <c r="AKD3" s="14">
        <f t="shared" ca="1" si="14"/>
        <v>4.7859144578341706</v>
      </c>
      <c r="AKE3" s="14">
        <f t="shared" ca="1" si="14"/>
        <v>4.7231373772053677</v>
      </c>
      <c r="AKF3" s="14">
        <f t="shared" ca="1" si="14"/>
        <v>4.7439040704608182</v>
      </c>
      <c r="AKG3" s="14">
        <f t="shared" ca="1" si="14"/>
        <v>4.7090896163083187</v>
      </c>
      <c r="AKH3" s="14">
        <f t="shared" ref="AKH3:ALS3" ca="1" si="15">LOG(AKH2)</f>
        <v>4.7826417091684927</v>
      </c>
      <c r="AKI3" s="14">
        <f t="shared" ca="1" si="15"/>
        <v>4.7234700792553115</v>
      </c>
      <c r="AKJ3" s="14">
        <f t="shared" ca="1" si="15"/>
        <v>4.7989486924166274</v>
      </c>
      <c r="AKK3" s="14">
        <f t="shared" ca="1" si="15"/>
        <v>4.7718701208356036</v>
      </c>
      <c r="AKL3" s="14">
        <f t="shared" ca="1" si="15"/>
        <v>4.7075428545769684</v>
      </c>
      <c r="AKM3" s="14">
        <f t="shared" ca="1" si="15"/>
        <v>4.8144626348580912</v>
      </c>
      <c r="AKN3" s="14">
        <f t="shared" ca="1" si="15"/>
        <v>4.7875972189780232</v>
      </c>
      <c r="AKO3" s="14">
        <f t="shared" ca="1" si="15"/>
        <v>4.8081127705220128</v>
      </c>
      <c r="AKP3" s="14">
        <f t="shared" ca="1" si="15"/>
        <v>4.7869269243620538</v>
      </c>
      <c r="AKQ3" s="14">
        <f t="shared" ca="1" si="15"/>
        <v>4.7606745780653492</v>
      </c>
      <c r="AKR3" s="14">
        <f t="shared" ca="1" si="15"/>
        <v>4.6673354308690538</v>
      </c>
      <c r="AKS3" s="14">
        <f t="shared" ca="1" si="15"/>
        <v>4.7506953727563825</v>
      </c>
      <c r="AKT3" s="14">
        <f t="shared" ca="1" si="15"/>
        <v>4.7356728668176729</v>
      </c>
      <c r="AKU3" s="14">
        <f t="shared" ca="1" si="15"/>
        <v>4.7361154295723331</v>
      </c>
      <c r="AKV3" s="14">
        <f t="shared" ca="1" si="15"/>
        <v>4.7300693677032912</v>
      </c>
      <c r="AKW3" s="14">
        <f t="shared" ca="1" si="15"/>
        <v>4.693443285742581</v>
      </c>
      <c r="AKX3" s="14">
        <f t="shared" ca="1" si="15"/>
        <v>4.7916071478982927</v>
      </c>
      <c r="AKY3" s="14">
        <f t="shared" ca="1" si="15"/>
        <v>4.7917966660583824</v>
      </c>
      <c r="AKZ3" s="14">
        <f t="shared" ca="1" si="15"/>
        <v>4.7402525881160029</v>
      </c>
      <c r="ALA3" s="14">
        <f t="shared" ca="1" si="15"/>
        <v>4.7905733632445751</v>
      </c>
      <c r="ALB3" s="14">
        <f t="shared" ca="1" si="15"/>
        <v>4.7149203565366307</v>
      </c>
      <c r="ALC3" s="14">
        <f t="shared" ca="1" si="15"/>
        <v>4.8010091788550362</v>
      </c>
      <c r="ALD3" s="14">
        <f t="shared" ca="1" si="15"/>
        <v>4.7110117675919199</v>
      </c>
      <c r="ALE3" s="14">
        <f t="shared" ca="1" si="15"/>
        <v>4.8085595802227532</v>
      </c>
      <c r="ALF3" s="14">
        <f t="shared" ca="1" si="15"/>
        <v>4.7658318861914166</v>
      </c>
      <c r="ALG3" s="14">
        <f t="shared" ca="1" si="15"/>
        <v>4.7385721227969162</v>
      </c>
      <c r="ALH3" s="14">
        <f t="shared" ca="1" si="15"/>
        <v>4.6529250958970749</v>
      </c>
      <c r="ALI3" s="14">
        <f t="shared" ca="1" si="15"/>
        <v>4.7765609977533874</v>
      </c>
      <c r="ALJ3" s="14">
        <f t="shared" ca="1" si="15"/>
        <v>4.7509815700745213</v>
      </c>
      <c r="ALK3" s="14">
        <f t="shared" ca="1" si="15"/>
        <v>4.7941100787123734</v>
      </c>
      <c r="ALL3" s="14">
        <f t="shared" ca="1" si="15"/>
        <v>4.8380349182362199</v>
      </c>
      <c r="ALM3" s="14">
        <f t="shared" ca="1" si="15"/>
        <v>4.7777482820341826</v>
      </c>
      <c r="ALN3" s="14">
        <f t="shared" ca="1" si="15"/>
        <v>4.6223431672664734</v>
      </c>
      <c r="ALO3" s="14">
        <f t="shared" ca="1" si="15"/>
        <v>4.7557836183081061</v>
      </c>
      <c r="ALP3" s="14">
        <f t="shared" ca="1" si="15"/>
        <v>4.8613738397784001</v>
      </c>
      <c r="ALQ3" s="14">
        <f t="shared" ca="1" si="15"/>
        <v>4.6788580920208114</v>
      </c>
      <c r="ALR3" s="14">
        <f t="shared" ca="1" si="15"/>
        <v>4.7004443835973868</v>
      </c>
      <c r="ALS3" s="14">
        <f t="shared" ca="1" si="15"/>
        <v>4.7847198772415869</v>
      </c>
    </row>
    <row r="4" spans="1:1007" x14ac:dyDescent="0.2">
      <c r="A4" s="14" t="s">
        <v>1543</v>
      </c>
      <c r="B4" s="69" t="s">
        <v>1567</v>
      </c>
      <c r="C4" s="69"/>
      <c r="D4" s="69"/>
      <c r="E4" s="15" t="s">
        <v>1546</v>
      </c>
      <c r="G4" s="10" t="s">
        <v>1541</v>
      </c>
      <c r="H4" s="14">
        <f ca="1">H2-$C$8*H2^2</f>
        <v>43294.146626247588</v>
      </c>
      <c r="I4" s="14">
        <f t="shared" ref="I4:L4" ca="1" si="16">I2-$C$8*I2^2</f>
        <v>40375.89465032889</v>
      </c>
      <c r="J4" s="14">
        <f t="shared" ca="1" si="16"/>
        <v>43505.771806608405</v>
      </c>
      <c r="K4" s="14">
        <f t="shared" ca="1" si="16"/>
        <v>41851.443382484773</v>
      </c>
      <c r="L4" s="14">
        <f t="shared" ca="1" si="16"/>
        <v>52688.087446128535</v>
      </c>
      <c r="M4" s="14">
        <f ca="1">M2-$C$8*M2^2</f>
        <v>51353.436060757114</v>
      </c>
      <c r="N4" s="14">
        <f t="shared" ref="N4:BY4" ca="1" si="17">N2-$C$8*N2^2</f>
        <v>40379.925342149079</v>
      </c>
      <c r="O4" s="14">
        <f t="shared" ca="1" si="17"/>
        <v>42222.279573082415</v>
      </c>
      <c r="P4" s="14">
        <f t="shared" ca="1" si="17"/>
        <v>44891.663938736754</v>
      </c>
      <c r="Q4" s="14">
        <f t="shared" ca="1" si="17"/>
        <v>42859.632343495636</v>
      </c>
      <c r="R4" s="14">
        <f t="shared" ca="1" si="17"/>
        <v>39804.932467316161</v>
      </c>
      <c r="S4" s="14">
        <f t="shared" ca="1" si="17"/>
        <v>46310.209270923144</v>
      </c>
      <c r="T4" s="14">
        <f t="shared" ca="1" si="17"/>
        <v>47983.915499819719</v>
      </c>
      <c r="U4" s="14">
        <f t="shared" ca="1" si="17"/>
        <v>43974.840668411736</v>
      </c>
      <c r="V4" s="14">
        <f t="shared" ca="1" si="17"/>
        <v>42489.775377942089</v>
      </c>
      <c r="W4" s="14">
        <f t="shared" ca="1" si="17"/>
        <v>46980.340749860938</v>
      </c>
      <c r="X4" s="14">
        <f t="shared" ca="1" si="17"/>
        <v>43438.52168066072</v>
      </c>
      <c r="Y4" s="14">
        <f t="shared" ca="1" si="17"/>
        <v>49875.532409264073</v>
      </c>
      <c r="Z4" s="14">
        <f t="shared" ca="1" si="17"/>
        <v>38624.368067463511</v>
      </c>
      <c r="AA4" s="14">
        <f t="shared" ca="1" si="17"/>
        <v>39537.286471521307</v>
      </c>
      <c r="AB4" s="14">
        <f t="shared" ca="1" si="17"/>
        <v>41334.836771362119</v>
      </c>
      <c r="AC4" s="14">
        <f t="shared" ca="1" si="17"/>
        <v>43263.7415988008</v>
      </c>
      <c r="AD4" s="14">
        <f t="shared" ca="1" si="17"/>
        <v>42266.739309568031</v>
      </c>
      <c r="AE4" s="14">
        <f t="shared" ca="1" si="17"/>
        <v>49175.592539193749</v>
      </c>
      <c r="AF4" s="14">
        <f t="shared" ca="1" si="17"/>
        <v>45956.633315162493</v>
      </c>
      <c r="AG4" s="14">
        <f t="shared" ca="1" si="17"/>
        <v>36926.236880775519</v>
      </c>
      <c r="AH4" s="14">
        <f t="shared" ca="1" si="17"/>
        <v>42954.149916804658</v>
      </c>
      <c r="AI4" s="14">
        <f t="shared" ca="1" si="17"/>
        <v>44042.909588233582</v>
      </c>
      <c r="AJ4" s="14">
        <f t="shared" ca="1" si="17"/>
        <v>41489.709760369034</v>
      </c>
      <c r="AK4" s="14">
        <f t="shared" ca="1" si="17"/>
        <v>43844.540945618719</v>
      </c>
      <c r="AL4" s="14">
        <f t="shared" ca="1" si="17"/>
        <v>42365.941150890212</v>
      </c>
      <c r="AM4" s="14">
        <f t="shared" ca="1" si="17"/>
        <v>43153.885018611167</v>
      </c>
      <c r="AN4" s="14">
        <f t="shared" ca="1" si="17"/>
        <v>44991.536002532484</v>
      </c>
      <c r="AO4" s="14">
        <f t="shared" ca="1" si="17"/>
        <v>39151.921212563655</v>
      </c>
      <c r="AP4" s="14">
        <f t="shared" ca="1" si="17"/>
        <v>41803.811269577127</v>
      </c>
      <c r="AQ4" s="14">
        <f t="shared" ca="1" si="17"/>
        <v>44637.897579225115</v>
      </c>
      <c r="AR4" s="14">
        <f t="shared" ca="1" si="17"/>
        <v>39827.836343022151</v>
      </c>
      <c r="AS4" s="14">
        <f t="shared" ca="1" si="17"/>
        <v>45025.766344944801</v>
      </c>
      <c r="AT4" s="14">
        <f t="shared" ca="1" si="17"/>
        <v>42756.404076877858</v>
      </c>
      <c r="AU4" s="14">
        <f t="shared" ca="1" si="17"/>
        <v>40410.019639177677</v>
      </c>
      <c r="AV4" s="14">
        <f t="shared" ca="1" si="17"/>
        <v>44780.032602793559</v>
      </c>
      <c r="AW4" s="14">
        <f t="shared" ca="1" si="17"/>
        <v>48449.687892185233</v>
      </c>
      <c r="AX4" s="14">
        <f t="shared" ca="1" si="17"/>
        <v>35979.984948339203</v>
      </c>
      <c r="AY4" s="14">
        <f t="shared" ca="1" si="17"/>
        <v>49245.073869072585</v>
      </c>
      <c r="AZ4" s="14">
        <f t="shared" ca="1" si="17"/>
        <v>38328.725437114015</v>
      </c>
      <c r="BA4" s="14">
        <f t="shared" ca="1" si="17"/>
        <v>40779.5237035924</v>
      </c>
      <c r="BB4" s="14">
        <f t="shared" ca="1" si="17"/>
        <v>40155.561235194735</v>
      </c>
      <c r="BC4" s="14">
        <f t="shared" ca="1" si="17"/>
        <v>49382.707297248679</v>
      </c>
      <c r="BD4" s="14">
        <f t="shared" ca="1" si="17"/>
        <v>41942.576942915955</v>
      </c>
      <c r="BE4" s="14">
        <f t="shared" ca="1" si="17"/>
        <v>40830.04702742731</v>
      </c>
      <c r="BF4" s="14">
        <f t="shared" ca="1" si="17"/>
        <v>42784.791361231517</v>
      </c>
      <c r="BG4" s="14">
        <f t="shared" ca="1" si="17"/>
        <v>41130.443293096287</v>
      </c>
      <c r="BH4" s="14">
        <f t="shared" ca="1" si="17"/>
        <v>39508.647700541544</v>
      </c>
      <c r="BI4" s="14">
        <f t="shared" ca="1" si="17"/>
        <v>42907.59450138922</v>
      </c>
      <c r="BJ4" s="14">
        <f t="shared" ca="1" si="17"/>
        <v>44474.171663649264</v>
      </c>
      <c r="BK4" s="14">
        <f t="shared" ca="1" si="17"/>
        <v>42935.970081081141</v>
      </c>
      <c r="BL4" s="14">
        <f t="shared" ca="1" si="17"/>
        <v>41138.538559208391</v>
      </c>
      <c r="BM4" s="14">
        <f t="shared" ca="1" si="17"/>
        <v>43338.700390897437</v>
      </c>
      <c r="BN4" s="14">
        <f t="shared" ca="1" si="17"/>
        <v>48369.399741671215</v>
      </c>
      <c r="BO4" s="14">
        <f t="shared" ca="1" si="17"/>
        <v>48573.437062911864</v>
      </c>
      <c r="BP4" s="14">
        <f t="shared" ca="1" si="17"/>
        <v>40579.384500371998</v>
      </c>
      <c r="BQ4" s="14">
        <f t="shared" ca="1" si="17"/>
        <v>48167.642794426123</v>
      </c>
      <c r="BR4" s="14">
        <f t="shared" ca="1" si="17"/>
        <v>43739.986417345142</v>
      </c>
      <c r="BS4" s="14">
        <f t="shared" ca="1" si="17"/>
        <v>42904.862680711638</v>
      </c>
      <c r="BT4" s="14">
        <f t="shared" ca="1" si="17"/>
        <v>38273.485153984177</v>
      </c>
      <c r="BU4" s="14">
        <f t="shared" ca="1" si="17"/>
        <v>45575.946291070824</v>
      </c>
      <c r="BV4" s="14">
        <f t="shared" ca="1" si="17"/>
        <v>43890.189667182334</v>
      </c>
      <c r="BW4" s="14">
        <f t="shared" ca="1" si="17"/>
        <v>36160.756463355014</v>
      </c>
      <c r="BX4" s="14">
        <f t="shared" ca="1" si="17"/>
        <v>40125.003110279285</v>
      </c>
      <c r="BY4" s="14">
        <f t="shared" ca="1" si="17"/>
        <v>42624.704454096245</v>
      </c>
      <c r="BZ4" s="14">
        <f t="shared" ref="BZ4:EK4" ca="1" si="18">BZ2-$C$8*BZ2^2</f>
        <v>43993.752439798918</v>
      </c>
      <c r="CA4" s="14">
        <f t="shared" ca="1" si="18"/>
        <v>39556.132922891571</v>
      </c>
      <c r="CB4" s="14">
        <f t="shared" ca="1" si="18"/>
        <v>41832.197196880537</v>
      </c>
      <c r="CC4" s="14">
        <f t="shared" ca="1" si="18"/>
        <v>44518.319741097257</v>
      </c>
      <c r="CD4" s="14">
        <f t="shared" ca="1" si="18"/>
        <v>43948.817826871928</v>
      </c>
      <c r="CE4" s="14">
        <f t="shared" ca="1" si="18"/>
        <v>42831.237698515208</v>
      </c>
      <c r="CF4" s="14">
        <f t="shared" ca="1" si="18"/>
        <v>37716.132079902905</v>
      </c>
      <c r="CG4" s="14">
        <f t="shared" ca="1" si="18"/>
        <v>48220.982671663973</v>
      </c>
      <c r="CH4" s="14">
        <f t="shared" ca="1" si="18"/>
        <v>44819.030412147331</v>
      </c>
      <c r="CI4" s="14">
        <f t="shared" ca="1" si="18"/>
        <v>37921.589198805195</v>
      </c>
      <c r="CJ4" s="14">
        <f t="shared" ca="1" si="18"/>
        <v>53082.916359038485</v>
      </c>
      <c r="CK4" s="14">
        <f t="shared" ca="1" si="18"/>
        <v>40496.77770539646</v>
      </c>
      <c r="CL4" s="14">
        <f t="shared" ca="1" si="18"/>
        <v>44998.999332342952</v>
      </c>
      <c r="CM4" s="14">
        <f t="shared" ca="1" si="18"/>
        <v>49671.947750177831</v>
      </c>
      <c r="CN4" s="14">
        <f t="shared" ca="1" si="18"/>
        <v>44753.845081424013</v>
      </c>
      <c r="CO4" s="14">
        <f t="shared" ca="1" si="18"/>
        <v>42262.255219955929</v>
      </c>
      <c r="CP4" s="14">
        <f t="shared" ca="1" si="18"/>
        <v>43367.38912959506</v>
      </c>
      <c r="CQ4" s="14">
        <f t="shared" ca="1" si="18"/>
        <v>47204.263887124143</v>
      </c>
      <c r="CR4" s="14">
        <f t="shared" ca="1" si="18"/>
        <v>45058.459806112478</v>
      </c>
      <c r="CS4" s="14">
        <f t="shared" ca="1" si="18"/>
        <v>42637.71126816055</v>
      </c>
      <c r="CT4" s="14">
        <f t="shared" ca="1" si="18"/>
        <v>46560.078052460289</v>
      </c>
      <c r="CU4" s="14">
        <f t="shared" ca="1" si="18"/>
        <v>44453.72426454888</v>
      </c>
      <c r="CV4" s="14">
        <f t="shared" ca="1" si="18"/>
        <v>41615.354340056838</v>
      </c>
      <c r="CW4" s="14">
        <f t="shared" ca="1" si="18"/>
        <v>33797.783907739926</v>
      </c>
      <c r="CX4" s="14">
        <f t="shared" ca="1" si="18"/>
        <v>42836.055660968748</v>
      </c>
      <c r="CY4" s="14">
        <f t="shared" ca="1" si="18"/>
        <v>47339.699108303634</v>
      </c>
      <c r="CZ4" s="14">
        <f t="shared" ca="1" si="18"/>
        <v>46780.677860826458</v>
      </c>
      <c r="DA4" s="14">
        <f t="shared" ca="1" si="18"/>
        <v>48904.415858221771</v>
      </c>
      <c r="DB4" s="14">
        <f t="shared" ca="1" si="18"/>
        <v>47495.155793192534</v>
      </c>
      <c r="DC4" s="14">
        <f t="shared" ca="1" si="18"/>
        <v>40319.788811233433</v>
      </c>
      <c r="DD4" s="14">
        <f t="shared" ca="1" si="18"/>
        <v>40693.686725181818</v>
      </c>
      <c r="DE4" s="14">
        <f t="shared" ca="1" si="18"/>
        <v>43594.995250380292</v>
      </c>
      <c r="DF4" s="14">
        <f t="shared" ca="1" si="18"/>
        <v>44797.632677083566</v>
      </c>
      <c r="DG4" s="14">
        <f t="shared" ca="1" si="18"/>
        <v>48091.424364887156</v>
      </c>
      <c r="DH4" s="14">
        <f t="shared" ca="1" si="18"/>
        <v>37985.685959459137</v>
      </c>
      <c r="DI4" s="14">
        <f t="shared" ca="1" si="18"/>
        <v>45182.450738330735</v>
      </c>
      <c r="DJ4" s="14">
        <f t="shared" ca="1" si="18"/>
        <v>37956.65656817687</v>
      </c>
      <c r="DK4" s="14">
        <f t="shared" ca="1" si="18"/>
        <v>43201.628072825908</v>
      </c>
      <c r="DL4" s="14">
        <f t="shared" ca="1" si="18"/>
        <v>44476.573130754026</v>
      </c>
      <c r="DM4" s="14">
        <f t="shared" ca="1" si="18"/>
        <v>45300.134403242359</v>
      </c>
      <c r="DN4" s="14">
        <f t="shared" ca="1" si="18"/>
        <v>48241.122820301563</v>
      </c>
      <c r="DO4" s="14">
        <f t="shared" ca="1" si="18"/>
        <v>44271.469360785959</v>
      </c>
      <c r="DP4" s="14">
        <f t="shared" ca="1" si="18"/>
        <v>46294.330554266271</v>
      </c>
      <c r="DQ4" s="14">
        <f t="shared" ca="1" si="18"/>
        <v>49247.065096437102</v>
      </c>
      <c r="DR4" s="14">
        <f t="shared" ca="1" si="18"/>
        <v>41956.0185896232</v>
      </c>
      <c r="DS4" s="14">
        <f t="shared" ca="1" si="18"/>
        <v>39361.489638808176</v>
      </c>
      <c r="DT4" s="14">
        <f t="shared" ca="1" si="18"/>
        <v>41670.949389030153</v>
      </c>
      <c r="DU4" s="14">
        <f t="shared" ca="1" si="18"/>
        <v>47580.248258332795</v>
      </c>
      <c r="DV4" s="14">
        <f t="shared" ca="1" si="18"/>
        <v>48964.320697071482</v>
      </c>
      <c r="DW4" s="14">
        <f t="shared" ca="1" si="18"/>
        <v>41687.644475381625</v>
      </c>
      <c r="DX4" s="14">
        <f t="shared" ca="1" si="18"/>
        <v>41824.903812275144</v>
      </c>
      <c r="DY4" s="14">
        <f t="shared" ca="1" si="18"/>
        <v>42501.36349979449</v>
      </c>
      <c r="DZ4" s="14">
        <f t="shared" ca="1" si="18"/>
        <v>43752.579019642879</v>
      </c>
      <c r="EA4" s="14">
        <f t="shared" ca="1" si="18"/>
        <v>46205.549492214806</v>
      </c>
      <c r="EB4" s="14">
        <f t="shared" ca="1" si="18"/>
        <v>54614.10499570112</v>
      </c>
      <c r="EC4" s="14">
        <f t="shared" ca="1" si="18"/>
        <v>46912.34418733928</v>
      </c>
      <c r="ED4" s="14">
        <f t="shared" ca="1" si="18"/>
        <v>50691.293136489701</v>
      </c>
      <c r="EE4" s="14">
        <f t="shared" ca="1" si="18"/>
        <v>45098.74283018033</v>
      </c>
      <c r="EF4" s="14">
        <f t="shared" ca="1" si="18"/>
        <v>41813.867979210612</v>
      </c>
      <c r="EG4" s="14">
        <f t="shared" ca="1" si="18"/>
        <v>38350.617096180969</v>
      </c>
      <c r="EH4" s="14">
        <f t="shared" ca="1" si="18"/>
        <v>45028.50051663757</v>
      </c>
      <c r="EI4" s="14">
        <f t="shared" ca="1" si="18"/>
        <v>43764.19962550202</v>
      </c>
      <c r="EJ4" s="14">
        <f t="shared" ca="1" si="18"/>
        <v>38913.139543356607</v>
      </c>
      <c r="EK4" s="14">
        <f t="shared" ca="1" si="18"/>
        <v>43593.160211684342</v>
      </c>
      <c r="EL4" s="14">
        <f t="shared" ref="EL4:GW4" ca="1" si="19">EL2-$C$8*EL2^2</f>
        <v>41892.607469792376</v>
      </c>
      <c r="EM4" s="14">
        <f t="shared" ca="1" si="19"/>
        <v>51057.845584993614</v>
      </c>
      <c r="EN4" s="14">
        <f t="shared" ca="1" si="19"/>
        <v>43532.0001801256</v>
      </c>
      <c r="EO4" s="14">
        <f t="shared" ca="1" si="19"/>
        <v>48374.394410249661</v>
      </c>
      <c r="EP4" s="14">
        <f t="shared" ca="1" si="19"/>
        <v>39456.849518457166</v>
      </c>
      <c r="EQ4" s="14">
        <f t="shared" ca="1" si="19"/>
        <v>43073.40490762877</v>
      </c>
      <c r="ER4" s="14">
        <f t="shared" ca="1" si="19"/>
        <v>41532.686783583056</v>
      </c>
      <c r="ES4" s="14">
        <f t="shared" ca="1" si="19"/>
        <v>44728.484767485061</v>
      </c>
      <c r="ET4" s="14">
        <f t="shared" ca="1" si="19"/>
        <v>51376.581679965959</v>
      </c>
      <c r="EU4" s="14">
        <f t="shared" ca="1" si="19"/>
        <v>41470.453384384717</v>
      </c>
      <c r="EV4" s="14">
        <f t="shared" ca="1" si="19"/>
        <v>52014.100722260853</v>
      </c>
      <c r="EW4" s="14">
        <f t="shared" ca="1" si="19"/>
        <v>38262.133389219394</v>
      </c>
      <c r="EX4" s="14">
        <f t="shared" ca="1" si="19"/>
        <v>45271.024115739216</v>
      </c>
      <c r="EY4" s="14">
        <f t="shared" ca="1" si="19"/>
        <v>44686.830396601043</v>
      </c>
      <c r="EZ4" s="14">
        <f t="shared" ca="1" si="19"/>
        <v>39545.066209013028</v>
      </c>
      <c r="FA4" s="14">
        <f t="shared" ca="1" si="19"/>
        <v>40620.558723827606</v>
      </c>
      <c r="FB4" s="14">
        <f t="shared" ca="1" si="19"/>
        <v>41747.456318973746</v>
      </c>
      <c r="FC4" s="14">
        <f t="shared" ca="1" si="19"/>
        <v>49607.645301928933</v>
      </c>
      <c r="FD4" s="14">
        <f t="shared" ca="1" si="19"/>
        <v>39914.193235692583</v>
      </c>
      <c r="FE4" s="14">
        <f t="shared" ca="1" si="19"/>
        <v>44621.743082901536</v>
      </c>
      <c r="FF4" s="14">
        <f t="shared" ca="1" si="19"/>
        <v>45953.053307218201</v>
      </c>
      <c r="FG4" s="14">
        <f t="shared" ca="1" si="19"/>
        <v>42598.140276084181</v>
      </c>
      <c r="FH4" s="14">
        <f t="shared" ca="1" si="19"/>
        <v>42541.17309136445</v>
      </c>
      <c r="FI4" s="14">
        <f t="shared" ca="1" si="19"/>
        <v>44549.790272043436</v>
      </c>
      <c r="FJ4" s="14">
        <f t="shared" ca="1" si="19"/>
        <v>49186.7341676793</v>
      </c>
      <c r="FK4" s="14">
        <f t="shared" ca="1" si="19"/>
        <v>42652.067689896707</v>
      </c>
      <c r="FL4" s="14">
        <f t="shared" ca="1" si="19"/>
        <v>46124.114192952708</v>
      </c>
      <c r="FM4" s="14">
        <f t="shared" ca="1" si="19"/>
        <v>39939.043578184668</v>
      </c>
      <c r="FN4" s="14">
        <f t="shared" ca="1" si="19"/>
        <v>47176.692804109436</v>
      </c>
      <c r="FO4" s="14">
        <f t="shared" ca="1" si="19"/>
        <v>45784.481026190871</v>
      </c>
      <c r="FP4" s="14">
        <f t="shared" ca="1" si="19"/>
        <v>47326.805432614419</v>
      </c>
      <c r="FQ4" s="14">
        <f t="shared" ca="1" si="19"/>
        <v>46668.389309241029</v>
      </c>
      <c r="FR4" s="14">
        <f t="shared" ca="1" si="19"/>
        <v>46558.859126818235</v>
      </c>
      <c r="FS4" s="14">
        <f t="shared" ca="1" si="19"/>
        <v>49137.652428506051</v>
      </c>
      <c r="FT4" s="14">
        <f t="shared" ca="1" si="19"/>
        <v>45388.054188559545</v>
      </c>
      <c r="FU4" s="14">
        <f t="shared" ca="1" si="19"/>
        <v>40101.749521719801</v>
      </c>
      <c r="FV4" s="14">
        <f t="shared" ca="1" si="19"/>
        <v>44433.720911030498</v>
      </c>
      <c r="FW4" s="14">
        <f t="shared" ca="1" si="19"/>
        <v>36955.014721420346</v>
      </c>
      <c r="FX4" s="14">
        <f t="shared" ca="1" si="19"/>
        <v>48799.033067170916</v>
      </c>
      <c r="FY4" s="14">
        <f t="shared" ca="1" si="19"/>
        <v>40959.461411997174</v>
      </c>
      <c r="FZ4" s="14">
        <f t="shared" ca="1" si="19"/>
        <v>42358.539973075989</v>
      </c>
      <c r="GA4" s="14">
        <f t="shared" ca="1" si="19"/>
        <v>40155.633221719741</v>
      </c>
      <c r="GB4" s="14">
        <f t="shared" ca="1" si="19"/>
        <v>46738.937872586001</v>
      </c>
      <c r="GC4" s="14">
        <f t="shared" ca="1" si="19"/>
        <v>38921.94242380184</v>
      </c>
      <c r="GD4" s="14">
        <f t="shared" ca="1" si="19"/>
        <v>43019.075723239097</v>
      </c>
      <c r="GE4" s="14">
        <f t="shared" ca="1" si="19"/>
        <v>39714.618406910893</v>
      </c>
      <c r="GF4" s="14">
        <f t="shared" ca="1" si="19"/>
        <v>47227.272024898601</v>
      </c>
      <c r="GG4" s="14">
        <f t="shared" ca="1" si="19"/>
        <v>39241.946830864101</v>
      </c>
      <c r="GH4" s="14">
        <f t="shared" ca="1" si="19"/>
        <v>37808.856667303924</v>
      </c>
      <c r="GI4" s="14">
        <f t="shared" ca="1" si="19"/>
        <v>42406.385179650999</v>
      </c>
      <c r="GJ4" s="14">
        <f t="shared" ca="1" si="19"/>
        <v>41477.76666669784</v>
      </c>
      <c r="GK4" s="14">
        <f t="shared" ca="1" si="19"/>
        <v>45273.69825020853</v>
      </c>
      <c r="GL4" s="14">
        <f t="shared" ca="1" si="19"/>
        <v>41509.858813720173</v>
      </c>
      <c r="GM4" s="14">
        <f t="shared" ca="1" si="19"/>
        <v>38445.980649168043</v>
      </c>
      <c r="GN4" s="14">
        <f t="shared" ca="1" si="19"/>
        <v>35707.326954824297</v>
      </c>
      <c r="GO4" s="14">
        <f t="shared" ca="1" si="19"/>
        <v>43693.441127608341</v>
      </c>
      <c r="GP4" s="14">
        <f t="shared" ca="1" si="19"/>
        <v>50234.831206046118</v>
      </c>
      <c r="GQ4" s="14">
        <f t="shared" ca="1" si="19"/>
        <v>45656.212513511578</v>
      </c>
      <c r="GR4" s="14">
        <f t="shared" ca="1" si="19"/>
        <v>47075.303653651601</v>
      </c>
      <c r="GS4" s="14">
        <f t="shared" ca="1" si="19"/>
        <v>46599.323034046829</v>
      </c>
      <c r="GT4" s="14">
        <f t="shared" ca="1" si="19"/>
        <v>43845.192613135958</v>
      </c>
      <c r="GU4" s="14">
        <f t="shared" ca="1" si="19"/>
        <v>38946.630132256549</v>
      </c>
      <c r="GV4" s="14">
        <f t="shared" ca="1" si="19"/>
        <v>41302.125245937648</v>
      </c>
      <c r="GW4" s="14">
        <f t="shared" ca="1" si="19"/>
        <v>47419.566783849412</v>
      </c>
      <c r="GX4" s="14">
        <f t="shared" ref="GX4:JI4" ca="1" si="20">GX2-$C$8*GX2^2</f>
        <v>44280.815131136696</v>
      </c>
      <c r="GY4" s="14">
        <f t="shared" ca="1" si="20"/>
        <v>45607.46668198616</v>
      </c>
      <c r="GZ4" s="14">
        <f t="shared" ca="1" si="20"/>
        <v>47107.254960136997</v>
      </c>
      <c r="HA4" s="14">
        <f t="shared" ca="1" si="20"/>
        <v>42853.254914115445</v>
      </c>
      <c r="HB4" s="14">
        <f t="shared" ca="1" si="20"/>
        <v>41199.122112167934</v>
      </c>
      <c r="HC4" s="14">
        <f t="shared" ca="1" si="20"/>
        <v>42027.624461322834</v>
      </c>
      <c r="HD4" s="14">
        <f t="shared" ca="1" si="20"/>
        <v>46655.605089159959</v>
      </c>
      <c r="HE4" s="14">
        <f t="shared" ca="1" si="20"/>
        <v>34270.121101404184</v>
      </c>
      <c r="HF4" s="14">
        <f t="shared" ca="1" si="20"/>
        <v>41371.598398631017</v>
      </c>
      <c r="HG4" s="14">
        <f t="shared" ca="1" si="20"/>
        <v>40269.763504071394</v>
      </c>
      <c r="HH4" s="14">
        <f t="shared" ca="1" si="20"/>
        <v>40986.224147123525</v>
      </c>
      <c r="HI4" s="14">
        <f t="shared" ca="1" si="20"/>
        <v>46187.491191720139</v>
      </c>
      <c r="HJ4" s="14">
        <f t="shared" ca="1" si="20"/>
        <v>44412.078046644492</v>
      </c>
      <c r="HK4" s="14">
        <f t="shared" ca="1" si="20"/>
        <v>42103.458628769244</v>
      </c>
      <c r="HL4" s="14">
        <f t="shared" ca="1" si="20"/>
        <v>46105.153353700123</v>
      </c>
      <c r="HM4" s="14">
        <f t="shared" ca="1" si="20"/>
        <v>45792.551137171344</v>
      </c>
      <c r="HN4" s="14">
        <f t="shared" ca="1" si="20"/>
        <v>47689.177076114443</v>
      </c>
      <c r="HO4" s="14">
        <f t="shared" ca="1" si="20"/>
        <v>44875.958109618623</v>
      </c>
      <c r="HP4" s="14">
        <f t="shared" ca="1" si="20"/>
        <v>47955.739634687663</v>
      </c>
      <c r="HQ4" s="14">
        <f t="shared" ca="1" si="20"/>
        <v>49151.979649969071</v>
      </c>
      <c r="HR4" s="14">
        <f t="shared" ca="1" si="20"/>
        <v>49794.236882169367</v>
      </c>
      <c r="HS4" s="14">
        <f t="shared" ca="1" si="20"/>
        <v>44338.392180062612</v>
      </c>
      <c r="HT4" s="14">
        <f t="shared" ca="1" si="20"/>
        <v>48552.144146021215</v>
      </c>
      <c r="HU4" s="14">
        <f t="shared" ca="1" si="20"/>
        <v>43230.179761597043</v>
      </c>
      <c r="HV4" s="14">
        <f t="shared" ca="1" si="20"/>
        <v>41919.297576415091</v>
      </c>
      <c r="HW4" s="14">
        <f t="shared" ca="1" si="20"/>
        <v>42874.41990158995</v>
      </c>
      <c r="HX4" s="14">
        <f t="shared" ca="1" si="20"/>
        <v>39296.406278833703</v>
      </c>
      <c r="HY4" s="14">
        <f t="shared" ca="1" si="20"/>
        <v>49080.792290383193</v>
      </c>
      <c r="HZ4" s="14">
        <f t="shared" ca="1" si="20"/>
        <v>38766.593596682782</v>
      </c>
      <c r="IA4" s="14">
        <f t="shared" ca="1" si="20"/>
        <v>48933.992153892592</v>
      </c>
      <c r="IB4" s="14">
        <f t="shared" ca="1" si="20"/>
        <v>44227.500832738195</v>
      </c>
      <c r="IC4" s="14">
        <f t="shared" ca="1" si="20"/>
        <v>41815.509613811431</v>
      </c>
      <c r="ID4" s="14">
        <f t="shared" ca="1" si="20"/>
        <v>50116.813800646807</v>
      </c>
      <c r="IE4" s="14">
        <f t="shared" ca="1" si="20"/>
        <v>44903.694003901008</v>
      </c>
      <c r="IF4" s="14">
        <f t="shared" ca="1" si="20"/>
        <v>44592.192705661088</v>
      </c>
      <c r="IG4" s="14">
        <f t="shared" ca="1" si="20"/>
        <v>38807.082978109502</v>
      </c>
      <c r="IH4" s="14">
        <f t="shared" ca="1" si="20"/>
        <v>42499.437854181167</v>
      </c>
      <c r="II4" s="14">
        <f t="shared" ca="1" si="20"/>
        <v>45412.852572758755</v>
      </c>
      <c r="IJ4" s="14">
        <f t="shared" ca="1" si="20"/>
        <v>48491.589006482733</v>
      </c>
      <c r="IK4" s="14">
        <f t="shared" ca="1" si="20"/>
        <v>41475.752410692454</v>
      </c>
      <c r="IL4" s="14">
        <f t="shared" ca="1" si="20"/>
        <v>46137.327529850394</v>
      </c>
      <c r="IM4" s="14">
        <f t="shared" ca="1" si="20"/>
        <v>46476.140318258549</v>
      </c>
      <c r="IN4" s="14">
        <f t="shared" ca="1" si="20"/>
        <v>40578.156175198921</v>
      </c>
      <c r="IO4" s="14">
        <f t="shared" ca="1" si="20"/>
        <v>48618.007436764608</v>
      </c>
      <c r="IP4" s="14">
        <f t="shared" ca="1" si="20"/>
        <v>43139.646615438614</v>
      </c>
      <c r="IQ4" s="14">
        <f t="shared" ca="1" si="20"/>
        <v>44036.057712039037</v>
      </c>
      <c r="IR4" s="14">
        <f t="shared" ca="1" si="20"/>
        <v>41804.849086406604</v>
      </c>
      <c r="IS4" s="14">
        <f t="shared" ca="1" si="20"/>
        <v>46782.041408638383</v>
      </c>
      <c r="IT4" s="14">
        <f t="shared" ca="1" si="20"/>
        <v>45643.18340447465</v>
      </c>
      <c r="IU4" s="14">
        <f t="shared" ca="1" si="20"/>
        <v>44918.55653745748</v>
      </c>
      <c r="IV4" s="14">
        <f t="shared" ca="1" si="20"/>
        <v>47954.8303433252</v>
      </c>
      <c r="IW4" s="14">
        <f t="shared" ca="1" si="20"/>
        <v>42194.015697630704</v>
      </c>
      <c r="IX4" s="14">
        <f t="shared" ca="1" si="20"/>
        <v>38238.87266194525</v>
      </c>
      <c r="IY4" s="14">
        <f t="shared" ca="1" si="20"/>
        <v>50809.629273932471</v>
      </c>
      <c r="IZ4" s="14">
        <f t="shared" ca="1" si="20"/>
        <v>40908.302211751135</v>
      </c>
      <c r="JA4" s="14">
        <f t="shared" ca="1" si="20"/>
        <v>49709.931561846941</v>
      </c>
      <c r="JB4" s="14">
        <f t="shared" ca="1" si="20"/>
        <v>38015.152106118505</v>
      </c>
      <c r="JC4" s="14">
        <f t="shared" ca="1" si="20"/>
        <v>44465.958630889734</v>
      </c>
      <c r="JD4" s="14">
        <f t="shared" ca="1" si="20"/>
        <v>43515.586492484996</v>
      </c>
      <c r="JE4" s="14">
        <f t="shared" ca="1" si="20"/>
        <v>43806.393400829882</v>
      </c>
      <c r="JF4" s="14">
        <f t="shared" ca="1" si="20"/>
        <v>46236.525733464761</v>
      </c>
      <c r="JG4" s="14">
        <f t="shared" ca="1" si="20"/>
        <v>46717.533292140928</v>
      </c>
      <c r="JH4" s="14">
        <f t="shared" ca="1" si="20"/>
        <v>46162.097903308451</v>
      </c>
      <c r="JI4" s="14">
        <f t="shared" ca="1" si="20"/>
        <v>44540.239366390786</v>
      </c>
      <c r="JJ4" s="14">
        <f t="shared" ref="JJ4:LU4" ca="1" si="21">JJ2-$C$8*JJ2^2</f>
        <v>42287.977045672509</v>
      </c>
      <c r="JK4" s="14">
        <f t="shared" ca="1" si="21"/>
        <v>45406.128013510606</v>
      </c>
      <c r="JL4" s="14">
        <f t="shared" ca="1" si="21"/>
        <v>43058.055514738153</v>
      </c>
      <c r="JM4" s="14">
        <f t="shared" ca="1" si="21"/>
        <v>46228.040730357723</v>
      </c>
      <c r="JN4" s="14">
        <f t="shared" ca="1" si="21"/>
        <v>41955.304180304483</v>
      </c>
      <c r="JO4" s="14">
        <f t="shared" ca="1" si="21"/>
        <v>46409.909660173493</v>
      </c>
      <c r="JP4" s="14">
        <f t="shared" ca="1" si="21"/>
        <v>42627.418618597636</v>
      </c>
      <c r="JQ4" s="14">
        <f t="shared" ca="1" si="21"/>
        <v>37211.049096928851</v>
      </c>
      <c r="JR4" s="14">
        <f t="shared" ca="1" si="21"/>
        <v>41650.598818930448</v>
      </c>
      <c r="JS4" s="14">
        <f t="shared" ca="1" si="21"/>
        <v>50229.664210089031</v>
      </c>
      <c r="JT4" s="14">
        <f t="shared" ca="1" si="21"/>
        <v>46246.574474363821</v>
      </c>
      <c r="JU4" s="14">
        <f t="shared" ca="1" si="21"/>
        <v>45956.034094256363</v>
      </c>
      <c r="JV4" s="14">
        <f t="shared" ca="1" si="21"/>
        <v>42362.660285999285</v>
      </c>
      <c r="JW4" s="14">
        <f t="shared" ca="1" si="21"/>
        <v>36734.042662970496</v>
      </c>
      <c r="JX4" s="14">
        <f t="shared" ca="1" si="21"/>
        <v>47914.570195419205</v>
      </c>
      <c r="JY4" s="14">
        <f t="shared" ca="1" si="21"/>
        <v>43699.937625511673</v>
      </c>
      <c r="JZ4" s="14">
        <f t="shared" ca="1" si="21"/>
        <v>50081.070173000553</v>
      </c>
      <c r="KA4" s="14">
        <f t="shared" ca="1" si="21"/>
        <v>44085.488994385552</v>
      </c>
      <c r="KB4" s="14">
        <f t="shared" ca="1" si="21"/>
        <v>48832.912079755406</v>
      </c>
      <c r="KC4" s="14">
        <f t="shared" ca="1" si="21"/>
        <v>41102.261290734103</v>
      </c>
      <c r="KD4" s="14">
        <f t="shared" ca="1" si="21"/>
        <v>45996.696188009286</v>
      </c>
      <c r="KE4" s="14">
        <f t="shared" ca="1" si="21"/>
        <v>45171.644633863521</v>
      </c>
      <c r="KF4" s="14">
        <f t="shared" ca="1" si="21"/>
        <v>38831.301004020388</v>
      </c>
      <c r="KG4" s="14">
        <f t="shared" ca="1" si="21"/>
        <v>43007.199898521721</v>
      </c>
      <c r="KH4" s="14">
        <f t="shared" ca="1" si="21"/>
        <v>45447.875992265595</v>
      </c>
      <c r="KI4" s="14">
        <f t="shared" ca="1" si="21"/>
        <v>50441.963290588457</v>
      </c>
      <c r="KJ4" s="14">
        <f t="shared" ca="1" si="21"/>
        <v>44559.110137073185</v>
      </c>
      <c r="KK4" s="14">
        <f t="shared" ca="1" si="21"/>
        <v>47953.798590828628</v>
      </c>
      <c r="KL4" s="14">
        <f t="shared" ca="1" si="21"/>
        <v>45738.840900297044</v>
      </c>
      <c r="KM4" s="14">
        <f t="shared" ca="1" si="21"/>
        <v>44781.136876993347</v>
      </c>
      <c r="KN4" s="14">
        <f t="shared" ca="1" si="21"/>
        <v>50524.973300035039</v>
      </c>
      <c r="KO4" s="14">
        <f t="shared" ca="1" si="21"/>
        <v>42232.228539171963</v>
      </c>
      <c r="KP4" s="14">
        <f t="shared" ca="1" si="21"/>
        <v>42389.763149391452</v>
      </c>
      <c r="KQ4" s="14">
        <f t="shared" ca="1" si="21"/>
        <v>41664.026181896625</v>
      </c>
      <c r="KR4" s="14">
        <f t="shared" ca="1" si="21"/>
        <v>47401.572218581015</v>
      </c>
      <c r="KS4" s="14">
        <f t="shared" ca="1" si="21"/>
        <v>45796.053870137068</v>
      </c>
      <c r="KT4" s="14">
        <f t="shared" ca="1" si="21"/>
        <v>42281.534705950828</v>
      </c>
      <c r="KU4" s="14">
        <f t="shared" ca="1" si="21"/>
        <v>45794.743521495126</v>
      </c>
      <c r="KV4" s="14">
        <f t="shared" ca="1" si="21"/>
        <v>48601.996228511314</v>
      </c>
      <c r="KW4" s="14">
        <f t="shared" ca="1" si="21"/>
        <v>40876.095407086643</v>
      </c>
      <c r="KX4" s="14">
        <f t="shared" ca="1" si="21"/>
        <v>44010.79041506457</v>
      </c>
      <c r="KY4" s="14">
        <f t="shared" ca="1" si="21"/>
        <v>46240.820284177826</v>
      </c>
      <c r="KZ4" s="14">
        <f t="shared" ca="1" si="21"/>
        <v>47855.090196631281</v>
      </c>
      <c r="LA4" s="14">
        <f t="shared" ca="1" si="21"/>
        <v>48255.156036006301</v>
      </c>
      <c r="LB4" s="14">
        <f t="shared" ca="1" si="21"/>
        <v>38591.310553099043</v>
      </c>
      <c r="LC4" s="14">
        <f t="shared" ca="1" si="21"/>
        <v>49487.017304567322</v>
      </c>
      <c r="LD4" s="14">
        <f t="shared" ca="1" si="21"/>
        <v>44103.388024920379</v>
      </c>
      <c r="LE4" s="14">
        <f t="shared" ca="1" si="21"/>
        <v>44054.853717662438</v>
      </c>
      <c r="LF4" s="14">
        <f t="shared" ca="1" si="21"/>
        <v>51852.717941943964</v>
      </c>
      <c r="LG4" s="14">
        <f t="shared" ca="1" si="21"/>
        <v>50780.84713419211</v>
      </c>
      <c r="LH4" s="14">
        <f t="shared" ca="1" si="21"/>
        <v>42314.478108974996</v>
      </c>
      <c r="LI4" s="14">
        <f t="shared" ca="1" si="21"/>
        <v>47612.964768159662</v>
      </c>
      <c r="LJ4" s="14">
        <f t="shared" ca="1" si="21"/>
        <v>43531.059656580233</v>
      </c>
      <c r="LK4" s="14">
        <f t="shared" ca="1" si="21"/>
        <v>38667.422917975375</v>
      </c>
      <c r="LL4" s="14">
        <f t="shared" ca="1" si="21"/>
        <v>48983.471320106604</v>
      </c>
      <c r="LM4" s="14">
        <f t="shared" ca="1" si="21"/>
        <v>43127.572456688918</v>
      </c>
      <c r="LN4" s="14">
        <f t="shared" ca="1" si="21"/>
        <v>44685.620492272443</v>
      </c>
      <c r="LO4" s="14">
        <f t="shared" ca="1" si="21"/>
        <v>49268.604032487638</v>
      </c>
      <c r="LP4" s="14">
        <f t="shared" ca="1" si="21"/>
        <v>38685.486876488518</v>
      </c>
      <c r="LQ4" s="14">
        <f t="shared" ca="1" si="21"/>
        <v>37951.704491420387</v>
      </c>
      <c r="LR4" s="14">
        <f t="shared" ca="1" si="21"/>
        <v>33616.84314244899</v>
      </c>
      <c r="LS4" s="14">
        <f t="shared" ca="1" si="21"/>
        <v>41499.418786006892</v>
      </c>
      <c r="LT4" s="14">
        <f t="shared" ca="1" si="21"/>
        <v>41120.935635396905</v>
      </c>
      <c r="LU4" s="14">
        <f t="shared" ca="1" si="21"/>
        <v>46526.993100327978</v>
      </c>
      <c r="LV4" s="14">
        <f t="shared" ref="LV4:OG4" ca="1" si="22">LV2-$C$8*LV2^2</f>
        <v>54185.244874302873</v>
      </c>
      <c r="LW4" s="14">
        <f t="shared" ca="1" si="22"/>
        <v>44385.799395874717</v>
      </c>
      <c r="LX4" s="14">
        <f t="shared" ca="1" si="22"/>
        <v>31794.033032043699</v>
      </c>
      <c r="LY4" s="14">
        <f t="shared" ca="1" si="22"/>
        <v>45903.769621196094</v>
      </c>
      <c r="LZ4" s="14">
        <f t="shared" ca="1" si="22"/>
        <v>46818.095437474927</v>
      </c>
      <c r="MA4" s="14">
        <f t="shared" ca="1" si="22"/>
        <v>46519.603162338302</v>
      </c>
      <c r="MB4" s="14">
        <f t="shared" ca="1" si="22"/>
        <v>39973.33761639132</v>
      </c>
      <c r="MC4" s="14">
        <f t="shared" ca="1" si="22"/>
        <v>42724.643633688196</v>
      </c>
      <c r="MD4" s="14">
        <f t="shared" ca="1" si="22"/>
        <v>40465.626297072107</v>
      </c>
      <c r="ME4" s="14">
        <f t="shared" ca="1" si="22"/>
        <v>45518.128225133485</v>
      </c>
      <c r="MF4" s="14">
        <f t="shared" ca="1" si="22"/>
        <v>40969.964120877616</v>
      </c>
      <c r="MG4" s="14">
        <f t="shared" ca="1" si="22"/>
        <v>47015.26000602296</v>
      </c>
      <c r="MH4" s="14">
        <f t="shared" ca="1" si="22"/>
        <v>40155.803629310583</v>
      </c>
      <c r="MI4" s="14">
        <f t="shared" ca="1" si="22"/>
        <v>44536.318565584806</v>
      </c>
      <c r="MJ4" s="14">
        <f t="shared" ca="1" si="22"/>
        <v>45097.334563173907</v>
      </c>
      <c r="MK4" s="14">
        <f t="shared" ca="1" si="22"/>
        <v>37192.775582934759</v>
      </c>
      <c r="ML4" s="14">
        <f t="shared" ca="1" si="22"/>
        <v>49131.187970274637</v>
      </c>
      <c r="MM4" s="14">
        <f t="shared" ca="1" si="22"/>
        <v>46907.348679592527</v>
      </c>
      <c r="MN4" s="14">
        <f t="shared" ca="1" si="22"/>
        <v>38902.958035321237</v>
      </c>
      <c r="MO4" s="14">
        <f t="shared" ca="1" si="22"/>
        <v>47522.665224027674</v>
      </c>
      <c r="MP4" s="14">
        <f t="shared" ca="1" si="22"/>
        <v>43517.212105437473</v>
      </c>
      <c r="MQ4" s="14">
        <f t="shared" ca="1" si="22"/>
        <v>39373.654850460793</v>
      </c>
      <c r="MR4" s="14">
        <f t="shared" ca="1" si="22"/>
        <v>45328.354612027251</v>
      </c>
      <c r="MS4" s="14">
        <f t="shared" ca="1" si="22"/>
        <v>36767.416108873753</v>
      </c>
      <c r="MT4" s="14">
        <f t="shared" ca="1" si="22"/>
        <v>41656.202051934619</v>
      </c>
      <c r="MU4" s="14">
        <f t="shared" ca="1" si="22"/>
        <v>46262.687589060137</v>
      </c>
      <c r="MV4" s="14">
        <f t="shared" ca="1" si="22"/>
        <v>50457.108502683936</v>
      </c>
      <c r="MW4" s="14">
        <f t="shared" ca="1" si="22"/>
        <v>48313.091004925962</v>
      </c>
      <c r="MX4" s="14">
        <f t="shared" ca="1" si="22"/>
        <v>46088.906387778938</v>
      </c>
      <c r="MY4" s="14">
        <f t="shared" ca="1" si="22"/>
        <v>47453.66987478183</v>
      </c>
      <c r="MZ4" s="14">
        <f t="shared" ca="1" si="22"/>
        <v>44592.540874185463</v>
      </c>
      <c r="NA4" s="14">
        <f t="shared" ca="1" si="22"/>
        <v>45253.946712373232</v>
      </c>
      <c r="NB4" s="14">
        <f t="shared" ca="1" si="22"/>
        <v>45093.800884828714</v>
      </c>
      <c r="NC4" s="14">
        <f t="shared" ca="1" si="22"/>
        <v>43160.539300445627</v>
      </c>
      <c r="ND4" s="14">
        <f t="shared" ca="1" si="22"/>
        <v>49583.992130162151</v>
      </c>
      <c r="NE4" s="14">
        <f t="shared" ca="1" si="22"/>
        <v>41378.75256935216</v>
      </c>
      <c r="NF4" s="14">
        <f t="shared" ca="1" si="22"/>
        <v>43019.026304133164</v>
      </c>
      <c r="NG4" s="14">
        <f t="shared" ca="1" si="22"/>
        <v>47592.312942996345</v>
      </c>
      <c r="NH4" s="14">
        <f t="shared" ca="1" si="22"/>
        <v>50955.916150686535</v>
      </c>
      <c r="NI4" s="14">
        <f t="shared" ca="1" si="22"/>
        <v>41168.141782100247</v>
      </c>
      <c r="NJ4" s="14">
        <f t="shared" ca="1" si="22"/>
        <v>45416.006528863029</v>
      </c>
      <c r="NK4" s="14">
        <f t="shared" ca="1" si="22"/>
        <v>48385.548163916799</v>
      </c>
      <c r="NL4" s="14">
        <f t="shared" ca="1" si="22"/>
        <v>45534.75354914878</v>
      </c>
      <c r="NM4" s="14">
        <f t="shared" ca="1" si="22"/>
        <v>38895.148703185128</v>
      </c>
      <c r="NN4" s="14">
        <f t="shared" ca="1" si="22"/>
        <v>44213.716274046637</v>
      </c>
      <c r="NO4" s="14">
        <f t="shared" ca="1" si="22"/>
        <v>43030.969857712931</v>
      </c>
      <c r="NP4" s="14">
        <f t="shared" ca="1" si="22"/>
        <v>46532.74284726246</v>
      </c>
      <c r="NQ4" s="14">
        <f t="shared" ca="1" si="22"/>
        <v>40792.106220104099</v>
      </c>
      <c r="NR4" s="14">
        <f t="shared" ca="1" si="22"/>
        <v>38057.264928446049</v>
      </c>
      <c r="NS4" s="14">
        <f t="shared" ca="1" si="22"/>
        <v>44018.22356172662</v>
      </c>
      <c r="NT4" s="14">
        <f t="shared" ca="1" si="22"/>
        <v>38835.648063051216</v>
      </c>
      <c r="NU4" s="14">
        <f t="shared" ca="1" si="22"/>
        <v>50878.37391061541</v>
      </c>
      <c r="NV4" s="14">
        <f t="shared" ca="1" si="22"/>
        <v>49009.436648991141</v>
      </c>
      <c r="NW4" s="14">
        <f t="shared" ca="1" si="22"/>
        <v>37096.960479575617</v>
      </c>
      <c r="NX4" s="14">
        <f t="shared" ca="1" si="22"/>
        <v>39811.911478690832</v>
      </c>
      <c r="NY4" s="14">
        <f t="shared" ca="1" si="22"/>
        <v>49209.290159513599</v>
      </c>
      <c r="NZ4" s="14">
        <f t="shared" ca="1" si="22"/>
        <v>43622.368254399342</v>
      </c>
      <c r="OA4" s="14">
        <f t="shared" ca="1" si="22"/>
        <v>46367.759050066597</v>
      </c>
      <c r="OB4" s="14">
        <f t="shared" ca="1" si="22"/>
        <v>40445.74987730258</v>
      </c>
      <c r="OC4" s="14">
        <f t="shared" ca="1" si="22"/>
        <v>51843.318223866248</v>
      </c>
      <c r="OD4" s="14">
        <f t="shared" ca="1" si="22"/>
        <v>41202.579772719415</v>
      </c>
      <c r="OE4" s="14">
        <f t="shared" ca="1" si="22"/>
        <v>38848.98462703346</v>
      </c>
      <c r="OF4" s="14">
        <f t="shared" ca="1" si="22"/>
        <v>47467.814922652156</v>
      </c>
      <c r="OG4" s="14">
        <f t="shared" ca="1" si="22"/>
        <v>50479.785642199335</v>
      </c>
      <c r="OH4" s="14">
        <f t="shared" ref="OH4:QS4" ca="1" si="23">OH2-$C$8*OH2^2</f>
        <v>47567.916152492937</v>
      </c>
      <c r="OI4" s="14">
        <f t="shared" ca="1" si="23"/>
        <v>50992.23018162846</v>
      </c>
      <c r="OJ4" s="14">
        <f t="shared" ca="1" si="23"/>
        <v>42517.601505515966</v>
      </c>
      <c r="OK4" s="14">
        <f t="shared" ca="1" si="23"/>
        <v>44531.347500249394</v>
      </c>
      <c r="OL4" s="14">
        <f t="shared" ca="1" si="23"/>
        <v>42546.153059474876</v>
      </c>
      <c r="OM4" s="14">
        <f t="shared" ca="1" si="23"/>
        <v>45701.058797541969</v>
      </c>
      <c r="ON4" s="14">
        <f t="shared" ca="1" si="23"/>
        <v>39421.26332859895</v>
      </c>
      <c r="OO4" s="14">
        <f t="shared" ca="1" si="23"/>
        <v>48861.86694838223</v>
      </c>
      <c r="OP4" s="14">
        <f t="shared" ca="1" si="23"/>
        <v>47314.874388055614</v>
      </c>
      <c r="OQ4" s="14">
        <f t="shared" ca="1" si="23"/>
        <v>44406.964640441482</v>
      </c>
      <c r="OR4" s="14">
        <f t="shared" ca="1" si="23"/>
        <v>44652.726828267623</v>
      </c>
      <c r="OS4" s="14">
        <f t="shared" ca="1" si="23"/>
        <v>46356.400621542518</v>
      </c>
      <c r="OT4" s="14">
        <f t="shared" ca="1" si="23"/>
        <v>43429.866433014002</v>
      </c>
      <c r="OU4" s="14">
        <f t="shared" ca="1" si="23"/>
        <v>42845.62279597349</v>
      </c>
      <c r="OV4" s="14">
        <f t="shared" ca="1" si="23"/>
        <v>36507.640255903432</v>
      </c>
      <c r="OW4" s="14">
        <f t="shared" ca="1" si="23"/>
        <v>44670.821411338795</v>
      </c>
      <c r="OX4" s="14">
        <f t="shared" ca="1" si="23"/>
        <v>40901.807051541226</v>
      </c>
      <c r="OY4" s="14">
        <f t="shared" ca="1" si="23"/>
        <v>51052.722236352551</v>
      </c>
      <c r="OZ4" s="14">
        <f t="shared" ca="1" si="23"/>
        <v>40323.964126954299</v>
      </c>
      <c r="PA4" s="14">
        <f t="shared" ca="1" si="23"/>
        <v>48370.569700167725</v>
      </c>
      <c r="PB4" s="14">
        <f t="shared" ca="1" si="23"/>
        <v>43667.877549769721</v>
      </c>
      <c r="PC4" s="14">
        <f t="shared" ca="1" si="23"/>
        <v>42826.483931707226</v>
      </c>
      <c r="PD4" s="14">
        <f t="shared" ca="1" si="23"/>
        <v>39665.895411900725</v>
      </c>
      <c r="PE4" s="14">
        <f t="shared" ca="1" si="23"/>
        <v>41832.260436478769</v>
      </c>
      <c r="PF4" s="14">
        <f t="shared" ca="1" si="23"/>
        <v>48482.694345917713</v>
      </c>
      <c r="PG4" s="14">
        <f t="shared" ca="1" si="23"/>
        <v>46319.308878735326</v>
      </c>
      <c r="PH4" s="14">
        <f t="shared" ca="1" si="23"/>
        <v>41428.343520174923</v>
      </c>
      <c r="PI4" s="14">
        <f t="shared" ca="1" si="23"/>
        <v>38850.229566730108</v>
      </c>
      <c r="PJ4" s="14">
        <f t="shared" ca="1" si="23"/>
        <v>42512.674309559159</v>
      </c>
      <c r="PK4" s="14">
        <f t="shared" ca="1" si="23"/>
        <v>48461.172825051151</v>
      </c>
      <c r="PL4" s="14">
        <f t="shared" ca="1" si="23"/>
        <v>47188.954577832708</v>
      </c>
      <c r="PM4" s="14">
        <f t="shared" ca="1" si="23"/>
        <v>49339.371096459945</v>
      </c>
      <c r="PN4" s="14">
        <f t="shared" ca="1" si="23"/>
        <v>46538.48791619738</v>
      </c>
      <c r="PO4" s="14">
        <f t="shared" ca="1" si="23"/>
        <v>41664.207923944923</v>
      </c>
      <c r="PP4" s="14">
        <f t="shared" ca="1" si="23"/>
        <v>49643.96287619097</v>
      </c>
      <c r="PQ4" s="14">
        <f t="shared" ca="1" si="23"/>
        <v>41139.923542094075</v>
      </c>
      <c r="PR4" s="14">
        <f t="shared" ca="1" si="23"/>
        <v>46343.994663759251</v>
      </c>
      <c r="PS4" s="14">
        <f t="shared" ca="1" si="23"/>
        <v>44951.499057642177</v>
      </c>
      <c r="PT4" s="14">
        <f t="shared" ca="1" si="23"/>
        <v>48116.673668866999</v>
      </c>
      <c r="PU4" s="14">
        <f t="shared" ca="1" si="23"/>
        <v>40646.848298941251</v>
      </c>
      <c r="PV4" s="14">
        <f t="shared" ca="1" si="23"/>
        <v>45837.38078684904</v>
      </c>
      <c r="PW4" s="14">
        <f t="shared" ca="1" si="23"/>
        <v>46198.590354427004</v>
      </c>
      <c r="PX4" s="14">
        <f t="shared" ca="1" si="23"/>
        <v>42633.440421210311</v>
      </c>
      <c r="PY4" s="14">
        <f t="shared" ca="1" si="23"/>
        <v>45633.885917521373</v>
      </c>
      <c r="PZ4" s="14">
        <f t="shared" ca="1" si="23"/>
        <v>46809.782544623318</v>
      </c>
      <c r="QA4" s="14">
        <f t="shared" ca="1" si="23"/>
        <v>49017.834739167294</v>
      </c>
      <c r="QB4" s="14">
        <f t="shared" ca="1" si="23"/>
        <v>41737.957358791755</v>
      </c>
      <c r="QC4" s="14">
        <f t="shared" ca="1" si="23"/>
        <v>46779.243244878773</v>
      </c>
      <c r="QD4" s="14">
        <f t="shared" ca="1" si="23"/>
        <v>49462.514235667404</v>
      </c>
      <c r="QE4" s="14">
        <f t="shared" ca="1" si="23"/>
        <v>45557.046751405695</v>
      </c>
      <c r="QF4" s="14">
        <f t="shared" ca="1" si="23"/>
        <v>44838.500011208744</v>
      </c>
      <c r="QG4" s="14">
        <f t="shared" ca="1" si="23"/>
        <v>39805.102629553548</v>
      </c>
      <c r="QH4" s="14">
        <f t="shared" ca="1" si="23"/>
        <v>39154.027325026516</v>
      </c>
      <c r="QI4" s="14">
        <f t="shared" ca="1" si="23"/>
        <v>39862.328523058561</v>
      </c>
      <c r="QJ4" s="14">
        <f t="shared" ca="1" si="23"/>
        <v>37961.914402597591</v>
      </c>
      <c r="QK4" s="14">
        <f t="shared" ca="1" si="23"/>
        <v>38983.691113750559</v>
      </c>
      <c r="QL4" s="14">
        <f t="shared" ca="1" si="23"/>
        <v>41032.873544751637</v>
      </c>
      <c r="QM4" s="14">
        <f t="shared" ca="1" si="23"/>
        <v>50677.516777312754</v>
      </c>
      <c r="QN4" s="14">
        <f t="shared" ca="1" si="23"/>
        <v>37877.128080599898</v>
      </c>
      <c r="QO4" s="14">
        <f t="shared" ca="1" si="23"/>
        <v>40105.061041546811</v>
      </c>
      <c r="QP4" s="14">
        <f t="shared" ca="1" si="23"/>
        <v>49844.592479523351</v>
      </c>
      <c r="QQ4" s="14">
        <f t="shared" ca="1" si="23"/>
        <v>45913.237436046387</v>
      </c>
      <c r="QR4" s="14">
        <f t="shared" ca="1" si="23"/>
        <v>41225.561694678036</v>
      </c>
      <c r="QS4" s="14">
        <f t="shared" ca="1" si="23"/>
        <v>43301.680493493273</v>
      </c>
      <c r="QT4" s="14">
        <f t="shared" ref="QT4:TE4" ca="1" si="24">QT2-$C$8*QT2^2</f>
        <v>47172.921900061447</v>
      </c>
      <c r="QU4" s="14">
        <f t="shared" ca="1" si="24"/>
        <v>35627.127670180482</v>
      </c>
      <c r="QV4" s="14">
        <f t="shared" ca="1" si="24"/>
        <v>38742.029433952041</v>
      </c>
      <c r="QW4" s="14">
        <f t="shared" ca="1" si="24"/>
        <v>45004.815834229419</v>
      </c>
      <c r="QX4" s="14">
        <f t="shared" ca="1" si="24"/>
        <v>43818.38547872645</v>
      </c>
      <c r="QY4" s="14">
        <f t="shared" ca="1" si="24"/>
        <v>47992.080483690712</v>
      </c>
      <c r="QZ4" s="14">
        <f t="shared" ca="1" si="24"/>
        <v>38536.989344859961</v>
      </c>
      <c r="RA4" s="14">
        <f t="shared" ca="1" si="24"/>
        <v>40914.347388609269</v>
      </c>
      <c r="RB4" s="14">
        <f t="shared" ca="1" si="24"/>
        <v>43227.410101595218</v>
      </c>
      <c r="RC4" s="14">
        <f t="shared" ca="1" si="24"/>
        <v>54685.14788463866</v>
      </c>
      <c r="RD4" s="14">
        <f t="shared" ca="1" si="24"/>
        <v>44853.341977885168</v>
      </c>
      <c r="RE4" s="14">
        <f t="shared" ca="1" si="24"/>
        <v>37447.040998198827</v>
      </c>
      <c r="RF4" s="14">
        <f t="shared" ca="1" si="24"/>
        <v>40059.571556268893</v>
      </c>
      <c r="RG4" s="14">
        <f t="shared" ca="1" si="24"/>
        <v>44162.918527451926</v>
      </c>
      <c r="RH4" s="14">
        <f t="shared" ca="1" si="24"/>
        <v>39712.62435989525</v>
      </c>
      <c r="RI4" s="14">
        <f t="shared" ca="1" si="24"/>
        <v>50820.413074150914</v>
      </c>
      <c r="RJ4" s="14">
        <f t="shared" ca="1" si="24"/>
        <v>47324.573666270044</v>
      </c>
      <c r="RK4" s="14">
        <f t="shared" ca="1" si="24"/>
        <v>40867.792755005976</v>
      </c>
      <c r="RL4" s="14">
        <f t="shared" ca="1" si="24"/>
        <v>50164.964488337268</v>
      </c>
      <c r="RM4" s="14">
        <f t="shared" ca="1" si="24"/>
        <v>47206.227823746667</v>
      </c>
      <c r="RN4" s="14">
        <f t="shared" ca="1" si="24"/>
        <v>42254.156957033803</v>
      </c>
      <c r="RO4" s="14">
        <f t="shared" ca="1" si="24"/>
        <v>43756.934198468865</v>
      </c>
      <c r="RP4" s="14">
        <f t="shared" ca="1" si="24"/>
        <v>38382.932496173089</v>
      </c>
      <c r="RQ4" s="14">
        <f t="shared" ca="1" si="24"/>
        <v>42203.176392293448</v>
      </c>
      <c r="RR4" s="14">
        <f t="shared" ca="1" si="24"/>
        <v>45086.580078122133</v>
      </c>
      <c r="RS4" s="14">
        <f t="shared" ca="1" si="24"/>
        <v>40046.225165096446</v>
      </c>
      <c r="RT4" s="14">
        <f t="shared" ca="1" si="24"/>
        <v>50621.21850462693</v>
      </c>
      <c r="RU4" s="14">
        <f t="shared" ca="1" si="24"/>
        <v>47289.92249374422</v>
      </c>
      <c r="RV4" s="14">
        <f t="shared" ca="1" si="24"/>
        <v>39080.147586838837</v>
      </c>
      <c r="RW4" s="14">
        <f t="shared" ca="1" si="24"/>
        <v>43198.175655524348</v>
      </c>
      <c r="RX4" s="14">
        <f t="shared" ca="1" si="24"/>
        <v>46942.21138606513</v>
      </c>
      <c r="RY4" s="14">
        <f t="shared" ca="1" si="24"/>
        <v>45308.580053248195</v>
      </c>
      <c r="RZ4" s="14">
        <f t="shared" ca="1" si="24"/>
        <v>43607.697747028964</v>
      </c>
      <c r="SA4" s="14">
        <f t="shared" ca="1" si="24"/>
        <v>40738.475731865481</v>
      </c>
      <c r="SB4" s="14">
        <f t="shared" ca="1" si="24"/>
        <v>45909.548311157399</v>
      </c>
      <c r="SC4" s="14">
        <f t="shared" ca="1" si="24"/>
        <v>46995.941994210778</v>
      </c>
      <c r="SD4" s="14">
        <f t="shared" ca="1" si="24"/>
        <v>44832.070485032527</v>
      </c>
      <c r="SE4" s="14">
        <f t="shared" ca="1" si="24"/>
        <v>38695.874262343415</v>
      </c>
      <c r="SF4" s="14">
        <f t="shared" ca="1" si="24"/>
        <v>48772.619686457241</v>
      </c>
      <c r="SG4" s="14">
        <f t="shared" ca="1" si="24"/>
        <v>46374.327851431612</v>
      </c>
      <c r="SH4" s="14">
        <f t="shared" ca="1" si="24"/>
        <v>41748.785077240158</v>
      </c>
      <c r="SI4" s="14">
        <f t="shared" ca="1" si="24"/>
        <v>41388.039008857202</v>
      </c>
      <c r="SJ4" s="14">
        <f t="shared" ca="1" si="24"/>
        <v>49296.14625711101</v>
      </c>
      <c r="SK4" s="14">
        <f t="shared" ca="1" si="24"/>
        <v>43348.067735309174</v>
      </c>
      <c r="SL4" s="14">
        <f t="shared" ca="1" si="24"/>
        <v>48688.248981134784</v>
      </c>
      <c r="SM4" s="14">
        <f t="shared" ca="1" si="24"/>
        <v>41032.226721086474</v>
      </c>
      <c r="SN4" s="14">
        <f t="shared" ca="1" si="24"/>
        <v>39796.227228318734</v>
      </c>
      <c r="SO4" s="14">
        <f t="shared" ca="1" si="24"/>
        <v>42816.346440636371</v>
      </c>
      <c r="SP4" s="14">
        <f t="shared" ca="1" si="24"/>
        <v>40384.941115455389</v>
      </c>
      <c r="SQ4" s="14">
        <f t="shared" ca="1" si="24"/>
        <v>45697.671303649302</v>
      </c>
      <c r="SR4" s="14">
        <f t="shared" ca="1" si="24"/>
        <v>46892.975359443808</v>
      </c>
      <c r="SS4" s="14">
        <f t="shared" ca="1" si="24"/>
        <v>47285.823452628494</v>
      </c>
      <c r="ST4" s="14">
        <f t="shared" ca="1" si="24"/>
        <v>43575.182170868597</v>
      </c>
      <c r="SU4" s="14">
        <f t="shared" ca="1" si="24"/>
        <v>46718.437056819501</v>
      </c>
      <c r="SV4" s="14">
        <f t="shared" ca="1" si="24"/>
        <v>43896.965118910652</v>
      </c>
      <c r="SW4" s="14">
        <f t="shared" ca="1" si="24"/>
        <v>48487.591587021176</v>
      </c>
      <c r="SX4" s="14">
        <f t="shared" ca="1" si="24"/>
        <v>32445.546297440396</v>
      </c>
      <c r="SY4" s="14">
        <f t="shared" ca="1" si="24"/>
        <v>36920.526580419682</v>
      </c>
      <c r="SZ4" s="14">
        <f t="shared" ca="1" si="24"/>
        <v>40635.041550643349</v>
      </c>
      <c r="TA4" s="14">
        <f t="shared" ca="1" si="24"/>
        <v>43289.484123475995</v>
      </c>
      <c r="TB4" s="14">
        <f t="shared" ca="1" si="24"/>
        <v>38761.482373508319</v>
      </c>
      <c r="TC4" s="14">
        <f t="shared" ca="1" si="24"/>
        <v>39156.438969295763</v>
      </c>
      <c r="TD4" s="14">
        <f t="shared" ca="1" si="24"/>
        <v>40583.068851015829</v>
      </c>
      <c r="TE4" s="14">
        <f t="shared" ca="1" si="24"/>
        <v>47171.895596054004</v>
      </c>
      <c r="TF4" s="14">
        <f t="shared" ref="TF4:VQ4" ca="1" si="25">TF2-$C$8*TF2^2</f>
        <v>41944.452095872221</v>
      </c>
      <c r="TG4" s="14">
        <f t="shared" ca="1" si="25"/>
        <v>49628.594460920845</v>
      </c>
      <c r="TH4" s="14">
        <f t="shared" ca="1" si="25"/>
        <v>45754.1420367705</v>
      </c>
      <c r="TI4" s="14">
        <f t="shared" ca="1" si="25"/>
        <v>42601.651553428135</v>
      </c>
      <c r="TJ4" s="14">
        <f t="shared" ca="1" si="25"/>
        <v>46367.518152133438</v>
      </c>
      <c r="TK4" s="14">
        <f t="shared" ca="1" si="25"/>
        <v>50937.13849355503</v>
      </c>
      <c r="TL4" s="14">
        <f t="shared" ca="1" si="25"/>
        <v>40649.164139702145</v>
      </c>
      <c r="TM4" s="14">
        <f t="shared" ca="1" si="25"/>
        <v>43869.185995171269</v>
      </c>
      <c r="TN4" s="14">
        <f t="shared" ca="1" si="25"/>
        <v>44659.875307670038</v>
      </c>
      <c r="TO4" s="14">
        <f t="shared" ca="1" si="25"/>
        <v>37474.57783025266</v>
      </c>
      <c r="TP4" s="14">
        <f t="shared" ca="1" si="25"/>
        <v>43199.00237107111</v>
      </c>
      <c r="TQ4" s="14">
        <f t="shared" ca="1" si="25"/>
        <v>42662.644159920106</v>
      </c>
      <c r="TR4" s="14">
        <f t="shared" ca="1" si="25"/>
        <v>43281.220258968839</v>
      </c>
      <c r="TS4" s="14">
        <f t="shared" ca="1" si="25"/>
        <v>44261.614392988209</v>
      </c>
      <c r="TT4" s="14">
        <f t="shared" ca="1" si="25"/>
        <v>37283.362201671051</v>
      </c>
      <c r="TU4" s="14">
        <f t="shared" ca="1" si="25"/>
        <v>41035.016903682183</v>
      </c>
      <c r="TV4" s="14">
        <f t="shared" ca="1" si="25"/>
        <v>49083.908690662196</v>
      </c>
      <c r="TW4" s="14">
        <f t="shared" ca="1" si="25"/>
        <v>41159.970142475111</v>
      </c>
      <c r="TX4" s="14">
        <f t="shared" ca="1" si="25"/>
        <v>37770.123987518935</v>
      </c>
      <c r="TY4" s="14">
        <f t="shared" ca="1" si="25"/>
        <v>44014.781983237801</v>
      </c>
      <c r="TZ4" s="14">
        <f t="shared" ca="1" si="25"/>
        <v>48964.758729031673</v>
      </c>
      <c r="UA4" s="14">
        <f t="shared" ca="1" si="25"/>
        <v>46655.345836740227</v>
      </c>
      <c r="UB4" s="14">
        <f t="shared" ca="1" si="25"/>
        <v>42621.792623001806</v>
      </c>
      <c r="UC4" s="14">
        <f t="shared" ca="1" si="25"/>
        <v>45218.719722024849</v>
      </c>
      <c r="UD4" s="14">
        <f t="shared" ca="1" si="25"/>
        <v>45942.591529587815</v>
      </c>
      <c r="UE4" s="14">
        <f t="shared" ca="1" si="25"/>
        <v>42991.268932112755</v>
      </c>
      <c r="UF4" s="14">
        <f t="shared" ca="1" si="25"/>
        <v>33825.492977627597</v>
      </c>
      <c r="UG4" s="14">
        <f t="shared" ca="1" si="25"/>
        <v>46922.208828103074</v>
      </c>
      <c r="UH4" s="14">
        <f t="shared" ca="1" si="25"/>
        <v>39643.165418308658</v>
      </c>
      <c r="UI4" s="14">
        <f t="shared" ca="1" si="25"/>
        <v>39823.051330743816</v>
      </c>
      <c r="UJ4" s="14">
        <f t="shared" ca="1" si="25"/>
        <v>40725.577298046519</v>
      </c>
      <c r="UK4" s="14">
        <f t="shared" ca="1" si="25"/>
        <v>50656.179328665006</v>
      </c>
      <c r="UL4" s="14">
        <f t="shared" ca="1" si="25"/>
        <v>43624.035003732904</v>
      </c>
      <c r="UM4" s="14">
        <f t="shared" ca="1" si="25"/>
        <v>37183.897773504694</v>
      </c>
      <c r="UN4" s="14">
        <f t="shared" ca="1" si="25"/>
        <v>45702.41922853615</v>
      </c>
      <c r="UO4" s="14">
        <f t="shared" ca="1" si="25"/>
        <v>40102.844634766865</v>
      </c>
      <c r="UP4" s="14">
        <f t="shared" ca="1" si="25"/>
        <v>39553.273988419824</v>
      </c>
      <c r="UQ4" s="14">
        <f t="shared" ca="1" si="25"/>
        <v>45727.220496590766</v>
      </c>
      <c r="UR4" s="14">
        <f t="shared" ca="1" si="25"/>
        <v>45099.071265004219</v>
      </c>
      <c r="US4" s="14">
        <f t="shared" ca="1" si="25"/>
        <v>47615.932552156999</v>
      </c>
      <c r="UT4" s="14">
        <f t="shared" ca="1" si="25"/>
        <v>38682.921772204543</v>
      </c>
      <c r="UU4" s="14">
        <f t="shared" ca="1" si="25"/>
        <v>34045.993424908898</v>
      </c>
      <c r="UV4" s="14">
        <f t="shared" ca="1" si="25"/>
        <v>38934.807480851741</v>
      </c>
      <c r="UW4" s="14">
        <f t="shared" ca="1" si="25"/>
        <v>44323.197439336494</v>
      </c>
      <c r="UX4" s="14">
        <f t="shared" ca="1" si="25"/>
        <v>47683.366970133298</v>
      </c>
      <c r="UY4" s="14">
        <f t="shared" ca="1" si="25"/>
        <v>41819.159133690991</v>
      </c>
      <c r="UZ4" s="14">
        <f t="shared" ca="1" si="25"/>
        <v>41270.255119496163</v>
      </c>
      <c r="VA4" s="14">
        <f t="shared" ca="1" si="25"/>
        <v>47272.779919645007</v>
      </c>
      <c r="VB4" s="14">
        <f t="shared" ca="1" si="25"/>
        <v>53006.834780799312</v>
      </c>
      <c r="VC4" s="14">
        <f t="shared" ca="1" si="25"/>
        <v>40812.381820073089</v>
      </c>
      <c r="VD4" s="14">
        <f t="shared" ca="1" si="25"/>
        <v>37770.129311910365</v>
      </c>
      <c r="VE4" s="14">
        <f t="shared" ca="1" si="25"/>
        <v>50263.782959045857</v>
      </c>
      <c r="VF4" s="14">
        <f t="shared" ca="1" si="25"/>
        <v>38602.194543070065</v>
      </c>
      <c r="VG4" s="14">
        <f t="shared" ca="1" si="25"/>
        <v>38273.63777260729</v>
      </c>
      <c r="VH4" s="14">
        <f t="shared" ca="1" si="25"/>
        <v>41206.365786768678</v>
      </c>
      <c r="VI4" s="14">
        <f t="shared" ca="1" si="25"/>
        <v>41679.145813453375</v>
      </c>
      <c r="VJ4" s="14">
        <f t="shared" ca="1" si="25"/>
        <v>48961.510146219407</v>
      </c>
      <c r="VK4" s="14">
        <f t="shared" ca="1" si="25"/>
        <v>42747.042209797393</v>
      </c>
      <c r="VL4" s="14">
        <f t="shared" ca="1" si="25"/>
        <v>43770.412200512816</v>
      </c>
      <c r="VM4" s="14">
        <f t="shared" ca="1" si="25"/>
        <v>42537.554726734808</v>
      </c>
      <c r="VN4" s="14">
        <f t="shared" ca="1" si="25"/>
        <v>49261.038734644535</v>
      </c>
      <c r="VO4" s="14">
        <f t="shared" ca="1" si="25"/>
        <v>46062.58757529284</v>
      </c>
      <c r="VP4" s="14">
        <f t="shared" ca="1" si="25"/>
        <v>45318.944503634433</v>
      </c>
      <c r="VQ4" s="14">
        <f t="shared" ca="1" si="25"/>
        <v>48589.427092768405</v>
      </c>
      <c r="VR4" s="14">
        <f t="shared" ref="VR4:YC4" ca="1" si="26">VR2-$C$8*VR2^2</f>
        <v>47236.305152692177</v>
      </c>
      <c r="VS4" s="14">
        <f t="shared" ca="1" si="26"/>
        <v>48028.435857038989</v>
      </c>
      <c r="VT4" s="14">
        <f t="shared" ca="1" si="26"/>
        <v>51151.74837624059</v>
      </c>
      <c r="VU4" s="14">
        <f t="shared" ca="1" si="26"/>
        <v>46164.902564607248</v>
      </c>
      <c r="VV4" s="14">
        <f t="shared" ca="1" si="26"/>
        <v>43098.21786720059</v>
      </c>
      <c r="VW4" s="14">
        <f t="shared" ca="1" si="26"/>
        <v>42810.217728598254</v>
      </c>
      <c r="VX4" s="14">
        <f t="shared" ca="1" si="26"/>
        <v>45650.980905645847</v>
      </c>
      <c r="VY4" s="14">
        <f t="shared" ca="1" si="26"/>
        <v>39418.349859375521</v>
      </c>
      <c r="VZ4" s="14">
        <f t="shared" ca="1" si="26"/>
        <v>37480.482535866569</v>
      </c>
      <c r="WA4" s="14">
        <f t="shared" ca="1" si="26"/>
        <v>40940.235398579207</v>
      </c>
      <c r="WB4" s="14">
        <f t="shared" ca="1" si="26"/>
        <v>36353.263384265578</v>
      </c>
      <c r="WC4" s="14">
        <f t="shared" ca="1" si="26"/>
        <v>42468.491695396224</v>
      </c>
      <c r="WD4" s="14">
        <f t="shared" ca="1" si="26"/>
        <v>43903.127846489406</v>
      </c>
      <c r="WE4" s="14">
        <f t="shared" ca="1" si="26"/>
        <v>41137.827052325316</v>
      </c>
      <c r="WF4" s="14">
        <f t="shared" ca="1" si="26"/>
        <v>45564.192929783254</v>
      </c>
      <c r="WG4" s="14">
        <f t="shared" ca="1" si="26"/>
        <v>45557.747029184306</v>
      </c>
      <c r="WH4" s="14">
        <f t="shared" ca="1" si="26"/>
        <v>43917.998178573289</v>
      </c>
      <c r="WI4" s="14">
        <f t="shared" ca="1" si="26"/>
        <v>42761.073459322222</v>
      </c>
      <c r="WJ4" s="14">
        <f t="shared" ca="1" si="26"/>
        <v>37687.402973315366</v>
      </c>
      <c r="WK4" s="14">
        <f t="shared" ca="1" si="26"/>
        <v>40981.014280033138</v>
      </c>
      <c r="WL4" s="14">
        <f t="shared" ca="1" si="26"/>
        <v>44300.756767620704</v>
      </c>
      <c r="WM4" s="14">
        <f t="shared" ca="1" si="26"/>
        <v>46030.058552068927</v>
      </c>
      <c r="WN4" s="14">
        <f t="shared" ca="1" si="26"/>
        <v>45187.476550511463</v>
      </c>
      <c r="WO4" s="14">
        <f t="shared" ca="1" si="26"/>
        <v>42520.746076462914</v>
      </c>
      <c r="WP4" s="14">
        <f t="shared" ca="1" si="26"/>
        <v>47380.180840923742</v>
      </c>
      <c r="WQ4" s="14">
        <f t="shared" ca="1" si="26"/>
        <v>42906.822764022581</v>
      </c>
      <c r="WR4" s="14">
        <f t="shared" ca="1" si="26"/>
        <v>37661.750894828649</v>
      </c>
      <c r="WS4" s="14">
        <f t="shared" ca="1" si="26"/>
        <v>42081.492784968323</v>
      </c>
      <c r="WT4" s="14">
        <f t="shared" ca="1" si="26"/>
        <v>42478.222973816599</v>
      </c>
      <c r="WU4" s="14">
        <f t="shared" ca="1" si="26"/>
        <v>52249.376725100767</v>
      </c>
      <c r="WV4" s="14">
        <f t="shared" ca="1" si="26"/>
        <v>47656.93393439085</v>
      </c>
      <c r="WW4" s="14">
        <f t="shared" ca="1" si="26"/>
        <v>36413.557364506123</v>
      </c>
      <c r="WX4" s="14">
        <f t="shared" ca="1" si="26"/>
        <v>43651.922228980991</v>
      </c>
      <c r="WY4" s="14">
        <f t="shared" ca="1" si="26"/>
        <v>39797.30773871718</v>
      </c>
      <c r="WZ4" s="14">
        <f t="shared" ca="1" si="26"/>
        <v>50192.689692153028</v>
      </c>
      <c r="XA4" s="14">
        <f t="shared" ca="1" si="26"/>
        <v>45177.496952079113</v>
      </c>
      <c r="XB4" s="14">
        <f t="shared" ca="1" si="26"/>
        <v>42722.168108076759</v>
      </c>
      <c r="XC4" s="14">
        <f t="shared" ca="1" si="26"/>
        <v>44094.161069346374</v>
      </c>
      <c r="XD4" s="14">
        <f t="shared" ca="1" si="26"/>
        <v>52594.121642553873</v>
      </c>
      <c r="XE4" s="14">
        <f t="shared" ca="1" si="26"/>
        <v>36578.066653592236</v>
      </c>
      <c r="XF4" s="14">
        <f t="shared" ca="1" si="26"/>
        <v>47371.630694478197</v>
      </c>
      <c r="XG4" s="14">
        <f t="shared" ca="1" si="26"/>
        <v>51501.053699119424</v>
      </c>
      <c r="XH4" s="14">
        <f t="shared" ca="1" si="26"/>
        <v>39452.679446889044</v>
      </c>
      <c r="XI4" s="14">
        <f t="shared" ca="1" si="26"/>
        <v>47765.705053871672</v>
      </c>
      <c r="XJ4" s="14">
        <f t="shared" ca="1" si="26"/>
        <v>38202.873218815803</v>
      </c>
      <c r="XK4" s="14">
        <f t="shared" ca="1" si="26"/>
        <v>42138.31235073015</v>
      </c>
      <c r="XL4" s="14">
        <f t="shared" ca="1" si="26"/>
        <v>40343.003371987892</v>
      </c>
      <c r="XM4" s="14">
        <f t="shared" ca="1" si="26"/>
        <v>47888.730781330538</v>
      </c>
      <c r="XN4" s="14">
        <f t="shared" ca="1" si="26"/>
        <v>46667.866294964217</v>
      </c>
      <c r="XO4" s="14">
        <f t="shared" ca="1" si="26"/>
        <v>39621.54849484624</v>
      </c>
      <c r="XP4" s="14">
        <f t="shared" ca="1" si="26"/>
        <v>41057.031128648996</v>
      </c>
      <c r="XQ4" s="14">
        <f t="shared" ca="1" si="26"/>
        <v>46666.804535855714</v>
      </c>
      <c r="XR4" s="14">
        <f t="shared" ca="1" si="26"/>
        <v>43883.087728363105</v>
      </c>
      <c r="XS4" s="14">
        <f t="shared" ca="1" si="26"/>
        <v>48191.383499171417</v>
      </c>
      <c r="XT4" s="14">
        <f t="shared" ca="1" si="26"/>
        <v>41769.583365572144</v>
      </c>
      <c r="XU4" s="14">
        <f t="shared" ca="1" si="26"/>
        <v>49106.862892762976</v>
      </c>
      <c r="XV4" s="14">
        <f t="shared" ca="1" si="26"/>
        <v>36734.625574131802</v>
      </c>
      <c r="XW4" s="14">
        <f t="shared" ca="1" si="26"/>
        <v>42650.005479557964</v>
      </c>
      <c r="XX4" s="14">
        <f t="shared" ca="1" si="26"/>
        <v>37045.069163846812</v>
      </c>
      <c r="XY4" s="14">
        <f t="shared" ca="1" si="26"/>
        <v>47710.559945168563</v>
      </c>
      <c r="XZ4" s="14">
        <f t="shared" ca="1" si="26"/>
        <v>39436.768805216052</v>
      </c>
      <c r="YA4" s="14">
        <f t="shared" ca="1" si="26"/>
        <v>51260.023120705482</v>
      </c>
      <c r="YB4" s="14">
        <f t="shared" ca="1" si="26"/>
        <v>42689.812202020505</v>
      </c>
      <c r="YC4" s="14">
        <f t="shared" ca="1" si="26"/>
        <v>49252.87422478701</v>
      </c>
      <c r="YD4" s="14">
        <f t="shared" ref="YD4:AAO4" ca="1" si="27">YD2-$C$8*YD2^2</f>
        <v>47187.580381113134</v>
      </c>
      <c r="YE4" s="14">
        <f t="shared" ca="1" si="27"/>
        <v>49518.995012817453</v>
      </c>
      <c r="YF4" s="14">
        <f t="shared" ca="1" si="27"/>
        <v>43047.387294539491</v>
      </c>
      <c r="YG4" s="14">
        <f t="shared" ca="1" si="27"/>
        <v>48256.629847918317</v>
      </c>
      <c r="YH4" s="14">
        <f t="shared" ca="1" si="27"/>
        <v>53633.605547651125</v>
      </c>
      <c r="YI4" s="14">
        <f t="shared" ca="1" si="27"/>
        <v>45443.464604875284</v>
      </c>
      <c r="YJ4" s="14">
        <f t="shared" ca="1" si="27"/>
        <v>41724.526187547228</v>
      </c>
      <c r="YK4" s="14">
        <f t="shared" ca="1" si="27"/>
        <v>40877.273970373753</v>
      </c>
      <c r="YL4" s="14">
        <f t="shared" ca="1" si="27"/>
        <v>38961.264151599447</v>
      </c>
      <c r="YM4" s="14">
        <f t="shared" ca="1" si="27"/>
        <v>40324.291223458422</v>
      </c>
      <c r="YN4" s="14">
        <f t="shared" ca="1" si="27"/>
        <v>42972.428374884446</v>
      </c>
      <c r="YO4" s="14">
        <f t="shared" ca="1" si="27"/>
        <v>43419.498531832876</v>
      </c>
      <c r="YP4" s="14">
        <f t="shared" ca="1" si="27"/>
        <v>34709.125403949467</v>
      </c>
      <c r="YQ4" s="14">
        <f t="shared" ca="1" si="27"/>
        <v>40000.863606225961</v>
      </c>
      <c r="YR4" s="14">
        <f t="shared" ca="1" si="27"/>
        <v>49856.898654511475</v>
      </c>
      <c r="YS4" s="14">
        <f t="shared" ca="1" si="27"/>
        <v>44056.15154379476</v>
      </c>
      <c r="YT4" s="14">
        <f t="shared" ca="1" si="27"/>
        <v>44364.322922123007</v>
      </c>
      <c r="YU4" s="14">
        <f t="shared" ca="1" si="27"/>
        <v>35738.473380372314</v>
      </c>
      <c r="YV4" s="14">
        <f t="shared" ca="1" si="27"/>
        <v>47325.565285316959</v>
      </c>
      <c r="YW4" s="14">
        <f t="shared" ca="1" si="27"/>
        <v>36024.585917246892</v>
      </c>
      <c r="YX4" s="14">
        <f t="shared" ca="1" si="27"/>
        <v>33812.322750179264</v>
      </c>
      <c r="YY4" s="14">
        <f t="shared" ca="1" si="27"/>
        <v>43302.054479853643</v>
      </c>
      <c r="YZ4" s="14">
        <f t="shared" ca="1" si="27"/>
        <v>43321.068117741721</v>
      </c>
      <c r="ZA4" s="14">
        <f t="shared" ca="1" si="27"/>
        <v>41888.072677720076</v>
      </c>
      <c r="ZB4" s="14">
        <f t="shared" ca="1" si="27"/>
        <v>49915.100196632644</v>
      </c>
      <c r="ZC4" s="14">
        <f t="shared" ca="1" si="27"/>
        <v>44408.21739610903</v>
      </c>
      <c r="ZD4" s="14">
        <f t="shared" ca="1" si="27"/>
        <v>39778.252931853182</v>
      </c>
      <c r="ZE4" s="14">
        <f t="shared" ca="1" si="27"/>
        <v>43197.263346685497</v>
      </c>
      <c r="ZF4" s="14">
        <f t="shared" ca="1" si="27"/>
        <v>39409.616053326252</v>
      </c>
      <c r="ZG4" s="14">
        <f t="shared" ca="1" si="27"/>
        <v>48537.968700194804</v>
      </c>
      <c r="ZH4" s="14">
        <f t="shared" ca="1" si="27"/>
        <v>42012.014826024075</v>
      </c>
      <c r="ZI4" s="14">
        <f t="shared" ca="1" si="27"/>
        <v>41301.04269942813</v>
      </c>
      <c r="ZJ4" s="14">
        <f t="shared" ca="1" si="27"/>
        <v>41100.027975005592</v>
      </c>
      <c r="ZK4" s="14">
        <f t="shared" ca="1" si="27"/>
        <v>46195.298393293597</v>
      </c>
      <c r="ZL4" s="14">
        <f t="shared" ca="1" si="27"/>
        <v>42540.671758124336</v>
      </c>
      <c r="ZM4" s="14">
        <f t="shared" ca="1" si="27"/>
        <v>44071.370832492838</v>
      </c>
      <c r="ZN4" s="14">
        <f t="shared" ca="1" si="27"/>
        <v>44351.212208957513</v>
      </c>
      <c r="ZO4" s="14">
        <f t="shared" ca="1" si="27"/>
        <v>42953.801131290347</v>
      </c>
      <c r="ZP4" s="14">
        <f t="shared" ca="1" si="27"/>
        <v>44874.211933091181</v>
      </c>
      <c r="ZQ4" s="14">
        <f t="shared" ca="1" si="27"/>
        <v>50293.954904149912</v>
      </c>
      <c r="ZR4" s="14">
        <f t="shared" ca="1" si="27"/>
        <v>50688.43443385404</v>
      </c>
      <c r="ZS4" s="14">
        <f t="shared" ca="1" si="27"/>
        <v>41947.598102489705</v>
      </c>
      <c r="ZT4" s="14">
        <f t="shared" ca="1" si="27"/>
        <v>45628.804179132712</v>
      </c>
      <c r="ZU4" s="14">
        <f t="shared" ca="1" si="27"/>
        <v>38813.966020743443</v>
      </c>
      <c r="ZV4" s="14">
        <f t="shared" ca="1" si="27"/>
        <v>44478.687493209189</v>
      </c>
      <c r="ZW4" s="14">
        <f t="shared" ca="1" si="27"/>
        <v>51178.564997986774</v>
      </c>
      <c r="ZX4" s="14">
        <f t="shared" ca="1" si="27"/>
        <v>48925.719948622616</v>
      </c>
      <c r="ZY4" s="14">
        <f t="shared" ca="1" si="27"/>
        <v>44694.5474303054</v>
      </c>
      <c r="ZZ4" s="14">
        <f t="shared" ca="1" si="27"/>
        <v>41033.016482817366</v>
      </c>
      <c r="AAA4" s="14">
        <f t="shared" ca="1" si="27"/>
        <v>45634.908325356257</v>
      </c>
      <c r="AAB4" s="14">
        <f t="shared" ca="1" si="27"/>
        <v>40254.7324621937</v>
      </c>
      <c r="AAC4" s="14">
        <f t="shared" ca="1" si="27"/>
        <v>43649.00916327344</v>
      </c>
      <c r="AAD4" s="14">
        <f t="shared" ca="1" si="27"/>
        <v>45998.031051033744</v>
      </c>
      <c r="AAE4" s="14">
        <f t="shared" ca="1" si="27"/>
        <v>35080.037101849412</v>
      </c>
      <c r="AAF4" s="14">
        <f t="shared" ca="1" si="27"/>
        <v>44154.552570640546</v>
      </c>
      <c r="AAG4" s="14">
        <f t="shared" ca="1" si="27"/>
        <v>38365.466657316283</v>
      </c>
      <c r="AAH4" s="14">
        <f t="shared" ca="1" si="27"/>
        <v>52640.174452588974</v>
      </c>
      <c r="AAI4" s="14">
        <f t="shared" ca="1" si="27"/>
        <v>44234.129696187796</v>
      </c>
      <c r="AAJ4" s="14">
        <f t="shared" ca="1" si="27"/>
        <v>54928.275733734379</v>
      </c>
      <c r="AAK4" s="14">
        <f t="shared" ca="1" si="27"/>
        <v>47211.428823886832</v>
      </c>
      <c r="AAL4" s="14">
        <f t="shared" ca="1" si="27"/>
        <v>48056.606689058077</v>
      </c>
      <c r="AAM4" s="14">
        <f t="shared" ca="1" si="27"/>
        <v>40920.160084119831</v>
      </c>
      <c r="AAN4" s="14">
        <f t="shared" ca="1" si="27"/>
        <v>40343.385672691016</v>
      </c>
      <c r="AAO4" s="14">
        <f t="shared" ca="1" si="27"/>
        <v>47738.504336221726</v>
      </c>
      <c r="AAP4" s="14">
        <f t="shared" ref="AAP4:ADA4" ca="1" si="28">AAP2-$C$8*AAP2^2</f>
        <v>42668.363828375084</v>
      </c>
      <c r="AAQ4" s="14">
        <f t="shared" ca="1" si="28"/>
        <v>40217.262771889364</v>
      </c>
      <c r="AAR4" s="14">
        <f t="shared" ca="1" si="28"/>
        <v>40090.900468167179</v>
      </c>
      <c r="AAS4" s="14">
        <f t="shared" ca="1" si="28"/>
        <v>43015.029342847236</v>
      </c>
      <c r="AAT4" s="14">
        <f t="shared" ca="1" si="28"/>
        <v>49488.44322552759</v>
      </c>
      <c r="AAU4" s="14">
        <f t="shared" ca="1" si="28"/>
        <v>38100.268429318057</v>
      </c>
      <c r="AAV4" s="14">
        <f t="shared" ca="1" si="28"/>
        <v>43304.618640426015</v>
      </c>
      <c r="AAW4" s="14">
        <f t="shared" ca="1" si="28"/>
        <v>45939.160247808264</v>
      </c>
      <c r="AAX4" s="14">
        <f t="shared" ca="1" si="28"/>
        <v>46950.05596177157</v>
      </c>
      <c r="AAY4" s="14">
        <f t="shared" ca="1" si="28"/>
        <v>46113.861512666772</v>
      </c>
      <c r="AAZ4" s="14">
        <f t="shared" ca="1" si="28"/>
        <v>43137.078084781286</v>
      </c>
      <c r="ABA4" s="14">
        <f t="shared" ca="1" si="28"/>
        <v>44326.257457539541</v>
      </c>
      <c r="ABB4" s="14">
        <f t="shared" ca="1" si="28"/>
        <v>42544.54218302649</v>
      </c>
      <c r="ABC4" s="14">
        <f t="shared" ca="1" si="28"/>
        <v>40642.242483469818</v>
      </c>
      <c r="ABD4" s="14">
        <f t="shared" ca="1" si="28"/>
        <v>44953.351327260985</v>
      </c>
      <c r="ABE4" s="14">
        <f t="shared" ca="1" si="28"/>
        <v>38720.829789757088</v>
      </c>
      <c r="ABF4" s="14">
        <f t="shared" ca="1" si="28"/>
        <v>45115.67438935455</v>
      </c>
      <c r="ABG4" s="14">
        <f t="shared" ca="1" si="28"/>
        <v>41230.620641627276</v>
      </c>
      <c r="ABH4" s="14">
        <f t="shared" ca="1" si="28"/>
        <v>44637.059943771004</v>
      </c>
      <c r="ABI4" s="14">
        <f t="shared" ca="1" si="28"/>
        <v>48362.141454708821</v>
      </c>
      <c r="ABJ4" s="14">
        <f t="shared" ca="1" si="28"/>
        <v>38835.278969818239</v>
      </c>
      <c r="ABK4" s="14">
        <f t="shared" ca="1" si="28"/>
        <v>42737.322808577781</v>
      </c>
      <c r="ABL4" s="14">
        <f t="shared" ca="1" si="28"/>
        <v>48867.272141585025</v>
      </c>
      <c r="ABM4" s="14">
        <f t="shared" ca="1" si="28"/>
        <v>44565.616019706496</v>
      </c>
      <c r="ABN4" s="14">
        <f t="shared" ca="1" si="28"/>
        <v>40830.14502794174</v>
      </c>
      <c r="ABO4" s="14">
        <f t="shared" ca="1" si="28"/>
        <v>43489.484407920871</v>
      </c>
      <c r="ABP4" s="14">
        <f t="shared" ca="1" si="28"/>
        <v>41468.968190718195</v>
      </c>
      <c r="ABQ4" s="14">
        <f t="shared" ca="1" si="28"/>
        <v>46328.615480185472</v>
      </c>
      <c r="ABR4" s="14">
        <f t="shared" ca="1" si="28"/>
        <v>39336.364909827833</v>
      </c>
      <c r="ABS4" s="14">
        <f t="shared" ca="1" si="28"/>
        <v>45992.612946436428</v>
      </c>
      <c r="ABT4" s="14">
        <f t="shared" ca="1" si="28"/>
        <v>46773.488558652025</v>
      </c>
      <c r="ABU4" s="14">
        <f t="shared" ca="1" si="28"/>
        <v>42377.8120706224</v>
      </c>
      <c r="ABV4" s="14">
        <f t="shared" ca="1" si="28"/>
        <v>45185.071151117147</v>
      </c>
      <c r="ABW4" s="14">
        <f t="shared" ca="1" si="28"/>
        <v>44276.542994732932</v>
      </c>
      <c r="ABX4" s="14">
        <f t="shared" ca="1" si="28"/>
        <v>36330.084532776862</v>
      </c>
      <c r="ABY4" s="14">
        <f t="shared" ca="1" si="28"/>
        <v>45701.69201966867</v>
      </c>
      <c r="ABZ4" s="14">
        <f t="shared" ca="1" si="28"/>
        <v>44588.632715310079</v>
      </c>
      <c r="ACA4" s="14">
        <f t="shared" ca="1" si="28"/>
        <v>42410.984551453425</v>
      </c>
      <c r="ACB4" s="14">
        <f t="shared" ca="1" si="28"/>
        <v>50231.618277188885</v>
      </c>
      <c r="ACC4" s="14">
        <f t="shared" ca="1" si="28"/>
        <v>38430.463754102035</v>
      </c>
      <c r="ACD4" s="14">
        <f t="shared" ca="1" si="28"/>
        <v>41834.903468279503</v>
      </c>
      <c r="ACE4" s="14">
        <f t="shared" ca="1" si="28"/>
        <v>40030.720922867666</v>
      </c>
      <c r="ACF4" s="14">
        <f t="shared" ca="1" si="28"/>
        <v>46128.932006834235</v>
      </c>
      <c r="ACG4" s="14">
        <f t="shared" ca="1" si="28"/>
        <v>41297.787983872418</v>
      </c>
      <c r="ACH4" s="14">
        <f t="shared" ca="1" si="28"/>
        <v>45415.857926929442</v>
      </c>
      <c r="ACI4" s="14">
        <f t="shared" ca="1" si="28"/>
        <v>48355.706026064654</v>
      </c>
      <c r="ACJ4" s="14">
        <f t="shared" ca="1" si="28"/>
        <v>41806.995948859789</v>
      </c>
      <c r="ACK4" s="14">
        <f t="shared" ca="1" si="28"/>
        <v>54061.891815913477</v>
      </c>
      <c r="ACL4" s="14">
        <f t="shared" ca="1" si="28"/>
        <v>43630.38301840084</v>
      </c>
      <c r="ACM4" s="14">
        <f t="shared" ca="1" si="28"/>
        <v>38934.25006811873</v>
      </c>
      <c r="ACN4" s="14">
        <f t="shared" ca="1" si="28"/>
        <v>43714.909336206729</v>
      </c>
      <c r="ACO4" s="14">
        <f t="shared" ca="1" si="28"/>
        <v>44212.421260824849</v>
      </c>
      <c r="ACP4" s="14">
        <f t="shared" ca="1" si="28"/>
        <v>35896.008095626006</v>
      </c>
      <c r="ACQ4" s="14">
        <f t="shared" ca="1" si="28"/>
        <v>47335.982026244084</v>
      </c>
      <c r="ACR4" s="14">
        <f t="shared" ca="1" si="28"/>
        <v>40398.23066289565</v>
      </c>
      <c r="ACS4" s="14">
        <f t="shared" ca="1" si="28"/>
        <v>45243.302564903679</v>
      </c>
      <c r="ACT4" s="14">
        <f t="shared" ca="1" si="28"/>
        <v>41497.232376442218</v>
      </c>
      <c r="ACU4" s="14">
        <f t="shared" ca="1" si="28"/>
        <v>49786.63893361378</v>
      </c>
      <c r="ACV4" s="14">
        <f t="shared" ca="1" si="28"/>
        <v>41697.905394888592</v>
      </c>
      <c r="ACW4" s="14">
        <f t="shared" ca="1" si="28"/>
        <v>41616.561380983483</v>
      </c>
      <c r="ACX4" s="14">
        <f t="shared" ca="1" si="28"/>
        <v>44992.419354759375</v>
      </c>
      <c r="ACY4" s="14">
        <f t="shared" ca="1" si="28"/>
        <v>42979.620561599317</v>
      </c>
      <c r="ACZ4" s="14">
        <f t="shared" ca="1" si="28"/>
        <v>39936.310552078648</v>
      </c>
      <c r="ADA4" s="14">
        <f t="shared" ca="1" si="28"/>
        <v>50242.660006165293</v>
      </c>
      <c r="ADB4" s="14">
        <f t="shared" ref="ADB4:AFM4" ca="1" si="29">ADB2-$C$8*ADB2^2</f>
        <v>54192.347679215367</v>
      </c>
      <c r="ADC4" s="14">
        <f t="shared" ca="1" si="29"/>
        <v>42913.143062797004</v>
      </c>
      <c r="ADD4" s="14">
        <f t="shared" ca="1" si="29"/>
        <v>45745.038747449609</v>
      </c>
      <c r="ADE4" s="14">
        <f t="shared" ca="1" si="29"/>
        <v>39178.326851458529</v>
      </c>
      <c r="ADF4" s="14">
        <f t="shared" ca="1" si="29"/>
        <v>46002.2457011925</v>
      </c>
      <c r="ADG4" s="14">
        <f t="shared" ca="1" si="29"/>
        <v>47308.564291140399</v>
      </c>
      <c r="ADH4" s="14">
        <f t="shared" ca="1" si="29"/>
        <v>49995.636162998228</v>
      </c>
      <c r="ADI4" s="14">
        <f t="shared" ca="1" si="29"/>
        <v>39946.04678824373</v>
      </c>
      <c r="ADJ4" s="14">
        <f t="shared" ca="1" si="29"/>
        <v>34798.983655317032</v>
      </c>
      <c r="ADK4" s="14">
        <f t="shared" ca="1" si="29"/>
        <v>42312.169771516514</v>
      </c>
      <c r="ADL4" s="14">
        <f t="shared" ca="1" si="29"/>
        <v>41633.094296510797</v>
      </c>
      <c r="ADM4" s="14">
        <f t="shared" ca="1" si="29"/>
        <v>41355.581726537857</v>
      </c>
      <c r="ADN4" s="14">
        <f t="shared" ca="1" si="29"/>
        <v>42193.609508152331</v>
      </c>
      <c r="ADO4" s="14">
        <f t="shared" ca="1" si="29"/>
        <v>43391.910700878419</v>
      </c>
      <c r="ADP4" s="14">
        <f t="shared" ca="1" si="29"/>
        <v>42681.356458119946</v>
      </c>
      <c r="ADQ4" s="14">
        <f t="shared" ca="1" si="29"/>
        <v>44563.656753676463</v>
      </c>
      <c r="ADR4" s="14">
        <f t="shared" ca="1" si="29"/>
        <v>39781.244989658677</v>
      </c>
      <c r="ADS4" s="14">
        <f t="shared" ca="1" si="29"/>
        <v>42221.521356198136</v>
      </c>
      <c r="ADT4" s="14">
        <f t="shared" ca="1" si="29"/>
        <v>40791.52568049921</v>
      </c>
      <c r="ADU4" s="14">
        <f t="shared" ca="1" si="29"/>
        <v>48452.30022730348</v>
      </c>
      <c r="ADV4" s="14">
        <f t="shared" ca="1" si="29"/>
        <v>49956.419441323196</v>
      </c>
      <c r="ADW4" s="14">
        <f t="shared" ca="1" si="29"/>
        <v>48316.917819862429</v>
      </c>
      <c r="ADX4" s="14">
        <f t="shared" ca="1" si="29"/>
        <v>39616.105038382826</v>
      </c>
      <c r="ADY4" s="14">
        <f t="shared" ca="1" si="29"/>
        <v>41256.503549959445</v>
      </c>
      <c r="ADZ4" s="14">
        <f t="shared" ca="1" si="29"/>
        <v>46382.807914654593</v>
      </c>
      <c r="AEA4" s="14">
        <f t="shared" ca="1" si="29"/>
        <v>40639.592188747607</v>
      </c>
      <c r="AEB4" s="14">
        <f t="shared" ca="1" si="29"/>
        <v>40469.839632116164</v>
      </c>
      <c r="AEC4" s="14">
        <f t="shared" ca="1" si="29"/>
        <v>44351.942110220451</v>
      </c>
      <c r="AED4" s="14">
        <f t="shared" ca="1" si="29"/>
        <v>49495.504485406818</v>
      </c>
      <c r="AEE4" s="14">
        <f t="shared" ca="1" si="29"/>
        <v>50477.398609395692</v>
      </c>
      <c r="AEF4" s="14">
        <f t="shared" ca="1" si="29"/>
        <v>42658.889243055477</v>
      </c>
      <c r="AEG4" s="14">
        <f t="shared" ca="1" si="29"/>
        <v>48829.184912369426</v>
      </c>
      <c r="AEH4" s="14">
        <f t="shared" ca="1" si="29"/>
        <v>38350.998856237908</v>
      </c>
      <c r="AEI4" s="14">
        <f t="shared" ca="1" si="29"/>
        <v>47029.803980710109</v>
      </c>
      <c r="AEJ4" s="14">
        <f t="shared" ca="1" si="29"/>
        <v>46616.458591500625</v>
      </c>
      <c r="AEK4" s="14">
        <f t="shared" ca="1" si="29"/>
        <v>41157.43019171989</v>
      </c>
      <c r="AEL4" s="14">
        <f t="shared" ca="1" si="29"/>
        <v>45308.985757516864</v>
      </c>
      <c r="AEM4" s="14">
        <f t="shared" ca="1" si="29"/>
        <v>45368.224514872745</v>
      </c>
      <c r="AEN4" s="14">
        <f t="shared" ca="1" si="29"/>
        <v>48684.542989432332</v>
      </c>
      <c r="AEO4" s="14">
        <f t="shared" ca="1" si="29"/>
        <v>48968.129563895127</v>
      </c>
      <c r="AEP4" s="14">
        <f t="shared" ca="1" si="29"/>
        <v>49535.530385929087</v>
      </c>
      <c r="AEQ4" s="14">
        <f t="shared" ca="1" si="29"/>
        <v>46923.84371377834</v>
      </c>
      <c r="AER4" s="14">
        <f t="shared" ca="1" si="29"/>
        <v>47928.066471587023</v>
      </c>
      <c r="AES4" s="14">
        <f t="shared" ca="1" si="29"/>
        <v>43536.569680908186</v>
      </c>
      <c r="AET4" s="14">
        <f t="shared" ca="1" si="29"/>
        <v>41930.616464186773</v>
      </c>
      <c r="AEU4" s="14">
        <f t="shared" ca="1" si="29"/>
        <v>49157.672297757286</v>
      </c>
      <c r="AEV4" s="14">
        <f t="shared" ca="1" si="29"/>
        <v>54272.6955416204</v>
      </c>
      <c r="AEW4" s="14">
        <f t="shared" ca="1" si="29"/>
        <v>48475.379359447426</v>
      </c>
      <c r="AEX4" s="14">
        <f t="shared" ca="1" si="29"/>
        <v>52523.94483481186</v>
      </c>
      <c r="AEY4" s="14">
        <f t="shared" ca="1" si="29"/>
        <v>44896.993307279139</v>
      </c>
      <c r="AEZ4" s="14">
        <f t="shared" ca="1" si="29"/>
        <v>39341.083561781896</v>
      </c>
      <c r="AFA4" s="14">
        <f t="shared" ca="1" si="29"/>
        <v>43077.86964389091</v>
      </c>
      <c r="AFB4" s="14">
        <f t="shared" ca="1" si="29"/>
        <v>40790.468366670917</v>
      </c>
      <c r="AFC4" s="14">
        <f t="shared" ca="1" si="29"/>
        <v>39654.775262418858</v>
      </c>
      <c r="AFD4" s="14">
        <f t="shared" ca="1" si="29"/>
        <v>40009.14330591444</v>
      </c>
      <c r="AFE4" s="14">
        <f t="shared" ca="1" si="29"/>
        <v>45914.502954679541</v>
      </c>
      <c r="AFF4" s="14">
        <f t="shared" ca="1" si="29"/>
        <v>34294.111135765561</v>
      </c>
      <c r="AFG4" s="14">
        <f t="shared" ca="1" si="29"/>
        <v>43337.637184156978</v>
      </c>
      <c r="AFH4" s="14">
        <f t="shared" ca="1" si="29"/>
        <v>43376.068192277278</v>
      </c>
      <c r="AFI4" s="14">
        <f t="shared" ca="1" si="29"/>
        <v>40163.164488404189</v>
      </c>
      <c r="AFJ4" s="14">
        <f t="shared" ca="1" si="29"/>
        <v>40439.873881941945</v>
      </c>
      <c r="AFK4" s="14">
        <f t="shared" ca="1" si="29"/>
        <v>45181.6062320766</v>
      </c>
      <c r="AFL4" s="14">
        <f t="shared" ca="1" si="29"/>
        <v>43210.188274270149</v>
      </c>
      <c r="AFM4" s="14">
        <f t="shared" ca="1" si="29"/>
        <v>41875.289944997858</v>
      </c>
      <c r="AFN4" s="14">
        <f t="shared" ref="AFN4:AHY4" ca="1" si="30">AFN2-$C$8*AFN2^2</f>
        <v>46770.039724532391</v>
      </c>
      <c r="AFO4" s="14">
        <f t="shared" ca="1" si="30"/>
        <v>44721.561485548082</v>
      </c>
      <c r="AFP4" s="14">
        <f t="shared" ca="1" si="30"/>
        <v>40461.319040595765</v>
      </c>
      <c r="AFQ4" s="14">
        <f t="shared" ca="1" si="30"/>
        <v>40431.091293360492</v>
      </c>
      <c r="AFR4" s="14">
        <f t="shared" ca="1" si="30"/>
        <v>47348.157627747685</v>
      </c>
      <c r="AFS4" s="14">
        <f t="shared" ca="1" si="30"/>
        <v>43951.257137208282</v>
      </c>
      <c r="AFT4" s="14">
        <f t="shared" ca="1" si="30"/>
        <v>34598.786341087907</v>
      </c>
      <c r="AFU4" s="14">
        <f t="shared" ca="1" si="30"/>
        <v>43664.493778222051</v>
      </c>
      <c r="AFV4" s="14">
        <f t="shared" ca="1" si="30"/>
        <v>44635.425716160418</v>
      </c>
      <c r="AFW4" s="14">
        <f t="shared" ca="1" si="30"/>
        <v>46119.418414131025</v>
      </c>
      <c r="AFX4" s="14">
        <f t="shared" ca="1" si="30"/>
        <v>45317.55369322007</v>
      </c>
      <c r="AFY4" s="14">
        <f t="shared" ca="1" si="30"/>
        <v>48384.7170006136</v>
      </c>
      <c r="AFZ4" s="14">
        <f t="shared" ca="1" si="30"/>
        <v>42680.055914300232</v>
      </c>
      <c r="AGA4" s="14">
        <f t="shared" ca="1" si="30"/>
        <v>40743.397122990566</v>
      </c>
      <c r="AGB4" s="14">
        <f t="shared" ca="1" si="30"/>
        <v>50827.882483585898</v>
      </c>
      <c r="AGC4" s="14">
        <f t="shared" ca="1" si="30"/>
        <v>46345.094544306703</v>
      </c>
      <c r="AGD4" s="14">
        <f t="shared" ca="1" si="30"/>
        <v>47200.681351152416</v>
      </c>
      <c r="AGE4" s="14">
        <f t="shared" ca="1" si="30"/>
        <v>41084.976276927388</v>
      </c>
      <c r="AGF4" s="14">
        <f t="shared" ca="1" si="30"/>
        <v>44394.98092350841</v>
      </c>
      <c r="AGG4" s="14">
        <f t="shared" ca="1" si="30"/>
        <v>38697.477113317669</v>
      </c>
      <c r="AGH4" s="14">
        <f t="shared" ca="1" si="30"/>
        <v>43698.070875524536</v>
      </c>
      <c r="AGI4" s="14">
        <f t="shared" ca="1" si="30"/>
        <v>50018.038785043886</v>
      </c>
      <c r="AGJ4" s="14">
        <f t="shared" ca="1" si="30"/>
        <v>39123.323589273081</v>
      </c>
      <c r="AGK4" s="14">
        <f t="shared" ca="1" si="30"/>
        <v>43814.181959064466</v>
      </c>
      <c r="AGL4" s="14">
        <f t="shared" ca="1" si="30"/>
        <v>52437.577730701145</v>
      </c>
      <c r="AGM4" s="14">
        <f t="shared" ca="1" si="30"/>
        <v>42232.548382039044</v>
      </c>
      <c r="AGN4" s="14">
        <f t="shared" ca="1" si="30"/>
        <v>45645.807195223155</v>
      </c>
      <c r="AGO4" s="14">
        <f t="shared" ca="1" si="30"/>
        <v>50877.056712066682</v>
      </c>
      <c r="AGP4" s="14">
        <f t="shared" ca="1" si="30"/>
        <v>32118.561470210978</v>
      </c>
      <c r="AGQ4" s="14">
        <f t="shared" ca="1" si="30"/>
        <v>43938.154012021238</v>
      </c>
      <c r="AGR4" s="14">
        <f t="shared" ca="1" si="30"/>
        <v>47076.544739945937</v>
      </c>
      <c r="AGS4" s="14">
        <f t="shared" ca="1" si="30"/>
        <v>47550.05336487868</v>
      </c>
      <c r="AGT4" s="14">
        <f t="shared" ca="1" si="30"/>
        <v>45595.563205419763</v>
      </c>
      <c r="AGU4" s="14">
        <f t="shared" ca="1" si="30"/>
        <v>45631.128782060252</v>
      </c>
      <c r="AGV4" s="14">
        <f t="shared" ca="1" si="30"/>
        <v>48654.087181942901</v>
      </c>
      <c r="AGW4" s="14">
        <f t="shared" ca="1" si="30"/>
        <v>44258.588972155063</v>
      </c>
      <c r="AGX4" s="14">
        <f t="shared" ca="1" si="30"/>
        <v>39815.204914612128</v>
      </c>
      <c r="AGY4" s="14">
        <f t="shared" ca="1" si="30"/>
        <v>41018.414594127098</v>
      </c>
      <c r="AGZ4" s="14">
        <f t="shared" ca="1" si="30"/>
        <v>45548.065273855522</v>
      </c>
      <c r="AHA4" s="14">
        <f t="shared" ca="1" si="30"/>
        <v>39326.87904473659</v>
      </c>
      <c r="AHB4" s="14">
        <f t="shared" ca="1" si="30"/>
        <v>42829.2003560835</v>
      </c>
      <c r="AHC4" s="14">
        <f t="shared" ca="1" si="30"/>
        <v>38946.094904513622</v>
      </c>
      <c r="AHD4" s="14">
        <f t="shared" ca="1" si="30"/>
        <v>41772.316579278588</v>
      </c>
      <c r="AHE4" s="14">
        <f t="shared" ca="1" si="30"/>
        <v>38420.233739852541</v>
      </c>
      <c r="AHF4" s="14">
        <f t="shared" ca="1" si="30"/>
        <v>46614.100151455335</v>
      </c>
      <c r="AHG4" s="14">
        <f t="shared" ca="1" si="30"/>
        <v>43398.871617372672</v>
      </c>
      <c r="AHH4" s="14">
        <f t="shared" ca="1" si="30"/>
        <v>40909.87930318393</v>
      </c>
      <c r="AHI4" s="14">
        <f t="shared" ca="1" si="30"/>
        <v>46758.696624431308</v>
      </c>
      <c r="AHJ4" s="14">
        <f t="shared" ca="1" si="30"/>
        <v>41444.425811513807</v>
      </c>
      <c r="AHK4" s="14">
        <f t="shared" ca="1" si="30"/>
        <v>52490.395833492672</v>
      </c>
      <c r="AHL4" s="14">
        <f t="shared" ca="1" si="30"/>
        <v>39725.179401932764</v>
      </c>
      <c r="AHM4" s="14">
        <f t="shared" ca="1" si="30"/>
        <v>43150.731224330419</v>
      </c>
      <c r="AHN4" s="14">
        <f t="shared" ca="1" si="30"/>
        <v>47303.057872300953</v>
      </c>
      <c r="AHO4" s="14">
        <f t="shared" ca="1" si="30"/>
        <v>48524.697810109268</v>
      </c>
      <c r="AHP4" s="14">
        <f t="shared" ca="1" si="30"/>
        <v>40822.628186704838</v>
      </c>
      <c r="AHQ4" s="14">
        <f t="shared" ca="1" si="30"/>
        <v>42360.963071713733</v>
      </c>
      <c r="AHR4" s="14">
        <f t="shared" ca="1" si="30"/>
        <v>46841.634784539754</v>
      </c>
      <c r="AHS4" s="14">
        <f t="shared" ca="1" si="30"/>
        <v>43087.291648156388</v>
      </c>
      <c r="AHT4" s="14">
        <f t="shared" ca="1" si="30"/>
        <v>40712.020152307567</v>
      </c>
      <c r="AHU4" s="14">
        <f t="shared" ca="1" si="30"/>
        <v>42961.542302680813</v>
      </c>
      <c r="AHV4" s="14">
        <f t="shared" ca="1" si="30"/>
        <v>41135.184009593155</v>
      </c>
      <c r="AHW4" s="14">
        <f t="shared" ca="1" si="30"/>
        <v>44886.7861427514</v>
      </c>
      <c r="AHX4" s="14">
        <f t="shared" ca="1" si="30"/>
        <v>42336.615517009202</v>
      </c>
      <c r="AHY4" s="14">
        <f t="shared" ca="1" si="30"/>
        <v>41935.23628944526</v>
      </c>
      <c r="AHZ4" s="14">
        <f t="shared" ref="AHZ4:AKK4" ca="1" si="31">AHZ2-$C$8*AHZ2^2</f>
        <v>49686.420717215951</v>
      </c>
      <c r="AIA4" s="14">
        <f t="shared" ca="1" si="31"/>
        <v>43822.518949420679</v>
      </c>
      <c r="AIB4" s="14">
        <f t="shared" ca="1" si="31"/>
        <v>41862.624362596303</v>
      </c>
      <c r="AIC4" s="14">
        <f t="shared" ca="1" si="31"/>
        <v>41989.861226666559</v>
      </c>
      <c r="AID4" s="14">
        <f t="shared" ca="1" si="31"/>
        <v>45528.46093382877</v>
      </c>
      <c r="AIE4" s="14">
        <f t="shared" ca="1" si="31"/>
        <v>49496.910583215271</v>
      </c>
      <c r="AIF4" s="14">
        <f t="shared" ca="1" si="31"/>
        <v>42580.365549035618</v>
      </c>
      <c r="AIG4" s="14">
        <f t="shared" ca="1" si="31"/>
        <v>43223.604769393016</v>
      </c>
      <c r="AIH4" s="14">
        <f t="shared" ca="1" si="31"/>
        <v>45582.369639740878</v>
      </c>
      <c r="AII4" s="14">
        <f t="shared" ca="1" si="31"/>
        <v>47231.574267847958</v>
      </c>
      <c r="AIJ4" s="14">
        <f t="shared" ca="1" si="31"/>
        <v>42371.872994315607</v>
      </c>
      <c r="AIK4" s="14">
        <f t="shared" ca="1" si="31"/>
        <v>42499.578341140004</v>
      </c>
      <c r="AIL4" s="14">
        <f t="shared" ca="1" si="31"/>
        <v>51636.659981616482</v>
      </c>
      <c r="AIM4" s="14">
        <f t="shared" ca="1" si="31"/>
        <v>50582.855726281778</v>
      </c>
      <c r="AIN4" s="14">
        <f t="shared" ca="1" si="31"/>
        <v>39365.177747795846</v>
      </c>
      <c r="AIO4" s="14">
        <f t="shared" ca="1" si="31"/>
        <v>42824.52172430401</v>
      </c>
      <c r="AIP4" s="14">
        <f t="shared" ca="1" si="31"/>
        <v>41675.453770839937</v>
      </c>
      <c r="AIQ4" s="14">
        <f t="shared" ca="1" si="31"/>
        <v>52775.666150378958</v>
      </c>
      <c r="AIR4" s="14">
        <f t="shared" ca="1" si="31"/>
        <v>40897.688548085447</v>
      </c>
      <c r="AIS4" s="14">
        <f t="shared" ca="1" si="31"/>
        <v>42399.130176945037</v>
      </c>
      <c r="AIT4" s="14">
        <f t="shared" ca="1" si="31"/>
        <v>40351.495171316834</v>
      </c>
      <c r="AIU4" s="14">
        <f t="shared" ca="1" si="31"/>
        <v>33215.838577620169</v>
      </c>
      <c r="AIV4" s="14">
        <f t="shared" ca="1" si="31"/>
        <v>44153.581608311048</v>
      </c>
      <c r="AIW4" s="14">
        <f t="shared" ca="1" si="31"/>
        <v>41309.647807810521</v>
      </c>
      <c r="AIX4" s="14">
        <f t="shared" ca="1" si="31"/>
        <v>46333.511204547322</v>
      </c>
      <c r="AIY4" s="14">
        <f t="shared" ca="1" si="31"/>
        <v>47554.905947969004</v>
      </c>
      <c r="AIZ4" s="14">
        <f t="shared" ca="1" si="31"/>
        <v>39906.874795500495</v>
      </c>
      <c r="AJA4" s="14">
        <f t="shared" ca="1" si="31"/>
        <v>52119.718145245773</v>
      </c>
      <c r="AJB4" s="14">
        <f t="shared" ca="1" si="31"/>
        <v>46771.372993087469</v>
      </c>
      <c r="AJC4" s="14">
        <f t="shared" ca="1" si="31"/>
        <v>52445.769795182438</v>
      </c>
      <c r="AJD4" s="14">
        <f t="shared" ca="1" si="31"/>
        <v>45429.075116759021</v>
      </c>
      <c r="AJE4" s="14">
        <f t="shared" ca="1" si="31"/>
        <v>44452.448943631985</v>
      </c>
      <c r="AJF4" s="14">
        <f t="shared" ca="1" si="31"/>
        <v>41923.503935193818</v>
      </c>
      <c r="AJG4" s="14">
        <f t="shared" ca="1" si="31"/>
        <v>48054.31243584177</v>
      </c>
      <c r="AJH4" s="14">
        <f t="shared" ca="1" si="31"/>
        <v>43777.475335449402</v>
      </c>
      <c r="AJI4" s="14">
        <f t="shared" ca="1" si="31"/>
        <v>50901.411485125471</v>
      </c>
      <c r="AJJ4" s="14">
        <f t="shared" ca="1" si="31"/>
        <v>37437.007601277335</v>
      </c>
      <c r="AJK4" s="14">
        <f t="shared" ca="1" si="31"/>
        <v>44083.017850495948</v>
      </c>
      <c r="AJL4" s="14">
        <f t="shared" ca="1" si="31"/>
        <v>37174.963439172774</v>
      </c>
      <c r="AJM4" s="14">
        <f t="shared" ca="1" si="31"/>
        <v>44071.530332638402</v>
      </c>
      <c r="AJN4" s="14">
        <f t="shared" ca="1" si="31"/>
        <v>41039.68795888462</v>
      </c>
      <c r="AJO4" s="14">
        <f t="shared" ca="1" si="31"/>
        <v>50738.973383246965</v>
      </c>
      <c r="AJP4" s="14">
        <f t="shared" ca="1" si="31"/>
        <v>46138.98340566652</v>
      </c>
      <c r="AJQ4" s="14">
        <f t="shared" ca="1" si="31"/>
        <v>48924.160126548391</v>
      </c>
      <c r="AJR4" s="14">
        <f t="shared" ca="1" si="31"/>
        <v>46351.461430450872</v>
      </c>
      <c r="AJS4" s="14">
        <f t="shared" ca="1" si="31"/>
        <v>48100.018661540656</v>
      </c>
      <c r="AJT4" s="14">
        <f t="shared" ca="1" si="31"/>
        <v>38070.145305675469</v>
      </c>
      <c r="AJU4" s="14">
        <f t="shared" ca="1" si="31"/>
        <v>36135.356936170574</v>
      </c>
      <c r="AJV4" s="14">
        <f t="shared" ca="1" si="31"/>
        <v>49348.468199973504</v>
      </c>
      <c r="AJW4" s="14">
        <f t="shared" ca="1" si="31"/>
        <v>45019.220949140494</v>
      </c>
      <c r="AJX4" s="14">
        <f t="shared" ca="1" si="31"/>
        <v>33498.425096856583</v>
      </c>
      <c r="AJY4" s="14">
        <f t="shared" ca="1" si="31"/>
        <v>42453.924274113029</v>
      </c>
      <c r="AJZ4" s="14">
        <f t="shared" ca="1" si="31"/>
        <v>48650.618776658739</v>
      </c>
      <c r="AKA4" s="14">
        <f t="shared" ca="1" si="31"/>
        <v>45660.959857380702</v>
      </c>
      <c r="AKB4" s="14">
        <f t="shared" ca="1" si="31"/>
        <v>45442.098768497934</v>
      </c>
      <c r="AKC4" s="14">
        <f t="shared" ca="1" si="31"/>
        <v>41120.111743423047</v>
      </c>
      <c r="AKD4" s="14">
        <f t="shared" ca="1" si="31"/>
        <v>44905.588407641582</v>
      </c>
      <c r="AKE4" s="14">
        <f t="shared" ca="1" si="31"/>
        <v>40745.987808157166</v>
      </c>
      <c r="AKF4" s="14">
        <f t="shared" ca="1" si="31"/>
        <v>42119.22194897334</v>
      </c>
      <c r="AKG4" s="14">
        <f t="shared" ca="1" si="31"/>
        <v>39822.437546352194</v>
      </c>
      <c r="AKH4" s="14">
        <f t="shared" ca="1" si="31"/>
        <v>44688.994810123266</v>
      </c>
      <c r="AKI4" s="14">
        <f t="shared" ca="1" si="31"/>
        <v>40767.922377670591</v>
      </c>
      <c r="AKJ4" s="14">
        <f t="shared" ca="1" si="31"/>
        <v>45765.868962868124</v>
      </c>
      <c r="AKK4" s="14">
        <f t="shared" ca="1" si="31"/>
        <v>43975.022965394426</v>
      </c>
      <c r="AKL4" s="14">
        <f t="shared" ref="AKL4:ALS4" ca="1" si="32">AKL2-$C$8*AKL2^2</f>
        <v>39721.090768286645</v>
      </c>
      <c r="AKM4" s="14">
        <f t="shared" ca="1" si="32"/>
        <v>46782.854906042485</v>
      </c>
      <c r="AKN4" s="14">
        <f t="shared" ca="1" si="32"/>
        <v>45016.876841286925</v>
      </c>
      <c r="AKO4" s="14">
        <f t="shared" ca="1" si="32"/>
        <v>46367.716004016198</v>
      </c>
      <c r="AKP4" s="14">
        <f t="shared" ca="1" si="32"/>
        <v>44972.554070360158</v>
      </c>
      <c r="AKQ4" s="14">
        <f t="shared" ca="1" si="32"/>
        <v>43231.969078601593</v>
      </c>
      <c r="AKR4" s="14">
        <f t="shared" ca="1" si="32"/>
        <v>37117.653556292906</v>
      </c>
      <c r="AKS4" s="14">
        <f t="shared" ca="1" si="32"/>
        <v>42569.62459293034</v>
      </c>
      <c r="AKT4" s="14">
        <f t="shared" ca="1" si="32"/>
        <v>41574.038411587964</v>
      </c>
      <c r="AKU4" s="14">
        <f t="shared" ca="1" si="32"/>
        <v>41603.325948106802</v>
      </c>
      <c r="AKV4" s="14">
        <f t="shared" ca="1" si="32"/>
        <v>41203.507451572805</v>
      </c>
      <c r="AKW4" s="14">
        <f t="shared" ca="1" si="32"/>
        <v>38800.922050429261</v>
      </c>
      <c r="AKX4" s="14">
        <f t="shared" ca="1" si="32"/>
        <v>45281.828210110005</v>
      </c>
      <c r="AKY4" s="14">
        <f t="shared" ca="1" si="32"/>
        <v>45294.34126503906</v>
      </c>
      <c r="AKZ4" s="14">
        <f t="shared" ca="1" si="32"/>
        <v>41877.255952095089</v>
      </c>
      <c r="ALA4" s="14">
        <f t="shared" ca="1" si="32"/>
        <v>45213.556876203933</v>
      </c>
      <c r="ALB4" s="14">
        <f t="shared" ca="1" si="32"/>
        <v>40205.119805327631</v>
      </c>
      <c r="ALC4" s="14">
        <f t="shared" ca="1" si="32"/>
        <v>45901.439579043872</v>
      </c>
      <c r="ALD4" s="14">
        <f t="shared" ca="1" si="32"/>
        <v>39948.482057320369</v>
      </c>
      <c r="ALE4" s="14">
        <f t="shared" ca="1" si="32"/>
        <v>46396.981903757805</v>
      </c>
      <c r="ALF4" s="14">
        <f t="shared" ca="1" si="32"/>
        <v>43574.320975262366</v>
      </c>
      <c r="ALG4" s="14">
        <f t="shared" ca="1" si="32"/>
        <v>41765.958459960995</v>
      </c>
      <c r="ALH4" s="14">
        <f t="shared" ca="1" si="32"/>
        <v>36202.077462706206</v>
      </c>
      <c r="ALI4" s="14">
        <f t="shared" ca="1" si="32"/>
        <v>44286.119317042176</v>
      </c>
      <c r="ALJ4" s="14">
        <f t="shared" ca="1" si="32"/>
        <v>42588.613780024869</v>
      </c>
      <c r="ALK4" s="14">
        <f t="shared" ca="1" si="32"/>
        <v>45447.013878616737</v>
      </c>
      <c r="ALL4" s="14">
        <f t="shared" ca="1" si="32"/>
        <v>48305.815957731946</v>
      </c>
      <c r="ALM4" s="14">
        <f t="shared" ca="1" si="32"/>
        <v>44364.821858152602</v>
      </c>
      <c r="ALN4" s="14">
        <f t="shared" ca="1" si="32"/>
        <v>34296.1591798421</v>
      </c>
      <c r="ALO4" s="14">
        <f t="shared" ca="1" si="32"/>
        <v>42907.299694912654</v>
      </c>
      <c r="ALP4" s="14">
        <f t="shared" ca="1" si="32"/>
        <v>49774.70562866611</v>
      </c>
      <c r="ALQ4" s="14">
        <f t="shared" ca="1" si="32"/>
        <v>37856.937869833033</v>
      </c>
      <c r="ALR4" s="14">
        <f t="shared" ca="1" si="32"/>
        <v>39256.971061319295</v>
      </c>
      <c r="ALS4" s="14">
        <f t="shared" ca="1" si="32"/>
        <v>44826.552254030888</v>
      </c>
    </row>
    <row r="5" spans="1:1007" x14ac:dyDescent="0.2">
      <c r="A5" s="14" t="s">
        <v>1570</v>
      </c>
      <c r="B5" s="69" t="s">
        <v>1571</v>
      </c>
      <c r="C5" s="69"/>
      <c r="D5" s="69"/>
      <c r="E5" s="15" t="s">
        <v>1573</v>
      </c>
      <c r="G5" s="10" t="s">
        <v>1557</v>
      </c>
      <c r="H5" s="34">
        <f ca="1">1-EXP(-H2*$C$9)</f>
        <v>0.6327381038658566</v>
      </c>
      <c r="I5" s="34">
        <f t="shared" ref="I5:BT5" ca="1" si="33">1-EXP(-I2*$C$9)</f>
        <v>0.59544709172832411</v>
      </c>
      <c r="J5" s="34">
        <f t="shared" ca="1" si="33"/>
        <v>0.63543850296891602</v>
      </c>
      <c r="K5" s="34">
        <f t="shared" ca="1" si="33"/>
        <v>0.6143225536809811</v>
      </c>
      <c r="L5" s="34">
        <f t="shared" ca="1" si="33"/>
        <v>0.7565037131167206</v>
      </c>
      <c r="M5" s="34">
        <f t="shared" ca="1" si="33"/>
        <v>0.73776530518505434</v>
      </c>
      <c r="N5" s="34">
        <f t="shared" ca="1" si="33"/>
        <v>0.59549874233371269</v>
      </c>
      <c r="O5" s="34">
        <f t="shared" ca="1" si="33"/>
        <v>0.61905836873906117</v>
      </c>
      <c r="P5" s="34">
        <f t="shared" ca="1" si="33"/>
        <v>0.65313484546813183</v>
      </c>
      <c r="Q5" s="34">
        <f t="shared" ca="1" si="33"/>
        <v>0.6271935223830879</v>
      </c>
      <c r="R5" s="34">
        <f t="shared" ca="1" si="33"/>
        <v>0.58812451515931263</v>
      </c>
      <c r="S5" s="34">
        <f t="shared" ca="1" si="33"/>
        <v>0.67130850258345109</v>
      </c>
      <c r="T5" s="34">
        <f t="shared" ca="1" si="33"/>
        <v>0.69292572496447136</v>
      </c>
      <c r="U5" s="34">
        <f t="shared" ca="1" si="33"/>
        <v>0.64142483708657805</v>
      </c>
      <c r="V5" s="34">
        <f t="shared" ca="1" si="33"/>
        <v>0.62247319287605185</v>
      </c>
      <c r="W5" s="34">
        <f t="shared" ca="1" si="33"/>
        <v>0.67993410363376494</v>
      </c>
      <c r="X5" s="34">
        <f t="shared" ca="1" si="33"/>
        <v>0.63458035907604171</v>
      </c>
      <c r="Y5" s="34">
        <f t="shared" ca="1" si="33"/>
        <v>0.71778748709402906</v>
      </c>
      <c r="Z5" s="34">
        <f t="shared" ca="1" si="33"/>
        <v>0.57294002858853665</v>
      </c>
      <c r="AA5" s="34">
        <f t="shared" ca="1" si="33"/>
        <v>0.58468751045800227</v>
      </c>
      <c r="AB5" s="34">
        <f t="shared" ca="1" si="33"/>
        <v>0.60772065366581018</v>
      </c>
      <c r="AC5" s="34">
        <f t="shared" ca="1" si="33"/>
        <v>0.63235013305524645</v>
      </c>
      <c r="AD5" s="34">
        <f t="shared" ca="1" si="33"/>
        <v>0.61962600198127049</v>
      </c>
      <c r="AE5" s="34">
        <f t="shared" ca="1" si="33"/>
        <v>0.70851611448015728</v>
      </c>
      <c r="AF5" s="34">
        <f t="shared" ca="1" si="33"/>
        <v>0.66676955323469023</v>
      </c>
      <c r="AG5" s="34">
        <f t="shared" ca="1" si="33"/>
        <v>0.55097229232075662</v>
      </c>
      <c r="AH5" s="34">
        <f t="shared" ca="1" si="33"/>
        <v>0.62839965624775695</v>
      </c>
      <c r="AI5" s="34">
        <f t="shared" ca="1" si="33"/>
        <v>0.64229372043864541</v>
      </c>
      <c r="AJ5" s="34">
        <f t="shared" ca="1" si="33"/>
        <v>0.60970046298187941</v>
      </c>
      <c r="AK5" s="34">
        <f t="shared" ca="1" si="33"/>
        <v>0.63976174227689864</v>
      </c>
      <c r="AL5" s="34">
        <f t="shared" ca="1" si="33"/>
        <v>0.62089245012712568</v>
      </c>
      <c r="AM5" s="34">
        <f t="shared" ca="1" si="33"/>
        <v>0.63094835248537418</v>
      </c>
      <c r="AN5" s="34">
        <f t="shared" ca="1" si="33"/>
        <v>0.65441166812757123</v>
      </c>
      <c r="AO5" s="34">
        <f t="shared" ca="1" si="33"/>
        <v>0.57973335109436208</v>
      </c>
      <c r="AP5" s="34">
        <f t="shared" ca="1" si="33"/>
        <v>0.61371408424103113</v>
      </c>
      <c r="AQ5" s="34">
        <f t="shared" ca="1" si="33"/>
        <v>0.64989182233040976</v>
      </c>
      <c r="AR5" s="34">
        <f t="shared" ca="1" si="33"/>
        <v>0.58841850019226016</v>
      </c>
      <c r="AS5" s="34">
        <f t="shared" ca="1" si="33"/>
        <v>0.65484936010394357</v>
      </c>
      <c r="AT5" s="34">
        <f t="shared" ca="1" si="33"/>
        <v>0.62587617286986341</v>
      </c>
      <c r="AU5" s="34">
        <f t="shared" ca="1" si="33"/>
        <v>0.59588436249124777</v>
      </c>
      <c r="AV5" s="34">
        <f t="shared" ca="1" si="33"/>
        <v>0.65170803206342931</v>
      </c>
      <c r="AW5" s="34">
        <f t="shared" ca="1" si="33"/>
        <v>0.69899447553653893</v>
      </c>
      <c r="AX5" s="34">
        <f t="shared" ca="1" si="33"/>
        <v>0.53865524496954031</v>
      </c>
      <c r="AY5" s="34">
        <f t="shared" ca="1" si="33"/>
        <v>0.70943215291878747</v>
      </c>
      <c r="AZ5" s="34">
        <f t="shared" ca="1" si="33"/>
        <v>0.56912695657157264</v>
      </c>
      <c r="BA5" s="34">
        <f t="shared" ca="1" si="33"/>
        <v>0.6006165949251161</v>
      </c>
      <c r="BB5" s="34">
        <f t="shared" ca="1" si="33"/>
        <v>0.59262277917805606</v>
      </c>
      <c r="BC5" s="34">
        <f t="shared" ca="1" si="33"/>
        <v>0.71124936011027295</v>
      </c>
      <c r="BD5" s="34">
        <f t="shared" ca="1" si="33"/>
        <v>0.61548660641717234</v>
      </c>
      <c r="BE5" s="34">
        <f t="shared" ca="1" si="33"/>
        <v>0.60126330419023788</v>
      </c>
      <c r="BF5" s="34">
        <f t="shared" ca="1" si="33"/>
        <v>0.62623844473936441</v>
      </c>
      <c r="BG5" s="34">
        <f t="shared" ca="1" si="33"/>
        <v>0.60510687233027849</v>
      </c>
      <c r="BH5" s="34">
        <f t="shared" ca="1" si="33"/>
        <v>0.58431956323003476</v>
      </c>
      <c r="BI5" s="34">
        <f t="shared" ca="1" si="33"/>
        <v>0.6278055706368959</v>
      </c>
      <c r="BJ5" s="34">
        <f t="shared" ca="1" si="33"/>
        <v>0.64780032764490258</v>
      </c>
      <c r="BK5" s="34">
        <f t="shared" ca="1" si="33"/>
        <v>0.62816766771297172</v>
      </c>
      <c r="BL5" s="34">
        <f t="shared" ca="1" si="33"/>
        <v>0.6052104156576642</v>
      </c>
      <c r="BM5" s="34">
        <f t="shared" ca="1" si="33"/>
        <v>0.63330661516952647</v>
      </c>
      <c r="BN5" s="34">
        <f t="shared" ca="1" si="33"/>
        <v>0.69794629551449017</v>
      </c>
      <c r="BO5" s="34">
        <f t="shared" ca="1" si="33"/>
        <v>0.70061185362930289</v>
      </c>
      <c r="BP5" s="34">
        <f t="shared" ca="1" si="33"/>
        <v>0.59805397634119783</v>
      </c>
      <c r="BQ5" s="34">
        <f t="shared" ca="1" si="33"/>
        <v>0.69531619896680674</v>
      </c>
      <c r="BR5" s="34">
        <f t="shared" ca="1" si="33"/>
        <v>0.63842736995224425</v>
      </c>
      <c r="BS5" s="34">
        <f t="shared" ca="1" si="33"/>
        <v>0.62777071002007889</v>
      </c>
      <c r="BT5" s="34">
        <f t="shared" ca="1" si="33"/>
        <v>0.56841398564775447</v>
      </c>
      <c r="BU5" s="34">
        <f t="shared" ref="BU5:EF5" ca="1" si="34">1-EXP(-BU2*$C$9)</f>
        <v>0.66189012371717815</v>
      </c>
      <c r="BV5" s="34">
        <f t="shared" ca="1" si="34"/>
        <v>0.64034436406547091</v>
      </c>
      <c r="BW5" s="34">
        <f t="shared" ca="1" si="34"/>
        <v>0.54101284835719277</v>
      </c>
      <c r="BX5" s="34">
        <f t="shared" ca="1" si="34"/>
        <v>0.59223093334180776</v>
      </c>
      <c r="BY5" s="34">
        <f t="shared" ca="1" si="34"/>
        <v>0.62419537209152698</v>
      </c>
      <c r="BZ5" s="34">
        <f t="shared" ca="1" si="34"/>
        <v>0.64166623550014723</v>
      </c>
      <c r="CA5" s="34">
        <f t="shared" ca="1" si="34"/>
        <v>0.58492962798272496</v>
      </c>
      <c r="CB5" s="34">
        <f t="shared" ca="1" si="34"/>
        <v>0.61407670139387838</v>
      </c>
      <c r="CC5" s="34">
        <f t="shared" ca="1" si="34"/>
        <v>0.64836423210153082</v>
      </c>
      <c r="CD5" s="34">
        <f t="shared" ca="1" si="34"/>
        <v>0.64109267671367776</v>
      </c>
      <c r="CE5" s="34">
        <f t="shared" ca="1" si="34"/>
        <v>0.62683117033421887</v>
      </c>
      <c r="CF5" s="34">
        <f t="shared" ca="1" si="34"/>
        <v>0.56121109963387394</v>
      </c>
      <c r="CG5" s="34">
        <f t="shared" ca="1" si="34"/>
        <v>0.69601100894583168</v>
      </c>
      <c r="CH5" s="34">
        <f t="shared" ca="1" si="34"/>
        <v>0.65220644178663523</v>
      </c>
      <c r="CI5" s="34">
        <f t="shared" ca="1" si="34"/>
        <v>0.56386830197553461</v>
      </c>
      <c r="CJ5" s="34">
        <f t="shared" ca="1" si="34"/>
        <v>0.76223017201729415</v>
      </c>
      <c r="CK5" s="34">
        <f t="shared" ca="1" si="34"/>
        <v>0.59699588090912648</v>
      </c>
      <c r="CL5" s="34">
        <f t="shared" ca="1" si="34"/>
        <v>0.65450709605760782</v>
      </c>
      <c r="CM5" s="34">
        <f t="shared" ca="1" si="34"/>
        <v>0.71508040847360266</v>
      </c>
      <c r="CN5" s="34">
        <f t="shared" ca="1" si="34"/>
        <v>0.65137336688259029</v>
      </c>
      <c r="CO5" s="34">
        <f t="shared" ca="1" si="34"/>
        <v>0.61956875327735272</v>
      </c>
      <c r="CP5" s="34">
        <f t="shared" ca="1" si="34"/>
        <v>0.63367268829163503</v>
      </c>
      <c r="CQ5" s="34">
        <f t="shared" ca="1" si="34"/>
        <v>0.68282428034414988</v>
      </c>
      <c r="CR5" s="34">
        <f t="shared" ca="1" si="34"/>
        <v>0.65526743578435998</v>
      </c>
      <c r="CS5" s="34">
        <f t="shared" ca="1" si="34"/>
        <v>0.62436137647485657</v>
      </c>
      <c r="CT5" s="34">
        <f t="shared" ca="1" si="34"/>
        <v>0.67452087176394959</v>
      </c>
      <c r="CU5" s="34">
        <f t="shared" ca="1" si="34"/>
        <v>0.64753916655492261</v>
      </c>
      <c r="CV5" s="34">
        <f t="shared" ca="1" si="34"/>
        <v>0.61130621879035152</v>
      </c>
      <c r="CW5" s="34">
        <f t="shared" ca="1" si="34"/>
        <v>0.51001025525125687</v>
      </c>
      <c r="CX5" s="34">
        <f t="shared" ca="1" si="34"/>
        <v>0.62689265404769978</v>
      </c>
      <c r="CY5" s="34">
        <f t="shared" ca="1" si="34"/>
        <v>0.68457454801521012</v>
      </c>
      <c r="CZ5" s="34">
        <f t="shared" ca="1" si="34"/>
        <v>0.67736062122089336</v>
      </c>
      <c r="DA5" s="34">
        <f t="shared" ca="1" si="34"/>
        <v>0.70494910396248889</v>
      </c>
      <c r="DB5" s="34">
        <f t="shared" ca="1" si="34"/>
        <v>0.68658574310779574</v>
      </c>
      <c r="DC5" s="34">
        <f t="shared" ca="1" si="34"/>
        <v>0.59472807341630773</v>
      </c>
      <c r="DD5" s="34">
        <f t="shared" ca="1" si="34"/>
        <v>0.59951768035881758</v>
      </c>
      <c r="DE5" s="34">
        <f t="shared" ca="1" si="34"/>
        <v>0.63657706628500166</v>
      </c>
      <c r="DF5" s="34">
        <f t="shared" ca="1" si="34"/>
        <v>0.65193296382644128</v>
      </c>
      <c r="DG5" s="34">
        <f t="shared" ca="1" si="34"/>
        <v>0.69432400757011126</v>
      </c>
      <c r="DH5" s="34">
        <f t="shared" ca="1" si="34"/>
        <v>0.56469678900830189</v>
      </c>
      <c r="DI5" s="34">
        <f t="shared" ca="1" si="34"/>
        <v>0.6568533270312642</v>
      </c>
      <c r="DJ5" s="34">
        <f t="shared" ca="1" si="34"/>
        <v>0.56432159588505515</v>
      </c>
      <c r="DK5" s="34">
        <f t="shared" ca="1" si="34"/>
        <v>0.63155755935799385</v>
      </c>
      <c r="DL5" s="34">
        <f t="shared" ca="1" si="34"/>
        <v>0.64783100056972676</v>
      </c>
      <c r="DM5" s="34">
        <f t="shared" ca="1" si="34"/>
        <v>0.65835905265334871</v>
      </c>
      <c r="DN5" s="34">
        <f t="shared" ca="1" si="34"/>
        <v>0.69627345336024526</v>
      </c>
      <c r="DO5" s="34">
        <f t="shared" ca="1" si="34"/>
        <v>0.64521170887135315</v>
      </c>
      <c r="DP5" s="34">
        <f t="shared" ca="1" si="34"/>
        <v>0.67110450141378175</v>
      </c>
      <c r="DQ5" s="34">
        <f t="shared" ca="1" si="34"/>
        <v>0.70945841822248579</v>
      </c>
      <c r="DR5" s="34">
        <f t="shared" ca="1" si="34"/>
        <v>0.61565828427411828</v>
      </c>
      <c r="DS5" s="34">
        <f t="shared" ca="1" si="34"/>
        <v>0.58242833182089537</v>
      </c>
      <c r="DT5" s="34">
        <f t="shared" ca="1" si="34"/>
        <v>0.61201661973076726</v>
      </c>
      <c r="DU5" s="34">
        <f t="shared" ca="1" si="34"/>
        <v>0.68768764809371996</v>
      </c>
      <c r="DV5" s="34">
        <f t="shared" ca="1" si="34"/>
        <v>0.70573599627469319</v>
      </c>
      <c r="DW5" s="34">
        <f t="shared" ca="1" si="34"/>
        <v>0.61222993884666277</v>
      </c>
      <c r="DX5" s="34">
        <f t="shared" ca="1" si="34"/>
        <v>0.6139835332606014</v>
      </c>
      <c r="DY5" s="34">
        <f t="shared" ca="1" si="34"/>
        <v>0.62262110620371713</v>
      </c>
      <c r="DZ5" s="34">
        <f t="shared" ca="1" si="34"/>
        <v>0.63858807748573732</v>
      </c>
      <c r="EA5" s="34">
        <f t="shared" ca="1" si="34"/>
        <v>0.66996418126460133</v>
      </c>
      <c r="EB5" s="34">
        <f t="shared" ca="1" si="34"/>
        <v>0.78567341350468933</v>
      </c>
      <c r="EC5" s="34">
        <f t="shared" ca="1" si="34"/>
        <v>0.67905732321123646</v>
      </c>
      <c r="ED5" s="34">
        <f t="shared" ca="1" si="34"/>
        <v>0.72873570502030394</v>
      </c>
      <c r="EE5" s="34">
        <f t="shared" ca="1" si="34"/>
        <v>0.65578261341309907</v>
      </c>
      <c r="EF5" s="34">
        <f t="shared" ca="1" si="34"/>
        <v>0.61384255587486425</v>
      </c>
      <c r="EG5" s="34">
        <f t="shared" ref="EG5:GR5" ca="1" si="35">1-EXP(-EG2*$C$9)</f>
        <v>0.56940946149751703</v>
      </c>
      <c r="EH5" s="34">
        <f t="shared" ca="1" si="35"/>
        <v>0.65488432266526597</v>
      </c>
      <c r="EI5" s="34">
        <f t="shared" ca="1" si="35"/>
        <v>0.63873638148741008</v>
      </c>
      <c r="EJ5" s="34">
        <f t="shared" ca="1" si="35"/>
        <v>0.5766602170394568</v>
      </c>
      <c r="EK5" s="34">
        <f t="shared" ca="1" si="35"/>
        <v>0.63655364930314362</v>
      </c>
      <c r="EL5" s="34">
        <f t="shared" ca="1" si="35"/>
        <v>0.61484836334539561</v>
      </c>
      <c r="EM5" s="34">
        <f t="shared" ca="1" si="35"/>
        <v>0.73371638559082797</v>
      </c>
      <c r="EN5" s="34">
        <f t="shared" ca="1" si="35"/>
        <v>0.63577319434470481</v>
      </c>
      <c r="EO5" s="34">
        <f t="shared" ca="1" si="35"/>
        <v>0.69801147576290379</v>
      </c>
      <c r="EP5" s="34">
        <f t="shared" ca="1" si="35"/>
        <v>0.58365397667543362</v>
      </c>
      <c r="EQ5" s="34">
        <f t="shared" ca="1" si="35"/>
        <v>0.62992140893225468</v>
      </c>
      <c r="ER5" s="34">
        <f t="shared" ca="1" si="35"/>
        <v>0.61024975589586106</v>
      </c>
      <c r="ES5" s="34">
        <f t="shared" ca="1" si="35"/>
        <v>0.65104929045175353</v>
      </c>
      <c r="ET5" s="34">
        <f t="shared" ca="1" si="35"/>
        <v>0.73808366792991098</v>
      </c>
      <c r="EU5" s="34">
        <f t="shared" ca="1" si="35"/>
        <v>0.60945433168224306</v>
      </c>
      <c r="EV5" s="34">
        <f t="shared" ca="1" si="35"/>
        <v>0.74693676529506847</v>
      </c>
      <c r="EW5" s="34">
        <f t="shared" ca="1" si="35"/>
        <v>0.56826745153215175</v>
      </c>
      <c r="EX5" s="34">
        <f t="shared" ca="1" si="35"/>
        <v>0.65798654768234222</v>
      </c>
      <c r="EY5" s="34">
        <f t="shared" ca="1" si="35"/>
        <v>0.65051703048144038</v>
      </c>
      <c r="EZ5" s="34">
        <f t="shared" ca="1" si="35"/>
        <v>0.58478745742189842</v>
      </c>
      <c r="FA5" s="34">
        <f t="shared" ca="1" si="35"/>
        <v>0.59858128453074755</v>
      </c>
      <c r="FB5" s="34">
        <f t="shared" ca="1" si="35"/>
        <v>0.61299412846486545</v>
      </c>
      <c r="FC5" s="34">
        <f t="shared" ca="1" si="35"/>
        <v>0.71422723121910892</v>
      </c>
      <c r="FD5" s="34">
        <f t="shared" ca="1" si="35"/>
        <v>0.58952675323109682</v>
      </c>
      <c r="FE5" s="34">
        <f t="shared" ca="1" si="35"/>
        <v>0.64968543134503243</v>
      </c>
      <c r="FF5" s="34">
        <f t="shared" ca="1" si="35"/>
        <v>0.66672363234032517</v>
      </c>
      <c r="FG5" s="34">
        <f t="shared" ca="1" si="35"/>
        <v>0.62385633193666523</v>
      </c>
      <c r="FH5" s="34">
        <f t="shared" ca="1" si="35"/>
        <v>0.62312923370765361</v>
      </c>
      <c r="FI5" s="34">
        <f t="shared" ca="1" si="35"/>
        <v>0.64876623196695637</v>
      </c>
      <c r="FJ5" s="34">
        <f t="shared" ca="1" si="35"/>
        <v>0.70866294590397905</v>
      </c>
      <c r="FK5" s="34">
        <f t="shared" ca="1" si="35"/>
        <v>0.6245446039962872</v>
      </c>
      <c r="FL5" s="34">
        <f t="shared" ca="1" si="35"/>
        <v>0.66891863362118409</v>
      </c>
      <c r="FM5" s="34">
        <f t="shared" ca="1" si="35"/>
        <v>0.58984561277142977</v>
      </c>
      <c r="FN5" s="34">
        <f t="shared" ca="1" si="35"/>
        <v>0.68246818008366272</v>
      </c>
      <c r="FO5" s="34">
        <f t="shared" ca="1" si="35"/>
        <v>0.66456211411763144</v>
      </c>
      <c r="FP5" s="34">
        <f t="shared" ca="1" si="35"/>
        <v>0.68440784466044136</v>
      </c>
      <c r="FQ5" s="34">
        <f t="shared" ca="1" si="35"/>
        <v>0.67591469533957782</v>
      </c>
      <c r="FR5" s="34">
        <f t="shared" ca="1" si="35"/>
        <v>0.67450519060026448</v>
      </c>
      <c r="FS5" s="34">
        <f t="shared" ca="1" si="35"/>
        <v>0.70801628351509605</v>
      </c>
      <c r="FT5" s="34">
        <f t="shared" ca="1" si="35"/>
        <v>0.65948430296338068</v>
      </c>
      <c r="FU5" s="34">
        <f t="shared" ca="1" si="35"/>
        <v>0.59193272980069844</v>
      </c>
      <c r="FV5" s="34">
        <f t="shared" ca="1" si="35"/>
        <v>0.64728368534208258</v>
      </c>
      <c r="FW5" s="34">
        <f t="shared" ca="1" si="35"/>
        <v>0.55134598166240145</v>
      </c>
      <c r="FX5" s="34">
        <f t="shared" ca="1" si="35"/>
        <v>0.70356626012708423</v>
      </c>
      <c r="FY5" s="34">
        <f t="shared" ca="1" si="35"/>
        <v>0.60291948240185289</v>
      </c>
      <c r="FZ5" s="34">
        <f t="shared" ca="1" si="35"/>
        <v>0.62079796831936118</v>
      </c>
      <c r="GA5" s="34">
        <f t="shared" ca="1" si="35"/>
        <v>0.59262370221762684</v>
      </c>
      <c r="GB5" s="34">
        <f t="shared" ca="1" si="35"/>
        <v>0.67682302850048692</v>
      </c>
      <c r="GC5" s="34">
        <f t="shared" ca="1" si="35"/>
        <v>0.57677355875716474</v>
      </c>
      <c r="GD5" s="34">
        <f t="shared" ca="1" si="35"/>
        <v>0.62922814776945812</v>
      </c>
      <c r="GE5" s="34">
        <f t="shared" ca="1" si="35"/>
        <v>0.58696507119880637</v>
      </c>
      <c r="GF5" s="34">
        <f t="shared" ca="1" si="35"/>
        <v>0.6831215001687212</v>
      </c>
      <c r="GG5" s="34">
        <f t="shared" ca="1" si="35"/>
        <v>0.58089129526464822</v>
      </c>
      <c r="GH5" s="34">
        <f t="shared" ca="1" si="35"/>
        <v>0.56241061338283971</v>
      </c>
      <c r="GI5" s="34">
        <f t="shared" ca="1" si="35"/>
        <v>0.62140873770321625</v>
      </c>
      <c r="GJ5" s="34">
        <f t="shared" ca="1" si="35"/>
        <v>0.60954780967849986</v>
      </c>
      <c r="GK5" s="34">
        <f t="shared" ca="1" si="35"/>
        <v>0.65802076546190924</v>
      </c>
      <c r="GL5" s="34">
        <f t="shared" ca="1" si="35"/>
        <v>0.60995799503217518</v>
      </c>
      <c r="GM5" s="34">
        <f t="shared" ca="1" si="35"/>
        <v>0.57063980493499034</v>
      </c>
      <c r="GN5" s="34">
        <f t="shared" ca="1" si="35"/>
        <v>0.53509504592604928</v>
      </c>
      <c r="GO5" s="34">
        <f t="shared" ca="1" si="35"/>
        <v>0.63783336686704861</v>
      </c>
      <c r="GP5" s="34">
        <f t="shared" ca="1" si="35"/>
        <v>0.722588443209359</v>
      </c>
      <c r="GQ5" s="34">
        <f t="shared" ca="1" si="35"/>
        <v>0.66291834603402533</v>
      </c>
      <c r="GR5" s="34">
        <f t="shared" ca="1" si="35"/>
        <v>0.68115925379383291</v>
      </c>
      <c r="GS5" s="34">
        <f t="shared" ref="GS5:JD5" ca="1" si="36">1-EXP(-GS2*$C$9)</f>
        <v>0.67502580495956988</v>
      </c>
      <c r="GT5" s="34">
        <f t="shared" ca="1" si="36"/>
        <v>0.63977005946555865</v>
      </c>
      <c r="GU5" s="34">
        <f t="shared" ca="1" si="36"/>
        <v>0.57709140610698517</v>
      </c>
      <c r="GV5" s="34">
        <f t="shared" ca="1" si="36"/>
        <v>0.60730241216343539</v>
      </c>
      <c r="GW5" s="34">
        <f t="shared" ca="1" si="36"/>
        <v>0.68560752342000475</v>
      </c>
      <c r="GX5" s="34">
        <f t="shared" ca="1" si="36"/>
        <v>0.64533104264575836</v>
      </c>
      <c r="GY5" s="34">
        <f t="shared" ca="1" si="36"/>
        <v>0.66229386959799141</v>
      </c>
      <c r="GZ5" s="34">
        <f t="shared" ca="1" si="36"/>
        <v>0.68157164434915896</v>
      </c>
      <c r="HA5" s="34">
        <f t="shared" ca="1" si="36"/>
        <v>0.62711213862782955</v>
      </c>
      <c r="HB5" s="34">
        <f t="shared" ca="1" si="36"/>
        <v>0.60598525932539982</v>
      </c>
      <c r="HC5" s="34">
        <f t="shared" ca="1" si="36"/>
        <v>0.61657278710070074</v>
      </c>
      <c r="HD5" s="34">
        <f t="shared" ca="1" si="36"/>
        <v>0.67575013465258738</v>
      </c>
      <c r="HE5" s="34">
        <f t="shared" ca="1" si="36"/>
        <v>0.51624075459776364</v>
      </c>
      <c r="HF5" s="34">
        <f t="shared" ca="1" si="36"/>
        <v>0.60819064668168399</v>
      </c>
      <c r="HG5" s="34">
        <f t="shared" ca="1" si="36"/>
        <v>0.5940868845952102</v>
      </c>
      <c r="HH5" s="34">
        <f t="shared" ca="1" si="36"/>
        <v>0.60326191610572533</v>
      </c>
      <c r="HI5" s="34">
        <f t="shared" ca="1" si="36"/>
        <v>0.66973229648118859</v>
      </c>
      <c r="HJ5" s="34">
        <f t="shared" ca="1" si="36"/>
        <v>0.64700727358243726</v>
      </c>
      <c r="HK5" s="34">
        <f t="shared" ca="1" si="36"/>
        <v>0.61754119650696848</v>
      </c>
      <c r="HL5" s="34">
        <f t="shared" ca="1" si="36"/>
        <v>0.66867525178610654</v>
      </c>
      <c r="HM5" s="34">
        <f t="shared" ca="1" si="36"/>
        <v>0.66466555989582243</v>
      </c>
      <c r="HN5" s="34">
        <f t="shared" ca="1" si="36"/>
        <v>0.68909933702597459</v>
      </c>
      <c r="HO5" s="34">
        <f t="shared" ca="1" si="36"/>
        <v>0.65293408025124666</v>
      </c>
      <c r="HP5" s="34">
        <f t="shared" ca="1" si="36"/>
        <v>0.69255949791949789</v>
      </c>
      <c r="HQ5" s="34">
        <f t="shared" ca="1" si="36"/>
        <v>0.70820500296185718</v>
      </c>
      <c r="HR5" s="34">
        <f t="shared" ca="1" si="36"/>
        <v>0.71670540190455423</v>
      </c>
      <c r="HS5" s="34">
        <f t="shared" ca="1" si="36"/>
        <v>0.64606626359339558</v>
      </c>
      <c r="HT5" s="34">
        <f t="shared" ca="1" si="36"/>
        <v>0.70033340013589407</v>
      </c>
      <c r="HU5" s="34">
        <f t="shared" ca="1" si="36"/>
        <v>0.63192188135571326</v>
      </c>
      <c r="HV5" s="34">
        <f t="shared" ca="1" si="36"/>
        <v>0.61518927266802415</v>
      </c>
      <c r="HW5" s="34">
        <f t="shared" ca="1" si="36"/>
        <v>0.62738222871813276</v>
      </c>
      <c r="HX5" s="34">
        <f t="shared" ca="1" si="36"/>
        <v>0.58159159419947326</v>
      </c>
      <c r="HY5" s="34">
        <f t="shared" ca="1" si="36"/>
        <v>0.70726767631453835</v>
      </c>
      <c r="HZ5" s="34">
        <f t="shared" ca="1" si="36"/>
        <v>0.57477280780466755</v>
      </c>
      <c r="IA5" s="34">
        <f t="shared" ca="1" si="36"/>
        <v>0.70533753455332493</v>
      </c>
      <c r="IB5" s="34">
        <f t="shared" ca="1" si="36"/>
        <v>0.64465030587408978</v>
      </c>
      <c r="IC5" s="34">
        <f t="shared" ca="1" si="36"/>
        <v>0.61386352710664949</v>
      </c>
      <c r="ID5" s="34">
        <f t="shared" ca="1" si="36"/>
        <v>0.72100804693543208</v>
      </c>
      <c r="IE5" s="34">
        <f t="shared" ca="1" si="36"/>
        <v>0.65328862886282679</v>
      </c>
      <c r="IF5" s="34">
        <f t="shared" ca="1" si="36"/>
        <v>0.64930790976542507</v>
      </c>
      <c r="IG5" s="34">
        <f t="shared" ca="1" si="36"/>
        <v>0.5752943876787866</v>
      </c>
      <c r="IH5" s="34">
        <f t="shared" ca="1" si="36"/>
        <v>0.62259652694138823</v>
      </c>
      <c r="II5" s="34">
        <f t="shared" ca="1" si="36"/>
        <v>0.65980174326583008</v>
      </c>
      <c r="IJ5" s="34">
        <f t="shared" ca="1" si="36"/>
        <v>0.69954186665515972</v>
      </c>
      <c r="IK5" s="34">
        <f t="shared" ca="1" si="36"/>
        <v>0.60952206368812034</v>
      </c>
      <c r="IL5" s="34">
        <f t="shared" ca="1" si="36"/>
        <v>0.66908825281586248</v>
      </c>
      <c r="IM5" s="34">
        <f t="shared" ca="1" si="36"/>
        <v>0.67344127790920461</v>
      </c>
      <c r="IN5" s="34">
        <f t="shared" ca="1" si="36"/>
        <v>0.59803824462059874</v>
      </c>
      <c r="IO5" s="34">
        <f t="shared" ca="1" si="36"/>
        <v>0.70119493116849019</v>
      </c>
      <c r="IP5" s="34">
        <f t="shared" ca="1" si="36"/>
        <v>0.63076666827764272</v>
      </c>
      <c r="IQ5" s="34">
        <f t="shared" ca="1" si="36"/>
        <v>0.64220625522674313</v>
      </c>
      <c r="IR5" s="34">
        <f t="shared" ca="1" si="36"/>
        <v>0.61372734215062996</v>
      </c>
      <c r="IS5" s="34">
        <f t="shared" ca="1" si="36"/>
        <v>0.67737818538828631</v>
      </c>
      <c r="IT5" s="34">
        <f t="shared" ca="1" si="36"/>
        <v>0.66275142109270102</v>
      </c>
      <c r="IU5" s="34">
        <f t="shared" ca="1" si="36"/>
        <v>0.65347862636198906</v>
      </c>
      <c r="IV5" s="34">
        <f t="shared" ca="1" si="36"/>
        <v>0.69254768063637895</v>
      </c>
      <c r="IW5" s="34">
        <f t="shared" ca="1" si="36"/>
        <v>0.61869749905025639</v>
      </c>
      <c r="IX5" s="34">
        <f t="shared" ca="1" si="36"/>
        <v>0.56796716927188762</v>
      </c>
      <c r="IY5" s="34">
        <f t="shared" ca="1" si="36"/>
        <v>0.73033906228047818</v>
      </c>
      <c r="IZ5" s="34">
        <f t="shared" ca="1" si="36"/>
        <v>0.60226483332381742</v>
      </c>
      <c r="JA5" s="34">
        <f t="shared" ca="1" si="36"/>
        <v>0.71558479628117344</v>
      </c>
      <c r="JB5" s="34">
        <f t="shared" ca="1" si="36"/>
        <v>0.56507757938600656</v>
      </c>
      <c r="JC5" s="34">
        <f t="shared" ca="1" si="36"/>
        <v>0.6476954269649301</v>
      </c>
      <c r="JD5" s="34">
        <f t="shared" ca="1" si="36"/>
        <v>0.63556374450099695</v>
      </c>
      <c r="JE5" s="34">
        <f t="shared" ref="JE5:LP5" ca="1" si="37">1-EXP(-JE2*$C$9)</f>
        <v>0.63927487474719458</v>
      </c>
      <c r="JF5" s="34">
        <f t="shared" ca="1" si="37"/>
        <v>0.67036199029762333</v>
      </c>
      <c r="JG5" s="34">
        <f t="shared" ca="1" si="37"/>
        <v>0.6765473986608892</v>
      </c>
      <c r="JH5" s="34">
        <f t="shared" ca="1" si="37"/>
        <v>0.6694062571284991</v>
      </c>
      <c r="JI5" s="34">
        <f t="shared" ca="1" si="37"/>
        <v>0.64864422779029396</v>
      </c>
      <c r="JJ5" s="34">
        <f t="shared" ca="1" si="37"/>
        <v>0.61989714196679757</v>
      </c>
      <c r="JK5" s="34">
        <f t="shared" ca="1" si="37"/>
        <v>0.6597156607475545</v>
      </c>
      <c r="JL5" s="34">
        <f t="shared" ca="1" si="37"/>
        <v>0.62972554569404049</v>
      </c>
      <c r="JM5" s="34">
        <f t="shared" ca="1" si="37"/>
        <v>0.67025301670914805</v>
      </c>
      <c r="JN5" s="34">
        <f t="shared" ca="1" si="37"/>
        <v>0.61564915985862489</v>
      </c>
      <c r="JO5" s="34">
        <f t="shared" ca="1" si="37"/>
        <v>0.67258977112463436</v>
      </c>
      <c r="JP5" s="34">
        <f t="shared" ca="1" si="37"/>
        <v>0.62423001276774093</v>
      </c>
      <c r="JQ5" s="34">
        <f t="shared" ca="1" si="37"/>
        <v>0.55466841731307137</v>
      </c>
      <c r="JR5" s="34">
        <f t="shared" ca="1" si="37"/>
        <v>0.61175658516689535</v>
      </c>
      <c r="JS5" s="34">
        <f t="shared" ca="1" si="37"/>
        <v>0.72251917756684803</v>
      </c>
      <c r="JT5" s="34">
        <f t="shared" ca="1" si="37"/>
        <v>0.67049105284487753</v>
      </c>
      <c r="JU5" s="34">
        <f t="shared" ca="1" si="37"/>
        <v>0.66676186695757877</v>
      </c>
      <c r="JV5" s="34">
        <f t="shared" ca="1" si="37"/>
        <v>0.62085056741281874</v>
      </c>
      <c r="JW5" s="34">
        <f t="shared" ca="1" si="37"/>
        <v>0.54847525697794108</v>
      </c>
      <c r="JX5" s="34">
        <f t="shared" ca="1" si="37"/>
        <v>0.69202455298631094</v>
      </c>
      <c r="JY5" s="34">
        <f t="shared" ca="1" si="37"/>
        <v>0.63791627310191923</v>
      </c>
      <c r="JZ5" s="34">
        <f t="shared" ca="1" si="37"/>
        <v>0.7205300762375153</v>
      </c>
      <c r="KA5" s="34">
        <f t="shared" ca="1" si="37"/>
        <v>0.64283726690287446</v>
      </c>
      <c r="KB5" s="34">
        <f t="shared" ca="1" si="37"/>
        <v>0.70401062751915267</v>
      </c>
      <c r="KC5" s="34">
        <f t="shared" ca="1" si="37"/>
        <v>0.60474639350177883</v>
      </c>
      <c r="KD5" s="34">
        <f t="shared" ca="1" si="37"/>
        <v>0.66728348885129329</v>
      </c>
      <c r="KE5" s="34">
        <f t="shared" ca="1" si="37"/>
        <v>0.65671509162565767</v>
      </c>
      <c r="KF5" s="34">
        <f t="shared" ca="1" si="37"/>
        <v>0.57560632321414218</v>
      </c>
      <c r="KG5" s="34">
        <f t="shared" ca="1" si="37"/>
        <v>0.62907660644671193</v>
      </c>
      <c r="KH5" s="34">
        <f t="shared" ca="1" si="37"/>
        <v>0.66025011558089008</v>
      </c>
      <c r="KI5" s="34">
        <f t="shared" ca="1" si="37"/>
        <v>0.72537085777074428</v>
      </c>
      <c r="KJ5" s="34">
        <f t="shared" ca="1" si="37"/>
        <v>0.64888528679215562</v>
      </c>
      <c r="KK5" s="34">
        <f t="shared" ca="1" si="37"/>
        <v>0.6925342719507932</v>
      </c>
      <c r="KL5" s="34">
        <f t="shared" ca="1" si="37"/>
        <v>0.66397714215557102</v>
      </c>
      <c r="KM5" s="34">
        <f t="shared" ca="1" si="37"/>
        <v>0.65172214461586464</v>
      </c>
      <c r="KN5" s="34">
        <f t="shared" ca="1" si="37"/>
        <v>0.72648917368740973</v>
      </c>
      <c r="KO5" s="34">
        <f t="shared" ca="1" si="37"/>
        <v>0.61918539315814647</v>
      </c>
      <c r="KP5" s="34">
        <f t="shared" ca="1" si="37"/>
        <v>0.62119655188028</v>
      </c>
      <c r="KQ5" s="34">
        <f t="shared" ca="1" si="37"/>
        <v>0.61192815769121889</v>
      </c>
      <c r="KR5" s="34">
        <f t="shared" ca="1" si="37"/>
        <v>0.6853747345871225</v>
      </c>
      <c r="KS5" s="34">
        <f t="shared" ca="1" si="37"/>
        <v>0.66471046028367309</v>
      </c>
      <c r="KT5" s="34">
        <f t="shared" ca="1" si="37"/>
        <v>0.61981489393288647</v>
      </c>
      <c r="KU5" s="34">
        <f t="shared" ca="1" si="37"/>
        <v>0.66469366328123836</v>
      </c>
      <c r="KV5" s="34">
        <f t="shared" ca="1" si="37"/>
        <v>0.70098543553004067</v>
      </c>
      <c r="KW5" s="34">
        <f t="shared" ca="1" si="37"/>
        <v>0.60185266508902002</v>
      </c>
      <c r="KX5" s="34">
        <f t="shared" ca="1" si="37"/>
        <v>0.64188371968810554</v>
      </c>
      <c r="KY5" s="34">
        <f t="shared" ca="1" si="37"/>
        <v>0.67041714725542667</v>
      </c>
      <c r="KZ5" s="34">
        <f t="shared" ca="1" si="37"/>
        <v>0.69125203925114198</v>
      </c>
      <c r="LA5" s="34">
        <f t="shared" ca="1" si="37"/>
        <v>0.69645635065900813</v>
      </c>
      <c r="LB5" s="34">
        <f t="shared" ca="1" si="37"/>
        <v>0.57251388977579687</v>
      </c>
      <c r="LC5" s="34">
        <f t="shared" ca="1" si="37"/>
        <v>0.71262902125018845</v>
      </c>
      <c r="LD5" s="34">
        <f t="shared" ca="1" si="37"/>
        <v>0.64306576402417681</v>
      </c>
      <c r="LE5" s="34">
        <f t="shared" ca="1" si="37"/>
        <v>0.64244619049413332</v>
      </c>
      <c r="LF5" s="34">
        <f t="shared" ca="1" si="37"/>
        <v>0.74467941077455313</v>
      </c>
      <c r="LG5" s="34">
        <f t="shared" ca="1" si="37"/>
        <v>0.72994869800960138</v>
      </c>
      <c r="LH5" s="34">
        <f t="shared" ca="1" si="37"/>
        <v>0.62023546973666299</v>
      </c>
      <c r="LI5" s="34">
        <f t="shared" ca="1" si="37"/>
        <v>0.68811151206997723</v>
      </c>
      <c r="LJ5" s="34">
        <f t="shared" ca="1" si="37"/>
        <v>0.63576119259099007</v>
      </c>
      <c r="LK5" s="34">
        <f t="shared" ca="1" si="37"/>
        <v>0.57349495866080369</v>
      </c>
      <c r="LL5" s="34">
        <f t="shared" ca="1" si="37"/>
        <v>0.7059876803431766</v>
      </c>
      <c r="LM5" s="34">
        <f t="shared" ca="1" si="37"/>
        <v>0.6306125999059522</v>
      </c>
      <c r="LN5" s="34">
        <f t="shared" ca="1" si="37"/>
        <v>0.6505015709738089</v>
      </c>
      <c r="LO5" s="34">
        <f t="shared" ca="1" si="37"/>
        <v>0.7097425747448517</v>
      </c>
      <c r="LP5" s="34">
        <f t="shared" ca="1" si="37"/>
        <v>0.5737277556581768</v>
      </c>
      <c r="LQ5" s="34">
        <f t="shared" ref="LQ5:OB5" ca="1" si="38">1-EXP(-LQ2*$C$9)</f>
        <v>0.56425758763587819</v>
      </c>
      <c r="LR5" s="34">
        <f t="shared" ca="1" si="38"/>
        <v>0.5076188423460869</v>
      </c>
      <c r="LS5" s="34">
        <f t="shared" ca="1" si="38"/>
        <v>0.60982455859036477</v>
      </c>
      <c r="LT5" s="34">
        <f t="shared" ca="1" si="38"/>
        <v>0.60498526136965447</v>
      </c>
      <c r="LU5" s="34">
        <f t="shared" ca="1" si="38"/>
        <v>0.67409527962260385</v>
      </c>
      <c r="LV5" s="34">
        <f t="shared" ca="1" si="38"/>
        <v>0.77886099988156188</v>
      </c>
      <c r="LW5" s="34">
        <f t="shared" ca="1" si="38"/>
        <v>0.64667166841241663</v>
      </c>
      <c r="LX5" s="34">
        <f t="shared" ca="1" si="38"/>
        <v>0.483376836172696</v>
      </c>
      <c r="LY5" s="34">
        <f t="shared" ca="1" si="38"/>
        <v>0.6660915386526759</v>
      </c>
      <c r="LZ5" s="34">
        <f t="shared" ca="1" si="38"/>
        <v>0.6778426581456114</v>
      </c>
      <c r="MA5" s="34">
        <f t="shared" ca="1" si="38"/>
        <v>0.6740002287965734</v>
      </c>
      <c r="MB5" s="34">
        <f t="shared" ca="1" si="38"/>
        <v>0.59028560628856508</v>
      </c>
      <c r="MC5" s="34">
        <f t="shared" ca="1" si="38"/>
        <v>0.62547084664012131</v>
      </c>
      <c r="MD5" s="34">
        <f t="shared" ca="1" si="38"/>
        <v>0.59659680818655536</v>
      </c>
      <c r="ME5" s="34">
        <f t="shared" ca="1" si="38"/>
        <v>0.66114964487304162</v>
      </c>
      <c r="MF5" s="34">
        <f t="shared" ca="1" si="38"/>
        <v>0.60305386881816925</v>
      </c>
      <c r="MG5" s="34">
        <f t="shared" ca="1" si="38"/>
        <v>0.6803845197425602</v>
      </c>
      <c r="MH5" s="34">
        <f t="shared" ca="1" si="38"/>
        <v>0.59262588725008902</v>
      </c>
      <c r="MI5" s="34">
        <f t="shared" ca="1" si="38"/>
        <v>0.64859414369988189</v>
      </c>
      <c r="MJ5" s="34">
        <f t="shared" ca="1" si="38"/>
        <v>0.65576460223694966</v>
      </c>
      <c r="MK5" s="34">
        <f t="shared" ca="1" si="38"/>
        <v>0.55443142356194386</v>
      </c>
      <c r="ML5" s="34">
        <f t="shared" ca="1" si="38"/>
        <v>0.70793114509875532</v>
      </c>
      <c r="MM5" s="34">
        <f t="shared" ca="1" si="38"/>
        <v>0.67899292377565268</v>
      </c>
      <c r="MN5" s="34">
        <f t="shared" ca="1" si="38"/>
        <v>0.57652912010562485</v>
      </c>
      <c r="MO5" s="34">
        <f t="shared" ca="1" si="38"/>
        <v>0.68694189460529087</v>
      </c>
      <c r="MP5" s="34">
        <f t="shared" ca="1" si="38"/>
        <v>0.63558448837832437</v>
      </c>
      <c r="MQ5" s="34">
        <f t="shared" ca="1" si="38"/>
        <v>0.58258471165068371</v>
      </c>
      <c r="MR5" s="34">
        <f t="shared" ca="1" si="38"/>
        <v>0.65872019885877064</v>
      </c>
      <c r="MS5" s="34">
        <f t="shared" ca="1" si="38"/>
        <v>0.54890902051243651</v>
      </c>
      <c r="MT5" s="34">
        <f t="shared" ca="1" si="38"/>
        <v>0.61182818277986539</v>
      </c>
      <c r="MU5" s="34">
        <f t="shared" ca="1" si="38"/>
        <v>0.67069801718275701</v>
      </c>
      <c r="MV5" s="34">
        <f t="shared" ca="1" si="38"/>
        <v>0.72557475342204736</v>
      </c>
      <c r="MW5" s="34">
        <f t="shared" ca="1" si="38"/>
        <v>0.69721170606578609</v>
      </c>
      <c r="MX5" s="34">
        <f t="shared" ca="1" si="38"/>
        <v>0.66846672193166334</v>
      </c>
      <c r="MY5" s="34">
        <f t="shared" ca="1" si="38"/>
        <v>0.68604879044114031</v>
      </c>
      <c r="MZ5" s="34">
        <f t="shared" ca="1" si="38"/>
        <v>0.64931235768118856</v>
      </c>
      <c r="NA5" s="34">
        <f t="shared" ca="1" si="38"/>
        <v>0.65776803440236176</v>
      </c>
      <c r="NB5" s="34">
        <f t="shared" ca="1" si="38"/>
        <v>0.65571940818833463</v>
      </c>
      <c r="NC5" s="34">
        <f t="shared" ca="1" si="38"/>
        <v>0.63103326204200894</v>
      </c>
      <c r="ND5" s="34">
        <f t="shared" ca="1" si="38"/>
        <v>0.71391361364609374</v>
      </c>
      <c r="NE5" s="34">
        <f t="shared" ca="1" si="38"/>
        <v>0.6082821079978542</v>
      </c>
      <c r="NF5" s="34">
        <f t="shared" ca="1" si="38"/>
        <v>0.62922751715854797</v>
      </c>
      <c r="NG5" s="34">
        <f t="shared" ca="1" si="38"/>
        <v>0.68784394086782785</v>
      </c>
      <c r="NH5" s="34">
        <f t="shared" ca="1" si="38"/>
        <v>0.73232710060962991</v>
      </c>
      <c r="NI5" s="34">
        <f t="shared" ca="1" si="38"/>
        <v>0.60558904349737075</v>
      </c>
      <c r="NJ5" s="34">
        <f t="shared" ca="1" si="38"/>
        <v>0.65984211836753237</v>
      </c>
      <c r="NK5" s="34">
        <f t="shared" ca="1" si="38"/>
        <v>0.69815704435169812</v>
      </c>
      <c r="NL5" s="34">
        <f t="shared" ca="1" si="38"/>
        <v>0.66136255118124054</v>
      </c>
      <c r="NM5" s="34">
        <f t="shared" ca="1" si="38"/>
        <v>0.57642856387793406</v>
      </c>
      <c r="NN5" s="34">
        <f t="shared" ca="1" si="38"/>
        <v>0.6444743072346748</v>
      </c>
      <c r="NO5" s="34">
        <f t="shared" ca="1" si="38"/>
        <v>0.62937992225123818</v>
      </c>
      <c r="NP5" s="34">
        <f t="shared" ca="1" si="38"/>
        <v>0.67416923663371175</v>
      </c>
      <c r="NQ5" s="34">
        <f t="shared" ca="1" si="38"/>
        <v>0.60077766119004705</v>
      </c>
      <c r="NR5" s="34">
        <f t="shared" ca="1" si="38"/>
        <v>0.56562171954297091</v>
      </c>
      <c r="NS5" s="34">
        <f t="shared" ca="1" si="38"/>
        <v>0.64197860251552563</v>
      </c>
      <c r="NT5" s="34">
        <f t="shared" ca="1" si="38"/>
        <v>0.5756623116180879</v>
      </c>
      <c r="NU5" s="34">
        <f t="shared" ca="1" si="38"/>
        <v>0.73127246238253329</v>
      </c>
      <c r="NV5" s="34">
        <f t="shared" ca="1" si="38"/>
        <v>0.70632902511834217</v>
      </c>
      <c r="NW5" s="34">
        <f t="shared" ca="1" si="38"/>
        <v>0.55318844093323594</v>
      </c>
      <c r="NX5" s="34">
        <f t="shared" ca="1" si="38"/>
        <v>0.5882140972230242</v>
      </c>
      <c r="NY5" s="34">
        <f t="shared" ca="1" si="38"/>
        <v>0.70896027204948231</v>
      </c>
      <c r="NZ5" s="34">
        <f t="shared" ca="1" si="38"/>
        <v>0.63692637624648341</v>
      </c>
      <c r="OA5" s="34">
        <f t="shared" ca="1" si="38"/>
        <v>0.67204800655747055</v>
      </c>
      <c r="OB5" s="34">
        <f t="shared" ca="1" si="38"/>
        <v>0.5963421590624316</v>
      </c>
      <c r="OC5" s="34">
        <f t="shared" ref="OC5:QN5" ca="1" si="39">1-EXP(-OC2*$C$9)</f>
        <v>0.74454828996450473</v>
      </c>
      <c r="OD5" s="34">
        <f t="shared" ca="1" si="39"/>
        <v>0.60602947868895152</v>
      </c>
      <c r="OE5" s="34">
        <f t="shared" ca="1" si="39"/>
        <v>0.57583407554006871</v>
      </c>
      <c r="OF5" s="34">
        <f t="shared" ca="1" si="39"/>
        <v>0.6862318503777074</v>
      </c>
      <c r="OG5" s="34">
        <f t="shared" ca="1" si="39"/>
        <v>0.72588016681101353</v>
      </c>
      <c r="OH5" s="34">
        <f t="shared" ca="1" si="39"/>
        <v>0.68752790682058251</v>
      </c>
      <c r="OI5" s="34">
        <f t="shared" ca="1" si="39"/>
        <v>0.73282166560166018</v>
      </c>
      <c r="OJ5" s="34">
        <f t="shared" ca="1" si="39"/>
        <v>0.62282836924839269</v>
      </c>
      <c r="OK5" s="34">
        <f t="shared" ca="1" si="39"/>
        <v>0.64853064408163774</v>
      </c>
      <c r="OL5" s="34">
        <f t="shared" ca="1" si="39"/>
        <v>0.62319279660075755</v>
      </c>
      <c r="OM5" s="34">
        <f t="shared" ca="1" si="39"/>
        <v>0.66349296372602429</v>
      </c>
      <c r="ON5" s="34">
        <f t="shared" ca="1" si="39"/>
        <v>0.58319664008744487</v>
      </c>
      <c r="OO5" s="34">
        <f t="shared" ca="1" si="39"/>
        <v>0.70439055523394756</v>
      </c>
      <c r="OP5" s="34">
        <f t="shared" ca="1" si="39"/>
        <v>0.68425360144284997</v>
      </c>
      <c r="OQ5" s="34">
        <f t="shared" ca="1" si="39"/>
        <v>0.64694196910380386</v>
      </c>
      <c r="OR5" s="34">
        <f t="shared" ca="1" si="39"/>
        <v>0.65008128744057625</v>
      </c>
      <c r="OS5" s="34">
        <f t="shared" ca="1" si="39"/>
        <v>0.6719020358822072</v>
      </c>
      <c r="OT5" s="34">
        <f t="shared" ca="1" si="39"/>
        <v>0.63446991505161221</v>
      </c>
      <c r="OU5" s="34">
        <f t="shared" ca="1" si="39"/>
        <v>0.62701474320616368</v>
      </c>
      <c r="OV5" s="34">
        <f t="shared" ca="1" si="39"/>
        <v>0.54553076205363604</v>
      </c>
      <c r="OW5" s="34">
        <f t="shared" ca="1" si="39"/>
        <v>0.65031247924556135</v>
      </c>
      <c r="OX5" s="34">
        <f t="shared" ca="1" si="39"/>
        <v>0.60218171367782203</v>
      </c>
      <c r="OY5" s="34">
        <f t="shared" ca="1" si="39"/>
        <v>0.73364647317164677</v>
      </c>
      <c r="OZ5" s="34">
        <f t="shared" ca="1" si="39"/>
        <v>0.59478158558023753</v>
      </c>
      <c r="PA5" s="34">
        <f t="shared" ca="1" si="39"/>
        <v>0.697961563121551</v>
      </c>
      <c r="PB5" s="34">
        <f t="shared" ca="1" si="39"/>
        <v>0.63750713552414717</v>
      </c>
      <c r="PC5" s="34">
        <f t="shared" ca="1" si="39"/>
        <v>0.626770505704215</v>
      </c>
      <c r="PD5" s="34">
        <f t="shared" ca="1" si="39"/>
        <v>0.58633942981477527</v>
      </c>
      <c r="PE5" s="34">
        <f t="shared" ca="1" si="39"/>
        <v>0.61407750923314719</v>
      </c>
      <c r="PF5" s="34">
        <f t="shared" ca="1" si="39"/>
        <v>0.69942564682447883</v>
      </c>
      <c r="PG5" s="34">
        <f t="shared" ca="1" si="39"/>
        <v>0.67142541666391042</v>
      </c>
      <c r="PH5" s="34">
        <f t="shared" ca="1" si="39"/>
        <v>0.60891606087790717</v>
      </c>
      <c r="PI5" s="34">
        <f t="shared" ca="1" si="39"/>
        <v>0.5758501088918464</v>
      </c>
      <c r="PJ5" s="34">
        <f t="shared" ca="1" si="39"/>
        <v>0.62276547846899888</v>
      </c>
      <c r="PK5" s="34">
        <f t="shared" ca="1" si="39"/>
        <v>0.69914448832605691</v>
      </c>
      <c r="PL5" s="34">
        <f t="shared" ca="1" si="39"/>
        <v>0.68262654111208665</v>
      </c>
      <c r="PM5" s="34">
        <f t="shared" ca="1" si="39"/>
        <v>0.71067679447074217</v>
      </c>
      <c r="PN5" s="34">
        <f t="shared" ca="1" si="39"/>
        <v>0.67424313578956951</v>
      </c>
      <c r="PO5" s="34">
        <f t="shared" ca="1" si="39"/>
        <v>0.61193047993325878</v>
      </c>
      <c r="PP5" s="34">
        <f t="shared" ca="1" si="39"/>
        <v>0.7147089929564443</v>
      </c>
      <c r="PQ5" s="34">
        <f t="shared" ca="1" si="39"/>
        <v>0.60522813024305644</v>
      </c>
      <c r="PR5" s="34">
        <f t="shared" ca="1" si="39"/>
        <v>0.67174261267208779</v>
      </c>
      <c r="PS5" s="34">
        <f t="shared" ca="1" si="39"/>
        <v>0.65389977589377912</v>
      </c>
      <c r="PT5" s="34">
        <f t="shared" ca="1" si="39"/>
        <v>0.69465261435837578</v>
      </c>
      <c r="PU5" s="34">
        <f t="shared" ca="1" si="39"/>
        <v>0.59891793955886208</v>
      </c>
      <c r="PV5" s="34">
        <f t="shared" ca="1" si="39"/>
        <v>0.66524026321864271</v>
      </c>
      <c r="PW5" s="34">
        <f t="shared" ca="1" si="39"/>
        <v>0.66987481734945487</v>
      </c>
      <c r="PX5" s="34">
        <f t="shared" ca="1" si="39"/>
        <v>0.62430686834241245</v>
      </c>
      <c r="PY5" s="34">
        <f t="shared" ca="1" si="39"/>
        <v>0.66263230935940642</v>
      </c>
      <c r="PZ5" s="34">
        <f t="shared" ca="1" si="39"/>
        <v>0.67773555671344887</v>
      </c>
      <c r="QA5" s="34">
        <f t="shared" ca="1" si="39"/>
        <v>0.70643945254279705</v>
      </c>
      <c r="QB5" s="34">
        <f t="shared" ca="1" si="39"/>
        <v>0.61287276935652679</v>
      </c>
      <c r="QC5" s="34">
        <f t="shared" ca="1" si="39"/>
        <v>0.67734214176469365</v>
      </c>
      <c r="QD5" s="34">
        <f t="shared" ca="1" si="39"/>
        <v>0.71230473744067124</v>
      </c>
      <c r="QE5" s="34">
        <f t="shared" ca="1" si="39"/>
        <v>0.66164806015193212</v>
      </c>
      <c r="QF5" s="34">
        <f t="shared" ca="1" si="39"/>
        <v>0.65245528793579088</v>
      </c>
      <c r="QG5" s="34">
        <f t="shared" ca="1" si="39"/>
        <v>0.58812669937246898</v>
      </c>
      <c r="QH5" s="34">
        <f t="shared" ca="1" si="39"/>
        <v>0.57976044498375467</v>
      </c>
      <c r="QI5" s="34">
        <f t="shared" ca="1" si="39"/>
        <v>0.58886118813632926</v>
      </c>
      <c r="QJ5" s="34">
        <f t="shared" ca="1" si="39"/>
        <v>0.56438955472703167</v>
      </c>
      <c r="QK5" s="34">
        <f t="shared" ca="1" si="39"/>
        <v>0.5775685010643371</v>
      </c>
      <c r="QL5" s="34">
        <f t="shared" ca="1" si="39"/>
        <v>0.60385875351495377</v>
      </c>
      <c r="QM5" s="34">
        <f t="shared" ca="1" si="39"/>
        <v>0.72854931894619468</v>
      </c>
      <c r="QN5" s="34">
        <f t="shared" ca="1" si="39"/>
        <v>0.56329348239627397</v>
      </c>
      <c r="QO5" s="34">
        <f t="shared" ref="QO5:SZ5" ca="1" si="40">1-EXP(-QO2*$C$9)</f>
        <v>0.5919751979101634</v>
      </c>
      <c r="QP5" s="34">
        <f t="shared" ca="1" si="40"/>
        <v>0.71737548622086522</v>
      </c>
      <c r="QQ5" s="34">
        <f t="shared" ca="1" si="40"/>
        <v>0.66621295916632106</v>
      </c>
      <c r="QR5" s="34">
        <f t="shared" ca="1" si="40"/>
        <v>0.6063233820542322</v>
      </c>
      <c r="QS5" s="34">
        <f t="shared" ca="1" si="40"/>
        <v>0.63283423676089523</v>
      </c>
      <c r="QT5" s="34">
        <f t="shared" ca="1" si="40"/>
        <v>0.682419481533038</v>
      </c>
      <c r="QU5" s="34">
        <f t="shared" ca="1" si="40"/>
        <v>0.53404687280623042</v>
      </c>
      <c r="QV5" s="34">
        <f t="shared" ca="1" si="40"/>
        <v>0.5744563354645621</v>
      </c>
      <c r="QW5" s="34">
        <f t="shared" ca="1" si="40"/>
        <v>0.65458146847354692</v>
      </c>
      <c r="QX5" s="34">
        <f t="shared" ca="1" si="40"/>
        <v>0.63942792516129332</v>
      </c>
      <c r="QY5" s="34">
        <f t="shared" ca="1" si="40"/>
        <v>0.69303187056062199</v>
      </c>
      <c r="QZ5" s="34">
        <f t="shared" ca="1" si="40"/>
        <v>0.57181352369795735</v>
      </c>
      <c r="RA5" s="34">
        <f t="shared" ca="1" si="40"/>
        <v>0.6023421933282529</v>
      </c>
      <c r="RB5" s="34">
        <f t="shared" ca="1" si="40"/>
        <v>0.63188654027074709</v>
      </c>
      <c r="RC5" s="34">
        <f t="shared" ca="1" si="40"/>
        <v>0.78682583301668085</v>
      </c>
      <c r="RD5" s="34">
        <f t="shared" ca="1" si="40"/>
        <v>0.65264499428669165</v>
      </c>
      <c r="RE5" s="34">
        <f t="shared" ca="1" si="40"/>
        <v>0.55772725175019056</v>
      </c>
      <c r="RF5" s="34">
        <f t="shared" ca="1" si="40"/>
        <v>0.59139178811516502</v>
      </c>
      <c r="RG5" s="34">
        <f t="shared" ca="1" si="40"/>
        <v>0.64382575743954795</v>
      </c>
      <c r="RH5" s="34">
        <f t="shared" ca="1" si="40"/>
        <v>0.5869394680113057</v>
      </c>
      <c r="RI5" s="34">
        <f t="shared" ca="1" si="40"/>
        <v>0.73048538548100317</v>
      </c>
      <c r="RJ5" s="34">
        <f t="shared" ca="1" si="40"/>
        <v>0.68437899159718718</v>
      </c>
      <c r="RK5" s="34">
        <f t="shared" ca="1" si="40"/>
        <v>0.60174640641813171</v>
      </c>
      <c r="RL5" s="34">
        <f t="shared" ca="1" si="40"/>
        <v>0.72165242315114631</v>
      </c>
      <c r="RM5" s="34">
        <f t="shared" ca="1" si="40"/>
        <v>0.68284964863850961</v>
      </c>
      <c r="RN5" s="34">
        <f t="shared" ca="1" si="40"/>
        <v>0.61946536144593278</v>
      </c>
      <c r="RO5" s="34">
        <f t="shared" ca="1" si="40"/>
        <v>0.63864365883349006</v>
      </c>
      <c r="RP5" s="34">
        <f t="shared" ca="1" si="40"/>
        <v>0.56982643545806044</v>
      </c>
      <c r="RQ5" s="34">
        <f t="shared" ca="1" si="40"/>
        <v>0.61881446295429876</v>
      </c>
      <c r="RR5" s="34">
        <f t="shared" ca="1" si="40"/>
        <v>0.65562705884795347</v>
      </c>
      <c r="RS5" s="34">
        <f t="shared" ca="1" si="40"/>
        <v>0.59122060357065731</v>
      </c>
      <c r="RT5" s="34">
        <f t="shared" ca="1" si="40"/>
        <v>0.72778821431629559</v>
      </c>
      <c r="RU5" s="34">
        <f t="shared" ca="1" si="40"/>
        <v>0.68393106998724296</v>
      </c>
      <c r="RV5" s="34">
        <f t="shared" ca="1" si="40"/>
        <v>0.5788099027339737</v>
      </c>
      <c r="RW5" s="34">
        <f t="shared" ca="1" si="40"/>
        <v>0.63151350618687063</v>
      </c>
      <c r="RX5" s="34">
        <f t="shared" ca="1" si="40"/>
        <v>0.67944239804576756</v>
      </c>
      <c r="RY5" s="34">
        <f t="shared" ca="1" si="40"/>
        <v>0.65846713206419549</v>
      </c>
      <c r="RZ5" s="34">
        <f t="shared" ca="1" si="40"/>
        <v>0.63673916372795003</v>
      </c>
      <c r="SA5" s="34">
        <f t="shared" ca="1" si="40"/>
        <v>0.60009111369057755</v>
      </c>
      <c r="SB5" s="34">
        <f t="shared" ca="1" si="40"/>
        <v>0.66616564721611682</v>
      </c>
      <c r="SC5" s="34">
        <f t="shared" ca="1" si="40"/>
        <v>0.68013532803819077</v>
      </c>
      <c r="SD5" s="34">
        <f t="shared" ca="1" si="40"/>
        <v>0.65237310926275005</v>
      </c>
      <c r="SE5" s="34">
        <f t="shared" ca="1" si="40"/>
        <v>0.57386161439404626</v>
      </c>
      <c r="SF5" s="34">
        <f t="shared" ca="1" si="40"/>
        <v>0.70321994154333756</v>
      </c>
      <c r="SG5" s="34">
        <f t="shared" ca="1" si="40"/>
        <v>0.67213242810028606</v>
      </c>
      <c r="SH5" s="34">
        <f t="shared" ca="1" si="40"/>
        <v>0.61301110458886332</v>
      </c>
      <c r="SI5" s="34">
        <f t="shared" ca="1" si="40"/>
        <v>0.60840082707175536</v>
      </c>
      <c r="SJ5" s="34">
        <f t="shared" ca="1" si="40"/>
        <v>0.71010605679856209</v>
      </c>
      <c r="SK5" s="34">
        <f t="shared" ca="1" si="40"/>
        <v>0.63342614390871721</v>
      </c>
      <c r="SL5" s="34">
        <f t="shared" ca="1" si="40"/>
        <v>0.70211445197944489</v>
      </c>
      <c r="SM5" s="34">
        <f t="shared" ca="1" si="40"/>
        <v>0.60385047840957351</v>
      </c>
      <c r="SN5" s="34">
        <f t="shared" ca="1" si="40"/>
        <v>0.58801277259575635</v>
      </c>
      <c r="SO5" s="34">
        <f t="shared" ca="1" si="40"/>
        <v>0.62664113684635137</v>
      </c>
      <c r="SP5" s="34">
        <f t="shared" ca="1" si="40"/>
        <v>0.59556301529777911</v>
      </c>
      <c r="SQ5" s="34">
        <f t="shared" ca="1" si="40"/>
        <v>0.66344955627102165</v>
      </c>
      <c r="SR5" s="34">
        <f t="shared" ca="1" si="40"/>
        <v>0.67880764191515941</v>
      </c>
      <c r="SS5" s="34">
        <f t="shared" ca="1" si="40"/>
        <v>0.68387809089103246</v>
      </c>
      <c r="ST5" s="34">
        <f t="shared" ca="1" si="40"/>
        <v>0.6363242319681619</v>
      </c>
      <c r="SU5" s="34">
        <f t="shared" ca="1" si="40"/>
        <v>0.67655903586417487</v>
      </c>
      <c r="SV5" s="34">
        <f t="shared" ca="1" si="40"/>
        <v>0.64043084203910339</v>
      </c>
      <c r="SW5" s="34">
        <f t="shared" ca="1" si="40"/>
        <v>0.69948963397577224</v>
      </c>
      <c r="SX5" s="34">
        <f t="shared" ca="1" si="40"/>
        <v>0.49207370209829249</v>
      </c>
      <c r="SY5" s="34">
        <f t="shared" ca="1" si="40"/>
        <v>0.55089813612711902</v>
      </c>
      <c r="SZ5" s="34">
        <f t="shared" ca="1" si="40"/>
        <v>0.59876674929490348</v>
      </c>
      <c r="TA5" s="34">
        <f t="shared" ref="TA5:VL5" ca="1" si="41">1-EXP(-TA2*$C$9)</f>
        <v>0.63267860988860058</v>
      </c>
      <c r="TB5" s="34">
        <f t="shared" ca="1" si="41"/>
        <v>0.57470695983057207</v>
      </c>
      <c r="TC5" s="34">
        <f t="shared" ca="1" si="41"/>
        <v>0.57979146910692947</v>
      </c>
      <c r="TD5" s="34">
        <f t="shared" ca="1" si="41"/>
        <v>0.59810116319953432</v>
      </c>
      <c r="TE5" s="34">
        <f t="shared" ca="1" si="41"/>
        <v>0.68240622776776361</v>
      </c>
      <c r="TF5" s="34">
        <f t="shared" ca="1" si="41"/>
        <v>0.61551055622464723</v>
      </c>
      <c r="TG5" s="34">
        <f t="shared" ca="1" si="41"/>
        <v>0.71450509338899781</v>
      </c>
      <c r="TH5" s="34">
        <f t="shared" ca="1" si="41"/>
        <v>0.66417324623235641</v>
      </c>
      <c r="TI5" s="34">
        <f t="shared" ca="1" si="41"/>
        <v>0.62390114694974685</v>
      </c>
      <c r="TJ5" s="34">
        <f t="shared" ca="1" si="41"/>
        <v>0.67204491061629135</v>
      </c>
      <c r="TK5" s="34">
        <f t="shared" ca="1" si="41"/>
        <v>0.73207153281911785</v>
      </c>
      <c r="TL5" s="34">
        <f t="shared" ca="1" si="41"/>
        <v>0.59894759431922728</v>
      </c>
      <c r="TM5" s="34">
        <f t="shared" ca="1" si="41"/>
        <v>0.6400762882944262</v>
      </c>
      <c r="TN5" s="34">
        <f t="shared" ca="1" si="41"/>
        <v>0.65017262153370847</v>
      </c>
      <c r="TO5" s="34">
        <f t="shared" ca="1" si="41"/>
        <v>0.55808395754790741</v>
      </c>
      <c r="TP5" s="34">
        <f t="shared" ca="1" si="41"/>
        <v>0.63152405515616217</v>
      </c>
      <c r="TQ5" s="34">
        <f t="shared" ca="1" si="41"/>
        <v>0.62467958776765564</v>
      </c>
      <c r="TR5" s="34">
        <f t="shared" ca="1" si="41"/>
        <v>0.63257316222928284</v>
      </c>
      <c r="TS5" s="34">
        <f t="shared" ca="1" si="41"/>
        <v>0.64508587491802238</v>
      </c>
      <c r="TT5" s="34">
        <f t="shared" ca="1" si="41"/>
        <v>0.55560606592592654</v>
      </c>
      <c r="TU5" s="34">
        <f t="shared" ca="1" si="41"/>
        <v>0.60388617438236014</v>
      </c>
      <c r="TV5" s="34">
        <f t="shared" ca="1" si="41"/>
        <v>0.70730869133596053</v>
      </c>
      <c r="TW5" s="34">
        <f t="shared" ca="1" si="41"/>
        <v>0.60548452988011336</v>
      </c>
      <c r="TX5" s="34">
        <f t="shared" ca="1" si="41"/>
        <v>0.56190961496396552</v>
      </c>
      <c r="TY5" s="34">
        <f t="shared" ca="1" si="41"/>
        <v>0.64193467127641868</v>
      </c>
      <c r="TZ5" s="34">
        <f t="shared" ca="1" si="41"/>
        <v>0.7057417523484093</v>
      </c>
      <c r="UA5" s="34">
        <f t="shared" ca="1" si="41"/>
        <v>0.67574679763573764</v>
      </c>
      <c r="UB5" s="34">
        <f t="shared" ca="1" si="41"/>
        <v>0.62415820853743731</v>
      </c>
      <c r="UC5" s="34">
        <f t="shared" ca="1" si="41"/>
        <v>0.65731732296181122</v>
      </c>
      <c r="UD5" s="34">
        <f t="shared" ca="1" si="41"/>
        <v>0.66658944270179643</v>
      </c>
      <c r="UE5" s="34">
        <f t="shared" ca="1" si="41"/>
        <v>0.62887331873664054</v>
      </c>
      <c r="UF5" s="34">
        <f t="shared" ca="1" si="41"/>
        <v>0.51037624359063316</v>
      </c>
      <c r="UG5" s="34">
        <f t="shared" ca="1" si="41"/>
        <v>0.67918449892968957</v>
      </c>
      <c r="UH5" s="34">
        <f t="shared" ca="1" si="41"/>
        <v>0.58604752498688861</v>
      </c>
      <c r="UI5" s="34">
        <f t="shared" ca="1" si="41"/>
        <v>0.58835708343382942</v>
      </c>
      <c r="UJ5" s="34">
        <f t="shared" ca="1" si="41"/>
        <v>0.59992598167011735</v>
      </c>
      <c r="UK5" s="34">
        <f t="shared" ca="1" si="41"/>
        <v>0.72826074595816215</v>
      </c>
      <c r="UL5" s="34">
        <f t="shared" ca="1" si="41"/>
        <v>0.6369476459621235</v>
      </c>
      <c r="UM5" s="34">
        <f t="shared" ca="1" si="41"/>
        <v>0.55431627772825443</v>
      </c>
      <c r="UN5" s="34">
        <f t="shared" ca="1" si="41"/>
        <v>0.6635103964864264</v>
      </c>
      <c r="UO5" s="34">
        <f t="shared" ca="1" si="41"/>
        <v>0.59194677396630491</v>
      </c>
      <c r="UP5" s="34">
        <f t="shared" ca="1" si="41"/>
        <v>0.58489290066180377</v>
      </c>
      <c r="UQ5" s="34">
        <f t="shared" ca="1" si="41"/>
        <v>0.66382821910312217</v>
      </c>
      <c r="UR5" s="34">
        <f t="shared" ca="1" si="41"/>
        <v>0.65578681397380867</v>
      </c>
      <c r="US5" s="34">
        <f t="shared" ca="1" si="41"/>
        <v>0.68814996728735478</v>
      </c>
      <c r="UT5" s="34">
        <f t="shared" ca="1" si="41"/>
        <v>0.57369469919426153</v>
      </c>
      <c r="UU5" s="34">
        <f t="shared" ca="1" si="41"/>
        <v>0.51328650953316823</v>
      </c>
      <c r="UV5" s="34">
        <f t="shared" ca="1" si="41"/>
        <v>0.57693919642678027</v>
      </c>
      <c r="UW5" s="34">
        <f t="shared" ca="1" si="41"/>
        <v>0.64587223095598156</v>
      </c>
      <c r="UX5" s="34">
        <f t="shared" ca="1" si="41"/>
        <v>0.68902400724578339</v>
      </c>
      <c r="UY5" s="34">
        <f t="shared" ca="1" si="41"/>
        <v>0.61391014808913047</v>
      </c>
      <c r="UZ5" s="34">
        <f t="shared" ca="1" si="41"/>
        <v>0.60689490232837873</v>
      </c>
      <c r="VA5" s="34">
        <f t="shared" ca="1" si="41"/>
        <v>0.6837095169887295</v>
      </c>
      <c r="VB5" s="34">
        <f t="shared" ca="1" si="41"/>
        <v>0.76111876497435893</v>
      </c>
      <c r="VC5" s="34">
        <f t="shared" ca="1" si="41"/>
        <v>0.60103719474523876</v>
      </c>
      <c r="VD5" s="34">
        <f t="shared" ca="1" si="41"/>
        <v>0.56190968383960627</v>
      </c>
      <c r="VE5" s="34">
        <f t="shared" ca="1" si="41"/>
        <v>0.72297667916506647</v>
      </c>
      <c r="VF5" s="34">
        <f t="shared" ca="1" si="41"/>
        <v>0.57265419955637686</v>
      </c>
      <c r="VG5" s="34">
        <f t="shared" ca="1" si="41"/>
        <v>0.56841595567667058</v>
      </c>
      <c r="VH5" s="34">
        <f t="shared" ca="1" si="41"/>
        <v>0.60607789693794545</v>
      </c>
      <c r="VI5" s="34">
        <f t="shared" ca="1" si="41"/>
        <v>0.6121213491271229</v>
      </c>
      <c r="VJ5" s="34">
        <f t="shared" ca="1" si="41"/>
        <v>0.70569906426487439</v>
      </c>
      <c r="VK5" s="34">
        <f t="shared" ca="1" si="41"/>
        <v>0.62575669765897812</v>
      </c>
      <c r="VL5" s="34">
        <f t="shared" ca="1" si="41"/>
        <v>0.63881566780780563</v>
      </c>
      <c r="VM5" s="34">
        <f t="shared" ref="VM5:XX5" ca="1" si="42">1-EXP(-VM2*$C$9)</f>
        <v>0.6230830497747144</v>
      </c>
      <c r="VN5" s="34">
        <f t="shared" ca="1" si="42"/>
        <v>0.7096427582937721</v>
      </c>
      <c r="VO5" s="34">
        <f t="shared" ca="1" si="42"/>
        <v>0.66812895216074097</v>
      </c>
      <c r="VP5" s="34">
        <f t="shared" ca="1" si="42"/>
        <v>0.65859977021438731</v>
      </c>
      <c r="VQ5" s="34">
        <f t="shared" ca="1" si="42"/>
        <v>0.7008210039335302</v>
      </c>
      <c r="VR5" s="34">
        <f t="shared" ca="1" si="42"/>
        <v>0.68323820373607536</v>
      </c>
      <c r="VS5" s="34">
        <f t="shared" ca="1" si="42"/>
        <v>0.69350459280622889</v>
      </c>
      <c r="VT5" s="34">
        <f t="shared" ca="1" si="42"/>
        <v>0.73499933676447982</v>
      </c>
      <c r="VU5" s="34">
        <f t="shared" ca="1" si="42"/>
        <v>0.66944226592522904</v>
      </c>
      <c r="VV5" s="34">
        <f t="shared" ca="1" si="42"/>
        <v>0.63023802907933857</v>
      </c>
      <c r="VW5" s="34">
        <f t="shared" ca="1" si="42"/>
        <v>0.626562925415871</v>
      </c>
      <c r="VX5" s="34">
        <f t="shared" ca="1" si="42"/>
        <v>0.66285131933306762</v>
      </c>
      <c r="VY5" s="34">
        <f t="shared" ca="1" si="42"/>
        <v>0.58315919512108616</v>
      </c>
      <c r="VZ5" s="34">
        <f t="shared" ca="1" si="42"/>
        <v>0.55816043993511122</v>
      </c>
      <c r="WA5" s="34">
        <f t="shared" ca="1" si="42"/>
        <v>0.60267346939805166</v>
      </c>
      <c r="WB5" s="34">
        <f t="shared" ca="1" si="42"/>
        <v>0.5435210945065394</v>
      </c>
      <c r="WC5" s="34">
        <f t="shared" ca="1" si="42"/>
        <v>0.62220151946158753</v>
      </c>
      <c r="WD5" s="34">
        <f t="shared" ca="1" si="42"/>
        <v>0.64050949997588558</v>
      </c>
      <c r="WE5" s="34">
        <f t="shared" ca="1" si="42"/>
        <v>0.60520131512812558</v>
      </c>
      <c r="WF5" s="34">
        <f t="shared" ca="1" si="42"/>
        <v>0.66173958587944881</v>
      </c>
      <c r="WG5" s="34">
        <f t="shared" ca="1" si="42"/>
        <v>0.66165702896222622</v>
      </c>
      <c r="WH5" s="34">
        <f t="shared" ca="1" si="42"/>
        <v>0.64069929905213452</v>
      </c>
      <c r="WI5" s="34">
        <f t="shared" ca="1" si="42"/>
        <v>0.62593576282459784</v>
      </c>
      <c r="WJ5" s="34">
        <f t="shared" ca="1" si="42"/>
        <v>0.56083935159701381</v>
      </c>
      <c r="WK5" s="34">
        <f t="shared" ca="1" si="42"/>
        <v>0.60319525661186613</v>
      </c>
      <c r="WL5" s="34">
        <f t="shared" ca="1" si="42"/>
        <v>0.64558567746575513</v>
      </c>
      <c r="WM5" s="34">
        <f t="shared" ca="1" si="42"/>
        <v>0.66771153642165793</v>
      </c>
      <c r="WN5" s="34">
        <f t="shared" ca="1" si="42"/>
        <v>0.65691762036712054</v>
      </c>
      <c r="WO5" s="34">
        <f t="shared" ca="1" si="42"/>
        <v>0.62286850645047709</v>
      </c>
      <c r="WP5" s="34">
        <f t="shared" ca="1" si="42"/>
        <v>0.68509804399857521</v>
      </c>
      <c r="WQ5" s="34">
        <f t="shared" ca="1" si="42"/>
        <v>0.62779572254167226</v>
      </c>
      <c r="WR5" s="34">
        <f t="shared" ca="1" si="42"/>
        <v>0.56050737958391061</v>
      </c>
      <c r="WS5" s="34">
        <f t="shared" ca="1" si="42"/>
        <v>0.61726070030934399</v>
      </c>
      <c r="WT5" s="34">
        <f t="shared" ca="1" si="42"/>
        <v>0.6223257340017434</v>
      </c>
      <c r="WU5" s="34">
        <f t="shared" ca="1" si="42"/>
        <v>0.75024958914729767</v>
      </c>
      <c r="WV5" s="34">
        <f t="shared" ca="1" si="42"/>
        <v>0.68868134135828174</v>
      </c>
      <c r="WW5" s="34">
        <f t="shared" ca="1" si="42"/>
        <v>0.54430618323459312</v>
      </c>
      <c r="WX5" s="34">
        <f t="shared" ca="1" si="42"/>
        <v>0.63730352285462633</v>
      </c>
      <c r="WY5" s="34">
        <f t="shared" ca="1" si="42"/>
        <v>0.58802664245730685</v>
      </c>
      <c r="WZ5" s="34">
        <f t="shared" ca="1" si="42"/>
        <v>0.72202371687237721</v>
      </c>
      <c r="XA5" s="34">
        <f t="shared" ca="1" si="42"/>
        <v>0.65678995597800904</v>
      </c>
      <c r="XB5" s="34">
        <f t="shared" ca="1" si="42"/>
        <v>0.62543925370634734</v>
      </c>
      <c r="XC5" s="34">
        <f t="shared" ca="1" si="42"/>
        <v>0.64294797312760732</v>
      </c>
      <c r="XD5" s="34">
        <f t="shared" ca="1" si="42"/>
        <v>0.75515512789491945</v>
      </c>
      <c r="XE5" s="34">
        <f t="shared" ca="1" si="42"/>
        <v>0.54644705207683653</v>
      </c>
      <c r="XF5" s="34">
        <f t="shared" ca="1" si="42"/>
        <v>0.68498746314431924</v>
      </c>
      <c r="XG5" s="34">
        <f t="shared" ca="1" si="42"/>
        <v>0.7397992088949219</v>
      </c>
      <c r="XH5" s="34">
        <f t="shared" ca="1" si="42"/>
        <v>0.58360038779117485</v>
      </c>
      <c r="XI5" s="34">
        <f t="shared" ca="1" si="42"/>
        <v>0.69009189298063156</v>
      </c>
      <c r="XJ5" s="34">
        <f t="shared" ca="1" si="42"/>
        <v>0.56750238068881664</v>
      </c>
      <c r="XK5" s="34">
        <f t="shared" ca="1" si="42"/>
        <v>0.61798625069375046</v>
      </c>
      <c r="XL5" s="34">
        <f t="shared" ca="1" si="42"/>
        <v>0.59502559066722527</v>
      </c>
      <c r="XM5" s="34">
        <f t="shared" ca="1" si="42"/>
        <v>0.6916889051272006</v>
      </c>
      <c r="XN5" s="34">
        <f t="shared" ca="1" si="42"/>
        <v>0.67590796277202947</v>
      </c>
      <c r="XO5" s="34">
        <f t="shared" ca="1" si="42"/>
        <v>0.5857698943565588</v>
      </c>
      <c r="XP5" s="34">
        <f t="shared" ca="1" si="42"/>
        <v>0.60416780381986723</v>
      </c>
      <c r="XQ5" s="34">
        <f t="shared" ca="1" si="42"/>
        <v>0.67589429520579092</v>
      </c>
      <c r="XR5" s="34">
        <f t="shared" ca="1" si="42"/>
        <v>0.64025371951436783</v>
      </c>
      <c r="XS5" s="34">
        <f t="shared" ca="1" si="42"/>
        <v>0.69562540167367015</v>
      </c>
      <c r="XT5" s="34">
        <f t="shared" ca="1" si="42"/>
        <v>0.61327681742664497</v>
      </c>
      <c r="XU5" s="34">
        <f t="shared" ca="1" si="42"/>
        <v>0.70761084476085401</v>
      </c>
      <c r="XV5" s="34">
        <f t="shared" ca="1" si="42"/>
        <v>0.54848283383643071</v>
      </c>
      <c r="XW5" s="34">
        <f t="shared" ca="1" si="42"/>
        <v>0.6245182846177626</v>
      </c>
      <c r="XX5" s="34">
        <f t="shared" ca="1" si="42"/>
        <v>0.55251503470012531</v>
      </c>
      <c r="XY5" s="34">
        <f t="shared" ref="XY5:AAJ5" ca="1" si="43">1-EXP(-XY2*$C$9)</f>
        <v>0.68937660425204306</v>
      </c>
      <c r="XZ5" s="34">
        <f t="shared" ca="1" si="43"/>
        <v>0.58339591583722816</v>
      </c>
      <c r="YA5" s="34">
        <f t="shared" ca="1" si="43"/>
        <v>0.73648242427594901</v>
      </c>
      <c r="YB5" s="34">
        <f t="shared" ca="1" si="43"/>
        <v>0.62502631961592969</v>
      </c>
      <c r="YC5" s="34">
        <f t="shared" ca="1" si="43"/>
        <v>0.70953504777900323</v>
      </c>
      <c r="YD5" s="34">
        <f t="shared" ca="1" si="43"/>
        <v>0.68260879265661978</v>
      </c>
      <c r="YE5" s="34">
        <f t="shared" ca="1" si="43"/>
        <v>0.71305240828809502</v>
      </c>
      <c r="YF5" s="34">
        <f t="shared" ca="1" si="43"/>
        <v>0.62958941534940394</v>
      </c>
      <c r="YG5" s="34">
        <f t="shared" ca="1" si="43"/>
        <v>0.69647556062139071</v>
      </c>
      <c r="YH5" s="34">
        <f t="shared" ca="1" si="43"/>
        <v>0.77040349686748044</v>
      </c>
      <c r="YI5" s="34">
        <f t="shared" ca="1" si="43"/>
        <v>0.66019363789030916</v>
      </c>
      <c r="YJ5" s="34">
        <f t="shared" ca="1" si="43"/>
        <v>0.61270116900396476</v>
      </c>
      <c r="YK5" s="34">
        <f t="shared" ca="1" si="43"/>
        <v>0.60186774836214696</v>
      </c>
      <c r="YL5" s="34">
        <f t="shared" ca="1" si="43"/>
        <v>0.57727980121450195</v>
      </c>
      <c r="YM5" s="34">
        <f t="shared" ca="1" si="43"/>
        <v>0.59478577772593932</v>
      </c>
      <c r="YN5" s="34">
        <f t="shared" ca="1" si="43"/>
        <v>0.62863290182427622</v>
      </c>
      <c r="YO5" s="34">
        <f t="shared" ca="1" si="43"/>
        <v>0.6343376172440649</v>
      </c>
      <c r="YP5" s="34">
        <f t="shared" ca="1" si="43"/>
        <v>0.52201613390250812</v>
      </c>
      <c r="YQ5" s="34">
        <f t="shared" ca="1" si="43"/>
        <v>0.59063873229466335</v>
      </c>
      <c r="YR5" s="34">
        <f t="shared" ca="1" si="43"/>
        <v>0.71753933128232683</v>
      </c>
      <c r="YS5" s="34">
        <f t="shared" ca="1" si="43"/>
        <v>0.64246275771134398</v>
      </c>
      <c r="YT5" s="34">
        <f t="shared" ca="1" si="43"/>
        <v>0.64639740191048389</v>
      </c>
      <c r="YU5" s="34">
        <f t="shared" ca="1" si="43"/>
        <v>0.5355019965117469</v>
      </c>
      <c r="YV5" s="34">
        <f t="shared" ca="1" si="43"/>
        <v>0.68439181153939155</v>
      </c>
      <c r="YW5" s="34">
        <f t="shared" ca="1" si="43"/>
        <v>0.53923713174372168</v>
      </c>
      <c r="YX5" s="34">
        <f t="shared" ca="1" si="43"/>
        <v>0.51020229551476148</v>
      </c>
      <c r="YY5" s="34">
        <f t="shared" ca="1" si="43"/>
        <v>0.6328390088652549</v>
      </c>
      <c r="YZ5" s="34">
        <f t="shared" ca="1" si="43"/>
        <v>0.63308162501490439</v>
      </c>
      <c r="ZA5" s="34">
        <f t="shared" ca="1" si="43"/>
        <v>0.61479043971626091</v>
      </c>
      <c r="ZB5" s="34">
        <f t="shared" ca="1" si="43"/>
        <v>0.71831469446803875</v>
      </c>
      <c r="ZC5" s="34">
        <f t="shared" ca="1" si="43"/>
        <v>0.64695796828458307</v>
      </c>
      <c r="ZD5" s="34">
        <f t="shared" ca="1" si="43"/>
        <v>0.58778204039651949</v>
      </c>
      <c r="ZE5" s="34">
        <f t="shared" ca="1" si="43"/>
        <v>0.63150186503842431</v>
      </c>
      <c r="ZF5" s="34">
        <f t="shared" ca="1" si="43"/>
        <v>0.5830469428288847</v>
      </c>
      <c r="ZG5" s="34">
        <f t="shared" ca="1" si="43"/>
        <v>0.70014806085736458</v>
      </c>
      <c r="ZH5" s="34">
        <f t="shared" ca="1" si="43"/>
        <v>0.61637343871244377</v>
      </c>
      <c r="ZI5" s="34">
        <f t="shared" ca="1" si="43"/>
        <v>0.60728857052603646</v>
      </c>
      <c r="ZJ5" s="34">
        <f t="shared" ca="1" si="43"/>
        <v>0.60471782599720381</v>
      </c>
      <c r="ZK5" s="34">
        <f t="shared" ca="1" si="43"/>
        <v>0.66983254553096727</v>
      </c>
      <c r="ZL5" s="34">
        <f t="shared" ca="1" si="43"/>
        <v>0.62312283481913799</v>
      </c>
      <c r="ZM5" s="34">
        <f t="shared" ca="1" si="43"/>
        <v>0.64265703909549221</v>
      </c>
      <c r="ZN5" s="34">
        <f t="shared" ca="1" si="43"/>
        <v>0.64622997514066061</v>
      </c>
      <c r="ZO5" s="34">
        <f t="shared" ca="1" si="43"/>
        <v>0.62839520549310024</v>
      </c>
      <c r="ZP5" s="34">
        <f t="shared" ca="1" si="43"/>
        <v>0.65291175958826364</v>
      </c>
      <c r="ZQ5" s="34">
        <f t="shared" ca="1" si="43"/>
        <v>0.72338150701734749</v>
      </c>
      <c r="ZR5" s="34">
        <f t="shared" ca="1" si="43"/>
        <v>0.72869702384056745</v>
      </c>
      <c r="ZS5" s="34">
        <f t="shared" ca="1" si="43"/>
        <v>0.61555073747326006</v>
      </c>
      <c r="ZT5" s="34">
        <f t="shared" ca="1" si="43"/>
        <v>0.66256720800511937</v>
      </c>
      <c r="ZU5" s="34">
        <f t="shared" ca="1" si="43"/>
        <v>0.57538304628254933</v>
      </c>
      <c r="ZV5" s="34">
        <f t="shared" ca="1" si="43"/>
        <v>0.64785800652906622</v>
      </c>
      <c r="ZW5" s="34">
        <f t="shared" ca="1" si="43"/>
        <v>0.73536627380454478</v>
      </c>
      <c r="ZX5" s="34">
        <f t="shared" ca="1" si="43"/>
        <v>0.70522887959906433</v>
      </c>
      <c r="ZY5" s="34">
        <f t="shared" ca="1" si="43"/>
        <v>0.65061563546465861</v>
      </c>
      <c r="ZZ5" s="34">
        <f t="shared" ca="1" si="43"/>
        <v>0.60386058218415828</v>
      </c>
      <c r="AAA5" s="34">
        <f t="shared" ca="1" si="43"/>
        <v>0.66264540740977729</v>
      </c>
      <c r="AAB5" s="34">
        <f t="shared" ca="1" si="43"/>
        <v>0.59389420971495088</v>
      </c>
      <c r="AAC5" s="34">
        <f t="shared" ca="1" si="43"/>
        <v>0.63726634815736993</v>
      </c>
      <c r="AAD5" s="34">
        <f t="shared" ca="1" si="43"/>
        <v>0.66730061429406518</v>
      </c>
      <c r="AAE5" s="34">
        <f t="shared" ca="1" si="43"/>
        <v>0.52688443935511065</v>
      </c>
      <c r="AAF5" s="34">
        <f t="shared" ca="1" si="43"/>
        <v>0.64371895065238371</v>
      </c>
      <c r="AAG5" s="34">
        <f t="shared" ca="1" si="43"/>
        <v>0.56960107602867005</v>
      </c>
      <c r="AAH5" s="34">
        <f t="shared" ca="1" si="43"/>
        <v>0.75581542556850367</v>
      </c>
      <c r="AAI5" s="34">
        <f t="shared" ca="1" si="43"/>
        <v>0.64473494306068624</v>
      </c>
      <c r="AAJ5" s="34">
        <f t="shared" ca="1" si="43"/>
        <v>0.79082867196579587</v>
      </c>
      <c r="AAK5" s="34">
        <f t="shared" ref="AAK5:ACV5" ca="1" si="44">1-EXP(-AAK2*$C$9)</f>
        <v>0.68291683199697362</v>
      </c>
      <c r="AAL5" s="34">
        <f t="shared" ca="1" si="44"/>
        <v>0.69387100486274833</v>
      </c>
      <c r="AAM5" s="34">
        <f t="shared" ca="1" si="44"/>
        <v>0.60241657724871023</v>
      </c>
      <c r="AAN5" s="34">
        <f t="shared" ca="1" si="44"/>
        <v>0.59503049006315212</v>
      </c>
      <c r="AAO5" s="34">
        <f t="shared" ca="1" si="44"/>
        <v>0.68973902940935217</v>
      </c>
      <c r="AAP5" s="34">
        <f t="shared" ca="1" si="44"/>
        <v>0.62475258548870105</v>
      </c>
      <c r="AAQ5" s="34">
        <f t="shared" ca="1" si="44"/>
        <v>0.59341386993574696</v>
      </c>
      <c r="AAR5" s="34">
        <f t="shared" ca="1" si="44"/>
        <v>0.59179359476465621</v>
      </c>
      <c r="AAS5" s="34">
        <f t="shared" ca="1" si="44"/>
        <v>0.62917651403497699</v>
      </c>
      <c r="AAT5" s="34">
        <f t="shared" ca="1" si="44"/>
        <v>0.71264789616919444</v>
      </c>
      <c r="AAU5" s="34">
        <f t="shared" ca="1" si="44"/>
        <v>0.56617726796142365</v>
      </c>
      <c r="AAV5" s="34">
        <f t="shared" ca="1" si="44"/>
        <v>0.63287172782076273</v>
      </c>
      <c r="AAW5" s="34">
        <f t="shared" ca="1" si="44"/>
        <v>0.66654543211039574</v>
      </c>
      <c r="AAX5" s="34">
        <f t="shared" ca="1" si="44"/>
        <v>0.67954354959836838</v>
      </c>
      <c r="AAY5" s="34">
        <f t="shared" ca="1" si="44"/>
        <v>0.66878702733965145</v>
      </c>
      <c r="AAZ5" s="34">
        <f t="shared" ca="1" si="44"/>
        <v>0.63073389339903807</v>
      </c>
      <c r="ABA5" s="34">
        <f t="shared" ca="1" si="44"/>
        <v>0.64591130620157056</v>
      </c>
      <c r="ABB5" s="34">
        <f t="shared" ca="1" si="44"/>
        <v>0.62317223586060777</v>
      </c>
      <c r="ABC5" s="34">
        <f t="shared" ca="1" si="44"/>
        <v>0.59885896073914324</v>
      </c>
      <c r="ABD5" s="34">
        <f t="shared" ca="1" si="44"/>
        <v>0.65392345698529675</v>
      </c>
      <c r="ABE5" s="34">
        <f t="shared" ca="1" si="44"/>
        <v>0.57418318584472616</v>
      </c>
      <c r="ABF5" s="34">
        <f t="shared" ca="1" si="44"/>
        <v>0.65599916660762148</v>
      </c>
      <c r="ABG5" s="34">
        <f t="shared" ca="1" si="44"/>
        <v>0.60638807631468161</v>
      </c>
      <c r="ABH5" s="34">
        <f t="shared" ca="1" si="44"/>
        <v>0.64988112048563607</v>
      </c>
      <c r="ABI5" s="34">
        <f t="shared" ca="1" si="44"/>
        <v>0.69785158128091185</v>
      </c>
      <c r="ABJ5" s="34">
        <f t="shared" ca="1" si="44"/>
        <v>0.57565755787884165</v>
      </c>
      <c r="ABK5" s="34">
        <f t="shared" ca="1" si="44"/>
        <v>0.62563265895258169</v>
      </c>
      <c r="ABL5" s="34">
        <f t="shared" ca="1" si="44"/>
        <v>0.70446149391281443</v>
      </c>
      <c r="ABM5" s="34">
        <f t="shared" ca="1" si="44"/>
        <v>0.64896839610951007</v>
      </c>
      <c r="ABN5" s="34">
        <f t="shared" ca="1" si="44"/>
        <v>0.60126455854121352</v>
      </c>
      <c r="ABO5" s="34">
        <f t="shared" ca="1" si="44"/>
        <v>0.6352306664325913</v>
      </c>
      <c r="ABP5" s="34">
        <f t="shared" ca="1" si="44"/>
        <v>0.60943534785955955</v>
      </c>
      <c r="ABQ5" s="34">
        <f t="shared" ca="1" si="44"/>
        <v>0.67154499573328186</v>
      </c>
      <c r="ABR5" s="34">
        <f t="shared" ca="1" si="44"/>
        <v>0.58210534075656728</v>
      </c>
      <c r="ABS5" s="34">
        <f t="shared" ca="1" si="44"/>
        <v>0.66723110407237107</v>
      </c>
      <c r="ABT5" s="34">
        <f t="shared" ca="1" si="44"/>
        <v>0.67726801658173963</v>
      </c>
      <c r="ABU5" s="34">
        <f t="shared" ca="1" si="44"/>
        <v>0.62104399024398682</v>
      </c>
      <c r="ABV5" s="34">
        <f t="shared" ca="1" si="44"/>
        <v>0.65688684887954618</v>
      </c>
      <c r="ABW5" s="34">
        <f t="shared" ca="1" si="44"/>
        <v>0.64527649262991038</v>
      </c>
      <c r="ABX5" s="34">
        <f t="shared" ca="1" si="44"/>
        <v>0.54321921864734812</v>
      </c>
      <c r="ABY5" s="34">
        <f t="shared" ca="1" si="44"/>
        <v>0.66350107791535184</v>
      </c>
      <c r="ABZ5" s="34">
        <f t="shared" ca="1" si="44"/>
        <v>0.64926243040844334</v>
      </c>
      <c r="ACA5" s="34">
        <f t="shared" ca="1" si="44"/>
        <v>0.62146744964698275</v>
      </c>
      <c r="ACB5" s="34">
        <f t="shared" ca="1" si="44"/>
        <v>0.72254537181699563</v>
      </c>
      <c r="ACC5" s="34">
        <f t="shared" ca="1" si="44"/>
        <v>0.57043964430257565</v>
      </c>
      <c r="ACD5" s="34">
        <f t="shared" ca="1" si="44"/>
        <v>0.61411127194780102</v>
      </c>
      <c r="ACE5" s="34">
        <f t="shared" ca="1" si="44"/>
        <v>0.59102173323946094</v>
      </c>
      <c r="ACF5" s="34">
        <f t="shared" ca="1" si="44"/>
        <v>0.66898047855904486</v>
      </c>
      <c r="ACG5" s="34">
        <f t="shared" ca="1" si="44"/>
        <v>0.60724695495824088</v>
      </c>
      <c r="ACH5" s="34">
        <f t="shared" ca="1" si="44"/>
        <v>0.65984021604333765</v>
      </c>
      <c r="ACI5" s="34">
        <f t="shared" ca="1" si="44"/>
        <v>0.69776761070739124</v>
      </c>
      <c r="ACJ5" s="34">
        <f t="shared" ca="1" si="44"/>
        <v>0.6137547678367492</v>
      </c>
      <c r="ACK5" s="34">
        <f t="shared" ca="1" si="44"/>
        <v>0.77694266870786466</v>
      </c>
      <c r="ACL5" s="34">
        <f t="shared" ca="1" si="44"/>
        <v>0.63702865437760603</v>
      </c>
      <c r="ACM5" s="34">
        <f t="shared" ca="1" si="44"/>
        <v>0.57693201990016529</v>
      </c>
      <c r="ACN5" s="34">
        <f t="shared" ca="1" si="44"/>
        <v>0.63810733847410928</v>
      </c>
      <c r="ACO5" s="34">
        <f t="shared" ca="1" si="44"/>
        <v>0.64445777290975625</v>
      </c>
      <c r="ACP5" s="34">
        <f t="shared" ca="1" si="44"/>
        <v>0.53755927233669354</v>
      </c>
      <c r="ACQ5" s="34">
        <f t="shared" ca="1" si="44"/>
        <v>0.68452648792672832</v>
      </c>
      <c r="ACR5" s="34">
        <f t="shared" ca="1" si="44"/>
        <v>0.59573330552690273</v>
      </c>
      <c r="ACS5" s="34">
        <f t="shared" ca="1" si="44"/>
        <v>0.65763184311388034</v>
      </c>
      <c r="ACT5" s="34">
        <f t="shared" ca="1" si="44"/>
        <v>0.60979661325640167</v>
      </c>
      <c r="ACU5" s="34">
        <f t="shared" ca="1" si="44"/>
        <v>0.7166043444989324</v>
      </c>
      <c r="ACV5" s="34">
        <f t="shared" ca="1" si="44"/>
        <v>0.6123610433852491</v>
      </c>
      <c r="ACW5" s="34">
        <f t="shared" ref="ACW5:AFH5" ca="1" si="45">1-EXP(-ACW2*$C$9)</f>
        <v>0.61132164323211158</v>
      </c>
      <c r="ACX5" s="34">
        <f t="shared" ca="1" si="45"/>
        <v>0.65442296278977041</v>
      </c>
      <c r="ACY5" s="34">
        <f t="shared" ca="1" si="45"/>
        <v>0.62872467864576054</v>
      </c>
      <c r="ACZ5" s="34">
        <f t="shared" ca="1" si="45"/>
        <v>0.58981054597872173</v>
      </c>
      <c r="ADA5" s="34">
        <f t="shared" ca="1" si="45"/>
        <v>0.72269340436274343</v>
      </c>
      <c r="ADB5" s="34">
        <f t="shared" ca="1" si="45"/>
        <v>0.77897197934010187</v>
      </c>
      <c r="ADC5" s="34">
        <f t="shared" ca="1" si="45"/>
        <v>0.62787637541521779</v>
      </c>
      <c r="ADD5" s="34">
        <f t="shared" ca="1" si="45"/>
        <v>0.66405657429482301</v>
      </c>
      <c r="ADE5" s="34">
        <f t="shared" ca="1" si="45"/>
        <v>0.58007302918083015</v>
      </c>
      <c r="ADF5" s="34">
        <f t="shared" ca="1" si="45"/>
        <v>0.66735468621919591</v>
      </c>
      <c r="ADG5" s="34">
        <f t="shared" ca="1" si="45"/>
        <v>0.68417203070979504</v>
      </c>
      <c r="ADH5" s="34">
        <f t="shared" ca="1" si="45"/>
        <v>0.71938888406035417</v>
      </c>
      <c r="ADI5" s="34">
        <f t="shared" ca="1" si="45"/>
        <v>0.58993546791297691</v>
      </c>
      <c r="ADJ5" s="34">
        <f t="shared" ca="1" si="45"/>
        <v>0.52319648158333565</v>
      </c>
      <c r="ADK5" s="34">
        <f t="shared" ca="1" si="45"/>
        <v>0.62020600054986297</v>
      </c>
      <c r="ADL5" s="34">
        <f t="shared" ca="1" si="45"/>
        <v>0.61153290957857132</v>
      </c>
      <c r="ADM5" s="34">
        <f t="shared" ca="1" si="45"/>
        <v>0.60798587958265293</v>
      </c>
      <c r="ADN5" s="34">
        <f t="shared" ca="1" si="45"/>
        <v>0.61869231278747427</v>
      </c>
      <c r="ADO5" s="34">
        <f t="shared" ca="1" si="45"/>
        <v>0.63398558887507339</v>
      </c>
      <c r="ADP5" s="34">
        <f t="shared" ca="1" si="45"/>
        <v>0.62491840393154408</v>
      </c>
      <c r="ADQ5" s="34">
        <f t="shared" ca="1" si="45"/>
        <v>0.64894336738820868</v>
      </c>
      <c r="ADR5" s="34">
        <f t="shared" ca="1" si="45"/>
        <v>0.58782044971667446</v>
      </c>
      <c r="ADS5" s="34">
        <f t="shared" ca="1" si="45"/>
        <v>0.61904868807079516</v>
      </c>
      <c r="ADT5" s="34">
        <f t="shared" ca="1" si="45"/>
        <v>0.60077022992748064</v>
      </c>
      <c r="ADU5" s="34">
        <f t="shared" ca="1" si="45"/>
        <v>0.69902859543269336</v>
      </c>
      <c r="ADV5" s="34">
        <f t="shared" ca="1" si="45"/>
        <v>0.71886562244227248</v>
      </c>
      <c r="ADW5" s="34">
        <f t="shared" ca="1" si="45"/>
        <v>0.6972616159861611</v>
      </c>
      <c r="ADX5" s="34">
        <f t="shared" ca="1" si="45"/>
        <v>0.58569997980870148</v>
      </c>
      <c r="ADY5" s="34">
        <f t="shared" ca="1" si="45"/>
        <v>0.60671905872777887</v>
      </c>
      <c r="ADZ5" s="34">
        <f t="shared" ca="1" si="45"/>
        <v>0.67224141716331975</v>
      </c>
      <c r="AEA5" s="34">
        <f t="shared" ca="1" si="45"/>
        <v>0.59882502262384896</v>
      </c>
      <c r="AEB5" s="34">
        <f t="shared" ca="1" si="45"/>
        <v>0.59665078608600819</v>
      </c>
      <c r="AEC5" s="34">
        <f t="shared" ca="1" si="45"/>
        <v>0.64623929605956643</v>
      </c>
      <c r="AED5" s="34">
        <f t="shared" ca="1" si="45"/>
        <v>0.71274137208115551</v>
      </c>
      <c r="AEE5" s="34">
        <f t="shared" ca="1" si="45"/>
        <v>0.72584801183416026</v>
      </c>
      <c r="AEF5" s="34">
        <f t="shared" ca="1" si="45"/>
        <v>0.62463166519279012</v>
      </c>
      <c r="AEG5" s="34">
        <f t="shared" ca="1" si="45"/>
        <v>0.70396173182202626</v>
      </c>
      <c r="AEH5" s="34">
        <f t="shared" ca="1" si="45"/>
        <v>0.5694143877663016</v>
      </c>
      <c r="AEI5" s="34">
        <f t="shared" ca="1" si="45"/>
        <v>0.68057214996904136</v>
      </c>
      <c r="AEJ5" s="34">
        <f t="shared" ca="1" si="45"/>
        <v>0.67524630894814641</v>
      </c>
      <c r="AEK5" s="34">
        <f t="shared" ca="1" si="45"/>
        <v>0.60545204405566966</v>
      </c>
      <c r="AEL5" s="34">
        <f t="shared" ca="1" si="45"/>
        <v>0.6584723239512752</v>
      </c>
      <c r="AEM5" s="34">
        <f t="shared" ca="1" si="45"/>
        <v>0.6592304842124157</v>
      </c>
      <c r="AEN5" s="34">
        <f t="shared" ca="1" si="45"/>
        <v>0.70206591860113865</v>
      </c>
      <c r="AEO5" s="34">
        <f t="shared" ca="1" si="45"/>
        <v>0.70578604877032403</v>
      </c>
      <c r="AEP5" s="34">
        <f t="shared" ca="1" si="45"/>
        <v>0.71327141866613597</v>
      </c>
      <c r="AEQ5" s="34">
        <f t="shared" ca="1" si="45"/>
        <v>0.67920557677497762</v>
      </c>
      <c r="AER5" s="34">
        <f t="shared" ca="1" si="45"/>
        <v>0.69219989780974067</v>
      </c>
      <c r="AES5" s="34">
        <f t="shared" ca="1" si="45"/>
        <v>0.63583150450275072</v>
      </c>
      <c r="AET5" s="34">
        <f t="shared" ca="1" si="45"/>
        <v>0.61533384343536746</v>
      </c>
      <c r="AEU5" s="34">
        <f t="shared" ca="1" si="45"/>
        <v>0.70827999724013402</v>
      </c>
      <c r="AEV5" s="34">
        <f t="shared" ca="1" si="45"/>
        <v>0.78023147591911968</v>
      </c>
      <c r="AEW5" s="34">
        <f t="shared" ca="1" si="45"/>
        <v>0.69933007593356522</v>
      </c>
      <c r="AEX5" s="34">
        <f t="shared" ca="1" si="45"/>
        <v>0.75415128428120459</v>
      </c>
      <c r="AEY5" s="34">
        <f t="shared" ca="1" si="45"/>
        <v>0.65320297161915208</v>
      </c>
      <c r="AEZ5" s="34">
        <f t="shared" ca="1" si="45"/>
        <v>0.58216600355635939</v>
      </c>
      <c r="AFA5" s="34">
        <f t="shared" ca="1" si="45"/>
        <v>0.62997838029925179</v>
      </c>
      <c r="AFB5" s="34">
        <f t="shared" ca="1" si="45"/>
        <v>0.60075669563592726</v>
      </c>
      <c r="AFC5" s="34">
        <f t="shared" ca="1" si="45"/>
        <v>0.58619662450537424</v>
      </c>
      <c r="AFD5" s="34">
        <f t="shared" ca="1" si="45"/>
        <v>0.59074494532187105</v>
      </c>
      <c r="AFE5" s="34">
        <f t="shared" ca="1" si="45"/>
        <v>0.66622918923986796</v>
      </c>
      <c r="AFF5" s="34">
        <f t="shared" ca="1" si="45"/>
        <v>0.51655673875941333</v>
      </c>
      <c r="AFG5" s="34">
        <f t="shared" ca="1" si="45"/>
        <v>0.63329304849805168</v>
      </c>
      <c r="AFH5" s="34">
        <f t="shared" ca="1" si="45"/>
        <v>0.63378343487761557</v>
      </c>
      <c r="AFI5" s="34">
        <f t="shared" ref="AFI5:AHT5" ca="1" si="46">1-EXP(-AFI2*$C$9)</f>
        <v>0.59272027001605132</v>
      </c>
      <c r="AFJ5" s="34">
        <f t="shared" ca="1" si="46"/>
        <v>0.59626687543702017</v>
      </c>
      <c r="AFK5" s="34">
        <f t="shared" ca="1" si="46"/>
        <v>0.6568425236670572</v>
      </c>
      <c r="AFL5" s="34">
        <f t="shared" ca="1" si="46"/>
        <v>0.63166678830425571</v>
      </c>
      <c r="AFM5" s="34">
        <f t="shared" ca="1" si="46"/>
        <v>0.61462716174674847</v>
      </c>
      <c r="AFN5" s="34">
        <f t="shared" ca="1" si="46"/>
        <v>0.67722359393658516</v>
      </c>
      <c r="AFO5" s="34">
        <f t="shared" ca="1" si="46"/>
        <v>0.65096082158701285</v>
      </c>
      <c r="AFP5" s="34">
        <f t="shared" ca="1" si="46"/>
        <v>0.59654162641022812</v>
      </c>
      <c r="AFQ5" s="34">
        <f t="shared" ca="1" si="46"/>
        <v>0.59615435012735452</v>
      </c>
      <c r="AFR5" s="34">
        <f t="shared" ca="1" si="46"/>
        <v>0.68468391757987157</v>
      </c>
      <c r="AFS5" s="34">
        <f t="shared" ca="1" si="46"/>
        <v>0.64112381218764725</v>
      </c>
      <c r="AFT5" s="34">
        <f t="shared" ca="1" si="46"/>
        <v>0.52056592910563915</v>
      </c>
      <c r="AFU5" s="34">
        <f t="shared" ca="1" si="46"/>
        <v>0.63746395362806174</v>
      </c>
      <c r="AFV5" s="34">
        <f t="shared" ca="1" si="46"/>
        <v>0.6498602412247666</v>
      </c>
      <c r="AFW5" s="34">
        <f t="shared" ca="1" si="46"/>
        <v>0.66885835652315118</v>
      </c>
      <c r="AFX5" s="34">
        <f t="shared" ca="1" si="46"/>
        <v>0.65858197119824391</v>
      </c>
      <c r="AFY5" s="34">
        <f t="shared" ca="1" si="46"/>
        <v>0.69814619617231011</v>
      </c>
      <c r="AFZ5" s="34">
        <f t="shared" ca="1" si="46"/>
        <v>0.62490180580377264</v>
      </c>
      <c r="AGA5" s="34">
        <f t="shared" ca="1" si="46"/>
        <v>0.60015411834648313</v>
      </c>
      <c r="AGB5" s="34">
        <f t="shared" ca="1" si="46"/>
        <v>0.73058675741514678</v>
      </c>
      <c r="AGC5" s="34">
        <f t="shared" ca="1" si="46"/>
        <v>0.67175674632386562</v>
      </c>
      <c r="AGD5" s="34">
        <f t="shared" ca="1" si="46"/>
        <v>0.68277800540880673</v>
      </c>
      <c r="AGE5" s="34">
        <f t="shared" ca="1" si="46"/>
        <v>0.60452528827291363</v>
      </c>
      <c r="AGF5" s="34">
        <f t="shared" ca="1" si="46"/>
        <v>0.64678892434271029</v>
      </c>
      <c r="AGG5" s="34">
        <f t="shared" ca="1" si="46"/>
        <v>0.57388226931345154</v>
      </c>
      <c r="AGH5" s="34">
        <f t="shared" ca="1" si="46"/>
        <v>0.63789245020262331</v>
      </c>
      <c r="AGI5" s="34">
        <f t="shared" ca="1" si="46"/>
        <v>0.71968796061914975</v>
      </c>
      <c r="AGJ5" s="34">
        <f t="shared" ca="1" si="46"/>
        <v>0.57936543926461659</v>
      </c>
      <c r="AGK5" s="34">
        <f t="shared" ca="1" si="46"/>
        <v>0.63937427705892569</v>
      </c>
      <c r="AGL5" s="34">
        <f t="shared" ca="1" si="46"/>
        <v>0.75291962748835539</v>
      </c>
      <c r="AGM5" s="34">
        <f t="shared" ca="1" si="46"/>
        <v>0.61918947676037561</v>
      </c>
      <c r="AGN5" s="34">
        <f t="shared" ca="1" si="46"/>
        <v>0.66278503565924507</v>
      </c>
      <c r="AGO5" s="34">
        <f t="shared" ca="1" si="46"/>
        <v>0.73125456387692567</v>
      </c>
      <c r="AGP5" s="34">
        <f t="shared" ca="1" si="46"/>
        <v>0.48771346486371114</v>
      </c>
      <c r="AGQ5" s="34">
        <f t="shared" ca="1" si="46"/>
        <v>0.64095656406970247</v>
      </c>
      <c r="AGR5" s="34">
        <f t="shared" ca="1" si="46"/>
        <v>0.68117527063308314</v>
      </c>
      <c r="AGS5" s="34">
        <f t="shared" ca="1" si="46"/>
        <v>0.68729655328297545</v>
      </c>
      <c r="AGT5" s="34">
        <f t="shared" ca="1" si="46"/>
        <v>0.66214139224722035</v>
      </c>
      <c r="AGU5" s="34">
        <f t="shared" ca="1" si="46"/>
        <v>0.66259698798143385</v>
      </c>
      <c r="AGV5" s="34">
        <f t="shared" ca="1" si="46"/>
        <v>0.70166715150829395</v>
      </c>
      <c r="AGW5" s="34">
        <f t="shared" ca="1" si="46"/>
        <v>0.64504724492134158</v>
      </c>
      <c r="AGX5" s="34">
        <f t="shared" ca="1" si="46"/>
        <v>0.58825637083218907</v>
      </c>
      <c r="AGY5" s="34">
        <f t="shared" ca="1" si="46"/>
        <v>0.60367377082324258</v>
      </c>
      <c r="AGZ5" s="34">
        <f t="shared" ca="1" si="46"/>
        <v>0.66153303176603628</v>
      </c>
      <c r="AHA5" s="34">
        <f t="shared" ca="1" si="46"/>
        <v>0.58198338784287862</v>
      </c>
      <c r="AHB5" s="34">
        <f t="shared" ca="1" si="46"/>
        <v>0.62680517104805711</v>
      </c>
      <c r="AHC5" s="34">
        <f t="shared" ca="1" si="46"/>
        <v>0.57708451550966966</v>
      </c>
      <c r="AHD5" s="34">
        <f t="shared" ca="1" si="46"/>
        <v>0.61331173551606444</v>
      </c>
      <c r="AHE5" s="34">
        <f t="shared" ca="1" si="46"/>
        <v>0.57030767509565183</v>
      </c>
      <c r="AHF5" s="34">
        <f t="shared" ca="1" si="46"/>
        <v>0.67521595877888974</v>
      </c>
      <c r="AHG5" s="34">
        <f t="shared" ca="1" si="46"/>
        <v>0.63407441192258329</v>
      </c>
      <c r="AHH5" s="34">
        <f t="shared" ca="1" si="46"/>
        <v>0.6022850154354914</v>
      </c>
      <c r="AHI5" s="34">
        <f t="shared" ca="1" si="46"/>
        <v>0.67707749582375021</v>
      </c>
      <c r="AHJ5" s="34">
        <f t="shared" ca="1" si="46"/>
        <v>0.60912163832059241</v>
      </c>
      <c r="AHK5" s="34">
        <f t="shared" ca="1" si="46"/>
        <v>0.75367236241331281</v>
      </c>
      <c r="AHL5" s="34">
        <f t="shared" ca="1" si="46"/>
        <v>0.58710066963845609</v>
      </c>
      <c r="AHM5" s="34">
        <f t="shared" ca="1" si="46"/>
        <v>0.63090810961274946</v>
      </c>
      <c r="AHN5" s="34">
        <f t="shared" ca="1" si="46"/>
        <v>0.68410085223626571</v>
      </c>
      <c r="AHO5" s="34">
        <f t="shared" ca="1" si="46"/>
        <v>0.69997457503060234</v>
      </c>
      <c r="AHP5" s="34">
        <f t="shared" ca="1" si="46"/>
        <v>0.60116834638403827</v>
      </c>
      <c r="AHQ5" s="34">
        <f t="shared" ca="1" si="46"/>
        <v>0.62082890113950384</v>
      </c>
      <c r="AHR5" s="34">
        <f t="shared" ca="1" si="46"/>
        <v>0.67814596339154498</v>
      </c>
      <c r="AHS5" s="34">
        <f t="shared" ca="1" si="46"/>
        <v>0.6300986077206685</v>
      </c>
      <c r="AHT5" s="34">
        <f t="shared" ca="1" si="46"/>
        <v>0.59975241081227815</v>
      </c>
      <c r="AHU5" s="34">
        <f t="shared" ref="AHU5:AKF5" ca="1" si="47">1-EXP(-AHU2*$C$9)</f>
        <v>0.62849398829792635</v>
      </c>
      <c r="AHV5" s="34">
        <f t="shared" ca="1" si="47"/>
        <v>0.60516750916606776</v>
      </c>
      <c r="AHW5" s="34">
        <f t="shared" ca="1" si="47"/>
        <v>0.65307249257268096</v>
      </c>
      <c r="AHX5" s="34">
        <f t="shared" ca="1" si="47"/>
        <v>0.62051808145103227</v>
      </c>
      <c r="AHY5" s="34">
        <f t="shared" ca="1" si="47"/>
        <v>0.61539284959706442</v>
      </c>
      <c r="AHZ5" s="34">
        <f t="shared" ca="1" si="47"/>
        <v>0.71527255896976483</v>
      </c>
      <c r="AIA5" s="34">
        <f t="shared" ca="1" si="47"/>
        <v>0.63948067941169184</v>
      </c>
      <c r="AIB5" s="34">
        <f t="shared" ca="1" si="47"/>
        <v>0.61446537714708893</v>
      </c>
      <c r="AIC5" s="34">
        <f t="shared" ca="1" si="47"/>
        <v>0.61609051114290436</v>
      </c>
      <c r="AID5" s="34">
        <f t="shared" ca="1" si="47"/>
        <v>0.66128196562175112</v>
      </c>
      <c r="AIE5" s="34">
        <f t="shared" ca="1" si="47"/>
        <v>0.71275998698861143</v>
      </c>
      <c r="AIF5" s="34">
        <f t="shared" ca="1" si="47"/>
        <v>0.62362946836464594</v>
      </c>
      <c r="AIG5" s="34">
        <f t="shared" ca="1" si="47"/>
        <v>0.63183798392140567</v>
      </c>
      <c r="AIH5" s="34">
        <f t="shared" ca="1" si="47"/>
        <v>0.661972397004712</v>
      </c>
      <c r="AII5" s="34">
        <f t="shared" ca="1" si="47"/>
        <v>0.68317708208936123</v>
      </c>
      <c r="AIJ5" s="34">
        <f t="shared" ca="1" si="47"/>
        <v>0.62096817423892481</v>
      </c>
      <c r="AIK5" s="34">
        <f t="shared" ca="1" si="47"/>
        <v>0.62259832014175021</v>
      </c>
      <c r="AIL5" s="34">
        <f t="shared" ca="1" si="47"/>
        <v>0.74167506197432265</v>
      </c>
      <c r="AIM5" s="34">
        <f t="shared" ca="1" si="47"/>
        <v>0.72727010808330217</v>
      </c>
      <c r="AIN5" s="34">
        <f t="shared" ca="1" si="47"/>
        <v>0.58247574195452578</v>
      </c>
      <c r="AIO5" s="34">
        <f t="shared" ca="1" si="47"/>
        <v>0.62674546518686935</v>
      </c>
      <c r="AIP5" s="34">
        <f t="shared" ca="1" si="47"/>
        <v>0.61207417441668843</v>
      </c>
      <c r="AIQ5" s="34">
        <f t="shared" ca="1" si="47"/>
        <v>0.75776537113526399</v>
      </c>
      <c r="AIR5" s="34">
        <f t="shared" ca="1" si="47"/>
        <v>0.60212900785107926</v>
      </c>
      <c r="AIS5" s="34">
        <f t="shared" ca="1" si="47"/>
        <v>0.62131612555819149</v>
      </c>
      <c r="AIT5" s="34">
        <f t="shared" ca="1" si="47"/>
        <v>0.59513441657096333</v>
      </c>
      <c r="AIU5" s="34">
        <f t="shared" ca="1" si="47"/>
        <v>0.50230955355062612</v>
      </c>
      <c r="AIV5" s="34">
        <f t="shared" ca="1" si="47"/>
        <v>0.64370655460571968</v>
      </c>
      <c r="AIW5" s="34">
        <f t="shared" ca="1" si="47"/>
        <v>0.60739859618855407</v>
      </c>
      <c r="AIX5" s="34">
        <f t="shared" ca="1" si="47"/>
        <v>0.67160790236414414</v>
      </c>
      <c r="AIY5" s="34">
        <f t="shared" ca="1" si="47"/>
        <v>0.68735939920859224</v>
      </c>
      <c r="AIZ5" s="34">
        <f t="shared" ca="1" si="47"/>
        <v>0.58943284425675269</v>
      </c>
      <c r="AJA5" s="34">
        <f t="shared" ca="1" si="47"/>
        <v>0.74842060592906057</v>
      </c>
      <c r="AJB5" s="34">
        <f t="shared" ca="1" si="47"/>
        <v>0.67724076696881241</v>
      </c>
      <c r="AJC5" s="34">
        <f t="shared" ca="1" si="47"/>
        <v>0.75303627642891791</v>
      </c>
      <c r="AJD5" s="34">
        <f t="shared" ca="1" si="47"/>
        <v>0.6600094191368806</v>
      </c>
      <c r="AJE5" s="34">
        <f t="shared" ca="1" si="47"/>
        <v>0.64752287801373298</v>
      </c>
      <c r="AJF5" s="34">
        <f t="shared" ca="1" si="47"/>
        <v>0.6152429987591983</v>
      </c>
      <c r="AJG5" s="34">
        <f t="shared" ca="1" si="47"/>
        <v>0.69384116031532339</v>
      </c>
      <c r="AJH5" s="34">
        <f t="shared" ca="1" si="47"/>
        <v>0.63890580956667109</v>
      </c>
      <c r="AJI5" s="34">
        <f t="shared" ca="1" si="47"/>
        <v>0.7315855926143171</v>
      </c>
      <c r="AJJ5" s="34">
        <f t="shared" ca="1" si="47"/>
        <v>0.55759727031526063</v>
      </c>
      <c r="AJK5" s="34">
        <f t="shared" ca="1" si="47"/>
        <v>0.64280572089480281</v>
      </c>
      <c r="AJL5" s="34">
        <f t="shared" ca="1" si="47"/>
        <v>0.5542003939277329</v>
      </c>
      <c r="AJM5" s="34">
        <f t="shared" ca="1" si="47"/>
        <v>0.64265907520655907</v>
      </c>
      <c r="AJN5" s="34">
        <f t="shared" ca="1" si="47"/>
        <v>0.60394593264932328</v>
      </c>
      <c r="AJO5" s="34">
        <f t="shared" ca="1" si="47"/>
        <v>0.72938122576917408</v>
      </c>
      <c r="AJP5" s="34">
        <f t="shared" ca="1" si="47"/>
        <v>0.66910950996711038</v>
      </c>
      <c r="AJQ5" s="34">
        <f t="shared" ca="1" si="47"/>
        <v>0.70520839270140023</v>
      </c>
      <c r="AJR5" s="34">
        <f t="shared" ca="1" si="47"/>
        <v>0.67183856343160175</v>
      </c>
      <c r="AJS5" s="34">
        <f t="shared" ca="1" si="47"/>
        <v>0.69443584890074983</v>
      </c>
      <c r="AJT5" s="34">
        <f t="shared" ca="1" si="47"/>
        <v>0.56578812759625774</v>
      </c>
      <c r="AJU5" s="34">
        <f t="shared" ca="1" si="47"/>
        <v>0.54068172349782673</v>
      </c>
      <c r="AJV5" s="34">
        <f t="shared" ca="1" si="47"/>
        <v>0.71079695717272173</v>
      </c>
      <c r="AJW5" s="34">
        <f t="shared" ca="1" si="47"/>
        <v>0.65476566341237863</v>
      </c>
      <c r="AJX5" s="34">
        <f t="shared" ca="1" si="47"/>
        <v>0.50605234506972541</v>
      </c>
      <c r="AJY5" s="34">
        <f t="shared" ca="1" si="47"/>
        <v>0.62201557217441272</v>
      </c>
      <c r="AJZ5" s="34">
        <f t="shared" ca="1" si="47"/>
        <v>0.70162174761527529</v>
      </c>
      <c r="AKA5" s="34">
        <f t="shared" ca="1" si="47"/>
        <v>0.66297916951066049</v>
      </c>
      <c r="AKB5" s="34">
        <f t="shared" ca="1" si="47"/>
        <v>0.66017615165452748</v>
      </c>
      <c r="AKC5" s="34">
        <f t="shared" ca="1" si="47"/>
        <v>0.60497472297946397</v>
      </c>
      <c r="AKD5" s="34">
        <f t="shared" ca="1" si="47"/>
        <v>0.65331284590023753</v>
      </c>
      <c r="AKE5" s="34">
        <f t="shared" ca="1" si="47"/>
        <v>0.60018728452107939</v>
      </c>
      <c r="AKF5" s="34">
        <f t="shared" ca="1" si="47"/>
        <v>0.61774248388121267</v>
      </c>
      <c r="AKG5" s="34">
        <f t="shared" ref="AKG5:ALS5" ca="1" si="48">1-EXP(-AKG2*$C$9)</f>
        <v>0.58834920529976853</v>
      </c>
      <c r="AKH5" s="34">
        <f t="shared" ca="1" si="48"/>
        <v>0.65054468628712026</v>
      </c>
      <c r="AKI5" s="34">
        <f t="shared" ca="1" si="48"/>
        <v>0.60046808431399568</v>
      </c>
      <c r="AKJ5" s="34">
        <f t="shared" ca="1" si="48"/>
        <v>0.66432354989903852</v>
      </c>
      <c r="AKK5" s="34">
        <f t="shared" ca="1" si="48"/>
        <v>0.64142716398722888</v>
      </c>
      <c r="AKL5" s="34">
        <f t="shared" ca="1" si="48"/>
        <v>0.58704817396345521</v>
      </c>
      <c r="AKM5" s="34">
        <f t="shared" ca="1" si="48"/>
        <v>0.67738866430093392</v>
      </c>
      <c r="AKN5" s="34">
        <f t="shared" ca="1" si="48"/>
        <v>0.65473568938412519</v>
      </c>
      <c r="AKO5" s="34">
        <f t="shared" ca="1" si="48"/>
        <v>0.67204745334347926</v>
      </c>
      <c r="AKP5" s="34">
        <f t="shared" ca="1" si="48"/>
        <v>0.65416896847342099</v>
      </c>
      <c r="AKQ5" s="34">
        <f t="shared" ca="1" si="48"/>
        <v>0.63194471318398637</v>
      </c>
      <c r="AKR5" s="34">
        <f t="shared" ca="1" si="48"/>
        <v>0.55345693391968509</v>
      </c>
      <c r="AKS5" s="34">
        <f t="shared" ca="1" si="48"/>
        <v>0.62349237720934247</v>
      </c>
      <c r="AKT5" s="34">
        <f t="shared" ca="1" si="48"/>
        <v>0.61077823459187219</v>
      </c>
      <c r="AKU5" s="34">
        <f t="shared" ca="1" si="48"/>
        <v>0.61115250955253986</v>
      </c>
      <c r="AKV5" s="34">
        <f t="shared" ca="1" si="48"/>
        <v>0.60604134254330222</v>
      </c>
      <c r="AKW5" s="34">
        <f t="shared" ca="1" si="48"/>
        <v>0.57521502847020112</v>
      </c>
      <c r="AKX5" s="34">
        <f t="shared" ca="1" si="48"/>
        <v>0.65812479673341184</v>
      </c>
      <c r="AKY5" s="34">
        <f t="shared" ca="1" si="48"/>
        <v>0.65828491915093423</v>
      </c>
      <c r="AKZ5" s="34">
        <f t="shared" ca="1" si="48"/>
        <v>0.61465227438895997</v>
      </c>
      <c r="ALA5" s="34">
        <f t="shared" ca="1" si="48"/>
        <v>0.65725127079962675</v>
      </c>
      <c r="ALB5" s="34">
        <f t="shared" ca="1" si="48"/>
        <v>0.59325819307169625</v>
      </c>
      <c r="ALC5" s="34">
        <f t="shared" ca="1" si="48"/>
        <v>0.666061657625731</v>
      </c>
      <c r="ALD5" s="34">
        <f t="shared" ca="1" si="48"/>
        <v>0.5899667133390718</v>
      </c>
      <c r="ALE5" s="34">
        <f t="shared" ca="1" si="48"/>
        <v>0.67242359734392498</v>
      </c>
      <c r="ALF5" s="34">
        <f t="shared" ca="1" si="48"/>
        <v>0.63631324231527686</v>
      </c>
      <c r="ALG5" s="34">
        <f t="shared" ca="1" si="48"/>
        <v>0.61323050732270834</v>
      </c>
      <c r="ALH5" s="34">
        <f t="shared" ca="1" si="48"/>
        <v>0.54155144352467088</v>
      </c>
      <c r="ALI5" s="34">
        <f t="shared" ca="1" si="48"/>
        <v>0.64539877112908872</v>
      </c>
      <c r="ALJ5" s="34">
        <f t="shared" ca="1" si="48"/>
        <v>0.62373474310670707</v>
      </c>
      <c r="ALK5" s="34">
        <f t="shared" ca="1" si="48"/>
        <v>0.66023907813060179</v>
      </c>
      <c r="ALL5" s="34">
        <f t="shared" ca="1" si="48"/>
        <v>0.69711682924299834</v>
      </c>
      <c r="ALM5" s="34">
        <f t="shared" ca="1" si="48"/>
        <v>0.6464037735005943</v>
      </c>
      <c r="ALN5" s="34">
        <f t="shared" ca="1" si="48"/>
        <v>0.51658371246909729</v>
      </c>
      <c r="ALO5" s="34">
        <f t="shared" ca="1" si="48"/>
        <v>0.62780180862911272</v>
      </c>
      <c r="ALP5" s="34">
        <f t="shared" ca="1" si="48"/>
        <v>0.71644564984282688</v>
      </c>
      <c r="ALQ5" s="34">
        <f t="shared" ca="1" si="48"/>
        <v>0.56303241489375455</v>
      </c>
      <c r="ALR5" s="34">
        <f t="shared" ca="1" si="48"/>
        <v>0.58108450661957656</v>
      </c>
      <c r="ALS5" s="34">
        <f t="shared" ca="1" si="48"/>
        <v>0.65230257919430834</v>
      </c>
    </row>
    <row r="6" spans="1:1007" x14ac:dyDescent="0.2">
      <c r="G6" s="10" t="s">
        <v>1570</v>
      </c>
      <c r="H6" s="14">
        <f ca="1">((H2^$C$10) -1)/$C$10</f>
        <v>10.964020986659051</v>
      </c>
      <c r="I6" s="14">
        <f t="shared" ref="I6:BT6" ca="1" si="49">((I2^$C$10) -1)/$C$10</f>
        <v>10.862491770513572</v>
      </c>
      <c r="J6" s="14">
        <f t="shared" ca="1" si="49"/>
        <v>10.971361561473714</v>
      </c>
      <c r="K6" s="14">
        <f t="shared" ca="1" si="49"/>
        <v>10.913943613299892</v>
      </c>
      <c r="L6" s="14">
        <f t="shared" ca="1" si="49"/>
        <v>11.307812619598678</v>
      </c>
      <c r="M6" s="14">
        <f t="shared" ca="1" si="49"/>
        <v>11.253903731134329</v>
      </c>
      <c r="N6" s="14">
        <f t="shared" ca="1" si="49"/>
        <v>10.862632848773757</v>
      </c>
      <c r="O6" s="14">
        <f t="shared" ca="1" si="49"/>
        <v>10.926828171164971</v>
      </c>
      <c r="P6" s="14">
        <f t="shared" ca="1" si="49"/>
        <v>11.019496690689579</v>
      </c>
      <c r="Q6" s="14">
        <f t="shared" ca="1" si="49"/>
        <v>10.948948834244021</v>
      </c>
      <c r="R6" s="14">
        <f t="shared" ca="1" si="49"/>
        <v>10.842470448135799</v>
      </c>
      <c r="S6" s="14">
        <f t="shared" ca="1" si="49"/>
        <v>11.069074115077626</v>
      </c>
      <c r="T6" s="14">
        <f t="shared" ca="1" si="49"/>
        <v>11.128420871475697</v>
      </c>
      <c r="U6" s="14">
        <f t="shared" ca="1" si="49"/>
        <v>10.987636716031091</v>
      </c>
      <c r="V6" s="14">
        <f t="shared" ca="1" si="49"/>
        <v>10.936115046877859</v>
      </c>
      <c r="W6" s="14">
        <f t="shared" ca="1" si="49"/>
        <v>11.092693639191964</v>
      </c>
      <c r="X6" s="14">
        <f t="shared" ca="1" si="49"/>
        <v>10.969028809704184</v>
      </c>
      <c r="Y6" s="14">
        <f t="shared" ca="1" si="49"/>
        <v>11.19748972211454</v>
      </c>
      <c r="Z6" s="14">
        <f t="shared" ca="1" si="49"/>
        <v>10.800800183119463</v>
      </c>
      <c r="AA6" s="14">
        <f t="shared" ca="1" si="49"/>
        <v>10.833057821901804</v>
      </c>
      <c r="AB6" s="14">
        <f t="shared" ca="1" si="49"/>
        <v>10.895968525215238</v>
      </c>
      <c r="AC6" s="14">
        <f t="shared" ca="1" si="49"/>
        <v>10.962966370264837</v>
      </c>
      <c r="AD6" s="14">
        <f t="shared" ca="1" si="49"/>
        <v>10.928372080609705</v>
      </c>
      <c r="AE6" s="14">
        <f t="shared" ca="1" si="49"/>
        <v>11.171606675297596</v>
      </c>
      <c r="AF6" s="14">
        <f t="shared" ca="1" si="49"/>
        <v>11.056671211928659</v>
      </c>
      <c r="AG6" s="14">
        <f t="shared" ca="1" si="49"/>
        <v>10.740036533452013</v>
      </c>
      <c r="AH6" s="14">
        <f t="shared" ca="1" si="49"/>
        <v>10.952227678107107</v>
      </c>
      <c r="AI6" s="14">
        <f t="shared" ca="1" si="49"/>
        <v>10.98999942383827</v>
      </c>
      <c r="AJ6" s="14">
        <f t="shared" ca="1" si="49"/>
        <v>10.901360911752533</v>
      </c>
      <c r="AK6" s="14">
        <f t="shared" ca="1" si="49"/>
        <v>10.983114737683763</v>
      </c>
      <c r="AL6" s="14">
        <f t="shared" ca="1" si="49"/>
        <v>10.93181642097818</v>
      </c>
      <c r="AM6" s="14">
        <f t="shared" ca="1" si="49"/>
        <v>10.959155927192654</v>
      </c>
      <c r="AN6" s="14">
        <f t="shared" ca="1" si="49"/>
        <v>11.02297360278115</v>
      </c>
      <c r="AO6" s="14">
        <f t="shared" ca="1" si="49"/>
        <v>10.819471170098183</v>
      </c>
      <c r="AP6" s="14">
        <f t="shared" ca="1" si="49"/>
        <v>10.912287646824836</v>
      </c>
      <c r="AQ6" s="14">
        <f t="shared" ca="1" si="49"/>
        <v>11.010668712341243</v>
      </c>
      <c r="AR6" s="14">
        <f t="shared" ca="1" si="49"/>
        <v>10.843275084493342</v>
      </c>
      <c r="AS6" s="14">
        <f t="shared" ca="1" si="49"/>
        <v>11.024165653683582</v>
      </c>
      <c r="AT6" s="14">
        <f t="shared" ca="1" si="49"/>
        <v>10.945367492354308</v>
      </c>
      <c r="AU6" s="14">
        <f t="shared" ca="1" si="49"/>
        <v>10.863686075168744</v>
      </c>
      <c r="AV6" s="14">
        <f t="shared" ca="1" si="49"/>
        <v>11.015612175757639</v>
      </c>
      <c r="AW6" s="14">
        <f t="shared" ca="1" si="49"/>
        <v>11.145186162853093</v>
      </c>
      <c r="AX6" s="14">
        <f t="shared" ca="1" si="49"/>
        <v>10.705654214238081</v>
      </c>
      <c r="AY6" s="14">
        <f t="shared" ca="1" si="49"/>
        <v>11.174156713256167</v>
      </c>
      <c r="AZ6" s="14">
        <f t="shared" ca="1" si="49"/>
        <v>10.790297741980481</v>
      </c>
      <c r="BA6" s="14">
        <f t="shared" ca="1" si="49"/>
        <v>10.876602851705996</v>
      </c>
      <c r="BB6" s="14">
        <f t="shared" ca="1" si="49"/>
        <v>10.854774465940409</v>
      </c>
      <c r="BC6" s="14">
        <f t="shared" ca="1" si="49"/>
        <v>11.179219963075582</v>
      </c>
      <c r="BD6" s="14">
        <f t="shared" ca="1" si="49"/>
        <v>10.917111257224832</v>
      </c>
      <c r="BE6" s="14">
        <f t="shared" ca="1" si="49"/>
        <v>10.878366956124097</v>
      </c>
      <c r="BF6" s="14">
        <f t="shared" ca="1" si="49"/>
        <v>10.946352382301683</v>
      </c>
      <c r="BG6" s="14">
        <f t="shared" ca="1" si="49"/>
        <v>10.888846513346095</v>
      </c>
      <c r="BH6" s="14">
        <f t="shared" ca="1" si="49"/>
        <v>10.832049530673515</v>
      </c>
      <c r="BI6" s="14">
        <f t="shared" ca="1" si="49"/>
        <v>10.950612687743444</v>
      </c>
      <c r="BJ6" s="14">
        <f t="shared" ca="1" si="49"/>
        <v>11.004977451545273</v>
      </c>
      <c r="BK6" s="14">
        <f t="shared" ca="1" si="49"/>
        <v>10.951597033681537</v>
      </c>
      <c r="BL6" s="14">
        <f t="shared" ca="1" si="49"/>
        <v>10.889128712054941</v>
      </c>
      <c r="BM6" s="14">
        <f t="shared" ca="1" si="49"/>
        <v>10.965566368259516</v>
      </c>
      <c r="BN6" s="14">
        <f t="shared" ca="1" si="49"/>
        <v>11.142286628906817</v>
      </c>
      <c r="BO6" s="14">
        <f t="shared" ca="1" si="49"/>
        <v>11.149663567966428</v>
      </c>
      <c r="BP6" s="14">
        <f t="shared" ca="1" si="49"/>
        <v>10.869609932129265</v>
      </c>
      <c r="BQ6" s="14">
        <f t="shared" ca="1" si="49"/>
        <v>11.135018331831503</v>
      </c>
      <c r="BR6" s="14">
        <f t="shared" ca="1" si="49"/>
        <v>10.979486875228872</v>
      </c>
      <c r="BS6" s="14">
        <f t="shared" ca="1" si="49"/>
        <v>10.950517919106062</v>
      </c>
      <c r="BT6" s="14">
        <f t="shared" ca="1" si="49"/>
        <v>10.788332081013152</v>
      </c>
      <c r="BU6" s="14">
        <f t="shared" ref="BU6:EF6" ca="1" si="50">((BU2^$C$10) -1)/$C$10</f>
        <v>11.043354826156815</v>
      </c>
      <c r="BV6" s="14">
        <f t="shared" ca="1" si="50"/>
        <v>10.984698839422435</v>
      </c>
      <c r="BW6" s="14">
        <f t="shared" ca="1" si="50"/>
        <v>10.712255091860357</v>
      </c>
      <c r="BX6" s="14">
        <f t="shared" ca="1" si="50"/>
        <v>10.853703296120898</v>
      </c>
      <c r="BY6" s="14">
        <f t="shared" ca="1" si="50"/>
        <v>10.940797749992015</v>
      </c>
      <c r="BZ6" s="14">
        <f t="shared" ca="1" si="50"/>
        <v>10.988293122071724</v>
      </c>
      <c r="CA6" s="14">
        <f t="shared" ca="1" si="50"/>
        <v>10.833721231229276</v>
      </c>
      <c r="CB6" s="14">
        <f t="shared" ca="1" si="50"/>
        <v>10.913274535173656</v>
      </c>
      <c r="CC6" s="14">
        <f t="shared" ca="1" si="50"/>
        <v>11.00651177088352</v>
      </c>
      <c r="CD6" s="14">
        <f t="shared" ca="1" si="50"/>
        <v>10.986733527396098</v>
      </c>
      <c r="CE6" s="14">
        <f t="shared" ca="1" si="50"/>
        <v>10.947963764440516</v>
      </c>
      <c r="CF6" s="14">
        <f t="shared" ca="1" si="50"/>
        <v>10.768437950225973</v>
      </c>
      <c r="CG6" s="14">
        <f t="shared" ca="1" si="50"/>
        <v>11.136937458910978</v>
      </c>
      <c r="CH6" s="14">
        <f t="shared" ca="1" si="50"/>
        <v>11.01696900374094</v>
      </c>
      <c r="CI6" s="14">
        <f t="shared" ca="1" si="50"/>
        <v>10.775784831107416</v>
      </c>
      <c r="CJ6" s="14">
        <f t="shared" ca="1" si="50"/>
        <v>11.324519038069525</v>
      </c>
      <c r="CK6" s="14">
        <f t="shared" ca="1" si="50"/>
        <v>10.866721336100227</v>
      </c>
      <c r="CL6" s="14">
        <f t="shared" ca="1" si="50"/>
        <v>11.023233492668538</v>
      </c>
      <c r="CM6" s="14">
        <f t="shared" ca="1" si="50"/>
        <v>11.189914923548372</v>
      </c>
      <c r="CN6" s="14">
        <f t="shared" ca="1" si="50"/>
        <v>11.014701168932106</v>
      </c>
      <c r="CO6" s="14">
        <f t="shared" ca="1" si="50"/>
        <v>10.928216374050947</v>
      </c>
      <c r="CP6" s="14">
        <f t="shared" ca="1" si="50"/>
        <v>10.96656146559738</v>
      </c>
      <c r="CQ6" s="14">
        <f t="shared" ca="1" si="50"/>
        <v>11.100624486282129</v>
      </c>
      <c r="CR6" s="14">
        <f t="shared" ca="1" si="50"/>
        <v>11.025304362810573</v>
      </c>
      <c r="CS6" s="14">
        <f t="shared" ca="1" si="50"/>
        <v>10.941249100060446</v>
      </c>
      <c r="CT6" s="14">
        <f t="shared" ca="1" si="50"/>
        <v>11.077862429598184</v>
      </c>
      <c r="CU6" s="14">
        <f t="shared" ca="1" si="50"/>
        <v>11.004266897707282</v>
      </c>
      <c r="CV6" s="14">
        <f t="shared" ca="1" si="50"/>
        <v>10.905733220933911</v>
      </c>
      <c r="CW6" s="14">
        <f t="shared" ca="1" si="50"/>
        <v>10.624588044905181</v>
      </c>
      <c r="CX6" s="14">
        <f t="shared" ca="1" si="50"/>
        <v>10.948130912957765</v>
      </c>
      <c r="CY6" s="14">
        <f t="shared" ca="1" si="50"/>
        <v>11.105431847457936</v>
      </c>
      <c r="CZ6" s="14">
        <f t="shared" ca="1" si="50"/>
        <v>11.085639202157438</v>
      </c>
      <c r="DA6" s="14">
        <f t="shared" ca="1" si="50"/>
        <v>11.161691153560582</v>
      </c>
      <c r="DB6" s="14">
        <f t="shared" ca="1" si="50"/>
        <v>11.110960282945115</v>
      </c>
      <c r="DC6" s="14">
        <f t="shared" ca="1" si="50"/>
        <v>10.86052763943357</v>
      </c>
      <c r="DD6" s="14">
        <f t="shared" ca="1" si="50"/>
        <v>10.873604623373723</v>
      </c>
      <c r="DE6" s="14">
        <f t="shared" ca="1" si="50"/>
        <v>10.9744566767489</v>
      </c>
      <c r="DF6" s="14">
        <f t="shared" ca="1" si="50"/>
        <v>11.016224499282856</v>
      </c>
      <c r="DG6" s="14">
        <f t="shared" ca="1" si="50"/>
        <v>11.132279009729018</v>
      </c>
      <c r="DH6" s="14">
        <f t="shared" ca="1" si="50"/>
        <v>10.778073615824724</v>
      </c>
      <c r="DI6" s="14">
        <f t="shared" ca="1" si="50"/>
        <v>11.029624624736556</v>
      </c>
      <c r="DJ6" s="14">
        <f t="shared" ca="1" si="50"/>
        <v>10.777037213749452</v>
      </c>
      <c r="DK6" s="14">
        <f t="shared" ca="1" si="50"/>
        <v>10.960811929194847</v>
      </c>
      <c r="DL6" s="14">
        <f t="shared" ca="1" si="50"/>
        <v>11.005060907010034</v>
      </c>
      <c r="DM6" s="14">
        <f t="shared" ca="1" si="50"/>
        <v>11.03372770039357</v>
      </c>
      <c r="DN6" s="14">
        <f t="shared" ca="1" si="50"/>
        <v>11.137662536686577</v>
      </c>
      <c r="DO6" s="14">
        <f t="shared" ca="1" si="50"/>
        <v>10.997935377954349</v>
      </c>
      <c r="DP6" s="14">
        <f t="shared" ca="1" si="50"/>
        <v>11.068516314605148</v>
      </c>
      <c r="DQ6" s="14">
        <f t="shared" ca="1" si="50"/>
        <v>11.174229852528583</v>
      </c>
      <c r="DR6" s="14">
        <f t="shared" ca="1" si="50"/>
        <v>10.917578392444227</v>
      </c>
      <c r="DS6" s="14">
        <f t="shared" ca="1" si="50"/>
        <v>10.826864993429552</v>
      </c>
      <c r="DT6" s="14">
        <f t="shared" ca="1" si="50"/>
        <v>10.907667229442808</v>
      </c>
      <c r="DU6" s="14">
        <f t="shared" ca="1" si="50"/>
        <v>11.113991298383752</v>
      </c>
      <c r="DV6" s="14">
        <f t="shared" ca="1" si="50"/>
        <v>11.163876638686787</v>
      </c>
      <c r="DW6" s="14">
        <f t="shared" ca="1" si="50"/>
        <v>10.90824793603673</v>
      </c>
      <c r="DX6" s="14">
        <f t="shared" ca="1" si="50"/>
        <v>10.913020975777954</v>
      </c>
      <c r="DY6" s="14">
        <f t="shared" ca="1" si="50"/>
        <v>10.936517254034328</v>
      </c>
      <c r="DZ6" s="14">
        <f t="shared" ca="1" si="50"/>
        <v>10.979923790177537</v>
      </c>
      <c r="EA6" s="14">
        <f t="shared" ca="1" si="50"/>
        <v>11.065398979326346</v>
      </c>
      <c r="EB6" s="14">
        <f t="shared" ca="1" si="50"/>
        <v>11.3942903534614</v>
      </c>
      <c r="EC6" s="14">
        <f t="shared" ca="1" si="50"/>
        <v>11.090289446791246</v>
      </c>
      <c r="ED6" s="14">
        <f t="shared" ca="1" si="50"/>
        <v>11.228286371789409</v>
      </c>
      <c r="EE6" s="14">
        <f t="shared" ca="1" si="50"/>
        <v>11.026707664729685</v>
      </c>
      <c r="EF6" s="14">
        <f t="shared" ca="1" si="50"/>
        <v>10.912637298243766</v>
      </c>
      <c r="EG6" s="14">
        <f t="shared" ref="EG6:GR6" ca="1" si="51">((EG2^$C$10) -1)/$C$10</f>
        <v>10.791076439087277</v>
      </c>
      <c r="EH6" s="14">
        <f t="shared" ca="1" si="51"/>
        <v>11.024260877512404</v>
      </c>
      <c r="EI6" s="14">
        <f t="shared" ca="1" si="51"/>
        <v>10.980326987652944</v>
      </c>
      <c r="EJ6" s="14">
        <f t="shared" ca="1" si="51"/>
        <v>10.811030954904766</v>
      </c>
      <c r="EK6" s="14">
        <f t="shared" ca="1" si="51"/>
        <v>10.974393018781115</v>
      </c>
      <c r="EL6" s="14">
        <f t="shared" ca="1" si="51"/>
        <v>10.915374515363396</v>
      </c>
      <c r="EM6" s="14">
        <f t="shared" ca="1" si="51"/>
        <v>11.242390629551124</v>
      </c>
      <c r="EN6" s="14">
        <f t="shared" ca="1" si="51"/>
        <v>10.972271389242394</v>
      </c>
      <c r="EO6" s="14">
        <f t="shared" ca="1" si="51"/>
        <v>11.142466884717095</v>
      </c>
      <c r="EP6" s="14">
        <f t="shared" ca="1" si="51"/>
        <v>10.830225303237739</v>
      </c>
      <c r="EQ6" s="14">
        <f t="shared" ca="1" si="51"/>
        <v>10.956364371317306</v>
      </c>
      <c r="ER6" s="14">
        <f t="shared" ca="1" si="51"/>
        <v>10.902856704131381</v>
      </c>
      <c r="ES6" s="14">
        <f t="shared" ca="1" si="51"/>
        <v>11.013819027905214</v>
      </c>
      <c r="ET6" s="14">
        <f t="shared" ca="1" si="51"/>
        <v>11.254810874383736</v>
      </c>
      <c r="EU6" s="14">
        <f t="shared" ca="1" si="51"/>
        <v>10.9006906234832</v>
      </c>
      <c r="EV6" s="14">
        <f t="shared" ca="1" si="51"/>
        <v>11.280153204840104</v>
      </c>
      <c r="EW6" s="14">
        <f t="shared" ca="1" si="51"/>
        <v>10.787928010902448</v>
      </c>
      <c r="EX6" s="14">
        <f t="shared" ca="1" si="51"/>
        <v>11.032712516900745</v>
      </c>
      <c r="EY6" s="14">
        <f t="shared" ca="1" si="51"/>
        <v>11.012370295659935</v>
      </c>
      <c r="EZ6" s="14">
        <f t="shared" ca="1" si="51"/>
        <v>10.83333168505618</v>
      </c>
      <c r="FA6" s="14">
        <f t="shared" ca="1" si="51"/>
        <v>10.871049203053929</v>
      </c>
      <c r="FB6" s="14">
        <f t="shared" ca="1" si="51"/>
        <v>10.910328094304589</v>
      </c>
      <c r="FC6" s="14">
        <f t="shared" ca="1" si="51"/>
        <v>11.187530670753176</v>
      </c>
      <c r="FD6" s="14">
        <f t="shared" ca="1" si="51"/>
        <v>10.846307720857595</v>
      </c>
      <c r="FE6" s="14">
        <f t="shared" ca="1" si="51"/>
        <v>11.010107023867732</v>
      </c>
      <c r="FF6" s="14">
        <f t="shared" ca="1" si="51"/>
        <v>11.056545812238028</v>
      </c>
      <c r="FG6" s="14">
        <f t="shared" ca="1" si="51"/>
        <v>10.939875920712439</v>
      </c>
      <c r="FH6" s="14">
        <f t="shared" ca="1" si="51"/>
        <v>10.937898922147582</v>
      </c>
      <c r="FI6" s="14">
        <f t="shared" ca="1" si="51"/>
        <v>11.007605631441209</v>
      </c>
      <c r="FJ6" s="14">
        <f t="shared" ca="1" si="51"/>
        <v>11.172015317306716</v>
      </c>
      <c r="FK6" s="14">
        <f t="shared" ca="1" si="51"/>
        <v>10.941747270454272</v>
      </c>
      <c r="FL6" s="14">
        <f t="shared" ca="1" si="51"/>
        <v>11.06254165383902</v>
      </c>
      <c r="FM6" s="14">
        <f t="shared" ca="1" si="51"/>
        <v>10.847180065276518</v>
      </c>
      <c r="FN6" s="14">
        <f t="shared" ca="1" si="51"/>
        <v>11.099646830547982</v>
      </c>
      <c r="FO6" s="14">
        <f t="shared" ca="1" si="51"/>
        <v>11.050644901366979</v>
      </c>
      <c r="FP6" s="14">
        <f t="shared" ca="1" si="51"/>
        <v>11.104973820508235</v>
      </c>
      <c r="FQ6" s="14">
        <f t="shared" ca="1" si="51"/>
        <v>11.081678517044224</v>
      </c>
      <c r="FR6" s="14">
        <f t="shared" ca="1" si="51"/>
        <v>11.077819508376052</v>
      </c>
      <c r="FS6" s="14">
        <f t="shared" ca="1" si="51"/>
        <v>11.170215901135094</v>
      </c>
      <c r="FT6" s="14">
        <f t="shared" ca="1" si="51"/>
        <v>11.036794795860061</v>
      </c>
      <c r="FU6" s="14">
        <f t="shared" ca="1" si="51"/>
        <v>10.852888030488117</v>
      </c>
      <c r="FV6" s="14">
        <f t="shared" ca="1" si="51"/>
        <v>11.003571818157809</v>
      </c>
      <c r="FW6" s="14">
        <f t="shared" ca="1" si="51"/>
        <v>10.741075828768487</v>
      </c>
      <c r="FX6" s="14">
        <f t="shared" ca="1" si="51"/>
        <v>11.157853037069287</v>
      </c>
      <c r="FY6" s="14">
        <f t="shared" ca="1" si="51"/>
        <v>10.882883578755553</v>
      </c>
      <c r="FZ6" s="14">
        <f t="shared" ca="1" si="51"/>
        <v>10.931559473181807</v>
      </c>
      <c r="GA6" s="14">
        <f t="shared" ca="1" si="51"/>
        <v>10.854776990587567</v>
      </c>
      <c r="GB6" s="14">
        <f t="shared" ca="1" si="51"/>
        <v>11.084166389174754</v>
      </c>
      <c r="GC6" s="14">
        <f t="shared" ca="1" si="51"/>
        <v>10.811342416872094</v>
      </c>
      <c r="GD6" s="14">
        <f t="shared" ca="1" si="51"/>
        <v>10.954479845448617</v>
      </c>
      <c r="GE6" s="14">
        <f t="shared" ca="1" si="51"/>
        <v>10.839296333831072</v>
      </c>
      <c r="GF6" s="14">
        <f t="shared" ca="1" si="51"/>
        <v>11.101440597904855</v>
      </c>
      <c r="GG6" s="14">
        <f t="shared" ca="1" si="51"/>
        <v>10.822648923713984</v>
      </c>
      <c r="GH6" s="14">
        <f t="shared" ca="1" si="51"/>
        <v>10.771755636351799</v>
      </c>
      <c r="GI6" s="14">
        <f t="shared" ca="1" si="51"/>
        <v>10.933220455644488</v>
      </c>
      <c r="GJ6" s="14">
        <f t="shared" ca="1" si="51"/>
        <v>10.900945193181855</v>
      </c>
      <c r="GK6" s="14">
        <f t="shared" ca="1" si="51"/>
        <v>11.032805766753029</v>
      </c>
      <c r="GL6" s="14">
        <f t="shared" ca="1" si="51"/>
        <v>10.902062219653175</v>
      </c>
      <c r="GM6" s="14">
        <f t="shared" ca="1" si="51"/>
        <v>10.794466651642409</v>
      </c>
      <c r="GN6" s="14">
        <f t="shared" ca="1" si="51"/>
        <v>10.695667476134929</v>
      </c>
      <c r="GO6" s="14">
        <f t="shared" ca="1" si="51"/>
        <v>10.977871989226173</v>
      </c>
      <c r="GP6" s="14">
        <f t="shared" ca="1" si="51"/>
        <v>11.210961372576378</v>
      </c>
      <c r="GQ6" s="14">
        <f t="shared" ca="1" si="51"/>
        <v>11.046159604788386</v>
      </c>
      <c r="GR6" s="14">
        <f t="shared" ca="1" si="51"/>
        <v>11.096054435277836</v>
      </c>
      <c r="GS6" s="14">
        <f t="shared" ref="GS6:JD6" ca="1" si="52">((GS2^$C$10) -1)/$C$10</f>
        <v>11.079244655043397</v>
      </c>
      <c r="GT6" s="14">
        <f t="shared" ca="1" si="52"/>
        <v>10.983137350706329</v>
      </c>
      <c r="GU6" s="14">
        <f t="shared" ca="1" si="52"/>
        <v>10.812215787137092</v>
      </c>
      <c r="GV6" s="14">
        <f t="shared" ca="1" si="52"/>
        <v>10.894829132190864</v>
      </c>
      <c r="GW6" s="14">
        <f t="shared" ca="1" si="52"/>
        <v>11.108270721038593</v>
      </c>
      <c r="GX6" s="14">
        <f t="shared" ca="1" si="52"/>
        <v>10.998259971639612</v>
      </c>
      <c r="GY6" s="14">
        <f t="shared" ca="1" si="52"/>
        <v>11.044456080799847</v>
      </c>
      <c r="GZ6" s="14">
        <f t="shared" ca="1" si="52"/>
        <v>11.097186054520591</v>
      </c>
      <c r="HA6" s="14">
        <f t="shared" ca="1" si="52"/>
        <v>10.94872759122012</v>
      </c>
      <c r="HB6" s="14">
        <f t="shared" ca="1" si="52"/>
        <v>10.891240320720641</v>
      </c>
      <c r="HC6" s="14">
        <f t="shared" ca="1" si="52"/>
        <v>10.920066593200772</v>
      </c>
      <c r="HD6" s="14">
        <f t="shared" ca="1" si="52"/>
        <v>11.081227877518529</v>
      </c>
      <c r="HE6" s="14">
        <f t="shared" ca="1" si="52"/>
        <v>10.642367984647905</v>
      </c>
      <c r="HF6" s="14">
        <f t="shared" ca="1" si="52"/>
        <v>10.897248803320991</v>
      </c>
      <c r="HG6" s="14">
        <f t="shared" ca="1" si="52"/>
        <v>10.858775798539</v>
      </c>
      <c r="HH6" s="14">
        <f t="shared" ca="1" si="52"/>
        <v>10.883817245233018</v>
      </c>
      <c r="HI6" s="14">
        <f t="shared" ca="1" si="52"/>
        <v>11.064765197410509</v>
      </c>
      <c r="HJ6" s="14">
        <f t="shared" ca="1" si="52"/>
        <v>11.002819817473863</v>
      </c>
      <c r="HK6" s="14">
        <f t="shared" ca="1" si="52"/>
        <v>10.922701185744899</v>
      </c>
      <c r="HL6" s="14">
        <f t="shared" ca="1" si="52"/>
        <v>11.06187665245173</v>
      </c>
      <c r="HM6" s="14">
        <f t="shared" ca="1" si="52"/>
        <v>11.050927231082142</v>
      </c>
      <c r="HN6" s="14">
        <f t="shared" ca="1" si="52"/>
        <v>11.117876641542068</v>
      </c>
      <c r="HO6" s="14">
        <f t="shared" ca="1" si="52"/>
        <v>11.01895005239939</v>
      </c>
      <c r="HP6" s="14">
        <f t="shared" ca="1" si="52"/>
        <v>11.12741082609503</v>
      </c>
      <c r="HQ6" s="14">
        <f t="shared" ca="1" si="52"/>
        <v>11.17074095891013</v>
      </c>
      <c r="HR6" s="14">
        <f t="shared" ca="1" si="52"/>
        <v>11.19446009667513</v>
      </c>
      <c r="HS6" s="14">
        <f t="shared" ca="1" si="52"/>
        <v>11.000259891869035</v>
      </c>
      <c r="HT6" s="14">
        <f t="shared" ca="1" si="52"/>
        <v>11.14889243147843</v>
      </c>
      <c r="HU6" s="14">
        <f t="shared" ca="1" si="52"/>
        <v>10.961802261455489</v>
      </c>
      <c r="HV6" s="14">
        <f t="shared" ca="1" si="52"/>
        <v>10.916302191077421</v>
      </c>
      <c r="HW6" s="14">
        <f t="shared" ca="1" si="52"/>
        <v>10.949461837217456</v>
      </c>
      <c r="HX6" s="14">
        <f t="shared" ca="1" si="52"/>
        <v>10.824570115808285</v>
      </c>
      <c r="HY6" s="14">
        <f t="shared" ca="1" si="52"/>
        <v>11.168133744465791</v>
      </c>
      <c r="HZ6" s="14">
        <f t="shared" ca="1" si="52"/>
        <v>10.805842345362748</v>
      </c>
      <c r="IA6" s="14">
        <f t="shared" ca="1" si="52"/>
        <v>11.162769835149078</v>
      </c>
      <c r="IB6" s="14">
        <f t="shared" ca="1" si="52"/>
        <v>10.99640838830851</v>
      </c>
      <c r="IC6" s="14">
        <f t="shared" ca="1" si="52"/>
        <v>10.912694372589016</v>
      </c>
      <c r="ID6" s="14">
        <f t="shared" ca="1" si="52"/>
        <v>11.206521219886412</v>
      </c>
      <c r="IE6" s="14">
        <f t="shared" ca="1" si="52"/>
        <v>11.019915417964654</v>
      </c>
      <c r="IF6" s="14">
        <f t="shared" ca="1" si="52"/>
        <v>11.009079647905651</v>
      </c>
      <c r="IG6" s="14">
        <f t="shared" ca="1" si="52"/>
        <v>10.80727658697711</v>
      </c>
      <c r="IH6" s="14">
        <f t="shared" ca="1" si="52"/>
        <v>10.936450418608246</v>
      </c>
      <c r="II6" s="14">
        <f t="shared" ca="1" si="52"/>
        <v>11.037660174739727</v>
      </c>
      <c r="IJ6" s="14">
        <f t="shared" ca="1" si="52"/>
        <v>11.146701055508856</v>
      </c>
      <c r="IK6" s="14">
        <f t="shared" ca="1" si="52"/>
        <v>10.900875080377403</v>
      </c>
      <c r="IL6" s="14">
        <f t="shared" ca="1" si="52"/>
        <v>11.06300513864511</v>
      </c>
      <c r="IM6" s="14">
        <f t="shared" ca="1" si="52"/>
        <v>11.074907888541929</v>
      </c>
      <c r="IN6" s="14">
        <f t="shared" ca="1" si="52"/>
        <v>10.869566988702672</v>
      </c>
      <c r="IO6" s="14">
        <f t="shared" ca="1" si="52"/>
        <v>11.151278715981761</v>
      </c>
      <c r="IP6" s="14">
        <f t="shared" ca="1" si="52"/>
        <v>10.958662053361934</v>
      </c>
      <c r="IQ6" s="14">
        <f t="shared" ca="1" si="52"/>
        <v>10.989761576318813</v>
      </c>
      <c r="IR6" s="14">
        <f t="shared" ca="1" si="52"/>
        <v>10.912323731293583</v>
      </c>
      <c r="IS6" s="14">
        <f t="shared" ca="1" si="52"/>
        <v>11.085687325884663</v>
      </c>
      <c r="IT6" s="14">
        <f t="shared" ca="1" si="52"/>
        <v>11.045704220169483</v>
      </c>
      <c r="IU6" s="14">
        <f t="shared" ca="1" si="52"/>
        <v>11.020432766351007</v>
      </c>
      <c r="IV6" s="14">
        <f t="shared" ca="1" si="52"/>
        <v>11.127378238828811</v>
      </c>
      <c r="IW6" s="14">
        <f t="shared" ca="1" si="52"/>
        <v>10.925846596343547</v>
      </c>
      <c r="IX6" s="14">
        <f t="shared" ca="1" si="52"/>
        <v>10.787099893327934</v>
      </c>
      <c r="IY6" s="14">
        <f t="shared" ca="1" si="52"/>
        <v>11.232819960849127</v>
      </c>
      <c r="IZ6" s="14">
        <f t="shared" ca="1" si="52"/>
        <v>10.881098453374705</v>
      </c>
      <c r="JA6" s="14">
        <f t="shared" ca="1" si="52"/>
        <v>11.191325146597819</v>
      </c>
      <c r="JB6" s="14">
        <f t="shared" ca="1" si="52"/>
        <v>10.779125294568814</v>
      </c>
      <c r="JC6" s="14">
        <f t="shared" ca="1" si="52"/>
        <v>11.004692039850994</v>
      </c>
      <c r="JD6" s="14">
        <f t="shared" ca="1" si="52"/>
        <v>10.971702018025553</v>
      </c>
      <c r="JE6" s="14">
        <f t="shared" ref="JE6:LP6" ca="1" si="53">((JE2^$C$10) -1)/$C$10</f>
        <v>10.981791023212395</v>
      </c>
      <c r="JF6" s="14">
        <f t="shared" ca="1" si="53"/>
        <v>11.066486362842909</v>
      </c>
      <c r="JG6" s="14">
        <f t="shared" ca="1" si="53"/>
        <v>11.083411370904628</v>
      </c>
      <c r="JH6" s="14">
        <f t="shared" ca="1" si="53"/>
        <v>11.063874147954067</v>
      </c>
      <c r="JI6" s="14">
        <f t="shared" ca="1" si="53"/>
        <v>11.007273645891047</v>
      </c>
      <c r="JJ6" s="14">
        <f t="shared" ca="1" si="53"/>
        <v>10.929109528490244</v>
      </c>
      <c r="JK6" s="14">
        <f t="shared" ca="1" si="53"/>
        <v>11.037425498017228</v>
      </c>
      <c r="JL6" s="14">
        <f t="shared" ca="1" si="53"/>
        <v>10.955831948322725</v>
      </c>
      <c r="JM6" s="14">
        <f t="shared" ca="1" si="53"/>
        <v>11.066188478903172</v>
      </c>
      <c r="JN6" s="14">
        <f t="shared" ca="1" si="53"/>
        <v>10.91755356563695</v>
      </c>
      <c r="JO6" s="14">
        <f t="shared" ca="1" si="53"/>
        <v>11.07257828980579</v>
      </c>
      <c r="JP6" s="14">
        <f t="shared" ca="1" si="53"/>
        <v>10.940891934652086</v>
      </c>
      <c r="JQ6" s="14">
        <f t="shared" ca="1" si="53"/>
        <v>10.750306795870301</v>
      </c>
      <c r="JR6" s="14">
        <f t="shared" ca="1" si="53"/>
        <v>10.906959331258292</v>
      </c>
      <c r="JS6" s="14">
        <f t="shared" ca="1" si="53"/>
        <v>11.210766652780535</v>
      </c>
      <c r="JT6" s="14">
        <f t="shared" ca="1" si="53"/>
        <v>11.066839173956566</v>
      </c>
      <c r="JU6" s="14">
        <f t="shared" ca="1" si="53"/>
        <v>11.056650222052156</v>
      </c>
      <c r="JV6" s="14">
        <f t="shared" ca="1" si="53"/>
        <v>10.931702518757191</v>
      </c>
      <c r="JW6" s="14">
        <f t="shared" ca="1" si="53"/>
        <v>10.733086264202996</v>
      </c>
      <c r="JX6" s="14">
        <f t="shared" ca="1" si="53"/>
        <v>11.125935790445851</v>
      </c>
      <c r="JY6" s="14">
        <f t="shared" ca="1" si="53"/>
        <v>10.978097380043295</v>
      </c>
      <c r="JZ6" s="14">
        <f t="shared" ca="1" si="53"/>
        <v>11.205179430984202</v>
      </c>
      <c r="KA6" s="14">
        <f t="shared" ca="1" si="53"/>
        <v>10.991477539246119</v>
      </c>
      <c r="KB6" s="14">
        <f t="shared" ca="1" si="53"/>
        <v>11.159086039658206</v>
      </c>
      <c r="KC6" s="14">
        <f t="shared" ca="1" si="53"/>
        <v>10.887864008157777</v>
      </c>
      <c r="KD6" s="14">
        <f t="shared" ca="1" si="53"/>
        <v>11.058074764758175</v>
      </c>
      <c r="KE6" s="14">
        <f t="shared" ca="1" si="53"/>
        <v>11.029247994898128</v>
      </c>
      <c r="KF6" s="14">
        <f t="shared" ca="1" si="53"/>
        <v>10.808134207618281</v>
      </c>
      <c r="KG6" s="14">
        <f t="shared" ca="1" si="53"/>
        <v>10.954067899415776</v>
      </c>
      <c r="KH6" s="14">
        <f t="shared" ca="1" si="53"/>
        <v>11.038882588021437</v>
      </c>
      <c r="KI6" s="14">
        <f t="shared" ca="1" si="53"/>
        <v>11.218792232980945</v>
      </c>
      <c r="KJ6" s="14">
        <f t="shared" ca="1" si="53"/>
        <v>11.007929594519794</v>
      </c>
      <c r="KK6" s="14">
        <f t="shared" ca="1" si="53"/>
        <v>11.127341261740753</v>
      </c>
      <c r="KL6" s="14">
        <f t="shared" ca="1" si="53"/>
        <v>11.049048500577641</v>
      </c>
      <c r="KM6" s="14">
        <f t="shared" ca="1" si="53"/>
        <v>11.015650593915183</v>
      </c>
      <c r="KN6" s="14">
        <f t="shared" ca="1" si="53"/>
        <v>11.221944657968663</v>
      </c>
      <c r="KO6" s="14">
        <f t="shared" ca="1" si="53"/>
        <v>10.927173672570234</v>
      </c>
      <c r="KP6" s="14">
        <f t="shared" ca="1" si="53"/>
        <v>10.932643428329669</v>
      </c>
      <c r="KQ6" s="14">
        <f t="shared" ca="1" si="53"/>
        <v>10.907426410966536</v>
      </c>
      <c r="KR6" s="14">
        <f t="shared" ca="1" si="53"/>
        <v>11.107630850659689</v>
      </c>
      <c r="KS6" s="14">
        <f t="shared" ca="1" si="53"/>
        <v>11.051049779720046</v>
      </c>
      <c r="KT6" s="14">
        <f t="shared" ca="1" si="53"/>
        <v>10.928885831873458</v>
      </c>
      <c r="KU6" s="14">
        <f t="shared" ca="1" si="53"/>
        <v>11.051003934170467</v>
      </c>
      <c r="KV6" s="14">
        <f t="shared" ca="1" si="53"/>
        <v>11.150698342454746</v>
      </c>
      <c r="KW6" s="14">
        <f t="shared" ca="1" si="53"/>
        <v>10.879974408073423</v>
      </c>
      <c r="KX6" s="14">
        <f t="shared" ca="1" si="53"/>
        <v>10.988884511231589</v>
      </c>
      <c r="KY6" s="14">
        <f t="shared" ca="1" si="53"/>
        <v>11.066637142231883</v>
      </c>
      <c r="KZ6" s="14">
        <f t="shared" ca="1" si="53"/>
        <v>11.12380637158239</v>
      </c>
      <c r="LA6" s="14">
        <f t="shared" ca="1" si="53"/>
        <v>11.138167901325602</v>
      </c>
      <c r="LB6" s="14">
        <f t="shared" ca="1" si="53"/>
        <v>10.79962729244599</v>
      </c>
      <c r="LC6" s="14">
        <f t="shared" ca="1" si="53"/>
        <v>11.183068229225768</v>
      </c>
      <c r="LD6" s="14">
        <f t="shared" ca="1" si="53"/>
        <v>10.992098931073002</v>
      </c>
      <c r="LE6" s="14">
        <f t="shared" ca="1" si="53"/>
        <v>10.990414043288155</v>
      </c>
      <c r="LF6" s="14">
        <f t="shared" ca="1" si="53"/>
        <v>11.273669471290049</v>
      </c>
      <c r="LG6" s="14">
        <f t="shared" ca="1" si="53"/>
        <v>11.231715599802072</v>
      </c>
      <c r="LH6" s="14">
        <f t="shared" ca="1" si="53"/>
        <v>10.930029687994391</v>
      </c>
      <c r="LI6" s="14">
        <f t="shared" ca="1" si="53"/>
        <v>11.115157620977811</v>
      </c>
      <c r="LJ6" s="14">
        <f t="shared" ca="1" si="53"/>
        <v>10.972238764228592</v>
      </c>
      <c r="LK6" s="14">
        <f t="shared" ca="1" si="53"/>
        <v>10.802327248260468</v>
      </c>
      <c r="LL6" s="14">
        <f t="shared" ca="1" si="53"/>
        <v>11.164575881572603</v>
      </c>
      <c r="LM6" s="14">
        <f t="shared" ca="1" si="53"/>
        <v>10.958243248371247</v>
      </c>
      <c r="LN6" s="14">
        <f t="shared" ca="1" si="53"/>
        <v>11.012328220427747</v>
      </c>
      <c r="LO6" s="14">
        <f t="shared" ca="1" si="53"/>
        <v>11.175021203957414</v>
      </c>
      <c r="LP6" s="14">
        <f t="shared" ca="1" si="53"/>
        <v>10.802967760348281</v>
      </c>
      <c r="LQ6" s="14">
        <f t="shared" ref="LQ6:OB6" ca="1" si="54">((LQ2^$C$10) -1)/$C$10</f>
        <v>10.776860386307874</v>
      </c>
      <c r="LR6" s="14">
        <f t="shared" ca="1" si="54"/>
        <v>10.617739767404544</v>
      </c>
      <c r="LS6" s="14">
        <f t="shared" ca="1" si="54"/>
        <v>10.901698850318553</v>
      </c>
      <c r="LT6" s="14">
        <f t="shared" ca="1" si="54"/>
        <v>10.888515062923432</v>
      </c>
      <c r="LU6" s="14">
        <f t="shared" ca="1" si="54"/>
        <v>11.076697579159855</v>
      </c>
      <c r="LV6" s="14">
        <f t="shared" ca="1" si="54"/>
        <v>11.373765982369832</v>
      </c>
      <c r="LW6" s="14">
        <f t="shared" ca="1" si="54"/>
        <v>11.001906805585548</v>
      </c>
      <c r="LX6" s="14">
        <f t="shared" ca="1" si="54"/>
        <v>10.547495239432436</v>
      </c>
      <c r="LY6" s="14">
        <f t="shared" ca="1" si="54"/>
        <v>11.054819861744392</v>
      </c>
      <c r="LZ6" s="14">
        <f t="shared" ca="1" si="54"/>
        <v>11.086960054473849</v>
      </c>
      <c r="MA6" s="14">
        <f t="shared" ca="1" si="54"/>
        <v>11.076437447243848</v>
      </c>
      <c r="MB6" s="14">
        <f t="shared" ca="1" si="54"/>
        <v>10.848383673600637</v>
      </c>
      <c r="MC6" s="14">
        <f t="shared" ca="1" si="54"/>
        <v>10.944265531609432</v>
      </c>
      <c r="MD6" s="14">
        <f t="shared" ca="1" si="54"/>
        <v>10.865631672185572</v>
      </c>
      <c r="ME6" s="14">
        <f t="shared" ca="1" si="54"/>
        <v>11.041335366002158</v>
      </c>
      <c r="MF6" s="14">
        <f t="shared" ca="1" si="54"/>
        <v>10.883249998983047</v>
      </c>
      <c r="MG6" s="14">
        <f t="shared" ca="1" si="54"/>
        <v>11.093929022099047</v>
      </c>
      <c r="MH6" s="14">
        <f t="shared" ca="1" si="54"/>
        <v>10.854782963587439</v>
      </c>
      <c r="MI6" s="14">
        <f t="shared" ca="1" si="54"/>
        <v>11.007137363794328</v>
      </c>
      <c r="MJ6" s="14">
        <f t="shared" ca="1" si="54"/>
        <v>11.02665860175378</v>
      </c>
      <c r="MK6" s="14">
        <f t="shared" ca="1" si="54"/>
        <v>10.749648886587693</v>
      </c>
      <c r="ML6" s="14">
        <f t="shared" ca="1" si="54"/>
        <v>11.169979048375467</v>
      </c>
      <c r="MM6" s="14">
        <f t="shared" ca="1" si="54"/>
        <v>11.090112892464532</v>
      </c>
      <c r="MN6" s="14">
        <f t="shared" ca="1" si="54"/>
        <v>10.810670685312829</v>
      </c>
      <c r="MO6" s="14">
        <f t="shared" ca="1" si="54"/>
        <v>11.111939786090375</v>
      </c>
      <c r="MP6" s="14">
        <f t="shared" ca="1" si="54"/>
        <v>10.97175840847342</v>
      </c>
      <c r="MQ6" s="14">
        <f t="shared" ca="1" si="54"/>
        <v>10.827293812631922</v>
      </c>
      <c r="MR6" s="14">
        <f t="shared" ca="1" si="54"/>
        <v>11.034711999702296</v>
      </c>
      <c r="MS6" s="14">
        <f t="shared" ca="1" si="54"/>
        <v>10.734294306757874</v>
      </c>
      <c r="MT6" s="14">
        <f t="shared" ca="1" si="54"/>
        <v>10.907154246453388</v>
      </c>
      <c r="MU6" s="14">
        <f t="shared" ca="1" si="54"/>
        <v>11.067404970255268</v>
      </c>
      <c r="MV6" s="14">
        <f t="shared" ca="1" si="54"/>
        <v>11.219366777837081</v>
      </c>
      <c r="MW6" s="14">
        <f t="shared" ca="1" si="54"/>
        <v>11.140255553598877</v>
      </c>
      <c r="MX6" s="14">
        <f t="shared" ca="1" si="54"/>
        <v>11.061306914861291</v>
      </c>
      <c r="MY6" s="14">
        <f t="shared" ca="1" si="54"/>
        <v>11.109483819549126</v>
      </c>
      <c r="MZ6" s="14">
        <f t="shared" ca="1" si="54"/>
        <v>11.009091751557065</v>
      </c>
      <c r="NA6" s="14">
        <f t="shared" ca="1" si="54"/>
        <v>11.032117042120149</v>
      </c>
      <c r="NB6" s="14">
        <f t="shared" ca="1" si="54"/>
        <v>11.026535493563472</v>
      </c>
      <c r="NC6" s="14">
        <f t="shared" ca="1" si="54"/>
        <v>10.959386735898136</v>
      </c>
      <c r="ND6" s="14">
        <f t="shared" ca="1" si="54"/>
        <v>11.186654609307567</v>
      </c>
      <c r="NE6" s="14">
        <f t="shared" ca="1" si="54"/>
        <v>10.897497937367717</v>
      </c>
      <c r="NF6" s="14">
        <f t="shared" ca="1" si="54"/>
        <v>10.954478131264267</v>
      </c>
      <c r="NG6" s="14">
        <f t="shared" ca="1" si="54"/>
        <v>11.114421334390556</v>
      </c>
      <c r="NH6" s="14">
        <f t="shared" ca="1" si="54"/>
        <v>11.238450150496959</v>
      </c>
      <c r="NI6" s="14">
        <f t="shared" ca="1" si="54"/>
        <v>10.890160588861164</v>
      </c>
      <c r="NJ6" s="14">
        <f t="shared" ca="1" si="54"/>
        <v>11.037770246691281</v>
      </c>
      <c r="NK6" s="14">
        <f t="shared" ca="1" si="54"/>
        <v>11.142869478231177</v>
      </c>
      <c r="NL6" s="14">
        <f t="shared" ca="1" si="54"/>
        <v>11.041915977116901</v>
      </c>
      <c r="NM6" s="14">
        <f t="shared" ca="1" si="54"/>
        <v>10.810394330817985</v>
      </c>
      <c r="NN6" s="14">
        <f t="shared" ca="1" si="54"/>
        <v>10.995929695667428</v>
      </c>
      <c r="NO6" s="14">
        <f t="shared" ca="1" si="54"/>
        <v>10.954892422088136</v>
      </c>
      <c r="NP6" s="14">
        <f t="shared" ca="1" si="54"/>
        <v>11.076899988360367</v>
      </c>
      <c r="NQ6" s="14">
        <f t="shared" ca="1" si="54"/>
        <v>10.877042235790668</v>
      </c>
      <c r="NR6" s="14">
        <f t="shared" ca="1" si="54"/>
        <v>10.780627797135622</v>
      </c>
      <c r="NS6" s="14">
        <f t="shared" ca="1" si="54"/>
        <v>10.98914252262162</v>
      </c>
      <c r="NT6" s="14">
        <f t="shared" ca="1" si="54"/>
        <v>10.808288126717969</v>
      </c>
      <c r="NU6" s="14">
        <f t="shared" ca="1" si="54"/>
        <v>11.235462140657404</v>
      </c>
      <c r="NV6" s="14">
        <f t="shared" ca="1" si="54"/>
        <v>11.165524400613691</v>
      </c>
      <c r="NW6" s="14">
        <f t="shared" ca="1" si="54"/>
        <v>10.746196916766593</v>
      </c>
      <c r="NX6" s="14">
        <f t="shared" ca="1" si="54"/>
        <v>10.842715640890788</v>
      </c>
      <c r="NY6" s="14">
        <f t="shared" ca="1" si="54"/>
        <v>11.172842917517301</v>
      </c>
      <c r="NZ6" s="14">
        <f t="shared" ca="1" si="54"/>
        <v>10.975406274926769</v>
      </c>
      <c r="OA6" s="14">
        <f t="shared" ca="1" si="54"/>
        <v>11.071096432946348</v>
      </c>
      <c r="OB6" s="14">
        <f t="shared" ca="1" si="54"/>
        <v>10.86493629953722</v>
      </c>
      <c r="OC6" s="14">
        <f t="shared" ref="OC6:QN6" ca="1" si="55">((OC2^$C$10) -1)/$C$10</f>
        <v>11.273293332170198</v>
      </c>
      <c r="OD6" s="14">
        <f t="shared" ca="1" si="55"/>
        <v>10.891360817666396</v>
      </c>
      <c r="OE6" s="14">
        <f t="shared" ca="1" si="55"/>
        <v>10.80876031123168</v>
      </c>
      <c r="OF6" s="14">
        <f t="shared" ca="1" si="55"/>
        <v>11.109987141377786</v>
      </c>
      <c r="OG6" s="14">
        <f t="shared" ca="1" si="55"/>
        <v>11.220227564834317</v>
      </c>
      <c r="OH6" s="14">
        <f t="shared" ca="1" si="55"/>
        <v>11.113551803276778</v>
      </c>
      <c r="OI6" s="14">
        <f t="shared" ca="1" si="55"/>
        <v>11.239852333311262</v>
      </c>
      <c r="OJ6" s="14">
        <f t="shared" ca="1" si="55"/>
        <v>10.937080834327872</v>
      </c>
      <c r="OK6" s="14">
        <f t="shared" ca="1" si="55"/>
        <v>11.00696457756456</v>
      </c>
      <c r="OL6" s="14">
        <f t="shared" ca="1" si="55"/>
        <v>10.938071755006717</v>
      </c>
      <c r="OM6" s="14">
        <f t="shared" ca="1" si="55"/>
        <v>11.047727339619229</v>
      </c>
      <c r="ON6" s="14">
        <f t="shared" ca="1" si="55"/>
        <v>10.828971603871196</v>
      </c>
      <c r="OO6" s="14">
        <f t="shared" ca="1" si="55"/>
        <v>11.160140500621196</v>
      </c>
      <c r="OP6" s="14">
        <f t="shared" ca="1" si="55"/>
        <v>11.104550059481966</v>
      </c>
      <c r="OQ6" s="14">
        <f t="shared" ca="1" si="55"/>
        <v>11.002642152924125</v>
      </c>
      <c r="OR6" s="14">
        <f t="shared" ca="1" si="55"/>
        <v>11.011184350984138</v>
      </c>
      <c r="OS6" s="14">
        <f t="shared" ca="1" si="55"/>
        <v>11.070697210069369</v>
      </c>
      <c r="OT6" s="14">
        <f t="shared" ca="1" si="55"/>
        <v>10.968728585414311</v>
      </c>
      <c r="OU6" s="14">
        <f t="shared" ca="1" si="55"/>
        <v>10.948462818571869</v>
      </c>
      <c r="OV6" s="14">
        <f t="shared" ca="1" si="55"/>
        <v>10.724877772538832</v>
      </c>
      <c r="OW6" s="14">
        <f t="shared" ca="1" si="55"/>
        <v>11.011813567662898</v>
      </c>
      <c r="OX6" s="14">
        <f t="shared" ca="1" si="55"/>
        <v>10.880871781360213</v>
      </c>
      <c r="OY6" s="14">
        <f t="shared" ca="1" si="55"/>
        <v>11.242192214933056</v>
      </c>
      <c r="OZ6" s="14">
        <f t="shared" ca="1" si="55"/>
        <v>10.860673829160561</v>
      </c>
      <c r="PA6" s="14">
        <f t="shared" ca="1" si="55"/>
        <v>11.142328850688443</v>
      </c>
      <c r="PB6" s="14">
        <f t="shared" ca="1" si="55"/>
        <v>10.976985096444736</v>
      </c>
      <c r="PC6" s="14">
        <f t="shared" ca="1" si="55"/>
        <v>10.947798843030654</v>
      </c>
      <c r="PD6" s="14">
        <f t="shared" ca="1" si="55"/>
        <v>10.837583084288838</v>
      </c>
      <c r="PE6" s="14">
        <f t="shared" ca="1" si="55"/>
        <v>10.913276733415245</v>
      </c>
      <c r="PF6" s="14">
        <f t="shared" ca="1" si="55"/>
        <v>11.146379381710148</v>
      </c>
      <c r="PG6" s="14">
        <f t="shared" ca="1" si="55"/>
        <v>11.069393808238459</v>
      </c>
      <c r="PH6" s="14">
        <f t="shared" ca="1" si="55"/>
        <v>10.899224658356133</v>
      </c>
      <c r="PI6" s="14">
        <f t="shared" ca="1" si="55"/>
        <v>10.808804384865311</v>
      </c>
      <c r="PJ6" s="14">
        <f t="shared" ca="1" si="55"/>
        <v>10.936909826675389</v>
      </c>
      <c r="PK6" s="14">
        <f t="shared" ca="1" si="55"/>
        <v>11.145601273021555</v>
      </c>
      <c r="PL6" s="14">
        <f t="shared" ca="1" si="55"/>
        <v>11.100081585002641</v>
      </c>
      <c r="PM6" s="14">
        <f t="shared" ca="1" si="55"/>
        <v>11.177623973068762</v>
      </c>
      <c r="PN6" s="14">
        <f t="shared" ca="1" si="55"/>
        <v>11.077102244350101</v>
      </c>
      <c r="PO6" s="14">
        <f t="shared" ca="1" si="55"/>
        <v>10.907432732576439</v>
      </c>
      <c r="PP6" s="14">
        <f t="shared" ca="1" si="55"/>
        <v>11.188876802847858</v>
      </c>
      <c r="PQ6" s="14">
        <f t="shared" ca="1" si="55"/>
        <v>10.889176993433836</v>
      </c>
      <c r="PR6" s="14">
        <f t="shared" ca="1" si="55"/>
        <v>11.070261216605815</v>
      </c>
      <c r="PS6" s="14">
        <f t="shared" ca="1" si="55"/>
        <v>11.021579582326524</v>
      </c>
      <c r="PT6" s="14">
        <f t="shared" ca="1" si="55"/>
        <v>11.13318609968772</v>
      </c>
      <c r="PU6" s="14">
        <f t="shared" ca="1" si="55"/>
        <v>10.871967999204202</v>
      </c>
      <c r="PV6" s="14">
        <f t="shared" ca="1" si="55"/>
        <v>11.052495880736757</v>
      </c>
      <c r="PW6" s="14">
        <f t="shared" ca="1" si="55"/>
        <v>11.065154728040483</v>
      </c>
      <c r="PX6" s="14">
        <f t="shared" ca="1" si="55"/>
        <v>10.941100898609335</v>
      </c>
      <c r="PY6" s="14">
        <f t="shared" ca="1" si="55"/>
        <v>11.045379286755974</v>
      </c>
      <c r="PZ6" s="14">
        <f t="shared" ca="1" si="55"/>
        <v>11.086666560355951</v>
      </c>
      <c r="QA6" s="14">
        <f t="shared" ca="1" si="55"/>
        <v>11.165831295123496</v>
      </c>
      <c r="QB6" s="14">
        <f t="shared" ca="1" si="55"/>
        <v>10.90999776520718</v>
      </c>
      <c r="QC6" s="14">
        <f t="shared" ca="1" si="55"/>
        <v>11.085588571546623</v>
      </c>
      <c r="QD6" s="14">
        <f t="shared" ca="1" si="55"/>
        <v>11.182163384138022</v>
      </c>
      <c r="QE6" s="14">
        <f t="shared" ca="1" si="55"/>
        <v>11.042694625373883</v>
      </c>
      <c r="QF6" s="14">
        <f t="shared" ca="1" si="55"/>
        <v>11.017646479594134</v>
      </c>
      <c r="QG6" s="14">
        <f t="shared" ca="1" si="55"/>
        <v>10.842476425576564</v>
      </c>
      <c r="QH6" s="14">
        <f t="shared" ca="1" si="55"/>
        <v>10.81954553949771</v>
      </c>
      <c r="QI6" s="14">
        <f t="shared" ca="1" si="55"/>
        <v>10.844486582062274</v>
      </c>
      <c r="QJ6" s="14">
        <f t="shared" ca="1" si="55"/>
        <v>10.777224952462916</v>
      </c>
      <c r="QK6" s="14">
        <f t="shared" ca="1" si="55"/>
        <v>10.813526531983086</v>
      </c>
      <c r="QL6" s="14">
        <f t="shared" ca="1" si="55"/>
        <v>10.885444399200139</v>
      </c>
      <c r="QM6" s="14">
        <f t="shared" ca="1" si="55"/>
        <v>11.227759761922584</v>
      </c>
      <c r="QN6" s="14">
        <f t="shared" ca="1" si="55"/>
        <v>10.774196306240214</v>
      </c>
      <c r="QO6" s="14">
        <f t="shared" ref="QO6:SZ6" ca="1" si="56">((QO2^$C$10) -1)/$C$10</f>
        <v>10.853004139832478</v>
      </c>
      <c r="QP6" s="14">
        <f t="shared" ca="1" si="56"/>
        <v>11.19633591617486</v>
      </c>
      <c r="QQ6" s="14">
        <f t="shared" ca="1" si="56"/>
        <v>11.055151381000883</v>
      </c>
      <c r="QR6" s="14">
        <f t="shared" ca="1" si="56"/>
        <v>10.892161677045209</v>
      </c>
      <c r="QS6" s="14">
        <f t="shared" ca="1" si="56"/>
        <v>10.964282304293249</v>
      </c>
      <c r="QT6" s="14">
        <f t="shared" ca="1" si="56"/>
        <v>11.099513141932249</v>
      </c>
      <c r="QU6" s="14">
        <f t="shared" ca="1" si="56"/>
        <v>10.692722818284039</v>
      </c>
      <c r="QV6" s="14">
        <f t="shared" ca="1" si="56"/>
        <v>10.804971963818133</v>
      </c>
      <c r="QW6" s="14">
        <f t="shared" ca="1" si="56"/>
        <v>11.023436041757151</v>
      </c>
      <c r="QX6" s="14">
        <f t="shared" ca="1" si="56"/>
        <v>10.982207139242917</v>
      </c>
      <c r="QY6" s="14">
        <f t="shared" ca="1" si="56"/>
        <v>11.128713652830413</v>
      </c>
      <c r="QZ6" s="14">
        <f t="shared" ca="1" si="56"/>
        <v>10.797699179221354</v>
      </c>
      <c r="RA6" s="14">
        <f t="shared" ca="1" si="56"/>
        <v>10.881309413512952</v>
      </c>
      <c r="RB6" s="14">
        <f t="shared" ca="1" si="56"/>
        <v>10.961706193857168</v>
      </c>
      <c r="RC6" s="14">
        <f t="shared" ca="1" si="56"/>
        <v>11.397784600575278</v>
      </c>
      <c r="RD6" s="14">
        <f t="shared" ca="1" si="56"/>
        <v>11.018162968667866</v>
      </c>
      <c r="RE6" s="14">
        <f t="shared" ca="1" si="56"/>
        <v>10.758790995879508</v>
      </c>
      <c r="RF6" s="14">
        <f t="shared" ca="1" si="56"/>
        <v>10.851408964729359</v>
      </c>
      <c r="RG6" s="14">
        <f t="shared" ca="1" si="56"/>
        <v>10.994165799971256</v>
      </c>
      <c r="RH6" s="14">
        <f t="shared" ca="1" si="56"/>
        <v>10.839226229908405</v>
      </c>
      <c r="RI6" s="14">
        <f t="shared" ca="1" si="56"/>
        <v>11.233234014085269</v>
      </c>
      <c r="RJ6" s="14">
        <f t="shared" ca="1" si="56"/>
        <v>11.104894548363831</v>
      </c>
      <c r="RK6" s="14">
        <f t="shared" ca="1" si="56"/>
        <v>10.879684608777751</v>
      </c>
      <c r="RL6" s="14">
        <f t="shared" ca="1" si="56"/>
        <v>11.208330941148148</v>
      </c>
      <c r="RM6" s="14">
        <f t="shared" ca="1" si="56"/>
        <v>11.100694139454248</v>
      </c>
      <c r="RN6" s="14">
        <f t="shared" ca="1" si="56"/>
        <v>10.927935163440594</v>
      </c>
      <c r="RO6" s="14">
        <f t="shared" ca="1" si="56"/>
        <v>10.980074900412973</v>
      </c>
      <c r="RP6" s="14">
        <f t="shared" ca="1" si="56"/>
        <v>10.792225610956052</v>
      </c>
      <c r="RQ6" s="14">
        <f t="shared" ca="1" si="56"/>
        <v>10.926164746294376</v>
      </c>
      <c r="RR6" s="14">
        <f t="shared" ca="1" si="56"/>
        <v>11.02628393478966</v>
      </c>
      <c r="RS6" s="14">
        <f t="shared" ca="1" si="56"/>
        <v>10.850940856954594</v>
      </c>
      <c r="RT6" s="14">
        <f t="shared" ca="1" si="56"/>
        <v>11.225610234699701</v>
      </c>
      <c r="RU6" s="14">
        <f t="shared" ca="1" si="56"/>
        <v>11.103664034894933</v>
      </c>
      <c r="RV6" s="14">
        <f t="shared" ca="1" si="56"/>
        <v>10.816935984703235</v>
      </c>
      <c r="RW6" s="14">
        <f t="shared" ca="1" si="56"/>
        <v>10.960692180539411</v>
      </c>
      <c r="RX6" s="14">
        <f t="shared" ca="1" si="56"/>
        <v>11.091345251124096</v>
      </c>
      <c r="RY6" s="14">
        <f t="shared" ca="1" si="56"/>
        <v>11.034022260325571</v>
      </c>
      <c r="RZ6" s="14">
        <f t="shared" ca="1" si="56"/>
        <v>10.97489733759005</v>
      </c>
      <c r="SA6" s="14">
        <f t="shared" ca="1" si="56"/>
        <v>10.875169247359651</v>
      </c>
      <c r="SB6" s="14">
        <f t="shared" ca="1" si="56"/>
        <v>11.055022202111076</v>
      </c>
      <c r="SC6" s="14">
        <f t="shared" ca="1" si="56"/>
        <v>11.093245522175721</v>
      </c>
      <c r="SD6" s="14">
        <f t="shared" ca="1" si="56"/>
        <v>11.017422749670658</v>
      </c>
      <c r="SE6" s="14">
        <f t="shared" ca="1" si="56"/>
        <v>10.803336027986887</v>
      </c>
      <c r="SF6" s="14">
        <f t="shared" ca="1" si="56"/>
        <v>11.156892323338496</v>
      </c>
      <c r="SG6" s="14">
        <f t="shared" ca="1" si="56"/>
        <v>11.071327328249225</v>
      </c>
      <c r="SH6" s="14">
        <f t="shared" ca="1" si="56"/>
        <v>10.910374301786874</v>
      </c>
      <c r="SI6" s="14">
        <f t="shared" ca="1" si="56"/>
        <v>10.897821309807654</v>
      </c>
      <c r="SJ6" s="14">
        <f t="shared" ca="1" si="56"/>
        <v>11.176033685167397</v>
      </c>
      <c r="SK6" s="14">
        <f t="shared" ca="1" si="56"/>
        <v>10.965891281689011</v>
      </c>
      <c r="SL6" s="14">
        <f t="shared" ca="1" si="56"/>
        <v>11.153826928733679</v>
      </c>
      <c r="SM6" s="14">
        <f t="shared" ca="1" si="56"/>
        <v>10.885421841688725</v>
      </c>
      <c r="SN6" s="14">
        <f t="shared" ca="1" si="56"/>
        <v>10.842164588353853</v>
      </c>
      <c r="SO6" s="14">
        <f t="shared" ca="1" si="56"/>
        <v>10.947447144360467</v>
      </c>
      <c r="SP6" s="14">
        <f t="shared" ca="1" si="56"/>
        <v>10.862808401679303</v>
      </c>
      <c r="SQ6" s="14">
        <f t="shared" ca="1" si="56"/>
        <v>11.047608903247408</v>
      </c>
      <c r="SR6" s="14">
        <f t="shared" ca="1" si="56"/>
        <v>11.089604949887644</v>
      </c>
      <c r="SS6" s="14">
        <f t="shared" ca="1" si="56"/>
        <v>11.103518509081312</v>
      </c>
      <c r="ST6" s="14">
        <f t="shared" ca="1" si="56"/>
        <v>10.973769353217477</v>
      </c>
      <c r="SU6" s="14">
        <f t="shared" ca="1" si="56"/>
        <v>11.083443247628111</v>
      </c>
      <c r="SV6" s="14">
        <f t="shared" ca="1" si="56"/>
        <v>10.984933971336375</v>
      </c>
      <c r="SW6" s="14">
        <f t="shared" ca="1" si="56"/>
        <v>11.14655648226659</v>
      </c>
      <c r="SX6" s="14">
        <f t="shared" ca="1" si="56"/>
        <v>10.572876500969386</v>
      </c>
      <c r="SY6" s="14">
        <f t="shared" ca="1" si="56"/>
        <v>10.739830265116268</v>
      </c>
      <c r="SZ6" s="14">
        <f t="shared" ca="1" si="56"/>
        <v>10.871555380376208</v>
      </c>
      <c r="TA6" s="14">
        <f t="shared" ref="TA6:VL6" ca="1" si="57">((TA2^$C$10) -1)/$C$10</f>
        <v>10.963859264911946</v>
      </c>
      <c r="TB6" s="14">
        <f t="shared" ca="1" si="57"/>
        <v>10.805661254664756</v>
      </c>
      <c r="TC6" s="14">
        <f t="shared" ca="1" si="57"/>
        <v>10.819630695824145</v>
      </c>
      <c r="TD6" s="14">
        <f t="shared" ca="1" si="57"/>
        <v>10.869738733543244</v>
      </c>
      <c r="TE6" s="14">
        <f t="shared" ca="1" si="57"/>
        <v>11.099476757703286</v>
      </c>
      <c r="TF6" s="14">
        <f t="shared" ca="1" si="57"/>
        <v>10.917176425095931</v>
      </c>
      <c r="TG6" s="14">
        <f t="shared" ca="1" si="57"/>
        <v>11.18830701418716</v>
      </c>
      <c r="TH6" s="14">
        <f t="shared" ca="1" si="57"/>
        <v>11.049583645839078</v>
      </c>
      <c r="TI6" s="14">
        <f t="shared" ca="1" si="57"/>
        <v>10.939997772130283</v>
      </c>
      <c r="TJ6" s="14">
        <f t="shared" ca="1" si="57"/>
        <v>11.071087964165116</v>
      </c>
      <c r="TK6" s="14">
        <f t="shared" ca="1" si="57"/>
        <v>11.237725814350341</v>
      </c>
      <c r="TL6" s="14">
        <f t="shared" ca="1" si="57"/>
        <v>10.872048927801359</v>
      </c>
      <c r="TM6" s="14">
        <f t="shared" ca="1" si="57"/>
        <v>10.983969955802309</v>
      </c>
      <c r="TN6" s="14">
        <f t="shared" ca="1" si="57"/>
        <v>11.011432925478459</v>
      </c>
      <c r="TO6" s="14">
        <f t="shared" ca="1" si="57"/>
        <v>10.75977950737439</v>
      </c>
      <c r="TP6" s="14">
        <f t="shared" ca="1" si="57"/>
        <v>10.960720855379691</v>
      </c>
      <c r="TQ6" s="14">
        <f t="shared" ca="1" si="57"/>
        <v>10.94211427243863</v>
      </c>
      <c r="TR6" s="14">
        <f t="shared" ca="1" si="57"/>
        <v>10.963572627531448</v>
      </c>
      <c r="TS6" s="14">
        <f t="shared" ca="1" si="57"/>
        <v>10.997593109518533</v>
      </c>
      <c r="TT6" s="14">
        <f t="shared" ca="1" si="57"/>
        <v>10.75290896324077</v>
      </c>
      <c r="TU6" s="14">
        <f t="shared" ca="1" si="57"/>
        <v>10.885519152736833</v>
      </c>
      <c r="TV6" s="14">
        <f t="shared" ca="1" si="57"/>
        <v>11.168247795456665</v>
      </c>
      <c r="TW6" s="14">
        <f t="shared" ca="1" si="57"/>
        <v>10.889875765585089</v>
      </c>
      <c r="TX6" s="14">
        <f t="shared" ca="1" si="57"/>
        <v>10.770370180157585</v>
      </c>
      <c r="TY6" s="14">
        <f t="shared" ca="1" si="57"/>
        <v>10.98902306262417</v>
      </c>
      <c r="TZ6" s="14">
        <f t="shared" ca="1" si="57"/>
        <v>11.163892630339234</v>
      </c>
      <c r="UA6" s="14">
        <f t="shared" ca="1" si="57"/>
        <v>11.081218740383036</v>
      </c>
      <c r="UB6" s="14">
        <f t="shared" ca="1" si="57"/>
        <v>10.940696706374098</v>
      </c>
      <c r="UC6" s="14">
        <f t="shared" ca="1" si="57"/>
        <v>11.030888875662725</v>
      </c>
      <c r="UD6" s="14">
        <f t="shared" ca="1" si="57"/>
        <v>11.056179378687858</v>
      </c>
      <c r="UE6" s="14">
        <f t="shared" ca="1" si="57"/>
        <v>10.953515285905269</v>
      </c>
      <c r="UF6" s="14">
        <f t="shared" ca="1" si="57"/>
        <v>10.625634931926697</v>
      </c>
      <c r="UG6" s="14">
        <f t="shared" ca="1" si="57"/>
        <v>11.09063812343436</v>
      </c>
      <c r="UH6" s="14">
        <f t="shared" ca="1" si="57"/>
        <v>10.836783619350143</v>
      </c>
      <c r="UI6" s="14">
        <f t="shared" ca="1" si="57"/>
        <v>10.843106992286522</v>
      </c>
      <c r="UJ6" s="14">
        <f t="shared" ca="1" si="57"/>
        <v>10.874718703313135</v>
      </c>
      <c r="UK6" s="14">
        <f t="shared" ca="1" si="57"/>
        <v>11.226944602871214</v>
      </c>
      <c r="UL6" s="14">
        <f t="shared" ca="1" si="57"/>
        <v>10.975464097562337</v>
      </c>
      <c r="UM6" s="14">
        <f t="shared" ca="1" si="57"/>
        <v>10.749329202308644</v>
      </c>
      <c r="UN6" s="14">
        <f t="shared" ca="1" si="57"/>
        <v>11.047774906014496</v>
      </c>
      <c r="UO6" s="14">
        <f t="shared" ca="1" si="57"/>
        <v>10.852926428661647</v>
      </c>
      <c r="UP6" s="14">
        <f t="shared" ca="1" si="57"/>
        <v>10.833620600614324</v>
      </c>
      <c r="UQ6" s="14">
        <f t="shared" ca="1" si="57"/>
        <v>11.048642121203045</v>
      </c>
      <c r="UR6" s="14">
        <f t="shared" ca="1" si="57"/>
        <v>11.026719108908623</v>
      </c>
      <c r="US6" s="14">
        <f t="shared" ca="1" si="57"/>
        <v>11.115263447436519</v>
      </c>
      <c r="UT6" s="14">
        <f t="shared" ca="1" si="57"/>
        <v>10.80287681309855</v>
      </c>
      <c r="UU6" s="14">
        <f t="shared" ca="1" si="57"/>
        <v>10.63394851286148</v>
      </c>
      <c r="UV6" s="14">
        <f t="shared" ca="1" si="57"/>
        <v>10.811797563903269</v>
      </c>
      <c r="UW6" s="14">
        <f t="shared" ca="1" si="57"/>
        <v>10.999732076300006</v>
      </c>
      <c r="UX6" s="14">
        <f t="shared" ca="1" si="57"/>
        <v>11.117669251881068</v>
      </c>
      <c r="UY6" s="14">
        <f t="shared" ca="1" si="57"/>
        <v>10.912821255537608</v>
      </c>
      <c r="UZ6" s="14">
        <f t="shared" ca="1" si="57"/>
        <v>10.893718891402671</v>
      </c>
      <c r="VA6" s="14">
        <f t="shared" ca="1" si="57"/>
        <v>11.103055479466661</v>
      </c>
      <c r="VB6" s="14">
        <f t="shared" ca="1" si="57"/>
        <v>11.321267276986902</v>
      </c>
      <c r="VC6" s="14">
        <f t="shared" ca="1" si="57"/>
        <v>10.877750200588565</v>
      </c>
      <c r="VD6" s="14">
        <f t="shared" ca="1" si="57"/>
        <v>10.770370368895499</v>
      </c>
      <c r="VE6" s="14">
        <f t="shared" ca="1" si="57"/>
        <v>11.212052974940434</v>
      </c>
      <c r="VF6" s="14">
        <f t="shared" ca="1" si="57"/>
        <v>10.800013499068228</v>
      </c>
      <c r="VG6" s="14">
        <f t="shared" ca="1" si="57"/>
        <v>10.788337512224189</v>
      </c>
      <c r="VH6" s="14">
        <f t="shared" ca="1" si="57"/>
        <v>10.891492756570642</v>
      </c>
      <c r="VI6" s="14">
        <f t="shared" ca="1" si="57"/>
        <v>10.90795233027464</v>
      </c>
      <c r="VJ6" s="14">
        <f t="shared" ca="1" si="57"/>
        <v>11.163774042977082</v>
      </c>
      <c r="VK6" s="14">
        <f t="shared" ca="1" si="57"/>
        <v>10.945042676624439</v>
      </c>
      <c r="VL6" s="14">
        <f t="shared" ca="1" si="57"/>
        <v>10.980542544114513</v>
      </c>
      <c r="VM6" s="14">
        <f t="shared" ref="VM6:XX6" ca="1" si="58">((VM2^$C$10) -1)/$C$10</f>
        <v>10.937773342600821</v>
      </c>
      <c r="VN6" s="14">
        <f t="shared" ca="1" si="58"/>
        <v>11.174743206332494</v>
      </c>
      <c r="VO6" s="14">
        <f t="shared" ca="1" si="58"/>
        <v>11.060384144112589</v>
      </c>
      <c r="VP6" s="14">
        <f t="shared" ca="1" si="58"/>
        <v>11.034383764485511</v>
      </c>
      <c r="VQ6" s="14">
        <f t="shared" ca="1" si="58"/>
        <v>11.150242860136217</v>
      </c>
      <c r="VR6" s="14">
        <f t="shared" ca="1" si="58"/>
        <v>11.101761072662697</v>
      </c>
      <c r="VS6" s="14">
        <f t="shared" ca="1" si="58"/>
        <v>11.130017751881383</v>
      </c>
      <c r="VT6" s="14">
        <f t="shared" ca="1" si="58"/>
        <v>11.246033970735425</v>
      </c>
      <c r="VU6" s="14">
        <f t="shared" ca="1" si="58"/>
        <v>11.063972553682078</v>
      </c>
      <c r="VV6" s="14">
        <f t="shared" ca="1" si="58"/>
        <v>10.957225049512687</v>
      </c>
      <c r="VW6" s="14">
        <f t="shared" ca="1" si="58"/>
        <v>10.947234518887683</v>
      </c>
      <c r="VX6" s="14">
        <f t="shared" ca="1" si="58"/>
        <v>11.045976748835784</v>
      </c>
      <c r="VY6" s="14">
        <f t="shared" ca="1" si="58"/>
        <v>10.828868945989001</v>
      </c>
      <c r="VZ6" s="14">
        <f t="shared" ca="1" si="58"/>
        <v>10.759991435627114</v>
      </c>
      <c r="WA6" s="14">
        <f t="shared" ca="1" si="58"/>
        <v>10.882212768681399</v>
      </c>
      <c r="WB6" s="14">
        <f t="shared" ca="1" si="58"/>
        <v>10.719267178327385</v>
      </c>
      <c r="WC6" s="14">
        <f t="shared" ca="1" si="58"/>
        <v>10.935376302256827</v>
      </c>
      <c r="WD6" s="14">
        <f t="shared" ca="1" si="58"/>
        <v>10.985147842479392</v>
      </c>
      <c r="WE6" s="14">
        <f t="shared" ca="1" si="58"/>
        <v>10.889103909672571</v>
      </c>
      <c r="WF6" s="14">
        <f t="shared" ca="1" si="58"/>
        <v>11.042944245698294</v>
      </c>
      <c r="WG6" s="14">
        <f t="shared" ca="1" si="58"/>
        <v>11.042719085807562</v>
      </c>
      <c r="WH6" s="14">
        <f t="shared" ca="1" si="58"/>
        <v>10.985663907447929</v>
      </c>
      <c r="WI6" s="14">
        <f t="shared" ca="1" si="58"/>
        <v>10.945529496098061</v>
      </c>
      <c r="WJ6" s="14">
        <f t="shared" ca="1" si="58"/>
        <v>10.76740935523901</v>
      </c>
      <c r="WK6" s="14">
        <f t="shared" ca="1" si="58"/>
        <v>10.883635497282995</v>
      </c>
      <c r="WL6" s="14">
        <f t="shared" ca="1" si="58"/>
        <v>10.998952602037093</v>
      </c>
      <c r="WM6" s="14">
        <f t="shared" ca="1" si="58"/>
        <v>11.059243907318717</v>
      </c>
      <c r="WN6" s="14">
        <f t="shared" ca="1" si="58"/>
        <v>11.029799797945827</v>
      </c>
      <c r="WO6" s="14">
        <f t="shared" ca="1" si="58"/>
        <v>10.937189973692085</v>
      </c>
      <c r="WP6" s="14">
        <f t="shared" ca="1" si="58"/>
        <v>11.106870387855849</v>
      </c>
      <c r="WQ6" s="14">
        <f t="shared" ca="1" si="58"/>
        <v>10.950585915825428</v>
      </c>
      <c r="WR6" s="14">
        <f t="shared" ca="1" si="58"/>
        <v>10.766490659008809</v>
      </c>
      <c r="WS6" s="14">
        <f t="shared" ca="1" si="58"/>
        <v>10.921938113916951</v>
      </c>
      <c r="WT6" s="14">
        <f t="shared" ca="1" si="58"/>
        <v>10.935714074289393</v>
      </c>
      <c r="WU6" s="14">
        <f t="shared" ca="1" si="58"/>
        <v>11.289697208205496</v>
      </c>
      <c r="WV6" s="14">
        <f t="shared" ca="1" si="58"/>
        <v>11.116725944226857</v>
      </c>
      <c r="WW6" s="14">
        <f t="shared" ca="1" si="58"/>
        <v>10.721459791085408</v>
      </c>
      <c r="WX6" s="14">
        <f t="shared" ca="1" si="58"/>
        <v>10.976431563669564</v>
      </c>
      <c r="WY6" s="14">
        <f t="shared" ca="1" si="58"/>
        <v>10.842202553540403</v>
      </c>
      <c r="WZ6" s="14">
        <f t="shared" ca="1" si="58"/>
        <v>11.209374128906546</v>
      </c>
      <c r="XA6" s="14">
        <f t="shared" ca="1" si="58"/>
        <v>11.029451965072212</v>
      </c>
      <c r="XB6" s="14">
        <f t="shared" ca="1" si="58"/>
        <v>10.944179638094909</v>
      </c>
      <c r="XC6" s="14">
        <f t="shared" ca="1" si="58"/>
        <v>10.991778600644153</v>
      </c>
      <c r="XD6" s="14">
        <f t="shared" ca="1" si="58"/>
        <v>11.303895186554058</v>
      </c>
      <c r="XE6" s="14">
        <f t="shared" ca="1" si="58"/>
        <v>10.727433659152297</v>
      </c>
      <c r="XF6" s="14">
        <f t="shared" ca="1" si="58"/>
        <v>11.106566490948211</v>
      </c>
      <c r="XG6" s="14">
        <f t="shared" ca="1" si="58"/>
        <v>11.259703984745073</v>
      </c>
      <c r="XH6" s="14">
        <f t="shared" ca="1" si="58"/>
        <v>10.830078409629351</v>
      </c>
      <c r="XI6" s="14">
        <f t="shared" ca="1" si="58"/>
        <v>11.120609937353976</v>
      </c>
      <c r="XJ6" s="14">
        <f t="shared" ca="1" si="58"/>
        <v>10.785817885494708</v>
      </c>
      <c r="XK6" s="14">
        <f t="shared" ca="1" si="58"/>
        <v>10.92391187951236</v>
      </c>
      <c r="XL6" s="14">
        <f t="shared" ca="1" si="58"/>
        <v>10.861340407064546</v>
      </c>
      <c r="XM6" s="14">
        <f t="shared" ca="1" si="58"/>
        <v>11.125010483947761</v>
      </c>
      <c r="XN6" s="14">
        <f t="shared" ca="1" si="58"/>
        <v>11.081660078460231</v>
      </c>
      <c r="XO6" s="14">
        <f t="shared" ca="1" si="58"/>
        <v>10.836023176530318</v>
      </c>
      <c r="XP6" s="14">
        <f t="shared" ca="1" si="58"/>
        <v>10.886286885281038</v>
      </c>
      <c r="XQ6" s="14">
        <f t="shared" ca="1" si="58"/>
        <v>11.081622650621625</v>
      </c>
      <c r="XR6" s="14">
        <f t="shared" ca="1" si="58"/>
        <v>10.984452381013199</v>
      </c>
      <c r="XS6" s="14">
        <f t="shared" ca="1" si="58"/>
        <v>11.135872290957138</v>
      </c>
      <c r="XT6" s="14">
        <f t="shared" ca="1" si="58"/>
        <v>10.911097532151359</v>
      </c>
      <c r="XU6" s="14">
        <f t="shared" ca="1" si="58"/>
        <v>11.169088098839097</v>
      </c>
      <c r="XV6" s="14">
        <f t="shared" ca="1" si="58"/>
        <v>10.733107367322248</v>
      </c>
      <c r="XW6" s="14">
        <f t="shared" ca="1" si="58"/>
        <v>10.941675712139443</v>
      </c>
      <c r="XX6" s="14">
        <f t="shared" ca="1" si="58"/>
        <v>10.74432579128981</v>
      </c>
      <c r="XY6" s="14">
        <f t="shared" ref="XY6:AAJ6" ca="1" si="59">((XY2^$C$10) -1)/$C$10</f>
        <v>11.118640050877815</v>
      </c>
      <c r="XZ6" s="14">
        <f t="shared" ca="1" si="59"/>
        <v>10.829517902433139</v>
      </c>
      <c r="YA6" s="14">
        <f t="shared" ca="1" si="59"/>
        <v>11.250251097383313</v>
      </c>
      <c r="YB6" s="14">
        <f t="shared" ca="1" si="59"/>
        <v>10.943056969470177</v>
      </c>
      <c r="YC6" s="14">
        <f t="shared" ca="1" si="59"/>
        <v>11.1744432462757</v>
      </c>
      <c r="YD6" s="14">
        <f t="shared" ca="1" si="59"/>
        <v>11.100032857314091</v>
      </c>
      <c r="YE6" s="14">
        <f t="shared" ca="1" si="59"/>
        <v>11.184249906204258</v>
      </c>
      <c r="YF6" s="14">
        <f t="shared" ca="1" si="59"/>
        <v>10.955461899886387</v>
      </c>
      <c r="YG6" s="14">
        <f t="shared" ca="1" si="59"/>
        <v>11.138220983308855</v>
      </c>
      <c r="YH6" s="14">
        <f t="shared" ca="1" si="59"/>
        <v>11.348578723424652</v>
      </c>
      <c r="YI6" s="14">
        <f t="shared" ca="1" si="59"/>
        <v>11.038728604528814</v>
      </c>
      <c r="YJ6" s="14">
        <f t="shared" ca="1" si="59"/>
        <v>10.90953067217626</v>
      </c>
      <c r="YK6" s="14">
        <f t="shared" ca="1" si="59"/>
        <v>10.880015544056931</v>
      </c>
      <c r="YL6" s="14">
        <f t="shared" ca="1" si="59"/>
        <v>10.812733401976971</v>
      </c>
      <c r="YM6" s="14">
        <f t="shared" ca="1" si="59"/>
        <v>10.860685282221283</v>
      </c>
      <c r="YN6" s="14">
        <f t="shared" ca="1" si="59"/>
        <v>10.952861735358255</v>
      </c>
      <c r="YO6" s="14">
        <f t="shared" ca="1" si="59"/>
        <v>10.968368955310837</v>
      </c>
      <c r="YP6" s="14">
        <f t="shared" ca="1" si="59"/>
        <v>10.65877210937316</v>
      </c>
      <c r="YQ6" s="14">
        <f t="shared" ca="1" si="59"/>
        <v>10.849349540986708</v>
      </c>
      <c r="YR6" s="14">
        <f t="shared" ca="1" si="59"/>
        <v>11.196794720280678</v>
      </c>
      <c r="YS6" s="14">
        <f t="shared" ca="1" si="59"/>
        <v>10.990459096138494</v>
      </c>
      <c r="YT6" s="14">
        <f t="shared" ca="1" si="59"/>
        <v>11.001160691304079</v>
      </c>
      <c r="YU6" s="14">
        <f t="shared" ca="1" si="59"/>
        <v>10.696810184285255</v>
      </c>
      <c r="YV6" s="14">
        <f t="shared" ca="1" si="59"/>
        <v>11.10492977129951</v>
      </c>
      <c r="YW6" s="14">
        <f t="shared" ca="1" si="59"/>
        <v>10.707284303634879</v>
      </c>
      <c r="YX6" s="14">
        <f t="shared" ca="1" si="59"/>
        <v>10.62513740324178</v>
      </c>
      <c r="YY6" s="14">
        <f t="shared" ca="1" si="59"/>
        <v>10.964295276139069</v>
      </c>
      <c r="YZ6" s="14">
        <f t="shared" ca="1" si="59"/>
        <v>10.964954777481495</v>
      </c>
      <c r="ZA6" s="14">
        <f t="shared" ca="1" si="59"/>
        <v>10.915216890339252</v>
      </c>
      <c r="ZB6" s="14">
        <f t="shared" ca="1" si="59"/>
        <v>11.198966678449551</v>
      </c>
      <c r="ZC6" s="14">
        <f t="shared" ca="1" si="59"/>
        <v>11.002685680328028</v>
      </c>
      <c r="ZD6" s="14">
        <f t="shared" ca="1" si="59"/>
        <v>10.841533002459158</v>
      </c>
      <c r="ZE6" s="14">
        <f t="shared" ca="1" si="59"/>
        <v>10.960660536962763</v>
      </c>
      <c r="ZF6" s="14">
        <f t="shared" ca="1" si="59"/>
        <v>10.828561194387021</v>
      </c>
      <c r="ZG6" s="14">
        <f t="shared" ca="1" si="59"/>
        <v>11.148379226444405</v>
      </c>
      <c r="ZH6" s="14">
        <f t="shared" ca="1" si="59"/>
        <v>10.919524224828336</v>
      </c>
      <c r="ZI6" s="14">
        <f t="shared" ca="1" si="59"/>
        <v>10.89479142235561</v>
      </c>
      <c r="ZJ6" s="14">
        <f t="shared" ca="1" si="59"/>
        <v>10.887786143776168</v>
      </c>
      <c r="ZK6" s="14">
        <f t="shared" ca="1" si="59"/>
        <v>11.065039191571202</v>
      </c>
      <c r="ZL6" s="14">
        <f t="shared" ca="1" si="59"/>
        <v>10.93788152273234</v>
      </c>
      <c r="ZM6" s="14">
        <f t="shared" ca="1" si="59"/>
        <v>10.990987422410115</v>
      </c>
      <c r="ZN6" s="14">
        <f t="shared" ca="1" si="59"/>
        <v>11.000705233410457</v>
      </c>
      <c r="ZO6" s="14">
        <f t="shared" ca="1" si="59"/>
        <v>10.952215578896585</v>
      </c>
      <c r="ZP6" s="14">
        <f t="shared" ca="1" si="59"/>
        <v>11.018889278791022</v>
      </c>
      <c r="ZQ6" s="14">
        <f t="shared" ca="1" si="59"/>
        <v>11.213191590808691</v>
      </c>
      <c r="ZR6" s="14">
        <f t="shared" ca="1" si="59"/>
        <v>11.228177076993973</v>
      </c>
      <c r="ZS6" s="14">
        <f t="shared" ca="1" si="59"/>
        <v>10.917285759859396</v>
      </c>
      <c r="ZT6" s="14">
        <f t="shared" ca="1" si="59"/>
        <v>11.045201695480955</v>
      </c>
      <c r="ZU6" s="14">
        <f t="shared" ca="1" si="59"/>
        <v>10.807520351985289</v>
      </c>
      <c r="ZV6" s="14">
        <f t="shared" ca="1" si="59"/>
        <v>11.005134386010695</v>
      </c>
      <c r="ZW6" s="14">
        <f t="shared" ca="1" si="59"/>
        <v>11.247076801002009</v>
      </c>
      <c r="ZX6" s="14">
        <f t="shared" ca="1" si="59"/>
        <v>11.162468072090093</v>
      </c>
      <c r="ZY6" s="14">
        <f t="shared" ca="1" si="59"/>
        <v>11.012638676533015</v>
      </c>
      <c r="ZZ6" s="14">
        <f t="shared" ca="1" si="59"/>
        <v>10.88544938410152</v>
      </c>
      <c r="AAA6" s="14">
        <f t="shared" ca="1" si="59"/>
        <v>11.045415018173799</v>
      </c>
      <c r="AAB6" s="14">
        <f t="shared" ca="1" si="59"/>
        <v>10.858249319678492</v>
      </c>
      <c r="AAC6" s="14">
        <f t="shared" ca="1" si="59"/>
        <v>10.976330502288079</v>
      </c>
      <c r="AAD6" s="14">
        <f t="shared" ca="1" si="59"/>
        <v>11.058121536233756</v>
      </c>
      <c r="AAE6" s="14">
        <f t="shared" ca="1" si="59"/>
        <v>10.6725451765044</v>
      </c>
      <c r="AAF6" s="14">
        <f t="shared" ca="1" si="59"/>
        <v>10.993875321219093</v>
      </c>
      <c r="AAG6" s="14">
        <f t="shared" ca="1" si="59"/>
        <v>10.791604549975631</v>
      </c>
      <c r="AAH6" s="14">
        <f t="shared" ca="1" si="59"/>
        <v>11.305812464001974</v>
      </c>
      <c r="AAI6" s="14">
        <f t="shared" ca="1" si="59"/>
        <v>10.996638593052666</v>
      </c>
      <c r="AAJ6" s="14">
        <f t="shared" ca="1" si="59"/>
        <v>11.409974054465977</v>
      </c>
      <c r="AAK6" s="14">
        <f t="shared" ref="AAK6:ACV6" ca="1" si="60">((AAK2^$C$10) -1)/$C$10</f>
        <v>11.100878605230236</v>
      </c>
      <c r="AAL6" s="14">
        <f t="shared" ca="1" si="60"/>
        <v>11.131028787580988</v>
      </c>
      <c r="AAM6" s="14">
        <f t="shared" ca="1" si="60"/>
        <v>10.881512257920889</v>
      </c>
      <c r="AAN6" s="14">
        <f t="shared" ca="1" si="60"/>
        <v>10.861353789692885</v>
      </c>
      <c r="AAO6" s="14">
        <f t="shared" ca="1" si="60"/>
        <v>11.119638079204464</v>
      </c>
      <c r="AAP6" s="14">
        <f t="shared" ca="1" si="60"/>
        <v>10.942312740347404</v>
      </c>
      <c r="AAQ6" s="14">
        <f t="shared" ca="1" si="60"/>
        <v>10.856936680792018</v>
      </c>
      <c r="AAR6" s="14">
        <f t="shared" ca="1" si="60"/>
        <v>10.852507623670959</v>
      </c>
      <c r="AAS6" s="14">
        <f t="shared" ca="1" si="60"/>
        <v>10.954339484392506</v>
      </c>
      <c r="AAT6" s="14">
        <f t="shared" ca="1" si="60"/>
        <v>11.183120902646948</v>
      </c>
      <c r="AAU6" s="14">
        <f t="shared" ca="1" si="60"/>
        <v>10.782161412592473</v>
      </c>
      <c r="AAV6" s="14">
        <f t="shared" ca="1" si="60"/>
        <v>10.964384216105572</v>
      </c>
      <c r="AAW6" s="14">
        <f t="shared" ca="1" si="60"/>
        <v>11.056059201486335</v>
      </c>
      <c r="AAX6" s="14">
        <f t="shared" ca="1" si="60"/>
        <v>11.091622613701446</v>
      </c>
      <c r="AAY6" s="14">
        <f t="shared" ca="1" si="60"/>
        <v>11.062182057042236</v>
      </c>
      <c r="AAZ6" s="14">
        <f t="shared" ca="1" si="60"/>
        <v>10.9585729624051</v>
      </c>
      <c r="ABA6" s="14">
        <f t="shared" ca="1" si="60"/>
        <v>10.999838369052384</v>
      </c>
      <c r="ABB6" s="14">
        <f t="shared" ca="1" si="60"/>
        <v>10.938015848616089</v>
      </c>
      <c r="ABC6" s="14">
        <f t="shared" ca="1" si="60"/>
        <v>10.871807039070092</v>
      </c>
      <c r="ABD6" s="14">
        <f t="shared" ca="1" si="60"/>
        <v>11.021644070741132</v>
      </c>
      <c r="ABE6" s="14">
        <f t="shared" ca="1" si="60"/>
        <v>10.804220642590678</v>
      </c>
      <c r="ABF6" s="14">
        <f t="shared" ca="1" si="60"/>
        <v>11.027297577292927</v>
      </c>
      <c r="ABG6" s="14">
        <f t="shared" ca="1" si="60"/>
        <v>10.892337956036613</v>
      </c>
      <c r="ABH6" s="14">
        <f t="shared" ca="1" si="60"/>
        <v>11.010639586750415</v>
      </c>
      <c r="ABI6" s="14">
        <f t="shared" ca="1" si="60"/>
        <v>11.142024705090847</v>
      </c>
      <c r="ABJ6" s="14">
        <f t="shared" ca="1" si="60"/>
        <v>10.808275059392969</v>
      </c>
      <c r="ABK6" s="14">
        <f t="shared" ca="1" si="60"/>
        <v>10.944705453042047</v>
      </c>
      <c r="ABL6" s="14">
        <f t="shared" ca="1" si="60"/>
        <v>11.160337414217736</v>
      </c>
      <c r="ABM6" s="14">
        <f t="shared" ca="1" si="60"/>
        <v>11.008155749170356</v>
      </c>
      <c r="ABN6" s="14">
        <f t="shared" ca="1" si="60"/>
        <v>10.878370377831459</v>
      </c>
      <c r="ABO6" s="14">
        <f t="shared" ca="1" si="60"/>
        <v>10.970796582299158</v>
      </c>
      <c r="ABP6" s="14">
        <f t="shared" ca="1" si="60"/>
        <v>10.900638922617389</v>
      </c>
      <c r="ABQ6" s="14">
        <f t="shared" ca="1" si="60"/>
        <v>11.069720800005456</v>
      </c>
      <c r="ABR6" s="14">
        <f t="shared" ca="1" si="60"/>
        <v>10.82597922197337</v>
      </c>
      <c r="ABS6" s="14">
        <f t="shared" ca="1" si="60"/>
        <v>11.057931692537437</v>
      </c>
      <c r="ABT6" s="14">
        <f t="shared" ca="1" si="60"/>
        <v>11.085385478448728</v>
      </c>
      <c r="ABU6" s="14">
        <f t="shared" ca="1" si="60"/>
        <v>10.932228537985367</v>
      </c>
      <c r="ABV6" s="14">
        <f t="shared" ca="1" si="60"/>
        <v>11.0297159583439</v>
      </c>
      <c r="ABW6" s="14">
        <f t="shared" ca="1" si="60"/>
        <v>10.998111592552817</v>
      </c>
      <c r="ABX6" s="14">
        <f t="shared" ca="1" si="60"/>
        <v>10.718423817390743</v>
      </c>
      <c r="ABY6" s="14">
        <f t="shared" ca="1" si="60"/>
        <v>11.047749479686786</v>
      </c>
      <c r="ABZ6" s="14">
        <f t="shared" ca="1" si="60"/>
        <v>11.008955884683758</v>
      </c>
      <c r="ACA6" s="14">
        <f t="shared" ca="1" si="60"/>
        <v>10.933380119038105</v>
      </c>
      <c r="ACB6" s="14">
        <f t="shared" ca="1" si="60"/>
        <v>11.210840289432866</v>
      </c>
      <c r="ACC6" s="14">
        <f t="shared" ca="1" si="60"/>
        <v>10.793915230511431</v>
      </c>
      <c r="ACD6" s="14">
        <f t="shared" ca="1" si="60"/>
        <v>10.913368619913655</v>
      </c>
      <c r="ACE6" s="14">
        <f t="shared" ca="1" si="60"/>
        <v>10.850397011985535</v>
      </c>
      <c r="ACF6" s="14">
        <f t="shared" ca="1" si="60"/>
        <v>11.062710643106044</v>
      </c>
      <c r="ACG6" s="14">
        <f t="shared" ca="1" si="60"/>
        <v>10.894678046380335</v>
      </c>
      <c r="ACH6" s="14">
        <f t="shared" ca="1" si="60"/>
        <v>11.03776505972931</v>
      </c>
      <c r="ACI6" s="14">
        <f t="shared" ca="1" si="60"/>
        <v>11.141792506386139</v>
      </c>
      <c r="ACJ6" s="14">
        <f t="shared" ca="1" si="60"/>
        <v>10.912398373807974</v>
      </c>
      <c r="ACK6" s="14">
        <f t="shared" ca="1" si="60"/>
        <v>11.368025492064504</v>
      </c>
      <c r="ACL6" s="14">
        <f t="shared" ca="1" si="60"/>
        <v>10.975684321401502</v>
      </c>
      <c r="ACM6" s="14">
        <f t="shared" ca="1" si="60"/>
        <v>10.811777844121906</v>
      </c>
      <c r="ACN6" s="14">
        <f t="shared" ca="1" si="60"/>
        <v>10.978616815648934</v>
      </c>
      <c r="ACO6" s="14">
        <f t="shared" ca="1" si="60"/>
        <v>10.995884727194039</v>
      </c>
      <c r="ACP6" s="14">
        <f t="shared" ca="1" si="60"/>
        <v>10.702582333710353</v>
      </c>
      <c r="ACQ6" s="14">
        <f t="shared" ca="1" si="60"/>
        <v>11.105299795310941</v>
      </c>
      <c r="ACR6" s="14">
        <f t="shared" ca="1" si="60"/>
        <v>10.863273511851901</v>
      </c>
      <c r="ACS6" s="14">
        <f t="shared" ca="1" si="60"/>
        <v>11.031745916767477</v>
      </c>
      <c r="ACT6" s="14">
        <f t="shared" ca="1" si="60"/>
        <v>10.901622748971107</v>
      </c>
      <c r="ACU6" s="14">
        <f t="shared" ca="1" si="60"/>
        <v>11.194177278461837</v>
      </c>
      <c r="ACV6" s="14">
        <f t="shared" ca="1" si="60"/>
        <v>10.908604823889334</v>
      </c>
      <c r="ACW6" s="14">
        <f t="shared" ref="ACW6:AFH6" ca="1" si="61">((ACW2^$C$10) -1)/$C$10</f>
        <v>10.905775214009594</v>
      </c>
      <c r="ACX6" s="14">
        <f t="shared" ca="1" si="61"/>
        <v>11.02300436262027</v>
      </c>
      <c r="ACY6" s="14">
        <f t="shared" ca="1" si="61"/>
        <v>10.953111222455902</v>
      </c>
      <c r="ACZ6" s="14">
        <f t="shared" ca="1" si="61"/>
        <v>10.84708413090496</v>
      </c>
      <c r="ADA6" s="14">
        <f t="shared" ca="1" si="61"/>
        <v>11.211256458754093</v>
      </c>
      <c r="ADB6" s="14">
        <f t="shared" ca="1" si="61"/>
        <v>11.374098591865334</v>
      </c>
      <c r="ADC6" s="14">
        <f t="shared" ca="1" si="61"/>
        <v>10.950805169329669</v>
      </c>
      <c r="ADD6" s="14">
        <f t="shared" ca="1" si="61"/>
        <v>11.049265258300522</v>
      </c>
      <c r="ADE6" s="14">
        <f t="shared" ca="1" si="61"/>
        <v>10.820403488764896</v>
      </c>
      <c r="ADF6" s="14">
        <f t="shared" ca="1" si="61"/>
        <v>11.058269218100492</v>
      </c>
      <c r="ADG6" s="14">
        <f t="shared" ca="1" si="61"/>
        <v>11.104325965405337</v>
      </c>
      <c r="ADH6" s="14">
        <f t="shared" ca="1" si="61"/>
        <v>11.201977798691587</v>
      </c>
      <c r="ADI6" s="14">
        <f t="shared" ca="1" si="61"/>
        <v>10.847425877535954</v>
      </c>
      <c r="ADJ6" s="14">
        <f t="shared" ca="1" si="61"/>
        <v>10.662115956794338</v>
      </c>
      <c r="ADK6" s="14">
        <f t="shared" ca="1" si="61"/>
        <v>10.929949540994244</v>
      </c>
      <c r="ADL6" s="14">
        <f t="shared" ca="1" si="61"/>
        <v>10.906350389472408</v>
      </c>
      <c r="ADM6" s="14">
        <f t="shared" ca="1" si="61"/>
        <v>10.896691022832528</v>
      </c>
      <c r="ADN6" s="14">
        <f t="shared" ca="1" si="61"/>
        <v>10.925832489849796</v>
      </c>
      <c r="ADO6" s="14">
        <f t="shared" ca="1" si="61"/>
        <v>10.96741202744056</v>
      </c>
      <c r="ADP6" s="14">
        <f t="shared" ca="1" si="61"/>
        <v>10.94276357083146</v>
      </c>
      <c r="ADQ6" s="14">
        <f t="shared" ca="1" si="61"/>
        <v>11.008087641428688</v>
      </c>
      <c r="ADR6" s="14">
        <f t="shared" ca="1" si="61"/>
        <v>10.841638145020482</v>
      </c>
      <c r="ADS6" s="14">
        <f t="shared" ca="1" si="61"/>
        <v>10.926801841115719</v>
      </c>
      <c r="ADT6" s="14">
        <f t="shared" ca="1" si="61"/>
        <v>10.877021963118239</v>
      </c>
      <c r="ADU6" s="14">
        <f t="shared" ca="1" si="61"/>
        <v>11.145280576219108</v>
      </c>
      <c r="ADV6" s="14">
        <f t="shared" ca="1" si="61"/>
        <v>11.200510712239264</v>
      </c>
      <c r="ADW6" s="14">
        <f t="shared" ca="1" si="61"/>
        <v>11.140393525455039</v>
      </c>
      <c r="ADX6" s="14">
        <f t="shared" ca="1" si="61"/>
        <v>10.835831667499463</v>
      </c>
      <c r="ADY6" s="14">
        <f t="shared" ca="1" si="61"/>
        <v>10.893239790199516</v>
      </c>
      <c r="ADZ6" s="14">
        <f t="shared" ca="1" si="61"/>
        <v>11.071625427572229</v>
      </c>
      <c r="AEA6" s="14">
        <f t="shared" ca="1" si="61"/>
        <v>10.871714417604039</v>
      </c>
      <c r="AEB6" s="14">
        <f t="shared" ca="1" si="61"/>
        <v>10.865779065394321</v>
      </c>
      <c r="AEC6" s="14">
        <f t="shared" ca="1" si="61"/>
        <v>11.000730588683894</v>
      </c>
      <c r="AED6" s="14">
        <f t="shared" ca="1" si="61"/>
        <v>11.183381767310152</v>
      </c>
      <c r="AEE6" s="14">
        <f t="shared" ca="1" si="61"/>
        <v>11.220136928447033</v>
      </c>
      <c r="AEF6" s="14">
        <f t="shared" ca="1" si="61"/>
        <v>10.941983978884906</v>
      </c>
      <c r="AEG6" s="14">
        <f t="shared" ca="1" si="61"/>
        <v>11.158950350420582</v>
      </c>
      <c r="AEH6" s="14">
        <f t="shared" ca="1" si="61"/>
        <v>10.791090017114868</v>
      </c>
      <c r="AEI6" s="14">
        <f t="shared" ca="1" si="61"/>
        <v>11.094443710391033</v>
      </c>
      <c r="AEJ6" s="14">
        <f t="shared" ca="1" si="61"/>
        <v>11.079848345474375</v>
      </c>
      <c r="AEK6" s="14">
        <f t="shared" ca="1" si="61"/>
        <v>10.889787231960213</v>
      </c>
      <c r="AEL6" s="14">
        <f t="shared" ca="1" si="61"/>
        <v>11.034036411228243</v>
      </c>
      <c r="AEM6" s="14">
        <f t="shared" ca="1" si="61"/>
        <v>11.036102900430222</v>
      </c>
      <c r="AEN6" s="14">
        <f t="shared" ca="1" si="61"/>
        <v>11.153692396348447</v>
      </c>
      <c r="AEO6" s="14">
        <f t="shared" ca="1" si="61"/>
        <v>11.164015689679729</v>
      </c>
      <c r="AEP6" s="14">
        <f t="shared" ca="1" si="61"/>
        <v>11.184861301583027</v>
      </c>
      <c r="AEQ6" s="14">
        <f t="shared" ca="1" si="61"/>
        <v>11.090695912763238</v>
      </c>
      <c r="AER6" s="14">
        <f t="shared" ca="1" si="61"/>
        <v>11.126419237061924</v>
      </c>
      <c r="AES6" s="14">
        <f t="shared" ca="1" si="61"/>
        <v>10.972429902444958</v>
      </c>
      <c r="AET6" s="14">
        <f t="shared" ca="1" si="61"/>
        <v>10.916695580842628</v>
      </c>
      <c r="AEU6" s="14">
        <f t="shared" ca="1" si="61"/>
        <v>11.170949625327609</v>
      </c>
      <c r="AEV6" s="14">
        <f t="shared" ca="1" si="61"/>
        <v>11.377877326967933</v>
      </c>
      <c r="AEW6" s="14">
        <f t="shared" ca="1" si="61"/>
        <v>11.146114875515423</v>
      </c>
      <c r="AEX6" s="14">
        <f t="shared" ca="1" si="61"/>
        <v>11.300983233653028</v>
      </c>
      <c r="AEY6" s="14">
        <f t="shared" ca="1" si="61"/>
        <v>11.019682186752533</v>
      </c>
      <c r="AEZ6" s="14">
        <f t="shared" ca="1" si="61"/>
        <v>10.826145591114056</v>
      </c>
      <c r="AFA6" s="14">
        <f t="shared" ca="1" si="61"/>
        <v>10.956519238547457</v>
      </c>
      <c r="AFB6" s="14">
        <f t="shared" ca="1" si="61"/>
        <v>10.876985043761778</v>
      </c>
      <c r="AFC6" s="14">
        <f t="shared" ca="1" si="61"/>
        <v>10.837191981583061</v>
      </c>
      <c r="AFD6" s="14">
        <f t="shared" ca="1" si="61"/>
        <v>10.849640035281993</v>
      </c>
      <c r="AFE6" s="14">
        <f t="shared" ca="1" si="61"/>
        <v>11.055195694442688</v>
      </c>
      <c r="AFF6" s="14">
        <f t="shared" ca="1" si="61"/>
        <v>10.643267369658815</v>
      </c>
      <c r="AFG6" s="14">
        <f t="shared" ca="1" si="61"/>
        <v>10.965529488871084</v>
      </c>
      <c r="AFH6" s="14">
        <f t="shared" ca="1" si="61"/>
        <v>10.966862509231845</v>
      </c>
      <c r="AFI6" s="14">
        <f t="shared" ref="AFI6:AHT6" ca="1" si="62">((AFI2^$C$10) -1)/$C$10</f>
        <v>10.855040954993456</v>
      </c>
      <c r="AFJ6" s="14">
        <f t="shared" ca="1" si="62"/>
        <v>10.864730712878412</v>
      </c>
      <c r="AFK6" s="14">
        <f t="shared" ca="1" si="62"/>
        <v>11.029595190503727</v>
      </c>
      <c r="AFL6" s="14">
        <f t="shared" ca="1" si="62"/>
        <v>10.961108845020107</v>
      </c>
      <c r="AFM6" s="14">
        <f t="shared" ca="1" si="62"/>
        <v>10.914772563541675</v>
      </c>
      <c r="AFN6" s="14">
        <f t="shared" ca="1" si="62"/>
        <v>11.085263769139431</v>
      </c>
      <c r="AFO6" s="14">
        <f t="shared" ca="1" si="62"/>
        <v>11.013578220531173</v>
      </c>
      <c r="AFP6" s="14">
        <f t="shared" ca="1" si="62"/>
        <v>10.865480990496224</v>
      </c>
      <c r="AFQ6" s="14">
        <f t="shared" ca="1" si="62"/>
        <v>10.864423418688318</v>
      </c>
      <c r="AFR6" s="14">
        <f t="shared" ca="1" si="62"/>
        <v>11.105732362626242</v>
      </c>
      <c r="AFS6" s="14">
        <f t="shared" ca="1" si="62"/>
        <v>10.986818188563063</v>
      </c>
      <c r="AFT6" s="14">
        <f t="shared" ca="1" si="62"/>
        <v>10.654659761133445</v>
      </c>
      <c r="AFU6" s="14">
        <f t="shared" ca="1" si="62"/>
        <v>10.976867703682558</v>
      </c>
      <c r="AFV6" s="14">
        <f t="shared" ca="1" si="62"/>
        <v>11.010582763315568</v>
      </c>
      <c r="AFW6" s="14">
        <f t="shared" ca="1" si="62"/>
        <v>11.062376952253317</v>
      </c>
      <c r="AFX6" s="14">
        <f t="shared" ca="1" si="62"/>
        <v>11.034335252180227</v>
      </c>
      <c r="AFY6" s="14">
        <f t="shared" ca="1" si="62"/>
        <v>11.142839475564159</v>
      </c>
      <c r="AFZ6" s="14">
        <f t="shared" ca="1" si="62"/>
        <v>10.942718442485955</v>
      </c>
      <c r="AGA6" s="14">
        <f t="shared" ca="1" si="62"/>
        <v>10.875341143190553</v>
      </c>
      <c r="AGB6" s="14">
        <f t="shared" ca="1" si="62"/>
        <v>11.233520900155725</v>
      </c>
      <c r="AGC6" s="14">
        <f t="shared" ca="1" si="62"/>
        <v>11.070299867910194</v>
      </c>
      <c r="AGD6" s="14">
        <f t="shared" ca="1" si="62"/>
        <v>11.100497432359191</v>
      </c>
      <c r="AGE6" s="14">
        <f t="shared" ca="1" si="62"/>
        <v>10.887261339131982</v>
      </c>
      <c r="AGF6" s="14">
        <f t="shared" ca="1" si="62"/>
        <v>11.002225794864984</v>
      </c>
      <c r="AGG6" s="14">
        <f t="shared" ca="1" si="62"/>
        <v>10.803392851421734</v>
      </c>
      <c r="AGH6" s="14">
        <f t="shared" ca="1" si="62"/>
        <v>10.97803261407293</v>
      </c>
      <c r="AGI6" s="14">
        <f t="shared" ca="1" si="62"/>
        <v>11.202816592170706</v>
      </c>
      <c r="AGJ6" s="14">
        <f t="shared" ca="1" si="62"/>
        <v>10.81846122907848</v>
      </c>
      <c r="AGK6" s="14">
        <f t="shared" ca="1" si="62"/>
        <v>10.982061278141941</v>
      </c>
      <c r="AGL6" s="14">
        <f t="shared" ca="1" si="62"/>
        <v>11.297415096755969</v>
      </c>
      <c r="AGM6" s="14">
        <f t="shared" ca="1" si="62"/>
        <v>10.927184781461818</v>
      </c>
      <c r="AGN6" s="14">
        <f t="shared" ca="1" si="62"/>
        <v>11.045795922370871</v>
      </c>
      <c r="AGO6" s="14">
        <f t="shared" ca="1" si="62"/>
        <v>11.235411454535438</v>
      </c>
      <c r="AGP6" s="14">
        <f t="shared" ca="1" si="62"/>
        <v>10.560178083096616</v>
      </c>
      <c r="AGQ6" s="14">
        <f t="shared" ca="1" si="62"/>
        <v>10.986363425669055</v>
      </c>
      <c r="AGR6" s="14">
        <f t="shared" ca="1" si="62"/>
        <v>11.096098382346042</v>
      </c>
      <c r="AGS6" s="14">
        <f t="shared" ca="1" si="62"/>
        <v>11.112915341282559</v>
      </c>
      <c r="AGT6" s="14">
        <f t="shared" ca="1" si="62"/>
        <v>11.044040173491254</v>
      </c>
      <c r="AGU6" s="14">
        <f t="shared" ca="1" si="62"/>
        <v>11.045282932720113</v>
      </c>
      <c r="AGV6" s="14">
        <f t="shared" ca="1" si="62"/>
        <v>11.152587180429663</v>
      </c>
      <c r="AGW6" s="14">
        <f t="shared" ca="1" si="62"/>
        <v>10.997488035791037</v>
      </c>
      <c r="AGX6" s="14">
        <f t="shared" ca="1" si="62"/>
        <v>10.842831346113968</v>
      </c>
      <c r="AGY6" s="14">
        <f t="shared" ca="1" si="62"/>
        <v>10.884940102595664</v>
      </c>
      <c r="AGZ6" s="14">
        <f t="shared" ca="1" si="62"/>
        <v>11.042380909653815</v>
      </c>
      <c r="AHA6" s="14">
        <f t="shared" ca="1" si="62"/>
        <v>10.825644751744079</v>
      </c>
      <c r="AHB6" s="14">
        <f t="shared" ca="1" si="62"/>
        <v>10.947893083201876</v>
      </c>
      <c r="AHC6" s="14">
        <f t="shared" ca="1" si="62"/>
        <v>10.81219685339363</v>
      </c>
      <c r="AHD6" s="14">
        <f t="shared" ca="1" si="62"/>
        <v>10.911192571683159</v>
      </c>
      <c r="AHE6" s="14">
        <f t="shared" ca="1" si="62"/>
        <v>10.793551643573096</v>
      </c>
      <c r="AHF6" s="14">
        <f t="shared" ca="1" si="62"/>
        <v>11.079765249721873</v>
      </c>
      <c r="AHG6" s="14">
        <f t="shared" ca="1" si="62"/>
        <v>10.967653476523509</v>
      </c>
      <c r="AHH6" s="14">
        <f t="shared" ca="1" si="62"/>
        <v>10.881153489350481</v>
      </c>
      <c r="AHI6" s="14">
        <f t="shared" ca="1" si="62"/>
        <v>11.084863504873255</v>
      </c>
      <c r="AHJ6" s="14">
        <f t="shared" ca="1" si="62"/>
        <v>10.899784557150127</v>
      </c>
      <c r="AHK6" s="14">
        <f t="shared" ca="1" si="62"/>
        <v>11.299595179536936</v>
      </c>
      <c r="AHL6" s="14">
        <f t="shared" ca="1" si="62"/>
        <v>10.839667610174075</v>
      </c>
      <c r="AHM6" s="14">
        <f t="shared" ca="1" si="62"/>
        <v>10.959046534697592</v>
      </c>
      <c r="AHN6" s="14">
        <f t="shared" ca="1" si="62"/>
        <v>11.104130428485348</v>
      </c>
      <c r="AHO6" s="14">
        <f t="shared" ca="1" si="62"/>
        <v>11.147898895114139</v>
      </c>
      <c r="AHP6" s="14">
        <f t="shared" ca="1" si="62"/>
        <v>10.878107945533344</v>
      </c>
      <c r="AHQ6" s="14">
        <f t="shared" ca="1" si="62"/>
        <v>10.931643597000829</v>
      </c>
      <c r="AHR6" s="14">
        <f t="shared" ca="1" si="62"/>
        <v>11.087791274011494</v>
      </c>
      <c r="AHS6" s="14">
        <f t="shared" ca="1" si="62"/>
        <v>10.956846057119662</v>
      </c>
      <c r="AHT6" s="14">
        <f t="shared" ca="1" si="62"/>
        <v>10.874245115477521</v>
      </c>
      <c r="AHU6" s="14">
        <f t="shared" ref="AHU6:AKF6" ca="1" si="63">((AHU2^$C$10) -1)/$C$10</f>
        <v>10.952484112980443</v>
      </c>
      <c r="AHV6" s="14">
        <f t="shared" ca="1" si="63"/>
        <v>10.889011774484203</v>
      </c>
      <c r="AHW6" s="14">
        <f t="shared" ca="1" si="63"/>
        <v>11.019326915384653</v>
      </c>
      <c r="AHX6" s="14">
        <f t="shared" ca="1" si="63"/>
        <v>10.930798295394339</v>
      </c>
      <c r="AHY6" s="14">
        <f t="shared" ca="1" si="63"/>
        <v>10.916856141296449</v>
      </c>
      <c r="AHZ6" s="14">
        <f t="shared" ca="1" si="63"/>
        <v>11.190452098297499</v>
      </c>
      <c r="AIA6" s="14">
        <f t="shared" ca="1" si="63"/>
        <v>10.982350568955468</v>
      </c>
      <c r="AIB6" s="14">
        <f t="shared" ca="1" si="63"/>
        <v>10.914332293499029</v>
      </c>
      <c r="AIC6" s="14">
        <f t="shared" ca="1" si="63"/>
        <v>10.918754438371536</v>
      </c>
      <c r="AID6" s="14">
        <f t="shared" ca="1" si="63"/>
        <v>11.041696210689622</v>
      </c>
      <c r="AIE6" s="14">
        <f t="shared" ca="1" si="63"/>
        <v>11.183433719086366</v>
      </c>
      <c r="AIF6" s="14">
        <f t="shared" ca="1" si="63"/>
        <v>10.939259083020403</v>
      </c>
      <c r="AIG6" s="14">
        <f t="shared" ca="1" si="63"/>
        <v>10.961574203882662</v>
      </c>
      <c r="AIH6" s="14">
        <f t="shared" ca="1" si="63"/>
        <v>11.043579226654998</v>
      </c>
      <c r="AII6" s="14">
        <f t="shared" ca="1" si="63"/>
        <v>11.101593226925388</v>
      </c>
      <c r="AIJ6" s="14">
        <f t="shared" ca="1" si="63"/>
        <v>10.932022356247018</v>
      </c>
      <c r="AIK6" s="14">
        <f t="shared" ca="1" si="63"/>
        <v>10.936455292487324</v>
      </c>
      <c r="AIL6" s="14">
        <f t="shared" ca="1" si="63"/>
        <v>11.265063852849977</v>
      </c>
      <c r="AIM6" s="14">
        <f t="shared" ca="1" si="63"/>
        <v>11.224147782318283</v>
      </c>
      <c r="AIN6" s="14">
        <f t="shared" ca="1" si="63"/>
        <v>10.826995002766182</v>
      </c>
      <c r="AIO6" s="14">
        <f t="shared" ca="1" si="63"/>
        <v>10.947730768595676</v>
      </c>
      <c r="AIP6" s="14">
        <f t="shared" ca="1" si="63"/>
        <v>10.907823908556935</v>
      </c>
      <c r="AIQ6" s="14">
        <f t="shared" ca="1" si="63"/>
        <v>11.311483281151169</v>
      </c>
      <c r="AIR6" s="14">
        <f t="shared" ca="1" si="63"/>
        <v>10.880728047446553</v>
      </c>
      <c r="AIS6" s="14">
        <f t="shared" ca="1" si="63"/>
        <v>10.932968603771798</v>
      </c>
      <c r="AIT6" s="14">
        <f t="shared" ca="1" si="63"/>
        <v>10.861637684822512</v>
      </c>
      <c r="AIU6" s="14">
        <f t="shared" ca="1" si="63"/>
        <v>10.602486206767736</v>
      </c>
      <c r="AIV6" s="14">
        <f t="shared" ca="1" si="63"/>
        <v>10.993841608186727</v>
      </c>
      <c r="AIW6" s="14">
        <f t="shared" ca="1" si="63"/>
        <v>10.895091169249582</v>
      </c>
      <c r="AIX6" s="14">
        <f t="shared" ca="1" si="63"/>
        <v>11.069892826842676</v>
      </c>
      <c r="AIY6" s="14">
        <f t="shared" ca="1" si="63"/>
        <v>11.113088225211953</v>
      </c>
      <c r="AIZ6" s="14">
        <f t="shared" ca="1" si="63"/>
        <v>10.846050786383898</v>
      </c>
      <c r="AJA6" s="14">
        <f t="shared" ca="1" si="63"/>
        <v>11.284423757640383</v>
      </c>
      <c r="AJB6" s="14">
        <f t="shared" ca="1" si="63"/>
        <v>11.085310820391214</v>
      </c>
      <c r="AJC6" s="14">
        <f t="shared" ca="1" si="63"/>
        <v>11.297752813277384</v>
      </c>
      <c r="AJD6" s="14">
        <f t="shared" ca="1" si="63"/>
        <v>11.038226352955149</v>
      </c>
      <c r="AJE6" s="14">
        <f t="shared" ca="1" si="63"/>
        <v>11.004222582045031</v>
      </c>
      <c r="AJF6" s="14">
        <f t="shared" ca="1" si="63"/>
        <v>10.916448385245303</v>
      </c>
      <c r="AJG6" s="14">
        <f t="shared" ca="1" si="63"/>
        <v>11.130946431237021</v>
      </c>
      <c r="AJH6" s="14">
        <f t="shared" ca="1" si="63"/>
        <v>10.980787616965415</v>
      </c>
      <c r="AJI6" s="14">
        <f t="shared" ca="1" si="63"/>
        <v>11.236349009013935</v>
      </c>
      <c r="AJJ6" s="14">
        <f t="shared" ca="1" si="63"/>
        <v>10.75843074405114</v>
      </c>
      <c r="AJK6" s="14">
        <f t="shared" ca="1" si="63"/>
        <v>10.991391752313007</v>
      </c>
      <c r="AJL6" s="14">
        <f t="shared" ca="1" si="63"/>
        <v>10.749007450794323</v>
      </c>
      <c r="AJM6" s="14">
        <f t="shared" ca="1" si="63"/>
        <v>10.990992960202561</v>
      </c>
      <c r="AJN6" s="14">
        <f t="shared" ca="1" si="63"/>
        <v>10.885682060202129</v>
      </c>
      <c r="AJO6" s="14">
        <f t="shared" ca="1" si="63"/>
        <v>11.230110861237819</v>
      </c>
      <c r="AJP6" s="14">
        <f t="shared" ca="1" si="63"/>
        <v>11.063063225513758</v>
      </c>
      <c r="AJQ6" s="14">
        <f t="shared" ca="1" si="63"/>
        <v>11.162411175380527</v>
      </c>
      <c r="AJR6" s="14">
        <f t="shared" ca="1" si="63"/>
        <v>11.070523622258577</v>
      </c>
      <c r="AJS6" s="14">
        <f t="shared" ca="1" si="63"/>
        <v>11.132587720563691</v>
      </c>
      <c r="AJT6" s="14">
        <f t="shared" ca="1" si="63"/>
        <v>10.78108721408455</v>
      </c>
      <c r="AJU6" s="14">
        <f t="shared" ca="1" si="63"/>
        <v>10.7113285863214</v>
      </c>
      <c r="AJV6" s="14">
        <f t="shared" ca="1" si="63"/>
        <v>11.177958867403248</v>
      </c>
      <c r="AJW6" s="14">
        <f t="shared" ca="1" si="63"/>
        <v>11.02393770047172</v>
      </c>
      <c r="AJX6" s="14">
        <f t="shared" ca="1" si="63"/>
        <v>10.613246390622777</v>
      </c>
      <c r="AJY6" s="14">
        <f t="shared" ca="1" si="63"/>
        <v>10.934870660062046</v>
      </c>
      <c r="AJZ6" s="14">
        <f t="shared" ca="1" si="63"/>
        <v>11.152461356633836</v>
      </c>
      <c r="AKA6" s="14">
        <f t="shared" ca="1" si="63"/>
        <v>11.046325538721646</v>
      </c>
      <c r="AKB6" s="14">
        <f t="shared" ca="1" si="63"/>
        <v>11.03868092933169</v>
      </c>
      <c r="AKC6" s="14">
        <f t="shared" ca="1" si="63"/>
        <v>10.888486341453785</v>
      </c>
      <c r="AKD6" s="14">
        <f t="shared" ca="1" si="63"/>
        <v>11.019981358550979</v>
      </c>
      <c r="AKE6" s="14">
        <f t="shared" ca="1" si="63"/>
        <v>10.875431630807952</v>
      </c>
      <c r="AKF6" s="14">
        <f t="shared" ca="1" si="63"/>
        <v>10.92324876106332</v>
      </c>
      <c r="AKG6" s="14">
        <f t="shared" ref="AKG6:ALS6" ca="1" si="64">((AKG2^$C$10) -1)/$C$10</f>
        <v>10.843085431755384</v>
      </c>
      <c r="AKH6" s="14">
        <f t="shared" ca="1" si="64"/>
        <v>11.012445568781004</v>
      </c>
      <c r="AKI6" s="14">
        <f t="shared" ca="1" si="64"/>
        <v>10.876197706899404</v>
      </c>
      <c r="AKJ6" s="14">
        <f t="shared" ca="1" si="64"/>
        <v>11.04999382661731</v>
      </c>
      <c r="AKK6" s="14">
        <f t="shared" ca="1" si="64"/>
        <v>10.987643042081885</v>
      </c>
      <c r="AKL6" s="14">
        <f t="shared" ca="1" si="64"/>
        <v>10.839523876260415</v>
      </c>
      <c r="AKM6" s="14">
        <f t="shared" ca="1" si="64"/>
        <v>11.085716038472526</v>
      </c>
      <c r="AKN6" s="14">
        <f t="shared" ca="1" si="64"/>
        <v>11.023856063552273</v>
      </c>
      <c r="AKO6" s="14">
        <f t="shared" ca="1" si="64"/>
        <v>11.071094918602142</v>
      </c>
      <c r="AKP6" s="14">
        <f t="shared" ca="1" si="64"/>
        <v>11.022312651487454</v>
      </c>
      <c r="AKQ6" s="14">
        <f t="shared" ca="1" si="64"/>
        <v>10.961864325143011</v>
      </c>
      <c r="AKR6" s="14">
        <f t="shared" ca="1" si="64"/>
        <v>10.74694276237409</v>
      </c>
      <c r="AKS6" s="14">
        <f t="shared" ca="1" si="64"/>
        <v>10.938886330080777</v>
      </c>
      <c r="AKT6" s="14">
        <f t="shared" ca="1" si="64"/>
        <v>10.904295693059396</v>
      </c>
      <c r="AKU6" s="14">
        <f t="shared" ca="1" si="64"/>
        <v>10.905314733467009</v>
      </c>
      <c r="AKV6" s="14">
        <f t="shared" ca="1" si="64"/>
        <v>10.891393145140427</v>
      </c>
      <c r="AKW6" s="14">
        <f t="shared" ca="1" si="64"/>
        <v>10.807058383743851</v>
      </c>
      <c r="AKX6" s="14">
        <f t="shared" ca="1" si="64"/>
        <v>11.033089277745489</v>
      </c>
      <c r="AKY6" s="14">
        <f t="shared" ca="1" si="64"/>
        <v>11.033525659787102</v>
      </c>
      <c r="AKZ6" s="14">
        <f t="shared" ca="1" si="64"/>
        <v>10.914840902209733</v>
      </c>
      <c r="ALA6" s="14">
        <f t="shared" ca="1" si="64"/>
        <v>11.030708897408203</v>
      </c>
      <c r="ALB6" s="14">
        <f t="shared" ca="1" si="64"/>
        <v>10.856511221124521</v>
      </c>
      <c r="ALC6" s="14">
        <f t="shared" ca="1" si="64"/>
        <v>11.054738275895204</v>
      </c>
      <c r="ALD6" s="14">
        <f t="shared" ca="1" si="64"/>
        <v>10.847511351386174</v>
      </c>
      <c r="ALE6" s="14">
        <f t="shared" ca="1" si="64"/>
        <v>11.072123737854156</v>
      </c>
      <c r="ALF6" s="14">
        <f t="shared" ca="1" si="64"/>
        <v>10.973739477115885</v>
      </c>
      <c r="ALG6" s="14">
        <f t="shared" ca="1" si="64"/>
        <v>10.910971484090481</v>
      </c>
      <c r="ALH6" s="14">
        <f t="shared" ca="1" si="64"/>
        <v>10.713761704472802</v>
      </c>
      <c r="ALI6" s="14">
        <f t="shared" ca="1" si="64"/>
        <v>10.998444197607427</v>
      </c>
      <c r="ALJ6" s="14">
        <f t="shared" ca="1" si="64"/>
        <v>10.939545322941058</v>
      </c>
      <c r="ALK6" s="14">
        <f t="shared" ca="1" si="64"/>
        <v>11.038852494316131</v>
      </c>
      <c r="ALL6" s="14">
        <f t="shared" ca="1" si="64"/>
        <v>11.139993287834216</v>
      </c>
      <c r="ALM6" s="14">
        <f t="shared" ca="1" si="64"/>
        <v>11.00117802410594</v>
      </c>
      <c r="ALN6" s="14">
        <f t="shared" ca="1" si="64"/>
        <v>10.64334413491963</v>
      </c>
      <c r="ALO6" s="14">
        <f t="shared" ca="1" si="64"/>
        <v>10.950602460368941</v>
      </c>
      <c r="ALP6" s="14">
        <f t="shared" ca="1" si="64"/>
        <v>11.193733200354217</v>
      </c>
      <c r="ALQ6" s="14">
        <f t="shared" ca="1" si="64"/>
        <v>10.77347469902179</v>
      </c>
      <c r="ALR6" s="14">
        <f t="shared" ca="1" si="64"/>
        <v>10.823179024121998</v>
      </c>
      <c r="ALS6" s="14">
        <f t="shared" ca="1" si="64"/>
        <v>11.017230732157657</v>
      </c>
    </row>
    <row r="7" spans="1:1007" x14ac:dyDescent="0.2">
      <c r="A7" s="69" t="s">
        <v>1565</v>
      </c>
      <c r="B7" s="69"/>
      <c r="C7" s="69"/>
      <c r="G7" s="21"/>
      <c r="ALO7" t="s">
        <v>1569</v>
      </c>
    </row>
    <row r="8" spans="1:1007" x14ac:dyDescent="0.2">
      <c r="A8" s="14" t="s">
        <v>1541</v>
      </c>
      <c r="B8" s="14" t="s">
        <v>1566</v>
      </c>
      <c r="C8" s="14">
        <f>1/(4*57661)</f>
        <v>4.3356861656925828E-6</v>
      </c>
      <c r="G8" s="21"/>
    </row>
    <row r="9" spans="1:1007" x14ac:dyDescent="0.2">
      <c r="A9" s="14" t="s">
        <v>1574</v>
      </c>
      <c r="B9" s="14" t="s">
        <v>1568</v>
      </c>
      <c r="C9" s="14">
        <f>1/57661</f>
        <v>1.7342744662770331E-5</v>
      </c>
    </row>
    <row r="10" spans="1:1007" x14ac:dyDescent="0.2">
      <c r="A10" s="14" t="s">
        <v>1570</v>
      </c>
      <c r="B10" s="14" t="s">
        <v>1572</v>
      </c>
      <c r="C10" s="14">
        <v>9.9999999999999995E-8</v>
      </c>
    </row>
    <row r="12" spans="1:1007" x14ac:dyDescent="0.2">
      <c r="A12" s="69" t="s">
        <v>1562</v>
      </c>
      <c r="B12" s="69"/>
      <c r="C12" s="34">
        <f>'Simulations | Acc. Wealth'!D16</f>
        <v>58223.94470118852</v>
      </c>
    </row>
    <row r="13" spans="1:1007" x14ac:dyDescent="0.2">
      <c r="A13" s="69" t="s">
        <v>1542</v>
      </c>
      <c r="B13" s="69"/>
      <c r="C13" s="14">
        <f>LOG(C12)</f>
        <v>4.7651016257665475</v>
      </c>
    </row>
    <row r="14" spans="1:1007" x14ac:dyDescent="0.2">
      <c r="A14" s="69" t="s">
        <v>1541</v>
      </c>
      <c r="B14" s="69"/>
      <c r="C14" s="14">
        <f>C12-C8*C12^2</f>
        <v>43525.848342440586</v>
      </c>
    </row>
    <row r="15" spans="1:1007" x14ac:dyDescent="0.2">
      <c r="A15" s="69" t="s">
        <v>1557</v>
      </c>
      <c r="B15" s="69"/>
      <c r="C15" s="14">
        <f>1-EXP(-C12*C9)</f>
        <v>0.63569469256365663</v>
      </c>
    </row>
    <row r="16" spans="1:1007" x14ac:dyDescent="0.2">
      <c r="A16" s="71" t="s">
        <v>1570</v>
      </c>
      <c r="B16" s="71"/>
      <c r="C16">
        <f>C22</f>
        <v>10.972057988833939</v>
      </c>
    </row>
    <row r="18" spans="1:3" x14ac:dyDescent="0.2">
      <c r="A18" s="69" t="s">
        <v>1563</v>
      </c>
      <c r="B18" s="69"/>
      <c r="C18" s="14" t="s">
        <v>1564</v>
      </c>
    </row>
    <row r="19" spans="1:3" x14ac:dyDescent="0.2">
      <c r="A19" s="14" t="s">
        <v>1556</v>
      </c>
      <c r="B19" s="52">
        <f ca="1">AVERAGE(H3:ALS3)</f>
        <v>4.7710348223404377</v>
      </c>
      <c r="C19" s="14">
        <f>C13</f>
        <v>4.7651016257665475</v>
      </c>
    </row>
    <row r="20" spans="1:3" x14ac:dyDescent="0.2">
      <c r="A20" s="14" t="s">
        <v>1541</v>
      </c>
      <c r="B20" s="52">
        <f ca="1">AVERAGE(H4:ALS4)</f>
        <v>43894.866501760254</v>
      </c>
      <c r="C20" s="14">
        <f t="shared" ref="C20" si="65">C14</f>
        <v>43525.848342440586</v>
      </c>
    </row>
    <row r="21" spans="1:3" x14ac:dyDescent="0.2">
      <c r="A21" s="14" t="s">
        <v>1557</v>
      </c>
      <c r="B21" s="53">
        <f ca="1">AVERAGE(H5:ALS5)</f>
        <v>0.6406069894031845</v>
      </c>
      <c r="C21" s="14">
        <f>C15</f>
        <v>0.63569469256365663</v>
      </c>
    </row>
    <row r="22" spans="1:3" x14ac:dyDescent="0.2">
      <c r="A22" s="14" t="s">
        <v>1570</v>
      </c>
      <c r="B22" s="53">
        <f ca="1">AVERAGE(H6:ALS6)</f>
        <v>10.985719695375543</v>
      </c>
      <c r="C22" s="14">
        <f>((C12^C10)-1)/C10</f>
        <v>10.972057988833939</v>
      </c>
    </row>
  </sheetData>
  <mergeCells count="12">
    <mergeCell ref="A1:E1"/>
    <mergeCell ref="A16:B16"/>
    <mergeCell ref="A7:C7"/>
    <mergeCell ref="B2:D2"/>
    <mergeCell ref="B3:D3"/>
    <mergeCell ref="B4:D4"/>
    <mergeCell ref="B5:D5"/>
    <mergeCell ref="A12:B12"/>
    <mergeCell ref="A13:B13"/>
    <mergeCell ref="A14:B14"/>
    <mergeCell ref="A15:B15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Apple Historical Data</vt:lpstr>
      <vt:lpstr>Parameters</vt:lpstr>
      <vt:lpstr>Simulations | Acc. Wealth</vt:lpstr>
      <vt:lpstr>Utility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Zhang</cp:lastModifiedBy>
  <dcterms:created xsi:type="dcterms:W3CDTF">2025-10-08T03:24:25Z</dcterms:created>
  <dcterms:modified xsi:type="dcterms:W3CDTF">2025-10-09T04:49:59Z</dcterms:modified>
</cp:coreProperties>
</file>